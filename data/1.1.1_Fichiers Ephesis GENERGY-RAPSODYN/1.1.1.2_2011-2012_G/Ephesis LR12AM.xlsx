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4" rupBuild="9303"/>
  <workbookPr codeName="ThisWorkbook"/>
  <bookViews>
    <workbookView xWindow="0" yWindow="360" windowWidth="19200" windowHeight="7830" tabRatio="903" firstSheet="5" activeTab="16"/>
  </bookViews>
  <sheets>
    <sheet name="README" sheetId="1" r:id="rId1"/>
    <sheet name="Trial" sheetId="2" r:id="rId2"/>
    <sheet name="Site" sheetId="3" r:id="rId3"/>
    <sheet name="Contact" sheetId="4" r:id="rId4"/>
    <sheet name="Variable" sheetId="5" r:id="rId5"/>
    <sheet name="PlantMaterial" sheetId="6" r:id="rId6"/>
    <sheet name="Treatment" sheetId="7" r:id="rId7"/>
    <sheet name="Level" sheetId="8" r:id="rId8"/>
    <sheet name="Data" sheetId="9" r:id="rId9"/>
    <sheet name="Files" sheetId="10" r:id="rId10"/>
    <sheet name="ForestComplementaryInfo" sheetId="11" r:id="rId11"/>
    <sheet name="StaticData" sheetId="12" r:id="rId12"/>
    <sheet name="Meteo_Data" sheetId="13" r:id="rId13"/>
    <sheet name="Soil_data" sheetId="14" r:id="rId14"/>
    <sheet name="INN_Data" sheetId="15" r:id="rId15"/>
    <sheet name="Parcellaire_data" sheetId="16" r:id="rId16"/>
    <sheet name="ITK_data" sheetId="17" r:id="rId17"/>
  </sheets>
  <definedNames>
    <definedName name="_xlnm._FilterDatabase" localSheetId="8" hidden="1">Data!$A$1:$CM$1</definedName>
    <definedName name="_xlnm._FilterDatabase" localSheetId="5" hidden="1">PlantMaterial!$A$1:$E$42</definedName>
    <definedName name="HoldingInstitution">StaticData!$C$1:$C$21</definedName>
    <definedName name="InstitutionName">StaticData!$B$1:$B$1457</definedName>
    <definedName name="ProjectAcronym">StaticData!$D$1:$D$225</definedName>
    <definedName name="SiteName">StaticData!$E$1:$E$24</definedName>
    <definedName name="TaxonScientificName">StaticData!$A$1:$A$5470</definedName>
  </definedNames>
  <calcPr calcId="145621"/>
</workbook>
</file>

<file path=xl/calcChain.xml><?xml version="1.0" encoding="utf-8"?>
<calcChain xmlns="http://schemas.openxmlformats.org/spreadsheetml/2006/main">
  <c r="Y4" i="15" l="1"/>
  <c r="Y5" i="15"/>
  <c r="Y6" i="15"/>
  <c r="Y7" i="15"/>
  <c r="Y8" i="15"/>
  <c r="Y9" i="15"/>
  <c r="Y10" i="15"/>
  <c r="Y11" i="15"/>
  <c r="Y12" i="15"/>
  <c r="Y13" i="15"/>
  <c r="Y14" i="15"/>
  <c r="Y15" i="15"/>
  <c r="Y16" i="15"/>
  <c r="Y17" i="15"/>
  <c r="Y18" i="15"/>
  <c r="Y19" i="15"/>
  <c r="Y20" i="15"/>
  <c r="Y21" i="15"/>
  <c r="Y22" i="15"/>
  <c r="Y23" i="15"/>
  <c r="Y24" i="15"/>
  <c r="Y26" i="15"/>
  <c r="Y27" i="15"/>
  <c r="Y28" i="15"/>
  <c r="Y29" i="15"/>
  <c r="Y30" i="15"/>
  <c r="Y31" i="15"/>
  <c r="Y32" i="15"/>
  <c r="Y33" i="15"/>
  <c r="Y34" i="15"/>
  <c r="Y35" i="15"/>
  <c r="Y36" i="15"/>
  <c r="Y37" i="15"/>
  <c r="Y38" i="15"/>
  <c r="Y39" i="15"/>
  <c r="Y40" i="15"/>
  <c r="Y3" i="15"/>
  <c r="O4" i="15" l="1"/>
  <c r="O5" i="15"/>
  <c r="O6" i="15"/>
  <c r="O7" i="15"/>
  <c r="O8" i="15"/>
  <c r="O9" i="15"/>
  <c r="O10" i="15"/>
  <c r="O11" i="15"/>
  <c r="O12" i="15"/>
  <c r="O13" i="15"/>
  <c r="O14" i="15"/>
  <c r="O15" i="15"/>
  <c r="O16" i="15"/>
  <c r="O17" i="15"/>
  <c r="O18" i="15"/>
  <c r="O19" i="15"/>
  <c r="O20" i="15"/>
  <c r="O21" i="15"/>
  <c r="O22" i="15"/>
  <c r="O23" i="15"/>
  <c r="O24" i="15"/>
  <c r="O25" i="15"/>
  <c r="O26" i="15"/>
  <c r="O27" i="15"/>
  <c r="O28" i="15"/>
  <c r="O29" i="15"/>
  <c r="O30" i="15"/>
  <c r="O31" i="15"/>
  <c r="O32" i="15"/>
  <c r="O33" i="15"/>
  <c r="O34" i="15"/>
  <c r="O35" i="15"/>
  <c r="O36" i="15"/>
  <c r="O37" i="15"/>
  <c r="O38" i="15"/>
  <c r="O39" i="15"/>
  <c r="O40" i="15"/>
  <c r="O3" i="15"/>
  <c r="K42" i="16"/>
  <c r="K43" i="16" s="1"/>
  <c r="J27" i="15" l="1"/>
  <c r="T27" i="15" s="1"/>
  <c r="L40" i="15"/>
  <c r="J40" i="15" s="1"/>
  <c r="T40" i="15" s="1"/>
  <c r="L36" i="15"/>
  <c r="J36" i="15" s="1"/>
  <c r="T36" i="15" s="1"/>
  <c r="L11" i="15"/>
  <c r="J11" i="15" s="1"/>
  <c r="T11" i="15" s="1"/>
  <c r="L13" i="15"/>
  <c r="J13" i="15" s="1"/>
  <c r="T13" i="15" s="1"/>
  <c r="L14" i="15"/>
  <c r="J14" i="15" s="1"/>
  <c r="T14" i="15" s="1"/>
  <c r="L34" i="15"/>
  <c r="J34" i="15" s="1"/>
  <c r="T34" i="15" s="1"/>
  <c r="L9" i="15"/>
  <c r="J9" i="15" s="1"/>
  <c r="T9" i="15" s="1"/>
  <c r="L19" i="15"/>
  <c r="J19" i="15" s="1"/>
  <c r="T19" i="15" s="1"/>
  <c r="L10" i="15"/>
  <c r="J10" i="15" s="1"/>
  <c r="T10" i="15" s="1"/>
  <c r="J25" i="15"/>
  <c r="T25" i="15" s="1"/>
  <c r="L24" i="15"/>
  <c r="J24" i="15" s="1"/>
  <c r="T24" i="15" s="1"/>
  <c r="L25" i="15"/>
  <c r="L18" i="15"/>
  <c r="J18" i="15" s="1"/>
  <c r="T18" i="15" s="1"/>
  <c r="L26" i="15"/>
  <c r="J26" i="15" s="1"/>
  <c r="T26" i="15" s="1"/>
  <c r="L33" i="15"/>
  <c r="J33" i="15" s="1"/>
  <c r="T33" i="15" s="1"/>
  <c r="L17" i="15"/>
  <c r="J17" i="15" s="1"/>
  <c r="T17" i="15" s="1"/>
  <c r="L32" i="15"/>
  <c r="J32" i="15" s="1"/>
  <c r="T32" i="15" s="1"/>
  <c r="L8" i="15"/>
  <c r="J8" i="15" s="1"/>
  <c r="T8" i="15" s="1"/>
  <c r="L23" i="15"/>
  <c r="J23" i="15" s="1"/>
  <c r="T23" i="15" s="1"/>
  <c r="L7" i="15"/>
  <c r="J7" i="15" s="1"/>
  <c r="T7" i="15" s="1"/>
  <c r="L22" i="15"/>
  <c r="J22" i="15" s="1"/>
  <c r="T22" i="15" s="1"/>
  <c r="L37" i="15"/>
  <c r="J37" i="15" s="1"/>
  <c r="T37" i="15" s="1"/>
  <c r="L5" i="15"/>
  <c r="J5" i="15" s="1"/>
  <c r="T5" i="15" s="1"/>
  <c r="L35" i="15"/>
  <c r="J35" i="15" s="1"/>
  <c r="T35" i="15" s="1"/>
  <c r="L27" i="15"/>
  <c r="L20" i="15"/>
  <c r="J20" i="15" s="1"/>
  <c r="T20" i="15" s="1"/>
  <c r="L30" i="15"/>
  <c r="J30" i="15" s="1"/>
  <c r="T30" i="15" s="1"/>
  <c r="L6" i="15"/>
  <c r="J6" i="15" s="1"/>
  <c r="T6" i="15" s="1"/>
  <c r="L21" i="15"/>
  <c r="J21" i="15" s="1"/>
  <c r="T21" i="15" s="1"/>
  <c r="L29" i="15"/>
  <c r="J29" i="15" s="1"/>
  <c r="T29" i="15" s="1"/>
  <c r="L12" i="15"/>
  <c r="J12" i="15" s="1"/>
  <c r="T12" i="15" s="1"/>
  <c r="L4" i="15"/>
  <c r="J4" i="15" s="1"/>
  <c r="T4" i="15" s="1"/>
  <c r="L3" i="15"/>
  <c r="J3" i="15" s="1"/>
  <c r="T3" i="15" s="1"/>
  <c r="L39" i="15"/>
  <c r="J39" i="15" s="1"/>
  <c r="T39" i="15" s="1"/>
  <c r="L28" i="15"/>
  <c r="J28" i="15" s="1"/>
  <c r="T28" i="15" s="1"/>
  <c r="L31" i="15"/>
  <c r="J31" i="15" s="1"/>
  <c r="T31" i="15" s="1"/>
  <c r="L16" i="15"/>
  <c r="J16" i="15" s="1"/>
  <c r="T16" i="15" s="1"/>
  <c r="L38" i="15"/>
  <c r="J38" i="15" s="1"/>
  <c r="T38" i="15" s="1"/>
  <c r="L15" i="15"/>
  <c r="J15" i="15" s="1"/>
  <c r="T15" i="15" s="1"/>
</calcChain>
</file>

<file path=xl/comments1.xml><?xml version="1.0" encoding="utf-8"?>
<comments xmlns="http://schemas.openxmlformats.org/spreadsheetml/2006/main">
  <authors>
    <author/>
  </authors>
  <commentList>
    <comment ref="E68" authorId="0">
      <text>
        <r>
          <rPr>
            <b/>
            <sz val="9"/>
            <color indexed="8"/>
            <rFont val="Tahoma"/>
            <family val="2"/>
            <charset val="1"/>
          </rPr>
          <t xml:space="preserve">cpommier:
</t>
        </r>
        <r>
          <rPr>
            <sz val="9"/>
            <color indexed="8"/>
            <rFont val="Tahoma"/>
            <family val="2"/>
            <charset val="1"/>
          </rPr>
          <t>Mandatory column which could be empty.</t>
        </r>
      </text>
    </comment>
  </commentList>
</comments>
</file>

<file path=xl/comments2.xml><?xml version="1.0" encoding="utf-8"?>
<comments xmlns="http://schemas.openxmlformats.org/spreadsheetml/2006/main">
  <authors>
    <author>Tyfanie Bourlet</author>
  </authors>
  <commentList>
    <comment ref="B1" authorId="0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Mettre les coordonnées GPS http://www.lexilogos.com/calcul_distances.htm)</t>
        </r>
      </text>
    </comment>
    <comment ref="C1" authorId="0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Mettre les coordonnées GPS http://www.lexilogos.com/calcul_distances.htm)</t>
        </r>
      </text>
    </comment>
  </commentList>
</comments>
</file>

<file path=xl/comments3.xml><?xml version="1.0" encoding="utf-8"?>
<comments xmlns="http://schemas.openxmlformats.org/spreadsheetml/2006/main">
  <authors>
    <author/>
  </authors>
  <commentList>
    <comment ref="A1" authorId="0">
      <text>
        <r>
          <rPr>
            <b/>
            <sz val="9"/>
            <color indexed="8"/>
            <rFont val="Tahoma"/>
            <family val="2"/>
            <charset val="1"/>
          </rPr>
          <t xml:space="preserve">cpommier:
</t>
        </r>
        <r>
          <rPr>
            <sz val="9"/>
            <color indexed="8"/>
            <rFont val="Tahoma"/>
            <family val="2"/>
            <charset val="1"/>
          </rPr>
          <t>Adonis : modalité</t>
        </r>
      </text>
    </comment>
  </commentList>
</comments>
</file>

<file path=xl/comments4.xml><?xml version="1.0" encoding="utf-8"?>
<comments xmlns="http://schemas.openxmlformats.org/spreadsheetml/2006/main">
  <authors>
    <author>Tyfanie Bourlet</author>
    <author/>
  </authors>
  <commentList>
    <comment ref="A1" authorId="0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Mettre les LotNames (RAPSO003,,,,)</t>
        </r>
      </text>
    </comment>
    <comment ref="E1" authorId="1">
      <text>
        <r>
          <rPr>
            <b/>
            <sz val="9"/>
            <color indexed="8"/>
            <rFont val="Tahoma"/>
            <family val="2"/>
            <charset val="1"/>
          </rPr>
          <t xml:space="preserve">cpommier:
</t>
        </r>
        <r>
          <rPr>
            <sz val="9"/>
            <color indexed="8"/>
            <rFont val="Tahoma"/>
            <family val="2"/>
            <charset val="1"/>
          </rPr>
          <t>Mandatory column which could be empty.</t>
        </r>
      </text>
    </comment>
  </commentList>
</comments>
</file>

<file path=xl/comments5.xml><?xml version="1.0" encoding="utf-8"?>
<comments xmlns="http://schemas.openxmlformats.org/spreadsheetml/2006/main">
  <authors>
    <author>Tyfanie Bourlet</author>
  </authors>
  <commentList>
    <comment ref="A1" authorId="0">
      <text>
        <r>
          <rPr>
            <b/>
            <sz val="9"/>
            <color indexed="81"/>
            <rFont val="Tahoma"/>
            <family val="2"/>
          </rPr>
          <t>Tyfanie Bourlet:</t>
        </r>
        <r>
          <rPr>
            <sz val="9"/>
            <color indexed="81"/>
            <rFont val="Tahoma"/>
            <family val="2"/>
          </rPr>
          <t xml:space="preserve">
Insérer les fichiers comme : 
ITK, INN, Dispositif expérimental, Météo, Tensiométrie</t>
        </r>
      </text>
    </comment>
  </commentList>
</comments>
</file>

<file path=xl/sharedStrings.xml><?xml version="1.0" encoding="utf-8"?>
<sst xmlns="http://schemas.openxmlformats.org/spreadsheetml/2006/main" count="16804" uniqueCount="8049">
  <si>
    <t>GnpISVersionNumber</t>
  </si>
  <si>
    <t>14_1</t>
  </si>
  <si>
    <t>StaticDataExtraction</t>
  </si>
  <si>
    <t>SubmissionType</t>
  </si>
  <si>
    <t>Ephesis</t>
  </si>
  <si>
    <t>This worksheet is used for submit phenotyping data.</t>
  </si>
  <si>
    <t>SUBMIT NOTE</t>
  </si>
  <si>
    <r>
      <t>RED</t>
    </r>
    <r>
      <rPr>
        <sz val="10"/>
        <rFont val="Arial"/>
        <family val="2"/>
        <charset val="1"/>
      </rPr>
      <t xml:space="preserve"> names indicate </t>
    </r>
    <r>
      <rPr>
        <b/>
        <sz val="10"/>
        <rFont val="Arial"/>
        <family val="2"/>
        <charset val="1"/>
      </rPr>
      <t>fields / sheets required</t>
    </r>
    <r>
      <rPr>
        <sz val="10"/>
        <rFont val="Arial"/>
        <family val="2"/>
        <charset val="1"/>
      </rPr>
      <t xml:space="preserve"> for submission, must not be empty.</t>
    </r>
  </si>
  <si>
    <r>
      <t>BLACK</t>
    </r>
    <r>
      <rPr>
        <sz val="10"/>
        <rFont val="Arial"/>
        <family val="2"/>
        <charset val="1"/>
      </rPr>
      <t xml:space="preserve"> names indicate </t>
    </r>
    <r>
      <rPr>
        <b/>
        <sz val="10"/>
        <rFont val="Arial"/>
        <family val="2"/>
        <charset val="1"/>
      </rPr>
      <t>fields / sheets that are optional</t>
    </r>
    <r>
      <rPr>
        <sz val="10"/>
        <rFont val="Arial"/>
        <family val="2"/>
        <charset val="1"/>
      </rPr>
      <t xml:space="preserve"> for submission, may be empty.</t>
    </r>
  </si>
  <si>
    <r>
      <t>BLUE</t>
    </r>
    <r>
      <rPr>
        <sz val="10"/>
        <color indexed="40"/>
        <rFont val="Arial"/>
        <family val="2"/>
        <charset val="1"/>
      </rPr>
      <t xml:space="preserve"> </t>
    </r>
    <r>
      <rPr>
        <sz val="10"/>
        <rFont val="Arial"/>
        <family val="2"/>
        <charset val="1"/>
      </rPr>
      <t>names indicate</t>
    </r>
    <r>
      <rPr>
        <b/>
        <sz val="10"/>
        <rFont val="Arial"/>
        <family val="2"/>
        <charset val="1"/>
      </rPr>
      <t xml:space="preserve"> specific fields / sheets </t>
    </r>
    <r>
      <rPr>
        <sz val="10"/>
        <rFont val="Arial"/>
        <family val="2"/>
        <charset val="1"/>
      </rPr>
      <t>for submission. Column can be empty but must not be deleted.</t>
    </r>
  </si>
  <si>
    <t>DOCUMENTATION</t>
  </si>
  <si>
    <t>TRIAL</t>
  </si>
  <si>
    <t>General information on the trial</t>
  </si>
  <si>
    <t>TrialName</t>
  </si>
  <si>
    <t>TrialCode</t>
  </si>
  <si>
    <t>DateBegin</t>
  </si>
  <si>
    <t>DateEnd</t>
  </si>
  <si>
    <t>TrialGoal</t>
  </si>
  <si>
    <t>TrialComments</t>
  </si>
  <si>
    <t>PhenotypingCampain</t>
  </si>
  <si>
    <t>PMID</t>
  </si>
  <si>
    <t>X</t>
  </si>
  <si>
    <t>Y</t>
  </si>
  <si>
    <t>PreviousCrop</t>
  </si>
  <si>
    <t>TrialDesign</t>
  </si>
  <si>
    <t>TrialHistory</t>
  </si>
  <si>
    <t>ProjectAcronym</t>
  </si>
  <si>
    <t>TrialSet</t>
  </si>
  <si>
    <t>TrialSetType</t>
  </si>
  <si>
    <t>Description</t>
  </si>
  <si>
    <t>Free naming of the trial/assay</t>
  </si>
  <si>
    <t>Trial identification. Used for data integrity and update so must be unique</t>
  </si>
  <si>
    <t>Beginning date of this trial</t>
  </si>
  <si>
    <t>End date of this trial</t>
  </si>
  <si>
    <t>The main objectives of this experimentation</t>
  </si>
  <si>
    <t>Comments on this trial</t>
  </si>
  <si>
    <t>Name/Tag of a group of observations within the Trial. For instance all 2012 observations for a multiannual perenial plant trial.</t>
  </si>
  <si>
    <t>Comma separated list of publication's PMID.</t>
  </si>
  <si>
    <r>
      <t xml:space="preserve">Description of the </t>
    </r>
    <r>
      <rPr>
        <b/>
        <sz val="10"/>
        <rFont val="Arial"/>
        <family val="2"/>
        <charset val="1"/>
      </rPr>
      <t>X</t>
    </r>
    <r>
      <rPr>
        <sz val="10"/>
        <rFont val="Arial"/>
        <family val="2"/>
        <charset val="1"/>
      </rPr>
      <t xml:space="preserve"> of the</t>
    </r>
    <r>
      <rPr>
        <b/>
        <sz val="10"/>
        <rFont val="Arial"/>
        <family val="2"/>
        <charset val="1"/>
      </rPr>
      <t xml:space="preserve"> Data sheet</t>
    </r>
  </si>
  <si>
    <r>
      <t>Description of the</t>
    </r>
    <r>
      <rPr>
        <b/>
        <sz val="10"/>
        <rFont val="Arial"/>
        <family val="2"/>
        <charset val="1"/>
      </rPr>
      <t xml:space="preserve"> Y</t>
    </r>
    <r>
      <rPr>
        <sz val="10"/>
        <rFont val="Arial"/>
        <family val="2"/>
        <charset val="1"/>
      </rPr>
      <t xml:space="preserve"> of the </t>
    </r>
    <r>
      <rPr>
        <b/>
        <sz val="10"/>
        <rFont val="Arial"/>
        <family val="2"/>
        <charset val="1"/>
      </rPr>
      <t>Data sheet</t>
    </r>
  </si>
  <si>
    <t>Crop installed on this site before this trial</t>
  </si>
  <si>
    <t>Design of the trial</t>
  </si>
  <si>
    <t>Identification of previous contacts and/or owners</t>
  </si>
  <si>
    <t>Acronym of the project in which the experiment was made</t>
  </si>
  <si>
    <t>Name of the trial group</t>
  </si>
  <si>
    <t>Type of the trial group</t>
  </si>
  <si>
    <t>Example</t>
  </si>
  <si>
    <t>mon test</t>
  </si>
  <si>
    <t>MON_TEST</t>
  </si>
  <si>
    <t>22/03/2013</t>
  </si>
  <si>
    <t>2014</t>
  </si>
  <si>
    <t>Diversity analysis</t>
  </si>
  <si>
    <t>Essai test</t>
  </si>
  <si>
    <t>15608279,2052071</t>
  </si>
  <si>
    <t>row</t>
  </si>
  <si>
    <t>column</t>
  </si>
  <si>
    <t>Come from BORDEAUX (Louvet)</t>
  </si>
  <si>
    <t>myGroup</t>
  </si>
  <si>
    <t>Replication</t>
  </si>
  <si>
    <t>Data type</t>
  </si>
  <si>
    <t>String</t>
  </si>
  <si>
    <t>Date: dd/mm/yyyy
Date: mm/yyyy
Date: yyyy</t>
  </si>
  <si>
    <t>Number</t>
  </si>
  <si>
    <t>SITE</t>
  </si>
  <si>
    <t>General information on the experimental site</t>
  </si>
  <si>
    <t>SiteName</t>
  </si>
  <si>
    <t>Latitude</t>
  </si>
  <si>
    <t>Longitude</t>
  </si>
  <si>
    <t>Elevation</t>
  </si>
  <si>
    <t>Exposure</t>
  </si>
  <si>
    <t>Slope</t>
  </si>
  <si>
    <t>CityOrRegionOrCountry</t>
  </si>
  <si>
    <t>SiteStatus</t>
  </si>
  <si>
    <t>Landowner</t>
  </si>
  <si>
    <t>Comment</t>
  </si>
  <si>
    <t>MeteoStationCode</t>
  </si>
  <si>
    <t>MeteoStationNetwork</t>
  </si>
  <si>
    <t>Name of the experimental site (Plateform name, Field identification, etc…)</t>
  </si>
  <si>
    <t>Latitude of the experimental site (GPS).
Use decimal version of the coordinate (cf. http://www.lexilogos.com/calcul_distances.htm)</t>
  </si>
  <si>
    <t>Longitude of the experimental site (GPS).
Use decimal version of the coordinate (cf. http://www.lexilogos.com/calcul_distances.htm)</t>
  </si>
  <si>
    <t>Altitude of the experimental site</t>
  </si>
  <si>
    <t>Principal exposure of the experimental site</t>
  </si>
  <si>
    <t>Principal type of the slope of the experimental site</t>
  </si>
  <si>
    <t>Nearest city, region or country from the experimental site</t>
  </si>
  <si>
    <t>Property status of the experimental site</t>
  </si>
  <si>
    <t>Landowner of the experimental site</t>
  </si>
  <si>
    <t>Comment about the experimental site</t>
  </si>
  <si>
    <t>Code of the meteo station</t>
  </si>
  <si>
    <t>Name of the meteo station network</t>
  </si>
  <si>
    <t>Examples</t>
  </si>
  <si>
    <t>Bordeaux</t>
  </si>
  <si>
    <t>FRA</t>
  </si>
  <si>
    <t>S</t>
  </si>
  <si>
    <t>Forêt domaniale</t>
  </si>
  <si>
    <t>P (= Private property)
I (= INRA)
S (= Under a specific regime)</t>
  </si>
  <si>
    <t>CONTACT</t>
  </si>
  <si>
    <t>List of persons involved in this trial (scientific, submiter, landowner…)</t>
  </si>
  <si>
    <t>Type</t>
  </si>
  <si>
    <t>LastName</t>
  </si>
  <si>
    <t>FirstName</t>
  </si>
  <si>
    <t>Phone</t>
  </si>
  <si>
    <t>Fax</t>
  </si>
  <si>
    <t>Email</t>
  </si>
  <si>
    <t>Institution</t>
  </si>
  <si>
    <t>Laboratory</t>
  </si>
  <si>
    <t>Type of the contact.</t>
  </si>
  <si>
    <t>Contact name, in upper case.</t>
  </si>
  <si>
    <t>Contact first name, first letter in upper case.</t>
  </si>
  <si>
    <t>Following international phone number convention.</t>
  </si>
  <si>
    <t>Following international fax number convention</t>
  </si>
  <si>
    <t>Electronic mail.</t>
  </si>
  <si>
    <t>Institution name.</t>
  </si>
  <si>
    <t>Laboratory name.</t>
  </si>
  <si>
    <t>Submiter</t>
  </si>
  <si>
    <t>DUPOND</t>
  </si>
  <si>
    <t>Jacques</t>
  </si>
  <si>
    <t>+33 (0) 1 30 83 38 99</t>
  </si>
  <si>
    <t>+33 (0) 1 30 83 38 90</t>
  </si>
  <si>
    <t>jacques.dupond@email.com</t>
  </si>
  <si>
    <t>INRA</t>
  </si>
  <si>
    <t>URGI</t>
  </si>
  <si>
    <t>Phone number</t>
  </si>
  <si>
    <t>Fax number</t>
  </si>
  <si>
    <t>VARIABLE</t>
  </si>
  <si>
    <t>List of variables observed in this trial. Idealy they are part of a well identified ontology.</t>
  </si>
  <si>
    <t>Each variable is reused as a column in the Data sheet.</t>
  </si>
  <si>
    <t>OntologyName</t>
  </si>
  <si>
    <t>VariableCode</t>
  </si>
  <si>
    <t>VariableName</t>
  </si>
  <si>
    <t>MeasurmentUnit</t>
  </si>
  <si>
    <t>MeasurmentProtocol</t>
  </si>
  <si>
    <t>ParentVariable</t>
  </si>
  <si>
    <t>Full name of the ontology holding this variable</t>
  </si>
  <si>
    <r>
      <t>Identification of the variable. Unique within the ontology declared in O</t>
    </r>
    <r>
      <rPr>
        <b/>
        <sz val="10"/>
        <rFont val="Arial"/>
        <family val="2"/>
        <charset val="1"/>
      </rPr>
      <t>ntologyName</t>
    </r>
    <r>
      <rPr>
        <sz val="10"/>
        <rFont val="Arial"/>
        <family val="2"/>
        <charset val="1"/>
      </rPr>
      <t xml:space="preserve">. This code is used as header in the </t>
    </r>
    <r>
      <rPr>
        <b/>
        <sz val="10"/>
        <rFont val="Arial"/>
        <family val="2"/>
        <charset val="1"/>
      </rPr>
      <t>Data sheet</t>
    </r>
  </si>
  <si>
    <t>Name of the variable</t>
  </si>
  <si>
    <t>Full description of the variable</t>
  </si>
  <si>
    <t>Unit of the mesured variable</t>
  </si>
  <si>
    <t>Reference measurment protocol of the variable</t>
  </si>
  <si>
    <r>
      <t>VariableCode</t>
    </r>
    <r>
      <rPr>
        <sz val="10"/>
        <rFont val="Arial"/>
        <family val="2"/>
        <charset val="1"/>
      </rPr>
      <t xml:space="preserve"> of this variable's parent</t>
    </r>
  </si>
  <si>
    <t>Comments on the variable</t>
  </si>
  <si>
    <t>trait ontology</t>
  </si>
  <si>
    <t>haut</t>
  </si>
  <si>
    <t>hauteur</t>
  </si>
  <si>
    <t>cm</t>
  </si>
  <si>
    <t>PLANT MATERIAL</t>
  </si>
  <si>
    <t>List of genotypes. Should be preexisting in GnpIS. If not sure contact us.</t>
  </si>
  <si>
    <t>TaxonScientificName</t>
  </si>
  <si>
    <t>AccessionNumber</t>
  </si>
  <si>
    <t>AccessionName</t>
  </si>
  <si>
    <t>HoldingInstitution</t>
  </si>
  <si>
    <t>LotName</t>
  </si>
  <si>
    <t>Scientific name of the taxon</t>
  </si>
  <si>
    <t>Unique identification of the accession/genotype</t>
  </si>
  <si>
    <t>Full name of the accession</t>
  </si>
  <si>
    <t>Institution holding this accession</t>
  </si>
  <si>
    <r>
      <t xml:space="preserve">Identification of the physical plant(s) used in the trial : seeds, tree, ….
Used in the first column of the </t>
    </r>
    <r>
      <rPr>
        <b/>
        <sz val="10"/>
        <rFont val="Arial"/>
        <family val="2"/>
        <charset val="1"/>
      </rPr>
      <t>Data sheet</t>
    </r>
  </si>
  <si>
    <t>Triticum aestivum</t>
  </si>
  <si>
    <t>274Col49</t>
  </si>
  <si>
    <t>chargeur</t>
  </si>
  <si>
    <t>ch</t>
  </si>
  <si>
    <t>TREATMENT</t>
  </si>
  <si>
    <t>List of factor and modalities used in this trial. Treatments are  combination of modalities.</t>
  </si>
  <si>
    <t>Each factor is reused as a column in the Data sheet. The modalities of each factor are the authorised value for this factor/column.</t>
  </si>
  <si>
    <t>Factor</t>
  </si>
  <si>
    <t>ModeCode</t>
  </si>
  <si>
    <t>ModeName</t>
  </si>
  <si>
    <t>ModeDescription</t>
  </si>
  <si>
    <r>
      <t xml:space="preserve">Name of the factor.
This name is used as header in the </t>
    </r>
    <r>
      <rPr>
        <b/>
        <sz val="10"/>
        <rFont val="Arial"/>
        <family val="2"/>
        <charset val="1"/>
      </rPr>
      <t>Data sheet</t>
    </r>
  </si>
  <si>
    <r>
      <t xml:space="preserve">Unique identifier of the modality.
This code is used as value in the </t>
    </r>
    <r>
      <rPr>
        <b/>
        <sz val="10"/>
        <rFont val="Arial"/>
        <family val="2"/>
        <charset val="1"/>
      </rPr>
      <t>Data sheet</t>
    </r>
    <r>
      <rPr>
        <sz val="10"/>
        <rFont val="Arial"/>
        <family val="2"/>
        <charset val="1"/>
      </rPr>
      <t xml:space="preserve"> </t>
    </r>
    <r>
      <rPr>
        <b/>
        <sz val="10"/>
        <rFont val="Arial"/>
        <family val="2"/>
        <charset val="1"/>
      </rPr>
      <t>factor</t>
    </r>
    <r>
      <rPr>
        <sz val="10"/>
        <rFont val="Arial"/>
        <family val="2"/>
        <charset val="1"/>
      </rPr>
      <t>'s column</t>
    </r>
  </si>
  <si>
    <t>Full name of the modality</t>
  </si>
  <si>
    <t>Full description of the modality, possibly with a short description of its caracteristics like phenologic stade for a given treatment</t>
  </si>
  <si>
    <t>engrais</t>
  </si>
  <si>
    <t>N0</t>
  </si>
  <si>
    <t>azote 0</t>
  </si>
  <si>
    <t>ajout de 0 kilog/hectar de produitA a x concentration tous les mois.</t>
  </si>
  <si>
    <t>LEVEL</t>
  </si>
  <si>
    <t xml:space="preserve">Structure of the trial, for instance bloc &gt; plot &gt; plant. Can be empty if you want to store only genotype x factor data and no plot data. </t>
  </si>
  <si>
    <t>Each level is reused as a column in the Data sheet.</t>
  </si>
  <si>
    <t>Code</t>
  </si>
  <si>
    <t>Name</t>
  </si>
  <si>
    <t>ParentLevel</t>
  </si>
  <si>
    <r>
      <t xml:space="preserve">Unique identification of the level (plot, bloc, plant, …) within the trial.
This code is used as header in the </t>
    </r>
    <r>
      <rPr>
        <b/>
        <sz val="10"/>
        <rFont val="Arial"/>
        <family val="2"/>
        <charset val="1"/>
      </rPr>
      <t>Data sheet</t>
    </r>
  </si>
  <si>
    <t>Full name of the level</t>
  </si>
  <si>
    <t>Description of the level</t>
  </si>
  <si>
    <r>
      <t>Code</t>
    </r>
    <r>
      <rPr>
        <sz val="10"/>
        <rFont val="Arial"/>
        <family val="2"/>
        <charset val="1"/>
      </rPr>
      <t xml:space="preserve"> of this level parents. If you have X levels, this column must be filled for X-1 levels</t>
    </r>
  </si>
  <si>
    <t>Rep</t>
  </si>
  <si>
    <t>Repetition</t>
  </si>
  <si>
    <t>Bloc</t>
  </si>
  <si>
    <t>DATA</t>
  </si>
  <si>
    <t>Data matrix: hold any type of observation (phenotype, env, etc…)</t>
  </si>
  <si>
    <t>&lt;factors&gt;</t>
  </si>
  <si>
    <t>&lt;levels&gt;</t>
  </si>
  <si>
    <t>X(m)</t>
  </si>
  <si>
    <t>Y(m)</t>
  </si>
  <si>
    <t>&lt;variables&gt;_value</t>
  </si>
  <si>
    <t>&lt;variables&gt;_date</t>
  </si>
  <si>
    <r>
      <t xml:space="preserve">Identification of the genotype of the observed object.
Must be found in the </t>
    </r>
    <r>
      <rPr>
        <b/>
        <sz val="10"/>
        <rFont val="Arial"/>
        <family val="2"/>
        <charset val="1"/>
      </rPr>
      <t>VarietalList sheet</t>
    </r>
  </si>
  <si>
    <r>
      <t>headers: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factors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Treatments sheet</t>
    </r>
  </si>
  <si>
    <r>
      <t>headers: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levels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StudySubjectLevels sheet</t>
    </r>
  </si>
  <si>
    <t>X position of the observed object</t>
  </si>
  <si>
    <t>Y position of the observed object</t>
  </si>
  <si>
    <t>X position of the observed object in meters</t>
  </si>
  <si>
    <t>Y position of the observed object in meters</t>
  </si>
  <si>
    <r>
      <t>headers: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variables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Variables sheet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</si>
  <si>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all </t>
    </r>
    <r>
      <rPr>
        <b/>
        <sz val="10"/>
        <rFont val="Arial"/>
        <family val="2"/>
        <charset val="1"/>
      </rPr>
      <t>mode_code</t>
    </r>
    <r>
      <rPr>
        <sz val="10"/>
        <rFont val="Arial"/>
        <family val="2"/>
        <charset val="1"/>
      </rPr>
      <t xml:space="preserve"> declared in the </t>
    </r>
    <r>
      <rPr>
        <b/>
        <sz val="10"/>
        <rFont val="Arial"/>
        <family val="2"/>
        <charset val="1"/>
      </rPr>
      <t>Treatment sheet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</si>
  <si>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levels identifiers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</si>
  <si>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value of the variable for the observed object</t>
    </r>
  </si>
  <si>
    <r>
      <t>values</t>
    </r>
    <r>
      <rPr>
        <i/>
        <sz val="10"/>
        <rFont val="Arial"/>
        <family val="2"/>
        <charset val="1"/>
      </rPr>
      <t>:</t>
    </r>
    <r>
      <rPr>
        <sz val="10"/>
        <rFont val="Arial"/>
        <family val="2"/>
        <charset val="1"/>
      </rPr>
      <t xml:space="preserve"> observation date of the variable</t>
    </r>
  </si>
  <si>
    <r>
      <t>header</t>
    </r>
    <r>
      <rPr>
        <sz val="10"/>
        <rFont val="Arial"/>
        <family val="2"/>
        <charset val="1"/>
      </rPr>
      <t xml:space="preserve">: engrais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N0</t>
    </r>
  </si>
  <si>
    <r>
      <t>header</t>
    </r>
    <r>
      <rPr>
        <sz val="10"/>
        <rFont val="Arial"/>
        <family val="2"/>
        <charset val="1"/>
      </rPr>
      <t xml:space="preserve">: bloc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bloc1</t>
    </r>
  </si>
  <si>
    <r>
      <t>header</t>
    </r>
    <r>
      <rPr>
        <sz val="10"/>
        <rFont val="Arial"/>
        <family val="2"/>
        <charset val="1"/>
      </rPr>
      <t xml:space="preserve">: haut_value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15</t>
    </r>
  </si>
  <si>
    <r>
      <t>header</t>
    </r>
    <r>
      <rPr>
        <sz val="10"/>
        <rFont val="Arial"/>
        <family val="2"/>
        <charset val="1"/>
      </rPr>
      <t xml:space="preserve">: haut_date
</t>
    </r>
    <r>
      <rPr>
        <i/>
        <sz val="10"/>
        <rFont val="Arial"/>
        <family val="2"/>
        <charset val="1"/>
      </rPr>
      <t>value:</t>
    </r>
    <r>
      <rPr>
        <sz val="10"/>
        <rFont val="Arial"/>
        <family val="2"/>
        <charset val="1"/>
      </rPr>
      <t xml:space="preserve"> </t>
    </r>
  </si>
  <si>
    <t>String or Number</t>
  </si>
  <si>
    <t>Date</t>
  </si>
  <si>
    <t>FILES</t>
  </si>
  <si>
    <t>FileName</t>
  </si>
  <si>
    <t>Link</t>
  </si>
  <si>
    <t>FileType</t>
  </si>
  <si>
    <t>FileSize</t>
  </si>
  <si>
    <t>CreationDate</t>
  </si>
  <si>
    <t>Name of the file</t>
  </si>
  <si>
    <t>URL where the file can be found (file repository)</t>
  </si>
  <si>
    <t>File type</t>
  </si>
  <si>
    <t>File size</t>
  </si>
  <si>
    <t>Creation date of the file</t>
  </si>
  <si>
    <t>Description of the file</t>
  </si>
  <si>
    <t>MeteoWholeTrial.txt
ITK.xls
Plan.xls</t>
  </si>
  <si>
    <t>http://urgi.versailles.inra.fr/Species/Wheat/Sequence-Repository</t>
  </si>
  <si>
    <t>xls</t>
  </si>
  <si>
    <t>xls
csv
txt</t>
  </si>
  <si>
    <t>Date: dd/mm/yyyy</t>
  </si>
  <si>
    <t>FOREST COMPLEMENTARY INFO</t>
  </si>
  <si>
    <r>
      <t xml:space="preserve">Additional fields. </t>
    </r>
    <r>
      <rPr>
        <b/>
        <sz val="10"/>
        <color indexed="10"/>
        <rFont val="Arial"/>
        <family val="2"/>
        <charset val="1"/>
      </rPr>
      <t>Mandatory</t>
    </r>
    <r>
      <rPr>
        <b/>
        <sz val="10"/>
        <rFont val="Arial"/>
        <family val="2"/>
        <charset val="1"/>
      </rPr>
      <t xml:space="preserve"> tab for forest submissions.</t>
    </r>
  </si>
  <si>
    <t>TrialType</t>
  </si>
  <si>
    <t>TrialStatus</t>
  </si>
  <si>
    <t>DataFormat</t>
  </si>
  <si>
    <t>Type of this trial</t>
  </si>
  <si>
    <t>State and monitoring level of this trial</t>
  </si>
  <si>
    <t>Which format is used to store the data ?</t>
  </si>
  <si>
    <t>Digital</t>
  </si>
  <si>
    <t>1 (= provenances comparison)
2 (= maternal descendants comparison)
3 (= two-parents descendants comparison)
4 (= species comparison)
5 (=clones seeds orchard)
6 (=clonal comparison)
7 (= clonal park)
8 (= juveniles comparison)
9 (= other)</t>
  </si>
  <si>
    <t>A (= abandoned/ruined)
1 (= weakly active)
2 (= moderately active)
3 (= active)
4 (= very active)
9 (= unknown)</t>
  </si>
  <si>
    <t>Paper
Scan
Digital
Unknown</t>
  </si>
  <si>
    <t>Rapsodyn</t>
  </si>
  <si>
    <t>INRA Brassica Experimental Ontology</t>
  </si>
  <si>
    <t>m2</t>
  </si>
  <si>
    <t>kg</t>
  </si>
  <si>
    <t>%</t>
  </si>
  <si>
    <t>SY</t>
  </si>
  <si>
    <t>TSW</t>
  </si>
  <si>
    <t>g</t>
  </si>
  <si>
    <t>SN</t>
  </si>
  <si>
    <t>O</t>
  </si>
  <si>
    <t>PrY</t>
  </si>
  <si>
    <t>OY</t>
  </si>
  <si>
    <t>Brassica napus L.</t>
  </si>
  <si>
    <t>Azote</t>
  </si>
  <si>
    <t>N1</t>
  </si>
  <si>
    <t>azote limitant</t>
  </si>
  <si>
    <t>N2</t>
  </si>
  <si>
    <t>azote optimal</t>
  </si>
  <si>
    <t>bloc</t>
  </si>
  <si>
    <t>plot</t>
  </si>
  <si>
    <t>parcelle</t>
  </si>
  <si>
    <t>Parcelle</t>
  </si>
  <si>
    <t>SY_value</t>
  </si>
  <si>
    <t>TSW_value</t>
  </si>
  <si>
    <t>TSW_date</t>
  </si>
  <si>
    <t>SN_value</t>
  </si>
  <si>
    <t>SN_date</t>
  </si>
  <si>
    <t>O_value</t>
  </si>
  <si>
    <t>O_date</t>
  </si>
  <si>
    <t>PrY_value</t>
  </si>
  <si>
    <t>PrY_date</t>
  </si>
  <si>
    <t>OY_value</t>
  </si>
  <si>
    <t>OY_date</t>
  </si>
  <si>
    <t>InstitutionName</t>
  </si>
  <si>
    <t>Acareosperma Gagnep.</t>
  </si>
  <si>
    <t>A &amp; I University</t>
  </si>
  <si>
    <t>Conservatoire Botanique National Méditerranéen de Porquerolles</t>
  </si>
  <si>
    <t>AF 1999 018</t>
  </si>
  <si>
    <t>Arvalis-Chalons</t>
  </si>
  <si>
    <t>Acareosperma spireanum Gagnep.</t>
  </si>
  <si>
    <t>Abed Plant Breeding Station</t>
  </si>
  <si>
    <t>Gautier Semences</t>
  </si>
  <si>
    <t>AF 1999 046</t>
  </si>
  <si>
    <t>Arvalis-Greoux</t>
  </si>
  <si>
    <t>Acyrthosiphon magnoliae</t>
  </si>
  <si>
    <t>Abteilung Biochemie</t>
  </si>
  <si>
    <t>Institut Jean-Pierre Bourgin</t>
  </si>
  <si>
    <t>AF 1999 064</t>
  </si>
  <si>
    <t>Bergheim</t>
  </si>
  <si>
    <t>Acyrthosiphon pisum</t>
  </si>
  <si>
    <t>Abteilung Traub</t>
  </si>
  <si>
    <t>Pépinière du Mas d'Auge</t>
  </si>
  <si>
    <t>AF 2001 001</t>
  </si>
  <si>
    <t>BGAMDV</t>
  </si>
  <si>
    <t>Aegilops</t>
  </si>
  <si>
    <t>ADIS DNA core facility at MPIZ</t>
  </si>
  <si>
    <t>Pépinières Rey</t>
  </si>
  <si>
    <t>AF 2001 009</t>
  </si>
  <si>
    <t>Aegilops aucheri Boiss.</t>
  </si>
  <si>
    <t>ADT</t>
  </si>
  <si>
    <t>UE Ressources Génétiques végétales en Conditions Océaniques, INRA-Rennes, Site de Ploudaniel</t>
  </si>
  <si>
    <t>AF 2001 019-031</t>
  </si>
  <si>
    <t>Clermont-Ferrand</t>
  </si>
  <si>
    <t>Aegilops bicornis</t>
  </si>
  <si>
    <t>Agricultural and Agri-Food Canada</t>
  </si>
  <si>
    <t>UMR Amélioration Génétique et Adaptation des Plantes, INRA-Montpellier</t>
  </si>
  <si>
    <t>AF 2001 024</t>
  </si>
  <si>
    <t>Colmar</t>
  </si>
  <si>
    <t>Aegilops bicornis (Forsk.) Jaub. &amp; Spach.</t>
  </si>
  <si>
    <t>Agricultural and Technological Research Centre</t>
  </si>
  <si>
    <t>UMR Développement et Amélioration des Plantes, INRA-Montpellier</t>
  </si>
  <si>
    <t>AF 2001 030</t>
  </si>
  <si>
    <t>Dijon</t>
  </si>
  <si>
    <t>Aegilops comosa</t>
  </si>
  <si>
    <t>Agricultural Biotechnology R&amp;D,  Life Technologies,  Inc.</t>
  </si>
  <si>
    <t>UMR Écophysiologie et Génomique Fonctionnelle de la Vigne, INRA-Bordeaux</t>
  </si>
  <si>
    <t>AF 2001 032</t>
  </si>
  <si>
    <t>Estrees-Mons</t>
  </si>
  <si>
    <t>Aegilops comosa Sibth. &amp; Sm.</t>
  </si>
  <si>
    <t>Agricultural Experiment Station University of the District of Columbia</t>
  </si>
  <si>
    <t>UMR Génétique, Diversité et Ecophysiologie des Céréales, INRA-Clermont</t>
  </si>
  <si>
    <t>AF 2001 047</t>
  </si>
  <si>
    <t>Estrées-Mons</t>
  </si>
  <si>
    <t>Aegilops crassa Boiss.</t>
  </si>
  <si>
    <t>Agricultural Genomics</t>
  </si>
  <si>
    <t>UMR Génétique et Écophysiologie des Légumineuses à Graines, INRA-Dijon</t>
  </si>
  <si>
    <t>AF 2001 051</t>
  </si>
  <si>
    <t>Fertreve - Foret de Vincence</t>
  </si>
  <si>
    <t>Aegilops crassa Boiss. subsp. vavilovi Zhuk.</t>
  </si>
  <si>
    <t>Agricultural Institute Krizevci</t>
  </si>
  <si>
    <t>UMR Institut de Génétique, Environnement et Protection des Plantes, INRA-Rennes, Site de Ploudaniel</t>
  </si>
  <si>
    <t>AF 2001 073</t>
  </si>
  <si>
    <t>FLORIMOND DESPREZ</t>
  </si>
  <si>
    <t>Aegilops crassa var. palaestina</t>
  </si>
  <si>
    <t>Agricultural Institute Osijek</t>
  </si>
  <si>
    <t>UMR Santé de la Vigne et Qualité du Vin, INRA-Colmar</t>
  </si>
  <si>
    <t>Ag_EST</t>
  </si>
  <si>
    <t>IPGPAS</t>
  </si>
  <si>
    <t>Aegilops crassa var. vavilovi</t>
  </si>
  <si>
    <t>Agricultural Research &amp; Advisory Station, Dept. of Agriculture</t>
  </si>
  <si>
    <t>Unité Expérimentale du Domaine de Vassal, INRA-Montpellier</t>
  </si>
  <si>
    <t>AIP_P00272</t>
  </si>
  <si>
    <t>Le Moulon</t>
  </si>
  <si>
    <t>Aegilops cylindrica Host</t>
  </si>
  <si>
    <t>Agricultural Research Centre - Mtwapa</t>
  </si>
  <si>
    <t>Unité Expérimentale Vigne et Vin, INRA-Montreuil Bellay</t>
  </si>
  <si>
    <t>ANR-06- GPLA-016</t>
  </si>
  <si>
    <t>LLC</t>
  </si>
  <si>
    <t>Aegilops juvenalis (Thell.) Eig</t>
  </si>
  <si>
    <t>Agricultural Research Institute for East Brazil</t>
  </si>
  <si>
    <t>UR AgroSystèmes TROpicaux, INRA Antilles-Guyane</t>
  </si>
  <si>
    <t>Ap_EST_Riken</t>
  </si>
  <si>
    <t>Lusignan</t>
  </si>
  <si>
    <t>Aegilops longissima</t>
  </si>
  <si>
    <t>Agricultural Research Institute Hungarian Academy of Sciences</t>
  </si>
  <si>
    <t>UR Espèces Fruitières, INRA-Bordeaux</t>
  </si>
  <si>
    <t>AS-2005</t>
  </si>
  <si>
    <t>Maule</t>
  </si>
  <si>
    <t>Aegilops longissima Schweinf. &amp; Muschli in Muschli</t>
  </si>
  <si>
    <t>Agricultural Research Institute Kromeriz, Co. Ltd.</t>
  </si>
  <si>
    <t>UR Génétique et Amélioration des Fruits et Légumes, INRA-Avignon</t>
  </si>
  <si>
    <t>ATH_AfNO1999032</t>
  </si>
  <si>
    <t>MOMONT</t>
  </si>
  <si>
    <t>Aegilops lorentii</t>
  </si>
  <si>
    <t>Agricultural Research Institute of Taihu Prefecture</t>
  </si>
  <si>
    <t>UR Génétique et Écophysiologie de la Qualité des Agrumes, INRA-Corse</t>
  </si>
  <si>
    <t>ATH_RI_NASC</t>
  </si>
  <si>
    <t>Orgeval</t>
  </si>
  <si>
    <t>Aegilops mutica Boiss.</t>
  </si>
  <si>
    <t>Agricultural Research Institute, Uyole</t>
  </si>
  <si>
    <t>URP Prairies et Plantes Fourragères, INRA-Lusignan</t>
  </si>
  <si>
    <t>AtPhy</t>
  </si>
  <si>
    <t>Reclainville</t>
  </si>
  <si>
    <t>Aegilops ovata L.</t>
  </si>
  <si>
    <t>Agricultural Research Organization Volcani Centre</t>
  </si>
  <si>
    <t>BcLTF1</t>
  </si>
  <si>
    <t>Rennes</t>
  </si>
  <si>
    <t>Aegilops ovata var. anatolica Eig</t>
  </si>
  <si>
    <t>Agricultural Research Station - Ghana</t>
  </si>
  <si>
    <t>BCVEL1</t>
  </si>
  <si>
    <t>Saint-Laurent - Foret domaniale de Vierzon</t>
  </si>
  <si>
    <t>Aegilops peregrina</t>
  </si>
  <si>
    <t>Agricultural Research Station - Greece</t>
  </si>
  <si>
    <t>BcYOH1</t>
  </si>
  <si>
    <t>Saint-Symphorien - Foret domaniale de la Petite Charnie</t>
  </si>
  <si>
    <t>Aegilops recta</t>
  </si>
  <si>
    <t>Agricultural Research Station Lovrin-Timis</t>
  </si>
  <si>
    <t>BerrySize</t>
  </si>
  <si>
    <t>Aegilops searsii Feldman &amp; Kislev</t>
  </si>
  <si>
    <t>Agriculture &amp; Animal Production State Research Farm</t>
  </si>
  <si>
    <t>BGI_EST_OS</t>
  </si>
  <si>
    <t>Aegilops sharonensis</t>
  </si>
  <si>
    <t>Agri-obtentions Clermont-Ferrand</t>
  </si>
  <si>
    <t>BIEP</t>
  </si>
  <si>
    <t>Aegilops speltoides</t>
  </si>
  <si>
    <t>Agri-Obtentions, Guyancourt</t>
  </si>
  <si>
    <t>BotPathoINRA</t>
  </si>
  <si>
    <t>Aegilops squarrosa auct., p. p., non. L.</t>
  </si>
  <si>
    <t>Agripro Seeds Inc.</t>
  </si>
  <si>
    <t>Botrytis_on_Sunflower_2008</t>
  </si>
  <si>
    <t>Aegilops squarrosa L.</t>
  </si>
  <si>
    <t>Agrogene</t>
  </si>
  <si>
    <t>B1</t>
  </si>
  <si>
    <t>Aegilops subulata Pomel</t>
  </si>
  <si>
    <t>Agrolit S.A.</t>
  </si>
  <si>
    <t>Cabomba_EST</t>
  </si>
  <si>
    <t>Aegilops tauschii</t>
  </si>
  <si>
    <t>Agronomy</t>
  </si>
  <si>
    <t>CANDIDATE_GENES_BIOGECO</t>
  </si>
  <si>
    <t>Aegilops tauschii subsp. tauschii x Triticum turgidum subsp.</t>
  </si>
  <si>
    <t>A.H. Whitmore Foundation Farm</t>
  </si>
  <si>
    <t>Chlorose</t>
  </si>
  <si>
    <t>Aegilops triuncialis L.</t>
  </si>
  <si>
    <t>Alata Horticultural Research Institute</t>
  </si>
  <si>
    <t>CI1999 076</t>
  </si>
  <si>
    <t>Aegilops turcomanica</t>
  </si>
  <si>
    <t>Alibert</t>
  </si>
  <si>
    <t>CI1999 088</t>
  </si>
  <si>
    <t>Aegilops variabilis Eig</t>
  </si>
  <si>
    <t>All-Union Institute for Vegetable Breeding and Seed Production</t>
  </si>
  <si>
    <t>CI2000 005</t>
  </si>
  <si>
    <t>Aegilops vavilovi</t>
  </si>
  <si>
    <t>Alternate Crops and  Systems Laboratory</t>
  </si>
  <si>
    <t>CI2001 002</t>
  </si>
  <si>
    <t>Aegilops ventricosa Tausch</t>
  </si>
  <si>
    <t>Amélioration des plantes et biotechnologies végétales</t>
  </si>
  <si>
    <t>CM2006-var4</t>
  </si>
  <si>
    <t>Allium cepa L.</t>
  </si>
  <si>
    <t>Amélioration des Semences Légumières</t>
  </si>
  <si>
    <t>CNVmaize</t>
  </si>
  <si>
    <t>Allium cepa L. groupe aggregatum</t>
  </si>
  <si>
    <t>Amelioration et Sante des Plantes</t>
  </si>
  <si>
    <t>CP1</t>
  </si>
  <si>
    <t>Allium L.</t>
  </si>
  <si>
    <t>AMIS/BIOTROP</t>
  </si>
  <si>
    <t>CP1P1</t>
  </si>
  <si>
    <t>Allium sativum L.</t>
  </si>
  <si>
    <t>André Pichot</t>
  </si>
  <si>
    <t>CP1p2</t>
  </si>
  <si>
    <t>Allium sativum longicuspis</t>
  </si>
  <si>
    <t>Applied Biotechnology Center,  CIMMYT</t>
  </si>
  <si>
    <t>CP1p3</t>
  </si>
  <si>
    <t>Allium sativum sativum</t>
  </si>
  <si>
    <t>ARC Interfruitec - Nietvoorbij, Stellenbosch - South Africa</t>
  </si>
  <si>
    <t>CP1p4</t>
  </si>
  <si>
    <t>Ampelopsis aconitifolia Bunge</t>
  </si>
  <si>
    <t>ARCHIVE</t>
  </si>
  <si>
    <t>CP1p5</t>
  </si>
  <si>
    <t>Ampelopsis aegirophylla Planch.</t>
  </si>
  <si>
    <t>Arizona Genomics Institute</t>
  </si>
  <si>
    <t>CP1p7</t>
  </si>
  <si>
    <t>Ampelopsis bipinnata Michx.</t>
  </si>
  <si>
    <t>Arkansas Agricultural Experiment Station, University of Arkansas</t>
  </si>
  <si>
    <t>CP2p1</t>
  </si>
  <si>
    <t>Ampelopsis bodinieri (H.Lév. &amp; Vaniot) Rehder</t>
  </si>
  <si>
    <t>Armenian Institute of Agriculture Armanskaja SSR</t>
  </si>
  <si>
    <t>CP3</t>
  </si>
  <si>
    <t>Ampelopsis brevipedunculata (Maxim.) Trautv.</t>
  </si>
  <si>
    <t>Arvalis-Institut du végétal</t>
  </si>
  <si>
    <t>CP4</t>
  </si>
  <si>
    <t>Ampelopsis chaffanjonii (H.Lév.) Rehder</t>
  </si>
  <si>
    <t>ASGROW</t>
  </si>
  <si>
    <t>CP4P2</t>
  </si>
  <si>
    <t>Ampelopsis citrulloïdes Lebas</t>
  </si>
  <si>
    <t>Asociacion de Nuevos Alquimistas</t>
  </si>
  <si>
    <t>CSIRO</t>
  </si>
  <si>
    <t>Ampelopsis cordata Michx.</t>
  </si>
  <si>
    <t>Association Cap Vert</t>
  </si>
  <si>
    <t>CSIRO-INRA_1</t>
  </si>
  <si>
    <t>Ampelopsis delavayana Planch.</t>
  </si>
  <si>
    <t>Association des Créateurs de Variétés Fourragères</t>
  </si>
  <si>
    <t>C2008-14-RGA</t>
  </si>
  <si>
    <t>Ampelopsis heterophylla Blume</t>
  </si>
  <si>
    <t>Association française interprofessionnelle de l'olive</t>
  </si>
  <si>
    <t>DayLength</t>
  </si>
  <si>
    <t>Ampelopsis megalophylla Diels &amp; Gilg</t>
  </si>
  <si>
    <t>Association Fruits Oubliés</t>
  </si>
  <si>
    <t>DBESTARABI</t>
  </si>
  <si>
    <t>Ampelopsis Michx.</t>
  </si>
  <si>
    <t>Association Les Croqueurs de Pommes du territoire du Jarez</t>
  </si>
  <si>
    <t>DBESTMAIZE</t>
  </si>
  <si>
    <t>Ampelopsis orientalis Planch.</t>
  </si>
  <si>
    <t>Association Les Croqueurs de Pommes du territoire du Jarez, Domaine de la Cantonnière</t>
  </si>
  <si>
    <t>DBESTPEA</t>
  </si>
  <si>
    <t>Ampelopsis serjaniifolia Bunge</t>
  </si>
  <si>
    <t>Association Les Croqueurs de Pommes du territoire du Jarez, Verger de Pleyne</t>
  </si>
  <si>
    <t>DBESTPOPLAR</t>
  </si>
  <si>
    <t>Ampelopsis vitifolia Planch.</t>
  </si>
  <si>
    <t>Association Technique Viticole de Bourgogne</t>
  </si>
  <si>
    <t>DBESTRAPE</t>
  </si>
  <si>
    <t>Aphis fabae</t>
  </si>
  <si>
    <t>ATAV Hérault</t>
  </si>
  <si>
    <t>DBESTRICE</t>
  </si>
  <si>
    <t>Aphis gossypii</t>
  </si>
  <si>
    <t>ATAV Val de Loire</t>
  </si>
  <si>
    <t>DBESTSUNFLOWER</t>
  </si>
  <si>
    <t>Aphis nerii</t>
  </si>
  <si>
    <t>Australian Medicago Genetic Resource Center</t>
  </si>
  <si>
    <t>DBESTWHEAT</t>
  </si>
  <si>
    <t>Apium graveolens</t>
  </si>
  <si>
    <t>Australian Winter Cereals Collection Agricultural Research Centre</t>
  </si>
  <si>
    <t>DBESTZINNIA</t>
  </si>
  <si>
    <t>Arabidopsis Heynh.</t>
  </si>
  <si>
    <t>Aventis CropScience</t>
  </si>
  <si>
    <t>D_noxia_KU</t>
  </si>
  <si>
    <t>Arabidopsis thaliana</t>
  </si>
  <si>
    <t>Ballard's Nurseries</t>
  </si>
  <si>
    <t>EGRAM</t>
  </si>
  <si>
    <t>Asteraceae</t>
  </si>
  <si>
    <t>Banco de Germoplasm de Trigo, Centro Internacional de Mejoramiento de Maíz y Trigo</t>
  </si>
  <si>
    <t>eIF4E</t>
  </si>
  <si>
    <t>Atalantia ceylanica (Arn.) Oliv.</t>
  </si>
  <si>
    <t>Banco de Germoplasma de El Encín</t>
  </si>
  <si>
    <t>ERECTA</t>
  </si>
  <si>
    <t>Atalantia Corrêa</t>
  </si>
  <si>
    <t>Banglasdesh Agricultural Research Institute</t>
  </si>
  <si>
    <t>EXEGESE-BLE</t>
  </si>
  <si>
    <t>Aurantioideae</t>
  </si>
  <si>
    <t>Barajev Kazakhstan Sciences Research Institute</t>
  </si>
  <si>
    <t>Fleshless</t>
  </si>
  <si>
    <t>Avena sativa</t>
  </si>
  <si>
    <t>Barani Agricultural Research Institute</t>
  </si>
  <si>
    <t>GABI-PLANT</t>
  </si>
  <si>
    <t>Botryotinia fuckeliana</t>
  </si>
  <si>
    <t>Bavaria Saat Muenchen BGB GmbH</t>
  </si>
  <si>
    <t>GCP 2006-02</t>
  </si>
  <si>
    <t>Brachypodium distachyon</t>
  </si>
  <si>
    <t>BAYER CROP SCIENCE</t>
  </si>
  <si>
    <t>Genoble</t>
  </si>
  <si>
    <t>Brassica carinata A. Braun</t>
  </si>
  <si>
    <t>Bayer CropScience</t>
  </si>
  <si>
    <t>GEN107_PTGS</t>
  </si>
  <si>
    <t>Brassica juncea (L.) Czern.</t>
  </si>
  <si>
    <t>Bayerische Pflanzenzuchtgesellschaft eG &amp; Co. KG</t>
  </si>
  <si>
    <t>GnpSeq</t>
  </si>
  <si>
    <t>Brassica L.</t>
  </si>
  <si>
    <t>Beatson RA, Nelson - New Zealand</t>
  </si>
  <si>
    <t>GNP05013C</t>
  </si>
  <si>
    <t>Beijing Academy of Agriculture and Forestry Sciences</t>
  </si>
  <si>
    <t>GNP3-B4</t>
  </si>
  <si>
    <t>Brassica napus var. napobrassica (L.) Rchb</t>
  </si>
  <si>
    <t>Beijing Agricultural University - Departement of Agriculture</t>
  </si>
  <si>
    <t>GOP A1</t>
  </si>
  <si>
    <t>Brassica napus var. napus L.</t>
  </si>
  <si>
    <t>Bejo</t>
  </si>
  <si>
    <t>GOP PEA-A</t>
  </si>
  <si>
    <t>Brassica nigra (L.) W. D. J. Koch</t>
  </si>
  <si>
    <t>Belloy et Compagnie</t>
  </si>
  <si>
    <t>GOP PEA-B</t>
  </si>
  <si>
    <t>Brassica oleracea L.</t>
  </si>
  <si>
    <t>Benito Poggiali, Faenza - Italy</t>
  </si>
  <si>
    <t>GOP PEA-C</t>
  </si>
  <si>
    <t>Brassica oleracea var. acephala DC.</t>
  </si>
  <si>
    <t>Bergeron Gabrielle, St-Cyr-au-Mont-d'Or Lyon - France</t>
  </si>
  <si>
    <t>GOP PEA-G</t>
  </si>
  <si>
    <t>Brassica oleracea var. botrytis L.</t>
  </si>
  <si>
    <t>BGI</t>
  </si>
  <si>
    <t>GOP Q5</t>
  </si>
  <si>
    <t>Brassica oleracea var. capitata f. capitata</t>
  </si>
  <si>
    <t>Biochemistry</t>
  </si>
  <si>
    <t>GOP T6</t>
  </si>
  <si>
    <t>Brassica oleracea var. capitata f. pyramidalis</t>
  </si>
  <si>
    <t>Biochemistry,  Department of Natural Sciences</t>
  </si>
  <si>
    <t>GPiDB</t>
  </si>
  <si>
    <t>Brassica oleracea var. capitata f. rubra</t>
  </si>
  <si>
    <t>Biochemistry and  Biophysics,  Department of Chemistry, Lundberg Laboratory</t>
  </si>
  <si>
    <t>GPLA06027C</t>
  </si>
  <si>
    <t>Brassica oleracea var. capitata L.</t>
  </si>
  <si>
    <t>Biochemistry Department</t>
  </si>
  <si>
    <t>GrainGenes</t>
  </si>
  <si>
    <t>Brassica oleracea var. costata DC.</t>
  </si>
  <si>
    <t>Biochimie et Physiologie Moleculaire des plantes</t>
  </si>
  <si>
    <t>GRAPEGEN06</t>
  </si>
  <si>
    <t>Brassica oleracea var. gemmifera (DC.) Zenker</t>
  </si>
  <si>
    <t>BIOGECO</t>
  </si>
  <si>
    <t>GrapeReSeq</t>
  </si>
  <si>
    <t>Brassica oleracea var. gongylodes L.</t>
  </si>
  <si>
    <t>BIOGEMMA</t>
  </si>
  <si>
    <t>GRAPESEQ</t>
  </si>
  <si>
    <t>Brassica oleracea var. italica Plenck</t>
  </si>
  <si>
    <t>Biogemma</t>
  </si>
  <si>
    <t>GRMap</t>
  </si>
  <si>
    <t>Brassica oleracea var. medullosa Thell.</t>
  </si>
  <si>
    <t>BIOGEMMA Mondonville</t>
  </si>
  <si>
    <t>GTPases</t>
  </si>
  <si>
    <t>Brassica oleracea var. oleracea L.</t>
  </si>
  <si>
    <t>BIOGEMMA SAS</t>
  </si>
  <si>
    <t>HA_HG1_EST</t>
  </si>
  <si>
    <t>Brassica oleracea var. ramosa DC.</t>
  </si>
  <si>
    <t>BIOGER</t>
  </si>
  <si>
    <t>Hcyl</t>
  </si>
  <si>
    <t>Brassica oleracea var. sabauda L.</t>
  </si>
  <si>
    <t>BIOGER - Equipe Analyse Fonctionnelle du genome de Botrytis cinerea</t>
  </si>
  <si>
    <t>HG1</t>
  </si>
  <si>
    <t>Brassica rapa L.</t>
  </si>
  <si>
    <t>BioInformatics</t>
  </si>
  <si>
    <t>Brassica rapa subsp. chinensis (L.) Hanelt</t>
  </si>
  <si>
    <t>Bioinformatics</t>
  </si>
  <si>
    <t>INRA_AFGBC</t>
  </si>
  <si>
    <t>Brassica rapa subsp. dichotoma (Roxb.) Hanelt</t>
  </si>
  <si>
    <t>Bioinformatics Department</t>
  </si>
  <si>
    <t>INRA_BBSRC_NUEtraits</t>
  </si>
  <si>
    <t>Brassica rapa subsp. oleifera (DC.) Metzg</t>
  </si>
  <si>
    <t>Bioinformatics Team</t>
  </si>
  <si>
    <t>INRA_CIS</t>
  </si>
  <si>
    <t>Brassica rapa subsp. pekinensis (Lour.) Hanelt</t>
  </si>
  <si>
    <t>Biological Resources Division</t>
  </si>
  <si>
    <t>INRA_EVOL</t>
  </si>
  <si>
    <t>Brassica rapa subsp. rapa L.</t>
  </si>
  <si>
    <t>Biological Sciences</t>
  </si>
  <si>
    <t>INRA_mapping</t>
  </si>
  <si>
    <t>Brassica rapa subsp. ruvo L. H. Bailey</t>
  </si>
  <si>
    <t>Biologie Cellulaire</t>
  </si>
  <si>
    <t>INRA_nitrate</t>
  </si>
  <si>
    <t>Brassica rapa subsp. trilocularis (Roxb.) Hanelt</t>
  </si>
  <si>
    <t>Biologie cellulaire</t>
  </si>
  <si>
    <t>INRA_PEA_GAP</t>
  </si>
  <si>
    <t>Bromus secalinus</t>
  </si>
  <si>
    <t>Biologie Vegetale</t>
  </si>
  <si>
    <t>INRA_POPYOMICS1</t>
  </si>
  <si>
    <t>Cabomba aquatica</t>
  </si>
  <si>
    <t>Biology</t>
  </si>
  <si>
    <t>INRA_split</t>
  </si>
  <si>
    <t>Canis lupus familiaris</t>
  </si>
  <si>
    <t>Biology Department and  Biotechnology Institute</t>
  </si>
  <si>
    <t>INRA_URLEG_IPK</t>
  </si>
  <si>
    <t>Capsicum annuum L.</t>
  </si>
  <si>
    <t>Biometrics and  Bioinformatics Unit</t>
  </si>
  <si>
    <t>INRA_Wheat_Breeding_Network</t>
  </si>
  <si>
    <t>Capsicum baccatum L.</t>
  </si>
  <si>
    <t>BioPia</t>
  </si>
  <si>
    <t>INRA_Zm</t>
  </si>
  <si>
    <t>Capsicum cardenasii L.</t>
  </si>
  <si>
    <t>Bioplante</t>
  </si>
  <si>
    <t>INRA01</t>
  </si>
  <si>
    <t>Capsicum chacoense Heiser &amp; Sm.</t>
  </si>
  <si>
    <t>Biotech Research Center</t>
  </si>
  <si>
    <t>INRA02</t>
  </si>
  <si>
    <t>Capsicum chinense</t>
  </si>
  <si>
    <t>Biotechnology</t>
  </si>
  <si>
    <t>INRA03</t>
  </si>
  <si>
    <t>Capsicum eximium Jacq.</t>
  </si>
  <si>
    <t>Biotechnology Division</t>
  </si>
  <si>
    <t>INRA04</t>
  </si>
  <si>
    <t>Capsicum frutescens Hunziker</t>
  </si>
  <si>
    <t>Biotechnology Institute</t>
  </si>
  <si>
    <t>INRA05</t>
  </si>
  <si>
    <t>Capsicum galapagoense L.</t>
  </si>
  <si>
    <t>Biotechnology Section,  Agricultural Experiment Station</t>
  </si>
  <si>
    <t>INRA06</t>
  </si>
  <si>
    <t>Capsicum L.</t>
  </si>
  <si>
    <t>Biotechnology Team</t>
  </si>
  <si>
    <t>INRA07</t>
  </si>
  <si>
    <t>Capsicum microcarpum</t>
  </si>
  <si>
    <t>Biotrop</t>
  </si>
  <si>
    <t>IN_SILICO_INFINIUM_OAK</t>
  </si>
  <si>
    <t>Capsicum praetermissum Cav.</t>
  </si>
  <si>
    <t>BiO3P</t>
  </si>
  <si>
    <t>Interop</t>
  </si>
  <si>
    <t>Capsicum pubescens</t>
  </si>
  <si>
    <t>Blanc Marie Thérèse et Jean-Claude Beaumont, Monteux - France</t>
  </si>
  <si>
    <t>IN_VITRO_INFINIUM_OAK</t>
  </si>
  <si>
    <t>Carica papaya</t>
  </si>
  <si>
    <t>BLONDEAU (ETS A)</t>
  </si>
  <si>
    <t>IN_VITRO_PETRAEA_SNP</t>
  </si>
  <si>
    <t>Castanea crenata</t>
  </si>
  <si>
    <t>BMAS</t>
  </si>
  <si>
    <t>ITEC</t>
  </si>
  <si>
    <t>Castanea crenata x dentata</t>
  </si>
  <si>
    <t>Bois Marie France, St Gilles - France</t>
  </si>
  <si>
    <t>IWGSC Wheat Survey</t>
  </si>
  <si>
    <t>Castanea crenata x henryi</t>
  </si>
  <si>
    <t>Bolivian Institute for Agricultural Technology - Chinoli Experiment Station</t>
  </si>
  <si>
    <t>Map4</t>
  </si>
  <si>
    <t>Castanea crenata x mollissima</t>
  </si>
  <si>
    <t>Bonté H. et Cie, S.A.</t>
  </si>
  <si>
    <t>Melon-GAFL</t>
  </si>
  <si>
    <t>Castanea crenata x pumila</t>
  </si>
  <si>
    <t>Boreal Plant Breeding Ltd</t>
  </si>
  <si>
    <t>Muscares</t>
  </si>
  <si>
    <t>Castanea crenata x sativa</t>
  </si>
  <si>
    <t>Boret-Godineau (bought by Vilmorin)</t>
  </si>
  <si>
    <t>NO 2001 027</t>
  </si>
  <si>
    <t>Castanea crenata x seguinii</t>
  </si>
  <si>
    <t>Botany</t>
  </si>
  <si>
    <t>NoBi2001029</t>
  </si>
  <si>
    <t>Castanea dentata</t>
  </si>
  <si>
    <t>Botany and  Plant Genetics</t>
  </si>
  <si>
    <t>NovelTree</t>
  </si>
  <si>
    <t>Castanea dentata pumila</t>
  </si>
  <si>
    <t>Boulet Luc-Pierre,  Meynes - France</t>
  </si>
  <si>
    <t>NSF</t>
  </si>
  <si>
    <t>Castanea dentata seguinii</t>
  </si>
  <si>
    <t>Boyce Thompson Institute for Plant Research</t>
  </si>
  <si>
    <t>NSF DBI Grant</t>
  </si>
  <si>
    <t>Castanea dentata x henryi</t>
  </si>
  <si>
    <t>Bretagne Plants</t>
  </si>
  <si>
    <t>Okayama University Project</t>
  </si>
  <si>
    <t>Castanea dentata x mollissima</t>
  </si>
  <si>
    <t>Bretagne Plants &amp; Syndicat des Producteur de Plants de Pontivy</t>
  </si>
  <si>
    <t>OsChip</t>
  </si>
  <si>
    <t>Castanea dentata x sativa</t>
  </si>
  <si>
    <t>Bundesversuchswirtschaft Wieselburg</t>
  </si>
  <si>
    <t>OSCRGF</t>
  </si>
  <si>
    <t>Castanea henryi</t>
  </si>
  <si>
    <t>Bureau National Interprofessionnel du Cognac</t>
  </si>
  <si>
    <t>OSCRR1</t>
  </si>
  <si>
    <t>Castanea henryi  x seguinii</t>
  </si>
  <si>
    <t>Buryat Republican State Agricultural Experiment Station</t>
  </si>
  <si>
    <t>OSEST</t>
  </si>
  <si>
    <t>Castanea henryi x mollissima</t>
  </si>
  <si>
    <t>Bvumbwe Agricultural Research Station</t>
  </si>
  <si>
    <t>OsIRD</t>
  </si>
  <si>
    <t>Castanea henryi x pumila</t>
  </si>
  <si>
    <t>Cabel Hall Citrus Ltd.</t>
  </si>
  <si>
    <t>OsMU1</t>
  </si>
  <si>
    <t>Castanea henryi x sativa</t>
  </si>
  <si>
    <t>CACBA Avenue Gaston Phoebus</t>
  </si>
  <si>
    <t>Pea Consensus</t>
  </si>
  <si>
    <t>Castanea mollissima</t>
  </si>
  <si>
    <t>Cadoux (F)</t>
  </si>
  <si>
    <t>Pea_Aphid_EST</t>
  </si>
  <si>
    <t>Castanea mollissima x pumila</t>
  </si>
  <si>
    <t>CAES Genome Facility</t>
  </si>
  <si>
    <t>PeaPql</t>
  </si>
  <si>
    <t>Castanea mollissima x sativa</t>
  </si>
  <si>
    <t>CAILLARD</t>
  </si>
  <si>
    <t>Phyto_EST_INRA</t>
  </si>
  <si>
    <t>Castanea mollissima x seguinii</t>
  </si>
  <si>
    <t>Caillard</t>
  </si>
  <si>
    <t>PlantaComp</t>
  </si>
  <si>
    <t>Castanea P. Mill.</t>
  </si>
  <si>
    <t>California Agricultural Experiment Station, University of California</t>
  </si>
  <si>
    <t>PN40024</t>
  </si>
  <si>
    <t>Castanea pumila</t>
  </si>
  <si>
    <t>California Citrus Exp. Sta.</t>
  </si>
  <si>
    <t>PoplarMap</t>
  </si>
  <si>
    <t>Castanea pumila x sativa</t>
  </si>
  <si>
    <t>California nursery</t>
  </si>
  <si>
    <t>POPSEC</t>
  </si>
  <si>
    <t>Castanea pumila x seguinii</t>
  </si>
  <si>
    <t>California State University</t>
  </si>
  <si>
    <t>private_mRNA</t>
  </si>
  <si>
    <t>Castanea sativa</t>
  </si>
  <si>
    <t>CAMBIER FRERES</t>
  </si>
  <si>
    <t>private_mRNA_WH</t>
  </si>
  <si>
    <t>Castanea sativa x seguinii</t>
  </si>
  <si>
    <t>Cambridge Science Park</t>
  </si>
  <si>
    <t>private_mRNA_ZE</t>
  </si>
  <si>
    <t>Castanea seguinii</t>
  </si>
  <si>
    <t>Canadian Clonal Genebank, Greenhouse and Processing Crops Research Centre, Agriculture and Agri-Food Canada</t>
  </si>
  <si>
    <t>priv_ATH_mRNA</t>
  </si>
  <si>
    <t>Cissus aralioides Planch.</t>
  </si>
  <si>
    <t>Canterbury Agriculture and Science Centre - DSIR - Crop Research Division</t>
  </si>
  <si>
    <t>Priv01</t>
  </si>
  <si>
    <t>Cissus cactiformis Gilg</t>
  </si>
  <si>
    <t>Caussade Semences</t>
  </si>
  <si>
    <t>pub_ATH_mRNA</t>
  </si>
  <si>
    <t>Cissus L.</t>
  </si>
  <si>
    <t>Caussade semences</t>
  </si>
  <si>
    <t>Pub_Frag_EST</t>
  </si>
  <si>
    <t>Cissus quadrangularis L.</t>
  </si>
  <si>
    <t>C.C. Benoist</t>
  </si>
  <si>
    <t>Pub_Frag_mRNA</t>
  </si>
  <si>
    <t>Cissus rotundifolia Blume</t>
  </si>
  <si>
    <t>Cebeco Hande lsraad (Commercial Section)</t>
  </si>
  <si>
    <t>Pub_Hargo_EST</t>
  </si>
  <si>
    <t>Cissus sicyoides L.</t>
  </si>
  <si>
    <t>Cebeco Seed Innovations Ltd</t>
  </si>
  <si>
    <t>Pub_Hpara_EST</t>
  </si>
  <si>
    <t>(Citrange x Citrus paradisi Macf.)</t>
  </si>
  <si>
    <t>CeBiTec</t>
  </si>
  <si>
    <t>Public</t>
  </si>
  <si>
    <t>(Citrange x (Citrus reticulata var. austera ? x Fortunella sp))</t>
  </si>
  <si>
    <t>CEFEL</t>
  </si>
  <si>
    <t>Public EST Hcy1</t>
  </si>
  <si>
    <t>(Citrange x Citrus sinensis (L.) Osb.)</t>
  </si>
  <si>
    <t>Celera AgGen</t>
  </si>
  <si>
    <t>Public mRNA Hcy</t>
  </si>
  <si>
    <t>(Citrange x Eremocitrus glauca (Lindl.) Swing.)</t>
  </si>
  <si>
    <t>Celera Aggen</t>
  </si>
  <si>
    <t>public_Est_Ap</t>
  </si>
  <si>
    <t>(Citrange x Fortunella sp.)</t>
  </si>
  <si>
    <t>Cell Biology</t>
  </si>
  <si>
    <t>public_Est_Vn</t>
  </si>
  <si>
    <t>(Citrange x Poncirus trifoliata (L.) Raf.)</t>
  </si>
  <si>
    <t>Cell Physiology</t>
  </si>
  <si>
    <t>public_mRNA</t>
  </si>
  <si>
    <t>Citreae</t>
  </si>
  <si>
    <t>Cell Technologies</t>
  </si>
  <si>
    <t>public_mRNA_Ap</t>
  </si>
  <si>
    <t>Citrinae</t>
  </si>
  <si>
    <t>Center for Biotechnology</t>
  </si>
  <si>
    <t>public_mRNA_BN</t>
  </si>
  <si>
    <t>Citropsis daweana Swingle &amp; M. Kellerm.</t>
  </si>
  <si>
    <t>Center For Genetic Resource Information</t>
  </si>
  <si>
    <t>public_mRNA_Bot</t>
  </si>
  <si>
    <t>Citropsis Swingle &amp; Kellerm.</t>
  </si>
  <si>
    <t>Center of Forest Research</t>
  </si>
  <si>
    <t>public_mRNA_OS</t>
  </si>
  <si>
    <t>Citrus alata Tan.</t>
  </si>
  <si>
    <t>Central Agricultural Research Institute</t>
  </si>
  <si>
    <t>public_mRNA_Vn</t>
  </si>
  <si>
    <t>Citrus amblycarpa (Hassk.) Ochse</t>
  </si>
  <si>
    <t>Central Res. Lab.,  Life Sci. Res. Cent.</t>
  </si>
  <si>
    <t>public_mRNA_WH</t>
  </si>
  <si>
    <t>Citrus ampullacea Hort. ex Tan.</t>
  </si>
  <si>
    <t>Centre de coopération Internationale en Recherche Agronomique pour le Développement</t>
  </si>
  <si>
    <t>public_mRNA_ZE</t>
  </si>
  <si>
    <t>Citrus anonyma Hort. ex Y. Tan.</t>
  </si>
  <si>
    <t>Centre de Genetique Moleculaire</t>
  </si>
  <si>
    <t>public_PS_mRNA</t>
  </si>
  <si>
    <t>Citrus asahikan Hort. ex Tan.</t>
  </si>
  <si>
    <t>Centre de Montpellier</t>
  </si>
  <si>
    <t>Public_Rose_EST</t>
  </si>
  <si>
    <t>Citrus assamensis Dutta &amp; Bhatt.</t>
  </si>
  <si>
    <t>centre de montpellier</t>
  </si>
  <si>
    <t>public_SB_mRNA</t>
  </si>
  <si>
    <t>Citrus aurantiaca Hort. ex Tan.</t>
  </si>
  <si>
    <t>Centre de Recherche Agronomique de l'Etat, Station d'Amelioration des Plantes</t>
  </si>
  <si>
    <t>pub_MT_EST</t>
  </si>
  <si>
    <t>Citrus aurantifolia (Christm.) Swing</t>
  </si>
  <si>
    <t>Centre de Recherches Agronomiques,  Departement deBiotechnologie</t>
  </si>
  <si>
    <t>pub_MT_mRNA</t>
  </si>
  <si>
    <t>(Citrus aurantifolia (Christm.) Swing. x Fortunella sp.)</t>
  </si>
  <si>
    <t>Centre de Recherches Agronomiques d'Alsace</t>
  </si>
  <si>
    <t>Pub_Rose_mRNA</t>
  </si>
  <si>
    <t>Citrus aurantium L.</t>
  </si>
  <si>
    <t>Centre de recherches sur les cultures abritées et industrielles</t>
  </si>
  <si>
    <t>pub_SB_EST</t>
  </si>
  <si>
    <t>(Citrus aurantium L. x Poncirus trifoliata (L.) Raf.)</t>
  </si>
  <si>
    <t>Centre d'Etudes Techniques Agricoles (CETA), Domaine de M. Genier</t>
  </si>
  <si>
    <t>pub_SUNF_mRNA</t>
  </si>
  <si>
    <t>Citrus aurata Risso</t>
  </si>
  <si>
    <t>Centre for Forest Biology and Department of Biology</t>
  </si>
  <si>
    <t>QTL_LR4_QLS</t>
  </si>
  <si>
    <t>Citrus aurea Hort. ex Tan.</t>
  </si>
  <si>
    <t>Centre for Genetic Resources, the Netherlands</t>
  </si>
  <si>
    <t>QualityLegSeed</t>
  </si>
  <si>
    <t>Citrus balincolong Tan.</t>
  </si>
  <si>
    <t>Centre for Plant Conservation Genetics</t>
  </si>
  <si>
    <t>Resequencing of  S15 mutant</t>
  </si>
  <si>
    <t>Citrus balotina Poit. &amp; Turpin</t>
  </si>
  <si>
    <t>Centre for Plant Conservation Genetics,  Southern CrossUniversity</t>
  </si>
  <si>
    <t>RIL2</t>
  </si>
  <si>
    <t>Citrus benikoji Hort. ex Tan.</t>
  </si>
  <si>
    <t>Centre for Plant Molecular Biology</t>
  </si>
  <si>
    <t>RIL345</t>
  </si>
  <si>
    <t>Citrus bergamia Risso &amp; Poit.</t>
  </si>
  <si>
    <t>Centre National de Contôle et de Certification des Semences et Plants</t>
  </si>
  <si>
    <t>RIL9</t>
  </si>
  <si>
    <t>Citrus boholensis Tan.</t>
  </si>
  <si>
    <t>Centre National de la Recherche Scientifique</t>
  </si>
  <si>
    <t>ROOTEST-SSR</t>
  </si>
  <si>
    <t>Citrus canaliculata Hort. ex Y. Tan</t>
  </si>
  <si>
    <t>Centre Régional de Ressources Génétiques du Nord-Pas-de-Calais</t>
  </si>
  <si>
    <t>Rosa_EST_INRA</t>
  </si>
  <si>
    <t>Citrus celebica Koord.</t>
  </si>
  <si>
    <t>Centre Technique de l'Olivier</t>
  </si>
  <si>
    <t>Rose_Flowering_Genes</t>
  </si>
  <si>
    <t>Citrus chuana Hort. ex Tseng</t>
  </si>
  <si>
    <t>Centro Agronomico Tropical de Investigación y Enseñanza</t>
  </si>
  <si>
    <t>Rp_EST</t>
  </si>
  <si>
    <t>Citrus clementina Hort. ex Tan.</t>
  </si>
  <si>
    <t>Centro de Edafologia y Biologia Aplicada del Segura</t>
  </si>
  <si>
    <t>Sclerotinia_on_Sunflower_2008</t>
  </si>
  <si>
    <t>(Citrus clementina Hort. ex Tan. x Poncirus trifoliata (L.) Raf.)</t>
  </si>
  <si>
    <t>Centro de Edafologia y Biologia Aplicada del Segura - Caballero Jose Egea</t>
  </si>
  <si>
    <t>SCU</t>
  </si>
  <si>
    <t>Citrus combara Raf.</t>
  </si>
  <si>
    <t>Centro de Edafologia y Biologia Aplicada del Segura - Martinez Gomez Pedro</t>
  </si>
  <si>
    <t>Seedlessness</t>
  </si>
  <si>
    <t>Citrus crenatifolia Lush.</t>
  </si>
  <si>
    <t>Centro de Investigacion Palmira Corp. Colombiana Invest. Agropec</t>
  </si>
  <si>
    <t>SNPGrapeMap</t>
  </si>
  <si>
    <t>Citrus daoxianensis S.W. He &amp; G.F. Liu</t>
  </si>
  <si>
    <t>Centro de Investigaciones Agricolas 'Alberto Boerger'</t>
  </si>
  <si>
    <t>SSRGrapeIntMap</t>
  </si>
  <si>
    <t>Citrus davaoensis Tan.</t>
  </si>
  <si>
    <t>Centro de Investigaciones Agrícolas del Pacifico-Norte, INIA</t>
  </si>
  <si>
    <t>TACP1P3</t>
  </si>
  <si>
    <t>Citrus deliciosa Ten.</t>
  </si>
  <si>
    <t>Centro di Studio per il Miglioramento Genetico degli Agrumi</t>
  </si>
  <si>
    <t>TG</t>
  </si>
  <si>
    <t>Citrus depressa Hay.</t>
  </si>
  <si>
    <t>Centro Internacional de Mejoram de Maiz y Trigo - Turkey</t>
  </si>
  <si>
    <t>TomatoDive</t>
  </si>
  <si>
    <t>Citrus duttae Tan.</t>
  </si>
  <si>
    <t>Centro Internacional de Mejoramiento de Maiz y Trigo</t>
  </si>
  <si>
    <t>TRILAT-027</t>
  </si>
  <si>
    <t>Citrus erythrosa Hort. ex Tan.</t>
  </si>
  <si>
    <t>Centro Nacional de Investigaciones Agropecuarias, FONAIAP</t>
  </si>
  <si>
    <t>Triticarte</t>
  </si>
  <si>
    <t>Citrus excelsa Wester</t>
  </si>
  <si>
    <t>Centro Nacional de Pesquisa de Mandioca e Fruticultura</t>
  </si>
  <si>
    <t>Tritipol</t>
  </si>
  <si>
    <t>Citrus flavicarpa Hort. ex Tan.</t>
  </si>
  <si>
    <t>Centro Nacional de Recursos Geneticos e Biotecnologia</t>
  </si>
  <si>
    <t>TRI017</t>
  </si>
  <si>
    <t>Citrus funadoko Hort. ex Y. Tan.</t>
  </si>
  <si>
    <t>Centro regional andino Mendoza Argentina (Centro Regional de Investigaciones Científicas y Tecnológicas)</t>
  </si>
  <si>
    <t>Udine_SSR</t>
  </si>
  <si>
    <t>Citrus genshokan Hort. ex Tan.</t>
  </si>
  <si>
    <t>Centro Regional de Investigacion INIA La Platina</t>
  </si>
  <si>
    <t>UMR5667-PREST03</t>
  </si>
  <si>
    <t>Citrus glaberrima Hort. ex Tan.</t>
  </si>
  <si>
    <t>Cereal Crops Unit</t>
  </si>
  <si>
    <t>unknown</t>
  </si>
  <si>
    <t>Citrus hainanensis Tan.</t>
  </si>
  <si>
    <t>Cereal Institute, National Agricultural Research Foundation</t>
  </si>
  <si>
    <t>USDA CSREES-NRI Grant</t>
  </si>
  <si>
    <t>Citrus halimii Stone</t>
  </si>
  <si>
    <t>Cereal Research Centre,  Agriculture &amp; Agri-Foods Canada</t>
  </si>
  <si>
    <t>VAST</t>
  </si>
  <si>
    <t>Citrus hanaju Siebold ex Shirai</t>
  </si>
  <si>
    <t>Cereal Research Centre,  Agriculture and  Agri-food Canada</t>
  </si>
  <si>
    <t>VITAROMA</t>
  </si>
  <si>
    <t>Citrus haniana Hort. ex Tseng</t>
  </si>
  <si>
    <t>Cereal Research Centre, Agriculture and Agri-Food Canada</t>
  </si>
  <si>
    <t>VMC</t>
  </si>
  <si>
    <t>Citrus hassaku Hort. ex Tan.</t>
  </si>
  <si>
    <t>Cereal Research Institute</t>
  </si>
  <si>
    <t>VO0271V</t>
  </si>
  <si>
    <t>Citrus himekitsu Hort. ex Y. Tan.</t>
  </si>
  <si>
    <t>Cereals Group,  John Innes Centre</t>
  </si>
  <si>
    <t>VTP</t>
  </si>
  <si>
    <t>Citrus hiroshimana Hort. ex Y. Tan.</t>
  </si>
  <si>
    <t>Chair of Genome Research</t>
  </si>
  <si>
    <t>VVBACLib</t>
  </si>
  <si>
    <t>Citrus honghoensis Y. M. Ye et al.</t>
  </si>
  <si>
    <t>Chambre d'Agriculture de Dordogne</t>
  </si>
  <si>
    <t>VVMD</t>
  </si>
  <si>
    <t>Citrus hyalopulpa Tan.</t>
  </si>
  <si>
    <t>Chambre d'Agriculture de la Drôme</t>
  </si>
  <si>
    <t>VVPM</t>
  </si>
  <si>
    <t>Citrus hystrix DC.</t>
  </si>
  <si>
    <t>Chambre d'Agriculture de la Gironde</t>
  </si>
  <si>
    <t>VVS</t>
  </si>
  <si>
    <t>Citrus ichangensis Swing.</t>
  </si>
  <si>
    <t>Chambre d'Agriculture de la Haute-Garonne</t>
  </si>
  <si>
    <t>Wheat_ISBP_Markers</t>
  </si>
  <si>
    <t>(Citrus ichangensis Swing. x Citrus unshiu (Mak.) Marc.)</t>
  </si>
  <si>
    <t>Chambre d'Agriculture de l'Ardèche</t>
  </si>
  <si>
    <t>Wheat_SSR_Markers</t>
  </si>
  <si>
    <t>Citrus indica Tan.</t>
  </si>
  <si>
    <t>Chambre d'Agriculture de l'Aude</t>
  </si>
  <si>
    <t>WH_EST_resist</t>
  </si>
  <si>
    <t>Citrus inflata Hort. ex Tan.</t>
  </si>
  <si>
    <t>Chambre d'Agriculture de l'Hérault</t>
  </si>
  <si>
    <t>WMC</t>
  </si>
  <si>
    <t>Citrus inflato-rugosa Hort. ex Tan.</t>
  </si>
  <si>
    <t>Chambre d'Agriculture de Loire-Atlantique</t>
  </si>
  <si>
    <t>ZM_cornsensus</t>
  </si>
  <si>
    <t>Citrus intermedia Hort. ex Tan.</t>
  </si>
  <si>
    <t>Chambre d'Agriculture de l'Yonne</t>
  </si>
  <si>
    <t>ZMS1P1_DGT</t>
  </si>
  <si>
    <t>Citrus iriomotensis Hort. ex Tan.</t>
  </si>
  <si>
    <t>Chambre d'Agriculture de Saône-et-Loire</t>
  </si>
  <si>
    <t>ZmS1P2</t>
  </si>
  <si>
    <t>Citrus iwaikan Hort. ex Y. Tan.</t>
  </si>
  <si>
    <t>Chambre d'Agriculture de Savoie</t>
  </si>
  <si>
    <t>ZMS1P8</t>
  </si>
  <si>
    <t>Citrus iyo Hort. ex Tan.</t>
  </si>
  <si>
    <t>Chambre d'Agriculture des Bouches-du-Rhône</t>
  </si>
  <si>
    <t>ZmS1P9</t>
  </si>
  <si>
    <t>Citrus jambhiri Lush.</t>
  </si>
  <si>
    <t>Chambre d'Agriculture des Landes</t>
  </si>
  <si>
    <t>ZmS2P1</t>
  </si>
  <si>
    <t>Citrus javanica Blume</t>
  </si>
  <si>
    <t>Chambre d'Agriculture des Pyrénées-Atlantiques</t>
  </si>
  <si>
    <t>ZmS2P2</t>
  </si>
  <si>
    <t>Citrus junos Siebold ex Tan.</t>
  </si>
  <si>
    <t>Chambre d'Agriculture des Pyrénées-Orientales</t>
  </si>
  <si>
    <t>ZmS2P3</t>
  </si>
  <si>
    <t>Citrus karna Raf.</t>
  </si>
  <si>
    <t>Chambre d'Agriculture d'Indre-et-Loire</t>
  </si>
  <si>
    <t>ZMS3P1</t>
  </si>
  <si>
    <t>Citrus keraji Hort. ex Tan.</t>
  </si>
  <si>
    <t>Chambre d'Agriculture du Gard</t>
  </si>
  <si>
    <t>ZMS3P2</t>
  </si>
  <si>
    <t>Citrus kerrii Tan.</t>
  </si>
  <si>
    <t>Chambre d'Agriculture du Gers</t>
  </si>
  <si>
    <t>ZMS3P2-ZmDIGEST</t>
  </si>
  <si>
    <t>Citrus kinokuni Hort. ex Tan.</t>
  </si>
  <si>
    <t>Chambre d'Agriculture du Jura</t>
  </si>
  <si>
    <t>Citrus kotokan Hayata</t>
  </si>
  <si>
    <t>Chambre d'Agriculture du Loir-et-Cher</t>
  </si>
  <si>
    <t>Citrus L.</t>
  </si>
  <si>
    <t>Chambre d'Agriculture du Lot</t>
  </si>
  <si>
    <t>Citrus latifolia Tan.</t>
  </si>
  <si>
    <t>Chambre d'Agriculture du Lot-et-Garonne</t>
  </si>
  <si>
    <t>Citrus latipes (Swing.) Tan.</t>
  </si>
  <si>
    <t>Chambre d'Agriculture du Maine-et-Loire</t>
  </si>
  <si>
    <t>Citrus leiocarpa Hort. ex Tan.</t>
  </si>
  <si>
    <t>Chambre d'Agriculture du Puy-de-Dôme</t>
  </si>
  <si>
    <t>Citrus limetta Risso</t>
  </si>
  <si>
    <t>Chambre d'Agriculture du Tarn</t>
  </si>
  <si>
    <t>Citrus limettioides Tan.</t>
  </si>
  <si>
    <t>Chambre d'Agriculture du Tarn-et-Garonne</t>
  </si>
  <si>
    <t>Citrus limon (L.) Burm.</t>
  </si>
  <si>
    <t>Chambre d'Agriculture du Var</t>
  </si>
  <si>
    <t>(Citrus limon (L.) Burm. x Citrus aurantifolia (Christm.) Swing.)</t>
  </si>
  <si>
    <t>Chambre d'Agriculture du Vaucluse</t>
  </si>
  <si>
    <t>(Citrus limon (L.) Burm. x Citrus reticulata Blanco)</t>
  </si>
  <si>
    <t>Chambre Régionale d'Agriculture d'Auvergne</t>
  </si>
  <si>
    <t>(Citrus limon (L.) Burm. x Citrus sinensis (L.) Osb.)</t>
  </si>
  <si>
    <t>Chaozhou Fruit Research Institute</t>
  </si>
  <si>
    <t>(Citrus limon (L.) Burm. x Fortunella sp.)</t>
  </si>
  <si>
    <t>Charlottetown Research Centre, Agriculture and Agri-Food Canada</t>
  </si>
  <si>
    <t>(Citrus limon (L.) Burm. x Poncirus trifoliata (L.) Raf.)</t>
  </si>
  <si>
    <t>Chiayi Agricultural Experiment Station</t>
  </si>
  <si>
    <t>Citrus limonia Osb.</t>
  </si>
  <si>
    <t>Chinese Academy of Agriculture Sciences</t>
  </si>
  <si>
    <t>Citrus limonimedica Lush.</t>
  </si>
  <si>
    <t>CIAT</t>
  </si>
  <si>
    <t>Citrus longilimon Tan.</t>
  </si>
  <si>
    <t>CIP</t>
  </si>
  <si>
    <t>Citrus longispina Wester</t>
  </si>
  <si>
    <t>CIRAD-FLHOR</t>
  </si>
  <si>
    <t>Citrus lumia Risso &amp; Poit.</t>
  </si>
  <si>
    <t>CIRAD-FLHOR - Guadeloupe</t>
  </si>
  <si>
    <t>Citrus luteo-turgida Hort. ex Tan.</t>
  </si>
  <si>
    <t>CIRAD-FLHOR - Réunion</t>
  </si>
  <si>
    <t>Citrus lycopersicaeformis (Lush.) Hort. ex Tan.</t>
  </si>
  <si>
    <t>CIRAD-FLHOR Martinique</t>
  </si>
  <si>
    <t>Citrus macrolimon Tan.</t>
  </si>
  <si>
    <t>Citrus &amp; Subtropical Fruit Research Institute</t>
  </si>
  <si>
    <t>Citrus macrophylla Wester</t>
  </si>
  <si>
    <t>Citrus &amp; Subtropical Hort. Research Station</t>
  </si>
  <si>
    <t>Citrus macroptera Montr.</t>
  </si>
  <si>
    <t>Citrus Budwood Registration Bureau</t>
  </si>
  <si>
    <t>Citrus maderaspatana Hort. ex Tan.</t>
  </si>
  <si>
    <t>Citrus Clonal Protection Program</t>
  </si>
  <si>
    <t>Citrus madurensis Lour.</t>
  </si>
  <si>
    <t>Citrus Experimental Station</t>
  </si>
  <si>
    <t>Citrus mangshanensis</t>
  </si>
  <si>
    <t>Citrus Research Center</t>
  </si>
  <si>
    <t>Citrus maxima (Burm.) Merr.</t>
  </si>
  <si>
    <t>Citrus Research Institute</t>
  </si>
  <si>
    <t>(Citrus maxima (Burm.) Merr. x Citrus ichangensis Swing.)</t>
  </si>
  <si>
    <t>Citrus Research Institute - Turquie</t>
  </si>
  <si>
    <t>Citrus medica L.</t>
  </si>
  <si>
    <t>CIVAM Région Corse</t>
  </si>
  <si>
    <t>Citrus medioglobosa Hort. ex Tan.</t>
  </si>
  <si>
    <t>Claeys-Luck</t>
  </si>
  <si>
    <t>Citrus megaloxycarpa Lush.</t>
  </si>
  <si>
    <t>Clause</t>
  </si>
  <si>
    <t>Citrus mellarosa Risso</t>
  </si>
  <si>
    <t>Clause semences</t>
  </si>
  <si>
    <t>Citrus meyeri Y. Tan.</t>
  </si>
  <si>
    <t>Clause Vegetable Seeds St Rémy</t>
  </si>
  <si>
    <t>Citrus miaray Wester</t>
  </si>
  <si>
    <t>Clause Vegetable Seeds Valence</t>
  </si>
  <si>
    <t>Citrus micrantha Wester</t>
  </si>
  <si>
    <t>Clemson University Genomics Institute</t>
  </si>
  <si>
    <t>Citrus mitsuharu Hort. ex Y. Tan.</t>
  </si>
  <si>
    <t>CNB</t>
  </si>
  <si>
    <t>Citrus montana Tan.</t>
  </si>
  <si>
    <t>CNB-CSIC</t>
  </si>
  <si>
    <t>Citrus myrtifolia Raf.</t>
  </si>
  <si>
    <t>CNRGV</t>
  </si>
  <si>
    <t>Citrus nana Tan.</t>
  </si>
  <si>
    <t>C.N.R.S.,  Institut des Sciences du Vegetal</t>
  </si>
  <si>
    <t>Citrus natsudaidai Hay.</t>
  </si>
  <si>
    <t>CNRS ALIMENTEC</t>
  </si>
  <si>
    <t>Citrus neo-aurantium Tan.</t>
  </si>
  <si>
    <t>CNRS ERS</t>
  </si>
  <si>
    <t>Citrus nippokoreana Tan.</t>
  </si>
  <si>
    <t>CNRS UMR 5096</t>
  </si>
  <si>
    <t>Citrus nobilis Lour.</t>
  </si>
  <si>
    <t>Coker's Pedigree Seed Co.</t>
  </si>
  <si>
    <t>Citrus oblonga Hort. ex Y. Tan.</t>
  </si>
  <si>
    <t>College of life science</t>
  </si>
  <si>
    <t>Citrus obovoidea Hort. ex Tak.</t>
  </si>
  <si>
    <t>Colorado Agricultural Experiment Station, Colorado State University</t>
  </si>
  <si>
    <t>Citrus obversa Hassk.</t>
  </si>
  <si>
    <t>Comité Interprofessionnel de Sélection de la Vigne de Savoie</t>
  </si>
  <si>
    <t>Citrus odorata Wester ex. Tan.</t>
  </si>
  <si>
    <t>Comité Interprofessionnel des Vins d'Alsace</t>
  </si>
  <si>
    <t>Citrus oleocarpa Hort. ex Tan.</t>
  </si>
  <si>
    <t>Comité Interprofessionnel des Vins de Champagne</t>
  </si>
  <si>
    <t>Citrus omikanto Hort. ex Y. Tan.</t>
  </si>
  <si>
    <t>Commonwealth Scientific and  Industrial Research OrganisationDivision of Plant Industry</t>
  </si>
  <si>
    <t>Citrus otachibana Hort. ex Y. Tan.</t>
  </si>
  <si>
    <t>Commonwealth Scientific and Industrial Research Organisation</t>
  </si>
  <si>
    <t>Citrus oto Hort. ex Y. Tan.</t>
  </si>
  <si>
    <t>Comparative Genetics Unit</t>
  </si>
  <si>
    <t>Citrus ovata Hassk.</t>
  </si>
  <si>
    <t>Complex Carbohydrate Research Center</t>
  </si>
  <si>
    <t>Citrus panuban (Wester) Tan.</t>
  </si>
  <si>
    <t>Consejo Superior de Investigaciones Científicas</t>
  </si>
  <si>
    <t>Citrus papaya Hassk.</t>
  </si>
  <si>
    <t>Conservatoire Botanique National de Bailleul</t>
  </si>
  <si>
    <t>Citrus papillaris Blanco</t>
  </si>
  <si>
    <t>Citrus paradisi Macf.</t>
  </si>
  <si>
    <t>Conservatoire Botanique National Méditerranéen de Porquerolles + INRA Montpellier</t>
  </si>
  <si>
    <t>(Citrus paradisi Macf. x Citrus sinensis (L.) Osb.)</t>
  </si>
  <si>
    <t>Conservatoire du Vignoble Charentais - IREO</t>
  </si>
  <si>
    <t>(Citrus paradisi Macf. x Poncirus trifoliata (L.) Raf.)</t>
  </si>
  <si>
    <t>Conservatoire Régional des Cépages de Midi-Pyrénées</t>
  </si>
  <si>
    <t>Citrus paratangerina Hort. ex Tan.</t>
  </si>
  <si>
    <t>Conservatoire Régional d'Espèces Fruitières Anciennes et de Vignes de Midi-Pyrénées</t>
  </si>
  <si>
    <t>Citrus pennivesiculata (Lush.) Tan.</t>
  </si>
  <si>
    <t>Conservatoire Végétal Régional d'Aquitaine</t>
  </si>
  <si>
    <t>Citrus peretta Risso</t>
  </si>
  <si>
    <t>Coopérative Agricole AGORA</t>
  </si>
  <si>
    <t>Citrus platymamma Hort. ex Tan.</t>
  </si>
  <si>
    <t>Coopérative Agricole Provence Languedoc</t>
  </si>
  <si>
    <t>Citrus ponki (Hayata) Hort. ex Tan.</t>
  </si>
  <si>
    <t>Coopérative de Lennon</t>
  </si>
  <si>
    <t>Citrus pseudo-aurantium Hort. ex Y. Tan.</t>
  </si>
  <si>
    <t>Coopérative Fleuron d'Anjou</t>
  </si>
  <si>
    <t>Citrus pseudograndis Hort. ex Shirai</t>
  </si>
  <si>
    <t>Cornell Agricultural Experiment Station, University of Cornell</t>
  </si>
  <si>
    <t>Citrus pseudogulgul Hort. ex Shirai</t>
  </si>
  <si>
    <t>Corporacion Colombiana de Investigacion Agropecuaria Tibaitata, CORPOICA</t>
  </si>
  <si>
    <t>Citrus pseudolimon Tan.</t>
  </si>
  <si>
    <t>Cowra Experiment Farm</t>
  </si>
  <si>
    <t>Citrus pseudolimonum Wester</t>
  </si>
  <si>
    <t>CRA-Unitá di Ricerca per la Maiscoltura</t>
  </si>
  <si>
    <t>Citrus pseudopapillaris Tan.</t>
  </si>
  <si>
    <t>CRA-Unitá di Ricerca per la Valorizzazione Qualitativa dei Cereali</t>
  </si>
  <si>
    <t>Citrus pseudoparadisi Hort. ex Y. Tan.</t>
  </si>
  <si>
    <t>Criadero Klein S.A.</t>
  </si>
  <si>
    <t>Citrus pseudosunki Hort. ex Tan.</t>
  </si>
  <si>
    <t>C.R.I.D.A.</t>
  </si>
  <si>
    <t>Citrus pyriformis Hassk.</t>
  </si>
  <si>
    <t>Crop &amp; Food Research</t>
  </si>
  <si>
    <t>Citrus reshni Hort. ex Tan.</t>
  </si>
  <si>
    <t>Crop Breeding Institute</t>
  </si>
  <si>
    <t>Citrus reticulata Blanco</t>
  </si>
  <si>
    <t>Crop Development Centre, University of Saskatchewan</t>
  </si>
  <si>
    <t>(Citrus reticulata Blanco x Citrus aurantium L.)</t>
  </si>
  <si>
    <t>Crop Experimental Station Rural Development Administration</t>
  </si>
  <si>
    <t>(Citrus reticulata Blanco x Citrus paradisi Macf.)</t>
  </si>
  <si>
    <t>Crop Genetics</t>
  </si>
  <si>
    <t>(Citrus reticulata Blanco x Citrus sinensis (L.) Osb.)</t>
  </si>
  <si>
    <t>Crop Performance and  Improvement Department</t>
  </si>
  <si>
    <t>(Citrus reticulata Blanco x Fortunella sp.)</t>
  </si>
  <si>
    <t>Crop Production &amp; Pest Control Research Unit</t>
  </si>
  <si>
    <t>(Citrus reticulata Blanco x Poncirus trifoliata (L.) Raf.)</t>
  </si>
  <si>
    <t>Crop Research Institute, Olomouc</t>
  </si>
  <si>
    <t>Citrus rissoi Risso</t>
  </si>
  <si>
    <t>Crop Research Institute Plant Genetic Resources Unit</t>
  </si>
  <si>
    <t>Citrus rokugatsu Hort. ex Y. Tan.</t>
  </si>
  <si>
    <t>Crop Science</t>
  </si>
  <si>
    <t>Citrus rugulosa Hort. ex Tan.</t>
  </si>
  <si>
    <t>Citrus sarbati Tan.</t>
  </si>
  <si>
    <t>CSIRO Plant Industry</t>
  </si>
  <si>
    <t>Citrus semperflorens Lush.</t>
  </si>
  <si>
    <t>CSIRO Production and Processing</t>
  </si>
  <si>
    <t>Citrus shunkokan Hort. ex Tan.</t>
  </si>
  <si>
    <t>CTIFL Centre Technique Interprofessionnel des Fruits et Légumes, Centre de Lanxade</t>
  </si>
  <si>
    <t>Citrus sinensis (L.) Osb.</t>
  </si>
  <si>
    <t>Danko Hodowla Ro'slin sp. z o.o.</t>
  </si>
  <si>
    <t>(Citrus sinensis (L.) Osb. x Poncirus trifoliata (L.) Raf.)</t>
  </si>
  <si>
    <t>Davao Experimental Station</t>
  </si>
  <si>
    <t>Citrus sinograndis Hort. ex Y. Tan.</t>
  </si>
  <si>
    <t>De Groot en Slot BV</t>
  </si>
  <si>
    <t>Citrus southwickii Wester</t>
  </si>
  <si>
    <t>De Regibus Christian,  Saxon - Suisse</t>
  </si>
  <si>
    <t>Citrus sp.</t>
  </si>
  <si>
    <t>De Voetakker BV</t>
  </si>
  <si>
    <t>Citrus sphaerocarpa Tan.</t>
  </si>
  <si>
    <t>DeKalb AgResearch Inc.</t>
  </si>
  <si>
    <t>Citrus suavissima Hort. ex Tan.</t>
  </si>
  <si>
    <t>Delaware Biotechnology Institute</t>
  </si>
  <si>
    <t>Citrus succosa Hort. ex Tan.</t>
  </si>
  <si>
    <t>Delley Samen und Pflanzen AG</t>
  </si>
  <si>
    <t>Citrus sudachi Hort. ex Shirai</t>
  </si>
  <si>
    <t>Denaiffe et Fils</t>
  </si>
  <si>
    <t>Citrus suhuiensis Hort. ex Tan.</t>
  </si>
  <si>
    <t>Dep. of Biological Science</t>
  </si>
  <si>
    <t>Citrus suizabon Tan.</t>
  </si>
  <si>
    <t>Departamento de Citricultura, Estação N. Fruticultura 'Vieira Natividade'</t>
  </si>
  <si>
    <t>Citrus sulcata Hort. ex Tak.</t>
  </si>
  <si>
    <t>Departamento Genetica Evolutiva</t>
  </si>
  <si>
    <t>Citrus sunki Hort. ex Tan.</t>
  </si>
  <si>
    <t>Departement de phytologie, Universite Laval</t>
  </si>
  <si>
    <t>Citrus tachibana (Mak.) Tan.</t>
  </si>
  <si>
    <t>Departement des Sciences biologiques</t>
  </si>
  <si>
    <t>Citrus taiwanica Tan. &amp; Shim.</t>
  </si>
  <si>
    <t>Department of Agricultural Botany</t>
  </si>
  <si>
    <t>Citrus takuma-sudachi Hort. ex Tan.</t>
  </si>
  <si>
    <t>Department of Agriculture</t>
  </si>
  <si>
    <t>Citrus tamurana Hort. ex Tan.</t>
  </si>
  <si>
    <t>Department of Agronomy</t>
  </si>
  <si>
    <t>Citrus tangerina Hort. ex Tan.</t>
  </si>
  <si>
    <t>Department of Agronomy and  Plant Genetics</t>
  </si>
  <si>
    <t>Citrus tankan Hay.</t>
  </si>
  <si>
    <t>Department of Agronomy and  Plant Genetics,  University ofMinnesota</t>
  </si>
  <si>
    <t>Citrus tardiferax Hort. ex Tan.</t>
  </si>
  <si>
    <t>Department of Agronomy and Range Science</t>
  </si>
  <si>
    <t>Citrus tardiva Hort. ex Shirai</t>
  </si>
  <si>
    <t>Department of Biochemistry</t>
  </si>
  <si>
    <t>Citrus tarogayo Hort. ex Y. Tan.</t>
  </si>
  <si>
    <t>Department of Biochemistry and  Biophysics</t>
  </si>
  <si>
    <t>Citrus temple Hort. ex Y. Tan.</t>
  </si>
  <si>
    <t>Department of Biological Sciences</t>
  </si>
  <si>
    <t>(Citrus temple Hort. ex Y. Tan. x Citrus paradisi Macf.)</t>
  </si>
  <si>
    <t>Department of Biological Sciences and  Howard Hughes MedicalInstitute</t>
  </si>
  <si>
    <t>Citrus tengu Hort. ex Tan.</t>
  </si>
  <si>
    <t>Department of Biology</t>
  </si>
  <si>
    <t>Citrus tosa-asahi Hort. ex Y. Tan.</t>
  </si>
  <si>
    <t>Department of Biology,  Faculty of Science</t>
  </si>
  <si>
    <t>Citrus truncata Hort. ex Tan.</t>
  </si>
  <si>
    <t>Department of Biology and Biocenter Oulu</t>
  </si>
  <si>
    <t>Citrus tumida Hort. ex Tan.</t>
  </si>
  <si>
    <t>Department of Biology/Plant Genetics Group</t>
  </si>
  <si>
    <t>Citrus ujukitsu Tan.</t>
  </si>
  <si>
    <t>Department of Biosciences, Plant Physiology</t>
  </si>
  <si>
    <t>Citrus unshiu (Mak.) Mar.</t>
  </si>
  <si>
    <t>Department of Biotechnology</t>
  </si>
  <si>
    <t>(Citrus unshiu (Mak.) Marc. x (F. japonica x F. margarita 'Meiwa'))</t>
  </si>
  <si>
    <t>Department of Biotechnology Graduate School of Engineering</t>
  </si>
  <si>
    <t>Citrus vitiensis Tan.</t>
  </si>
  <si>
    <t>Department of Botany and  Plant Pathology</t>
  </si>
  <si>
    <t>Citrus webberii Wester</t>
  </si>
  <si>
    <t>Department of Botany, Faculty of Science, Chulalongkorn University</t>
  </si>
  <si>
    <t>Citrus westeri Tan.</t>
  </si>
  <si>
    <t>Department of Cell biology</t>
  </si>
  <si>
    <t>Citrus wilsonii Tan.</t>
  </si>
  <si>
    <t>Department of Crop Science,  division of Biotechnology and Genetic Engineering</t>
  </si>
  <si>
    <t>Citrus yamabuki Hort. ex Y. Tan.</t>
  </si>
  <si>
    <t>Department of Crop Science Agricultural University of Norway</t>
  </si>
  <si>
    <t>Citrus yanbaruensis Hort. ex Tan.</t>
  </si>
  <si>
    <t>Department of Cytogenetics</t>
  </si>
  <si>
    <t>Citrus yatsushiro Hort. ex Tan.</t>
  </si>
  <si>
    <t>Department of Ecology &amp; Evolutionary Biology</t>
  </si>
  <si>
    <t>Citrus yuge-hyokan Hort. ex Y. Tan.</t>
  </si>
  <si>
    <t>Department of Ecology and  Evolutionary Biology</t>
  </si>
  <si>
    <t>Citrus yuko Hort. ex Tan.</t>
  </si>
  <si>
    <t>Department of Enthomology,  plant protection Institute</t>
  </si>
  <si>
    <t>Clausena Burm. f.</t>
  </si>
  <si>
    <t>Department of Entomology</t>
  </si>
  <si>
    <t>Clausena excavata Burm. f.</t>
  </si>
  <si>
    <t>Department of Forest Genetics and Plant Physiology</t>
  </si>
  <si>
    <t>Clausena lansium (Lour.) Skeels</t>
  </si>
  <si>
    <t>Department of Forestry</t>
  </si>
  <si>
    <t>Clauseneae</t>
  </si>
  <si>
    <t>Department of Genetics</t>
  </si>
  <si>
    <t>Clauseninae</t>
  </si>
  <si>
    <t>Department of Genetics and  Forestry and  AgriculturalBiotechnology Institute</t>
  </si>
  <si>
    <t>Clematicissus angustissima (F.Muell.) Planch.</t>
  </si>
  <si>
    <t>Department of Genetics and  Genomics - Trisaia ResearchCentre</t>
  </si>
  <si>
    <t>Clematicissus Planch.</t>
  </si>
  <si>
    <t>Department of Genetics and Plant Breeding, University of Agricultural Sciences</t>
  </si>
  <si>
    <t>Cucumis L.</t>
  </si>
  <si>
    <t>Department of Genomics,  evolution and  development</t>
  </si>
  <si>
    <t>Cucumis melo L.</t>
  </si>
  <si>
    <t>Department of Horticultural Sciences, Saga University</t>
  </si>
  <si>
    <t>Cucumis melo ssp. agrestis</t>
  </si>
  <si>
    <t>Department of Horticulture</t>
  </si>
  <si>
    <t>Cucumis melo ssp. agrestis f. Acidulus</t>
  </si>
  <si>
    <t>Department of Plant Biology</t>
  </si>
  <si>
    <t>Cucumis melo ssp. agrestis f. Chinensis</t>
  </si>
  <si>
    <t>Department of Plant Biotechnology</t>
  </si>
  <si>
    <t>Cucumis melo ssp. agrestis f. Conomon</t>
  </si>
  <si>
    <t>Department of Plant Genetics</t>
  </si>
  <si>
    <t>Cucumis melo ssp. agrestis f. Makuwa</t>
  </si>
  <si>
    <t>Department of Plant Molecular Biology</t>
  </si>
  <si>
    <t>Cucumis melo ssp. agrestis f. Momordica</t>
  </si>
  <si>
    <t>Department of Plant Pathology</t>
  </si>
  <si>
    <t>Cucumis melo ssp. agrestis f. Tibish</t>
  </si>
  <si>
    <t>Department of Plant Science</t>
  </si>
  <si>
    <t>Cucumis melo ssp. melo</t>
  </si>
  <si>
    <t>Department of Plant Sciences</t>
  </si>
  <si>
    <t>Cucumis melo ssp. melo f. Ameri</t>
  </si>
  <si>
    <t>Department of Plant Sciences,  School of Life Sciences</t>
  </si>
  <si>
    <t>Cucumis melo ssp. melo f. Cantalupensis</t>
  </si>
  <si>
    <t>Department of Primary Industries</t>
  </si>
  <si>
    <t>Cucumis melo ssp. melo f. Cantalupensis gr. Charentais</t>
  </si>
  <si>
    <t>Department of Scientific and Industrial Research</t>
  </si>
  <si>
    <t>Cucumis melo ssp. melo f. Chandalak</t>
  </si>
  <si>
    <t>Department of Soil&amp;Crops</t>
  </si>
  <si>
    <t>Cucumis melo ssp. melo f. Chate</t>
  </si>
  <si>
    <t>Department of Vegetable Crops,  R.W.Michelmore Lab</t>
  </si>
  <si>
    <t>Cucumis melo ssp. melo f. Dudaim</t>
  </si>
  <si>
    <t>Department of Viticulture and Enology</t>
  </si>
  <si>
    <t>Cucumis melo ssp. melo f. Flexuosus</t>
  </si>
  <si>
    <t>Dept. of Biochemistry &amp; Molecular Biology</t>
  </si>
  <si>
    <t>Cucumis melo ssp. melo f. Inodorus</t>
  </si>
  <si>
    <t>Dept. of Horticulture</t>
  </si>
  <si>
    <t>Cucumis melo ssp. melo f. Inodorus gr. Canari</t>
  </si>
  <si>
    <t>Dept of Molecular Biosciences</t>
  </si>
  <si>
    <t>Cucumis melo ssp. melo f. Inodorus gr. Honeydew</t>
  </si>
  <si>
    <t>Dept. of Plant and  Soil Science,  Montana State University</t>
  </si>
  <si>
    <t>Cucumis melo ssp. melo f. Inodorus gr. Piel de sapo</t>
  </si>
  <si>
    <t>Dept. of Plant Pathology</t>
  </si>
  <si>
    <t>Cucumis melo ssp. melo f. Inodorus gr. Rochet</t>
  </si>
  <si>
    <t>Dept Plant Breeding</t>
  </si>
  <si>
    <t>Cucumis melo ssp. melo f. Inodorus gr. Tendral</t>
  </si>
  <si>
    <t>Desprez</t>
  </si>
  <si>
    <t>Cucumis melo ssp. melo f. Reticulatus</t>
  </si>
  <si>
    <t>Deutsche Saatveredelung Lippstadt - France</t>
  </si>
  <si>
    <t>Cynara L.</t>
  </si>
  <si>
    <t>Deutsche Saatveredelung Lippstadt-Bremen GmbH</t>
  </si>
  <si>
    <t>Dactylis glomerata L.</t>
  </si>
  <si>
    <t>Deutsche Saatzucht-Gesellschaft Salzmuende (G. Riebesel)</t>
  </si>
  <si>
    <t>Dactylis glomerata subsp. castellata Stebbins &amp; Zohary</t>
  </si>
  <si>
    <t>DEVM</t>
  </si>
  <si>
    <t>Dactylis glomerata subsp. glomerata L.</t>
  </si>
  <si>
    <t>Devon Botanic Garden and Field Laboratory, Department of Botany, University of Alberta</t>
  </si>
  <si>
    <t>Dactylis glomerata subsp. hispanica (Roth) Nyman</t>
  </si>
  <si>
    <t>DiaPC</t>
  </si>
  <si>
    <t>Dactylis glomerata subsp. izcoi S.Ortiz &amp; J.Rodríguez_Oubina</t>
  </si>
  <si>
    <t>Dipartimento di Colture Arboree - C.M.V.F.- Università di Bologna (ITA)</t>
  </si>
  <si>
    <t>Dactylis glomerata subsp. lusitanica Stebbins &amp; Zohary</t>
  </si>
  <si>
    <t>Dipartimento di Colture Arboree - C.M.V.F.- Università di Bologna (ITA) - Bassi Daniele</t>
  </si>
  <si>
    <t>Dactylis glomerata subsp. mairei Zohary &amp; Stebbins</t>
  </si>
  <si>
    <t>Dipartimento di Scienze Agrarie e Ambientali</t>
  </si>
  <si>
    <t>Dactylis L.</t>
  </si>
  <si>
    <t>Dipartimento di Scienze Agrarie e Ambientali - Genetica</t>
  </si>
  <si>
    <t>Dioscorea</t>
  </si>
  <si>
    <t>Dipartimento Innovazione, Divisione Biotecnologie e Agricoltura, ENEA</t>
  </si>
  <si>
    <t>Dioscorea alata</t>
  </si>
  <si>
    <t>Direction Départementale de l'Agriculture, Service du Génie Rural des Eaux et des Forêts</t>
  </si>
  <si>
    <t>Dioscorea altissima</t>
  </si>
  <si>
    <t>Direction Scientifique des Productions Végétales, INRA</t>
  </si>
  <si>
    <t>Dioscorea bulbifera</t>
  </si>
  <si>
    <t>Div. of Plant Industry,  CSIRO</t>
  </si>
  <si>
    <t>Dioscorea burkiliana</t>
  </si>
  <si>
    <t>Diversity Arrays Technology P/L - Triticarte P/L</t>
  </si>
  <si>
    <t>Dioscorea cayenensis rotundata</t>
  </si>
  <si>
    <t>Division Agronomique-Génétique et Amélioration des Plantes</t>
  </si>
  <si>
    <t>Dioscorea cordata</t>
  </si>
  <si>
    <t>Division of Applied Bioscience,  Graduate School ofAgriculture</t>
  </si>
  <si>
    <t>Dioscorea esculenta</t>
  </si>
  <si>
    <t>Division of Biological Sciences</t>
  </si>
  <si>
    <t>Dioscorea hurtiflora</t>
  </si>
  <si>
    <t>Division of Biology</t>
  </si>
  <si>
    <t>Dioscorea minutiflora</t>
  </si>
  <si>
    <t>Division of Plant Industry</t>
  </si>
  <si>
    <t>Dioscorea numularia</t>
  </si>
  <si>
    <t>Domaine de Sainte-Marguerite</t>
  </si>
  <si>
    <t>Dioscorea pilosiuscula</t>
  </si>
  <si>
    <t>Domaines Agricoles</t>
  </si>
  <si>
    <t>Dioscorea polygonoïdes</t>
  </si>
  <si>
    <t>Domaines Royaux</t>
  </si>
  <si>
    <t>Dioscorea transversa</t>
  </si>
  <si>
    <t>Domaines Sunset</t>
  </si>
  <si>
    <t>Dioscorea trifida</t>
  </si>
  <si>
    <t>Doneczkij institut agropromyshlennogo proizvodstva NAAN, GP</t>
  </si>
  <si>
    <t>Diuraphis noxia</t>
  </si>
  <si>
    <t>Donneur inconnu à Escolives-Sainte-Camille</t>
  </si>
  <si>
    <t>Equus caballus</t>
  </si>
  <si>
    <t>Donneur inconnu à Remoulins</t>
  </si>
  <si>
    <t>Eremocitrus glauca (Lindl.) Swing.</t>
  </si>
  <si>
    <t>Dr. J. Ackermann &amp; Co Saatzucht Irlbach</t>
  </si>
  <si>
    <t>(Eremocitrus glauca (Lindl.) Swing. x Citrus aurantium L.)</t>
  </si>
  <si>
    <t>Dr. Joachim Messing s lab</t>
  </si>
  <si>
    <t>(Eremocitrus glauca (Lindl.) Swing. x Citrus limon (L.) Burm. ?)</t>
  </si>
  <si>
    <t>D.S.A. Vaucluse (84) - France</t>
  </si>
  <si>
    <t>(Eremocitrus glauca (Lindl.) Swing. x Citrus sinensis(L.) Osb.)</t>
  </si>
  <si>
    <t>DuPont Hybrinova</t>
  </si>
  <si>
    <t>Eremocitrus Swingle</t>
  </si>
  <si>
    <t>East Malling Research</t>
  </si>
  <si>
    <t>Fabaceae</t>
  </si>
  <si>
    <t>Eastern Cereal and  Oilseed Research Centre</t>
  </si>
  <si>
    <t>Festuca arundinacea  subsp. arundinacea var. letourneuxiana St.-Yves. (10x)</t>
  </si>
  <si>
    <t>École Nationale d'Ingénieurs de l'Horticulture et du Paysage de l'Institut National d'Horticulture</t>
  </si>
  <si>
    <t>Festuca arundinacea Schreb.</t>
  </si>
  <si>
    <t>Ecole Nationale Supérieure Agronomique de Montpellier</t>
  </si>
  <si>
    <t>Festuca arundinacea subsp. arundinacea Schreb.</t>
  </si>
  <si>
    <t>Ecole Nationale Supérieure Agronomique de Toulouse</t>
  </si>
  <si>
    <t>Festuca arundinacea subsp. arundinacea var. atlantigena sensu Markgr.Dann. (8x)</t>
  </si>
  <si>
    <t>Ecomusée de la Grande Lande (Marquèze)</t>
  </si>
  <si>
    <t>Festuca arundinacea subsp. arundinacea var. genuina Schreb. (6x)</t>
  </si>
  <si>
    <t>Ecophysiologie des Plantes sous Stress Environnementaux (LEPSE)</t>
  </si>
  <si>
    <t>Festuca arundinacea subsp. arundinacea var. glaucescens Boiss. (4x)</t>
  </si>
  <si>
    <t>Einsenhut Vivaio</t>
  </si>
  <si>
    <t>Festuca filiformis Pourret</t>
  </si>
  <si>
    <t>EMBRAPA Brazil</t>
  </si>
  <si>
    <t>Festuca L.</t>
  </si>
  <si>
    <t>Empresa Brasileira de Pesquisa Agropecuaria</t>
  </si>
  <si>
    <t>Festuca nigrescens Lam.</t>
  </si>
  <si>
    <t>Empresa Citricola Victoria</t>
  </si>
  <si>
    <t>Festuca nigrescens subsp. nigrescens Lam.</t>
  </si>
  <si>
    <t>ENSA - INRA Unité de Formation en Botanique et Pathologie Végétale, INRA-Montpellier</t>
  </si>
  <si>
    <t>Festuca ovina L. (2x)</t>
  </si>
  <si>
    <t>Environmental Biology Group/ Research School of Biological Sciences</t>
  </si>
  <si>
    <t>Festuca ovina L. (4x)</t>
  </si>
  <si>
    <t>Environmental Molecular Biology Laboratory</t>
  </si>
  <si>
    <t>Festuca ovina L. (6x)</t>
  </si>
  <si>
    <t>Environmental Sciences Division</t>
  </si>
  <si>
    <t>Festuca ovina L. (8x)</t>
  </si>
  <si>
    <t>Enza Zaden France</t>
  </si>
  <si>
    <t>Festuca ovina subsp. guestfalica (Reichenb.) K. Richter</t>
  </si>
  <si>
    <t>EPGV</t>
  </si>
  <si>
    <t>Festuca rubra L.</t>
  </si>
  <si>
    <t>EPLEFPA Poitiers-Venours, Etablissement d'enseignement général et technologique agricole</t>
  </si>
  <si>
    <t>Festuca rubra subsp. arenaria (Osbeck) Aresh</t>
  </si>
  <si>
    <t>Equipe Genetique Vigne UMR DiaPC</t>
  </si>
  <si>
    <t>Festuca rubra subsp. fallax (Thuill.) Nyman</t>
  </si>
  <si>
    <t>Equipe Genomique Ble et Mais</t>
  </si>
  <si>
    <t>Festuca rubra subsp. litoralis (G. Meyer) Auquier</t>
  </si>
  <si>
    <t>Equipe Ginomique de la vigne (URGV)</t>
  </si>
  <si>
    <t>Festuca rubra subsp. pruinosa (Hackel) Piper</t>
  </si>
  <si>
    <t>Escola Superior de Agricultura 'Luiz de Quiroz'</t>
  </si>
  <si>
    <t>Festuca rubra subsp. rubra L.</t>
  </si>
  <si>
    <t>Estaçao Experimental de Itajaí</t>
  </si>
  <si>
    <t>Festuca stricta Host.</t>
  </si>
  <si>
    <t>Estaçao Experimental Fitotécnica de Taquari</t>
  </si>
  <si>
    <t>Festuca stricta subsp. trachyphylla (hackel) Patzke</t>
  </si>
  <si>
    <t>Estacao Nacional Melhoramento</t>
  </si>
  <si>
    <t>Festuca trichophylla (Gaudin) K.Richter</t>
  </si>
  <si>
    <t>Estacion Exp. Fabio Baudrit Moreno</t>
  </si>
  <si>
    <t>Festuca trichophylla subsp. trichophylla Hackel</t>
  </si>
  <si>
    <t>Estacion Experimental</t>
  </si>
  <si>
    <t>Fortunella crassifolia Swing.</t>
  </si>
  <si>
    <t>Estacion Experimental Agroindustrial 'Obispo Colombres'</t>
  </si>
  <si>
    <t>Fortunella hindsii (Champ.) Swing.</t>
  </si>
  <si>
    <t>Estacion Experimental Agropecuaria Rafaela</t>
  </si>
  <si>
    <t>Fortunella japonica (Thunb.) Swing.</t>
  </si>
  <si>
    <t>Estacion Experimental 'Aula Dei' - Consejo Superior de Investigaciones Científicas</t>
  </si>
  <si>
    <t>Fortunella margarita (Lour.) Swing.</t>
  </si>
  <si>
    <t>Estación Experimental de la Facultad de Agronomia en Salto</t>
  </si>
  <si>
    <t>Fortunella obovata Hort. ex Tan.</t>
  </si>
  <si>
    <t>Estacion Experimental 'La Estanzuela'</t>
  </si>
  <si>
    <t>Fortunella polyandra (Ridl.) Tan.</t>
  </si>
  <si>
    <t>Estacion Experimental La Platina</t>
  </si>
  <si>
    <t>(Fortunella sp. x Poncirus trifoliata (L.) Raf.)</t>
  </si>
  <si>
    <t>Estacion Experimental Los Diamantes</t>
  </si>
  <si>
    <t>Fortunella Swingle</t>
  </si>
  <si>
    <t>Estacion Experimental Santa Catalina DENAREF, INIAP</t>
  </si>
  <si>
    <t>Fortunella swinglei Tan.</t>
  </si>
  <si>
    <t>Etablissements Leblond</t>
  </si>
  <si>
    <t>Fragaria grandiflora</t>
  </si>
  <si>
    <t>Etablissements Lemaire-Deffontaines</t>
  </si>
  <si>
    <t>Fragaria vesca</t>
  </si>
  <si>
    <t>Eteve Lambertin Marie-Laure, Bouillargues - France</t>
  </si>
  <si>
    <t>Fragaria vesca subsp. vesca</t>
  </si>
  <si>
    <t>Ets A Bataille</t>
  </si>
  <si>
    <t>Fragaria x ananassa</t>
  </si>
  <si>
    <t>Ets George Laurent</t>
  </si>
  <si>
    <t>Gallus gallus</t>
  </si>
  <si>
    <t>Ets Tharreau</t>
  </si>
  <si>
    <t>Glycine</t>
  </si>
  <si>
    <t>Etude du polymorphisme des genomes vegetaux</t>
  </si>
  <si>
    <t>Glycine max</t>
  </si>
  <si>
    <t>Euralis génétique</t>
  </si>
  <si>
    <t>Glycosmis Corrêa</t>
  </si>
  <si>
    <t>EURALIS SEMENCES</t>
  </si>
  <si>
    <t>Glycosmis pentaphylla (Retz.) Corrêa</t>
  </si>
  <si>
    <t>Eversole Associates</t>
  </si>
  <si>
    <t>Gossypium spp.</t>
  </si>
  <si>
    <t>Evolutionary Biology Centre</t>
  </si>
  <si>
    <t>Hebeloma cylindrosporum</t>
  </si>
  <si>
    <t>Experimental Breeding Station Choryn</t>
  </si>
  <si>
    <t>Helianthus annuus</t>
  </si>
  <si>
    <t>Experimental Institute of Cereal Research</t>
  </si>
  <si>
    <t>Helianthus argophyllus</t>
  </si>
  <si>
    <t>F. Levieil</t>
  </si>
  <si>
    <t>Helianthus L.</t>
  </si>
  <si>
    <t>F. Von Lochow-Petkus GmbH</t>
  </si>
  <si>
    <t>Helianthus paradoxus</t>
  </si>
  <si>
    <t>Fabre</t>
  </si>
  <si>
    <t>Hordeum</t>
  </si>
  <si>
    <t>Fac.of Agri.</t>
  </si>
  <si>
    <t>Hordeum agriocrithon Aberg</t>
  </si>
  <si>
    <t>Facoltà di Agraria</t>
  </si>
  <si>
    <t>Hordeum andicola Griseb.</t>
  </si>
  <si>
    <t>Faculdad de Agronomia</t>
  </si>
  <si>
    <t>Hordeum andinum Trin.</t>
  </si>
  <si>
    <t>Facultad de Ciencias Agropecuarias, Universidad de Panamá</t>
  </si>
  <si>
    <t>Hordeum bogdani</t>
  </si>
  <si>
    <t>Faculté d'Agronomie</t>
  </si>
  <si>
    <t>Hordeum bogdanii</t>
  </si>
  <si>
    <t>Faculty of Agriculture - Institute of Field Crops</t>
  </si>
  <si>
    <t>Hordeum brachyantherum Nevski s.l.</t>
  </si>
  <si>
    <t>Faculty of Agriculture,  Laboratory of Plant Breeding</t>
  </si>
  <si>
    <t>Hordeum brachyantherum ssp. brachyantherum Nevski</t>
  </si>
  <si>
    <t>Faculty of Agriculture, University of Manitoba</t>
  </si>
  <si>
    <t>Hordeum brevisubulatum ssp. brevisubulatum</t>
  </si>
  <si>
    <t>Faculty of Bioresources</t>
  </si>
  <si>
    <t>Hordeum brevisubulatum ssp. iranicum</t>
  </si>
  <si>
    <t>Fear CD, Cain DW, Mowrey BD, CA - USA</t>
  </si>
  <si>
    <t>Hordeum brevisubulatum ssp. nevskianum</t>
  </si>
  <si>
    <t>Fédération des Syndicats Bretons</t>
  </si>
  <si>
    <t>Hordeum brevisubulatum ssp. turkestani</t>
  </si>
  <si>
    <t>Fédération des Syndicats Bretons &amp; A. Person</t>
  </si>
  <si>
    <t>Hordeum brevisubulatum ssp. turkestanicum</t>
  </si>
  <si>
    <t>Fédération des Syndicats Bretons &amp; Bretagne Plants</t>
  </si>
  <si>
    <t>Hordeum brevisubulatum ssp. violaceum</t>
  </si>
  <si>
    <t>Fédération des Syndicats Bretons &amp; Coopérative de Pleyber-Christ</t>
  </si>
  <si>
    <t>Hordeum brevisubulatum (Trin.) Link ssp. brevisubulatum s.l.</t>
  </si>
  <si>
    <t>Fédération des Syndicats Bretons &amp; Coopérative des Agriculteurs de Bretagne</t>
  </si>
  <si>
    <t>Hordeum brevisubulatum (Trin.) Link ssp. iranicum Bothmer</t>
  </si>
  <si>
    <t>Fédération des Vins de Savoie</t>
  </si>
  <si>
    <t>Hordeum brevisubulatum (Trin.) Link ssp. nevskianum (Bowden) Tzvel.</t>
  </si>
  <si>
    <t>Fédération des Vins du Puy de Dôme</t>
  </si>
  <si>
    <t>Hordeum brevisubulatum (Trin.) Link ssp. turkestanicum (Nevski) Tzvel.</t>
  </si>
  <si>
    <t>Ferme de moulon</t>
  </si>
  <si>
    <t>Hordeum brevisubulatum (Trin.) Link ssp. violaceum (Boiss. &amp; Hohen.) Tzvel.</t>
  </si>
  <si>
    <t>Ferme d'Etat de Pucheng</t>
  </si>
  <si>
    <t>Hordeum bulbosum L.</t>
  </si>
  <si>
    <t>FERME ECOLE DE BESPLAS</t>
  </si>
  <si>
    <t>Hordeum caespitosum Scribn.</t>
  </si>
  <si>
    <t>Ferme Expérimentale de Grignon</t>
  </si>
  <si>
    <t>Hordeum californicum Covas &amp; Stebbins</t>
  </si>
  <si>
    <t>Firma H. O. Luebeck, Magdeburg</t>
  </si>
  <si>
    <t>Hordeum chilense Roem. &amp; Schult.</t>
  </si>
  <si>
    <t>Fleck Jacqueline / L626</t>
  </si>
  <si>
    <t>Hordeum comosum J. Presl</t>
  </si>
  <si>
    <t>Fleischmann Rudolph Agricultural Research Institute, University of Agricultural Sciences</t>
  </si>
  <si>
    <t>Hordeum compressum</t>
  </si>
  <si>
    <t>Florimond Desprez</t>
  </si>
  <si>
    <t>Hordeum compressum Griseb.</t>
  </si>
  <si>
    <t>Fontaine (bought by Jouffray-Drillaud)</t>
  </si>
  <si>
    <t>Hordeum cordobense Bothmer, N. Jacobsen &amp; Nicora</t>
  </si>
  <si>
    <t>Food Science Institute</t>
  </si>
  <si>
    <t>Hordeum deficiens</t>
  </si>
  <si>
    <t>Forschungsanstalt Agroscope Reckenholz-Tänikon</t>
  </si>
  <si>
    <t>Hordeum deficiens Steud.</t>
  </si>
  <si>
    <t>Fr. Strube Saatzucht KG Soellingen</t>
  </si>
  <si>
    <t>Hordeum depressum (Scribn. &amp; J.G. Sm.) Rydb.</t>
  </si>
  <si>
    <t>Fruit Tree Laboratory</t>
  </si>
  <si>
    <t>Hordeum europaeum</t>
  </si>
  <si>
    <t>Fruit Tree Research Station</t>
  </si>
  <si>
    <t>Hordeum flexuosum Steud.</t>
  </si>
  <si>
    <t>Fruit Trees Research Station, Kuchinotsu Branch</t>
  </si>
  <si>
    <t>Hordeum geniculatum</t>
  </si>
  <si>
    <t>FR2424, Station Biologique</t>
  </si>
  <si>
    <t>Hordeum gussoneanum</t>
  </si>
  <si>
    <t>Fudan University</t>
  </si>
  <si>
    <t>Hordeum gussoneanum Parl.</t>
  </si>
  <si>
    <t>Fungal Genomics Lab</t>
  </si>
  <si>
    <t>Hordeum hexaploidum</t>
  </si>
  <si>
    <t>G. Geertsema-Groningen B.V.</t>
  </si>
  <si>
    <t>Hordeum hexaploidum Covas</t>
  </si>
  <si>
    <t>GA</t>
  </si>
  <si>
    <t>Hordeum hexastichon L.</t>
  </si>
  <si>
    <t>Gautier</t>
  </si>
  <si>
    <t>Hordeum hrasdanicum Gandilyan</t>
  </si>
  <si>
    <t>Hordeum irregulare</t>
  </si>
  <si>
    <t>Genavenir</t>
  </si>
  <si>
    <t>Hordeum ithaburense Boiss.</t>
  </si>
  <si>
    <t>Gene Function and Maize Traits Group</t>
  </si>
  <si>
    <t>Hordeum jubatum</t>
  </si>
  <si>
    <t>Genebank, Leibniz Institute of Plant Genetics and Crop Plant Research</t>
  </si>
  <si>
    <t>Hordeum jubatum breviaristatum</t>
  </si>
  <si>
    <t>Genetic Resources and Mediterranean Medicago Plant Breeding Laboratory, INRA-Montpellier</t>
  </si>
  <si>
    <t>Hordeum jubatum jubatum</t>
  </si>
  <si>
    <t>Genetic Resources Department - Research Institute for Cereals and Industrial Crops</t>
  </si>
  <si>
    <t>Hordeum jubatum ssp. breviaristatum Bowden</t>
  </si>
  <si>
    <t>Genetics</t>
  </si>
  <si>
    <t>Hordeum jubatum ssp. intermedium Bowden</t>
  </si>
  <si>
    <t>Genetics of Environmental Stress Tolerance</t>
  </si>
  <si>
    <t>Hordeum kaufmannii Regel</t>
  </si>
  <si>
    <t>Genetique et Amelioration des Plantes</t>
  </si>
  <si>
    <t>Hordeum L.</t>
  </si>
  <si>
    <t>Genetique et amelioration des plantes</t>
  </si>
  <si>
    <t>Hordeum lechleri (Steud.) Schenck</t>
  </si>
  <si>
    <t>Genetique et ecophysiologie des legumineuses</t>
  </si>
  <si>
    <t>Hordeum leporinum var. simulans Bowden</t>
  </si>
  <si>
    <t>Genetique fonctionnelle des maladies des Epitheliums, U563, CPIP, CHU Purpan</t>
  </si>
  <si>
    <t>Hordeum macilentum Steud.</t>
  </si>
  <si>
    <t>Genetique Moleculaire d'Arabidopsis</t>
  </si>
  <si>
    <t>Hordeum marinum Huds. ssp. gussoneanum (Parl.) Thell.</t>
  </si>
  <si>
    <t>Genome BC Conifer Forest Health</t>
  </si>
  <si>
    <t>Hordeum marinum Huds. ssp. marinum</t>
  </si>
  <si>
    <t>Genome et developpement des plantes</t>
  </si>
  <si>
    <t>Hordeum marinum ssp. gussoneanum</t>
  </si>
  <si>
    <t>GENOME express</t>
  </si>
  <si>
    <t>Hordeum marinum ssp. gussoneanum (Parl.) Thell.</t>
  </si>
  <si>
    <t>Genome Express</t>
  </si>
  <si>
    <t>Hordeum marinum ssp. marinum</t>
  </si>
  <si>
    <t>Genome Science Laboratory</t>
  </si>
  <si>
    <t>Hordeum maritimum</t>
  </si>
  <si>
    <t>Genome Systems,  Inc.,  a wholly owned subsidiary of IncytePharmaceuticals,  Inc.</t>
  </si>
  <si>
    <t>Hordeum maritimum gussonianum</t>
  </si>
  <si>
    <t>Genomics and  Genetics Institute,  GreenGene Biotech Inc.;Division of Bioscience and  Bioinformatics,  MyongJiUniversity</t>
  </si>
  <si>
    <t>Hordeum murinum</t>
  </si>
  <si>
    <t>Genomique</t>
  </si>
  <si>
    <t>Hordeum murinum L. ssp. glaucum (Steud.) Tzvelev</t>
  </si>
  <si>
    <t>Genomique Ble et Mais</t>
  </si>
  <si>
    <t>Hordeum murinum L. ssp. leporinum (Link) Arcang.</t>
  </si>
  <si>
    <t>Genoplante-Info</t>
  </si>
  <si>
    <t>Hordeum murinum L. ssp. murinum</t>
  </si>
  <si>
    <t>GENOSCOPE</t>
  </si>
  <si>
    <t>Hordeum murinum murinum</t>
  </si>
  <si>
    <t>Genoscope</t>
  </si>
  <si>
    <t>Hordeum murinum ssp. glaucum</t>
  </si>
  <si>
    <t>Genoscope - Centre National de Sequencage</t>
  </si>
  <si>
    <t>Hordeum murinum ssp. glaucum (Steud.) Tzvelev</t>
  </si>
  <si>
    <t>Georgia State Agricultural Experiment Station</t>
  </si>
  <si>
    <t>Hordeum murinum ssp. leporinum</t>
  </si>
  <si>
    <t>Germicopa SA</t>
  </si>
  <si>
    <t>Hordeum murinum ssp. murinum</t>
  </si>
  <si>
    <t>Germicopa SAS</t>
  </si>
  <si>
    <t>Hordeum muticum J. Presl</t>
  </si>
  <si>
    <t>GGO</t>
  </si>
  <si>
    <t>Hordeum nevskianum Bowden</t>
  </si>
  <si>
    <t>GIE Ail Dromois</t>
  </si>
  <si>
    <t>Hordeum nodosum</t>
  </si>
  <si>
    <t>GIE Epi de France</t>
  </si>
  <si>
    <t>Hordeum nodosum L.</t>
  </si>
  <si>
    <t>GIE Legland</t>
  </si>
  <si>
    <t>Hordeum parodii Covas</t>
  </si>
  <si>
    <t>Gigot Claude / L512</t>
  </si>
  <si>
    <t>Hordeum patagonicum (Haum.) Covas s.l.</t>
  </si>
  <si>
    <t>Gilbert-Fayol</t>
  </si>
  <si>
    <t>Hordeum persicum</t>
  </si>
  <si>
    <t>Ginitique Diversiti Ecophysiologie des Ciriales</t>
  </si>
  <si>
    <t>Hordeum pratense Huds.</t>
  </si>
  <si>
    <t>Giza Agricultural Research Station</t>
  </si>
  <si>
    <t>Hordeum pubescens Guss.</t>
  </si>
  <si>
    <t>Glen Saint Mary Nursery Co.</t>
  </si>
  <si>
    <t>Hordeum pusillum Nutt.</t>
  </si>
  <si>
    <t>Glenellen Pty Ltd.</t>
  </si>
  <si>
    <t>Hordeum pussilum</t>
  </si>
  <si>
    <t>Gnts VNII Rastenievodstva Im.N.I.Vavilova</t>
  </si>
  <si>
    <t>Hordeum sativum</t>
  </si>
  <si>
    <t>Goggi</t>
  </si>
  <si>
    <t>Hordeum sibiricum Rosh.</t>
  </si>
  <si>
    <t>Grad. Sch. Agric. Life Sci.</t>
  </si>
  <si>
    <t>Hordeum spp</t>
  </si>
  <si>
    <t>Graduate School of Biological Sciences</t>
  </si>
  <si>
    <t>Hordeum strictum Desf.</t>
  </si>
  <si>
    <t>Grand Anse Experimental Centre, Ministry of Agriculture and Marine Resources</t>
  </si>
  <si>
    <t>Hordeum tetraploidum Covas</t>
  </si>
  <si>
    <t>Grand Island Nurseries, Inc.</t>
  </si>
  <si>
    <t>Hordeum tetrastichum</t>
  </si>
  <si>
    <t>Greenhouse for Trop. Crops, Inst. Prod/Nutr. Wordls Crops, Un. Kassel</t>
  </si>
  <si>
    <t>Hordeum vulgare</t>
  </si>
  <si>
    <t>Grocep</t>
  </si>
  <si>
    <t>Hordeum vulgare convar. distichon (L.) Alefeld</t>
  </si>
  <si>
    <t>Group 305</t>
  </si>
  <si>
    <t>Hordeum vulgare L.</t>
  </si>
  <si>
    <t>Groupe d'Etude et de Contrôle des Variétés et des Semences, Cavaillon</t>
  </si>
  <si>
    <t>Hordeum vulgare L. ssp. distichon (L.) Koernicke</t>
  </si>
  <si>
    <t>Groupement Agricole Essonnois</t>
  </si>
  <si>
    <t>Hordeum vulgare L. ssp. spontaneum (K. Koch) A. &amp; Gr.</t>
  </si>
  <si>
    <t>Groupement Interprofessionnel des Fleurs et Plantes A Parfun</t>
  </si>
  <si>
    <t>Hordeum vulgare L. ssp. vulgare</t>
  </si>
  <si>
    <t>Gruntzig Maria, Fuchs Egon Halle/Saale - Allemagne</t>
  </si>
  <si>
    <t>Hordeum vulgare spontaneum</t>
  </si>
  <si>
    <t>GTZ, German Fruit Tree Project</t>
  </si>
  <si>
    <t>Hordeum vulgare ssp. distichon var. spontaneum Kornicke</t>
  </si>
  <si>
    <t>Guangxi Citrus Research Institute</t>
  </si>
  <si>
    <t>Hordeum vulgare var. distichon</t>
  </si>
  <si>
    <t>Gyumri Breeding Station</t>
  </si>
  <si>
    <t>Hordeum vulgare vulgare</t>
  </si>
  <si>
    <t>H Blas JM Malmonté</t>
  </si>
  <si>
    <t>Juglans L.</t>
  </si>
  <si>
    <t>H. Demesmay</t>
  </si>
  <si>
    <t>Lactuca L.</t>
  </si>
  <si>
    <t>H. L. Hall &amp; Sons, Ltd.</t>
  </si>
  <si>
    <t>Lactuca sativa f. Laitue à couper</t>
  </si>
  <si>
    <t>Hankkija Plant Breeding Institute</t>
  </si>
  <si>
    <t>Lactuca sativa f. Laitue à couper gr. Feuille de chêne</t>
  </si>
  <si>
    <t>Harpool Seed Inc.</t>
  </si>
  <si>
    <t>Lactuca sativa f. Laitue à couper gr. Laitue multi-feuilles</t>
  </si>
  <si>
    <t>Head of Genomic Information</t>
  </si>
  <si>
    <t>Lactuca sativa f. Laitue à couper gr. Lollo</t>
  </si>
  <si>
    <t>Hebei Germplasm Resources Genebank Cereal &amp; Oil Crops Research Institute</t>
  </si>
  <si>
    <t>Lactuca sativa f. Laitue pommée</t>
  </si>
  <si>
    <t>Heine Peragis Getreidezucht GmbH</t>
  </si>
  <si>
    <t>Lactuca sativa f. Laitue pommée gr. Batavia</t>
  </si>
  <si>
    <t>Hirla Henri, Toulouges - France</t>
  </si>
  <si>
    <t>Lactuca sativa f. Laitue pommée gr. Batavia sgr. Batavia européenne</t>
  </si>
  <si>
    <t>Hodowla Roslin Polniczych 'Nasiona Kobierzyc'</t>
  </si>
  <si>
    <t>Lactuca sativa f. Laitue pommée gr. Batavia sgr. Iceberg</t>
  </si>
  <si>
    <t>Hodowla Roslin Pustkow</t>
  </si>
  <si>
    <t>Lactuca sativa f. Laitue pommée gr. Laitue beurre</t>
  </si>
  <si>
    <t>Hodowla Roslin Strzelce Sp. z o.o. Grupa IHAR</t>
  </si>
  <si>
    <t>Lactuca sativa f. Laitue pommée gr. Romaine/grasse</t>
  </si>
  <si>
    <t>Hort Research</t>
  </si>
  <si>
    <t>Lactuca sativa f. Laitue pommée gr. Romaine/grasse sgr. Grasse</t>
  </si>
  <si>
    <t>Horticultural Research &amp; Advisory Station, Dept. of Agriculture</t>
  </si>
  <si>
    <t>Lactuca sativa f. Laitue pommée gr. Romaine/grasse sgr. Romaine</t>
  </si>
  <si>
    <t>Horticultural Research Section Agricultural Research Corporation</t>
  </si>
  <si>
    <t>Lactuca sativa f. Laitue tige</t>
  </si>
  <si>
    <t>Horticultural Research Station</t>
  </si>
  <si>
    <t>Lactuca sativa L.</t>
  </si>
  <si>
    <t>Horticultural Sciences Department,  Plant Molecular and Cellular Biology Program</t>
  </si>
  <si>
    <t>Lepidium L.</t>
  </si>
  <si>
    <t>Horticulture Department</t>
  </si>
  <si>
    <t>Lepidium sativum L.</t>
  </si>
  <si>
    <t>HortResearch, Havelock North Research Centre - Malone M. Havelock North and  Davidson J. Tuamarina Blenheim - New Zealand</t>
  </si>
  <si>
    <t>(Limequat x Fortunella hindsii(Champ.) Swing.)</t>
  </si>
  <si>
    <t>HortResearch, Mt. Albert Research Centre</t>
  </si>
  <si>
    <t>Linum usitatissinum</t>
  </si>
  <si>
    <t>HybriTech Seed</t>
  </si>
  <si>
    <t>Lolium L.</t>
  </si>
  <si>
    <t>HYBRO Saatzucht GmbH &amp; Co. KG c/o Saaten-Union GmbH</t>
  </si>
  <si>
    <t>Lolium multiflorum Lam.</t>
  </si>
  <si>
    <t>IBP</t>
  </si>
  <si>
    <t>Lolium perenne</t>
  </si>
  <si>
    <t>IBVB</t>
  </si>
  <si>
    <t>Lolium perenne L.</t>
  </si>
  <si>
    <t>ICARDA</t>
  </si>
  <si>
    <t>Lolium xhybridum Hausskn.</t>
  </si>
  <si>
    <t>ICRISAT</t>
  </si>
  <si>
    <t>Lotus alpinus</t>
  </si>
  <si>
    <t>Idaho Agricultural Experiment Station, University of Idaho</t>
  </si>
  <si>
    <t>Lupinus L.</t>
  </si>
  <si>
    <t>Illinois Agricultural Experiment Station, University of Illinois</t>
  </si>
  <si>
    <t>Malus domestica</t>
  </si>
  <si>
    <t>Indian Agricultural Research Institute</t>
  </si>
  <si>
    <t>Malus P. Mill.</t>
  </si>
  <si>
    <t>Indian Institute of Horticultural Research</t>
  </si>
  <si>
    <t>Manihot esculenta</t>
  </si>
  <si>
    <t>Indiana Agricultural Experiment Station, Purdue University</t>
  </si>
  <si>
    <t>Medicago aculeata</t>
  </si>
  <si>
    <t>Indo-American Hybrid Seeds</t>
  </si>
  <si>
    <t>Medicago aculeata aculeata</t>
  </si>
  <si>
    <t>Medicago aculeata inermis</t>
  </si>
  <si>
    <t>INRA - Mauguio</t>
  </si>
  <si>
    <t>Medicago arabica (L.) Huds.</t>
  </si>
  <si>
    <t>INRA - Tours</t>
  </si>
  <si>
    <t>Medicago arborea L.</t>
  </si>
  <si>
    <t>INRA - UMR BIOGECO</t>
  </si>
  <si>
    <t>Medicago asiatica</t>
  </si>
  <si>
    <t>INRA, Cirad/Amis</t>
  </si>
  <si>
    <t>Medicago blancheana Boiss.</t>
  </si>
  <si>
    <t>INRA de Crouel</t>
  </si>
  <si>
    <t>Medicago bonarotiana</t>
  </si>
  <si>
    <t>INRA, Domaine de Vassal (T. Lacombe) + IFV Institut Français de la Vigne et du Vin (L. Audeguin)</t>
  </si>
  <si>
    <t>Medicago cancellata Bieb.</t>
  </si>
  <si>
    <t>INRA GAFL Avignon + SICA Centrex</t>
  </si>
  <si>
    <t>Medicago carstiensis Jacq.</t>
  </si>
  <si>
    <t>INRA Guadeloupe</t>
  </si>
  <si>
    <t>Medicago constricta</t>
  </si>
  <si>
    <t>INRA Montpellier</t>
  </si>
  <si>
    <t>Medicago coronata</t>
  </si>
  <si>
    <t>INRA Rennes</t>
  </si>
  <si>
    <t>Medicago cretacea</t>
  </si>
  <si>
    <t>INRA Versailles</t>
  </si>
  <si>
    <t>Medicago daghestanica</t>
  </si>
  <si>
    <t>INRA-MycSA, UPR-1264</t>
  </si>
  <si>
    <t>Medicago disciformis</t>
  </si>
  <si>
    <t>INRAT, Tunisie + UR Génétique et Amélioration des Fruits et Légumes, INRA-Avignon</t>
  </si>
  <si>
    <t>Medicago dzhawakhetica</t>
  </si>
  <si>
    <t>Insect Biocontrol Lab</t>
  </si>
  <si>
    <t>Medicago eusativa</t>
  </si>
  <si>
    <t>INSIBIO</t>
  </si>
  <si>
    <t>Medicago glutinosa Bieb.</t>
  </si>
  <si>
    <t>Inst. Biologia Molecular y Celular de Plantas</t>
  </si>
  <si>
    <t>Medicago granadensis Willd.</t>
  </si>
  <si>
    <t>Institut Amélioration Plantes Cultivées Berlin</t>
  </si>
  <si>
    <t>Medicago heyniana</t>
  </si>
  <si>
    <t>Institut de Biologie Moleculair des Plantes du CNRS (IBMP)</t>
  </si>
  <si>
    <t>Medicago hybrida (Pourr.) Trautv.</t>
  </si>
  <si>
    <t>Institut de Biologie Moleculaire des Plantes</t>
  </si>
  <si>
    <t>Medicago intertexta ciliaris</t>
  </si>
  <si>
    <t>Institut de biologie moleculaire des plantes</t>
  </si>
  <si>
    <t>Medicago intertexta intertexta</t>
  </si>
  <si>
    <t>Institut de biotechnologie des plantes</t>
  </si>
  <si>
    <t>Medicago intertexta (L.) Mill.</t>
  </si>
  <si>
    <t>Institut de Recherche pour le Développement</t>
  </si>
  <si>
    <t>Medicago L.</t>
  </si>
  <si>
    <t>Institut de Recherches Agronomique</t>
  </si>
  <si>
    <t>Medicago laciniata (L.) Mill.</t>
  </si>
  <si>
    <t>Institut de Recherches Agronomiques et Forestières</t>
  </si>
  <si>
    <t>Medicago lanigera</t>
  </si>
  <si>
    <t>Institut de Recherches Agronomiques Tropicales et des cultures vivrières</t>
  </si>
  <si>
    <t>Medicago littoralis</t>
  </si>
  <si>
    <t>Institut de Recherches de Beibei</t>
  </si>
  <si>
    <t>Medicago lupulina L.</t>
  </si>
  <si>
    <t>Institut des forêts-Département Fruits et Agrumes</t>
  </si>
  <si>
    <t>Medicago marina L.</t>
  </si>
  <si>
    <t>Institut des Sciences du Vegetal (ISV)</t>
  </si>
  <si>
    <t>Medicago minima brevispina</t>
  </si>
  <si>
    <t>Institut des Sciences Vegetales</t>
  </si>
  <si>
    <t>Medicago minima (L.) L. ex Bartal.</t>
  </si>
  <si>
    <t>Institut for bioteknologi</t>
  </si>
  <si>
    <t>Medicago minima minima</t>
  </si>
  <si>
    <t>Institut Français de la Vigne et du Vin</t>
  </si>
  <si>
    <t>Medicago monantha (C.A. Mey.) Trautv.</t>
  </si>
  <si>
    <t>Institut Francais de Recherches Fruitières</t>
  </si>
  <si>
    <t>Medicago monspeliaca (L.) Trautv.</t>
  </si>
  <si>
    <t>Institut Francais de Recherches Fruitières - Martinique</t>
  </si>
  <si>
    <t>Medicago murex lesinsii</t>
  </si>
  <si>
    <t>Institut Francais de Recherches Fruitières - Réunion</t>
  </si>
  <si>
    <t>Medicago murex sphaerocarpos</t>
  </si>
  <si>
    <t>Institut fuer Entwicklungsbiologie und Molekularbiologie derPflanzen</t>
  </si>
  <si>
    <t>Medicago murex Willd.</t>
  </si>
  <si>
    <t>Institut für Biologie und Biotechnologie der Pflanzen (IBBP)</t>
  </si>
  <si>
    <t>Medicago muricoleptis</t>
  </si>
  <si>
    <t>Institut fur Pflanzengenetik und Kulturpflanzenforschung</t>
  </si>
  <si>
    <t>Medicago noeana Boiss.</t>
  </si>
  <si>
    <t>Institut für Pflanzengenetik und Kulturpflanzenforschung</t>
  </si>
  <si>
    <t>Medicago orbicularis biancae</t>
  </si>
  <si>
    <t>Medicago orbicularis (L.) Bartal.</t>
  </si>
  <si>
    <t>Institut National Agronomique Paris-Grignon</t>
  </si>
  <si>
    <t>Medicago orbicularis marginata</t>
  </si>
  <si>
    <t>Institut National de la Recherche Agronomique</t>
  </si>
  <si>
    <t>Medicago orthoceras</t>
  </si>
  <si>
    <t>Institut National de la Recherche Agronomique - Centre de Clermont-Ferrand</t>
  </si>
  <si>
    <t>Medicago papillosa Boiss.</t>
  </si>
  <si>
    <t>Institut National de la Recherche Agronomique - Centre de Montpellier</t>
  </si>
  <si>
    <t>Medicago pironae</t>
  </si>
  <si>
    <t>Institut National de la Recherche Agronomique d'Algerie</t>
  </si>
  <si>
    <t>Medicago platycarpa</t>
  </si>
  <si>
    <t>Institut National de la Recherche Agronomique de Tunisie</t>
  </si>
  <si>
    <t>Medicago polychroa Grossh.</t>
  </si>
  <si>
    <t>Institut National de la Recherche Agronomique du Maroc</t>
  </si>
  <si>
    <t>Medicago polymorpha brevispina</t>
  </si>
  <si>
    <t>Institut of Corn</t>
  </si>
  <si>
    <t>Medicago polymorpha L.</t>
  </si>
  <si>
    <t>Institut of Crop Germplasm Resources, Chinese Academy of Agricultural Sciences</t>
  </si>
  <si>
    <t>Medicago polymorpha polymorpha</t>
  </si>
  <si>
    <t>Institut of Subtropical Plants</t>
  </si>
  <si>
    <t>Medicago polymorpha vulgaris</t>
  </si>
  <si>
    <t>Institut ZA Povrtarstvo</t>
  </si>
  <si>
    <t>Medicago praecox DC.</t>
  </si>
  <si>
    <t>Institute Crop and Food Research Ltd. East Coast Technology Centre</t>
  </si>
  <si>
    <t>Medicago prostrata Jacq.</t>
  </si>
  <si>
    <t>Institute for Agrobotany</t>
  </si>
  <si>
    <t>Medicago quasifalcata</t>
  </si>
  <si>
    <t>Institute for Breeding and Production of Field Crops</t>
  </si>
  <si>
    <t>Medicago radiata</t>
  </si>
  <si>
    <t>Institute for Field and Vegetable Crops Novi Sad</t>
  </si>
  <si>
    <t>Medicago rhodopea Velen.</t>
  </si>
  <si>
    <t>Institute for Genome Research and Systems Biology / CeBiTec</t>
  </si>
  <si>
    <t>Medicago rigidula agrestis</t>
  </si>
  <si>
    <t>Institute for Grapevine Breeding</t>
  </si>
  <si>
    <t>Medicago rigidula cinerascens</t>
  </si>
  <si>
    <t>Institute for Plant Genetic Resources 'K. Malkov'</t>
  </si>
  <si>
    <t>Medicago rigidula (L.) All.</t>
  </si>
  <si>
    <t>Institute for Tropical ans Subtropical Crops</t>
  </si>
  <si>
    <t>Medicago rigidula rigidula</t>
  </si>
  <si>
    <t>Institute of Agriculture of the NAAS</t>
  </si>
  <si>
    <t>Medicago rigidula submitis</t>
  </si>
  <si>
    <t>Institute of Arable Crop Research</t>
  </si>
  <si>
    <t>Medicago rigiduloides</t>
  </si>
  <si>
    <t>Institute of Botany</t>
  </si>
  <si>
    <t>Medicago rotata Boiss.</t>
  </si>
  <si>
    <t>Institute of Citrus Research Chinese Academy of Agric. Sciences</t>
  </si>
  <si>
    <t>Medicago rugosa Desr.</t>
  </si>
  <si>
    <t>Institute of Crop Breeding and Cultivation, Chinese Academy of Agricultural Sciences</t>
  </si>
  <si>
    <t>Medicago rupestris</t>
  </si>
  <si>
    <t>Institute of Crop Research, Jilin Academy of Agricultural Sciences</t>
  </si>
  <si>
    <t>Medicago ruthenica (L.) Trautv.</t>
  </si>
  <si>
    <t>Institute of Crop Science, Federal Research Center for Agricult.(FAL)</t>
  </si>
  <si>
    <t>Medicago sativa caelurea</t>
  </si>
  <si>
    <t>Institute of Experimental Botany</t>
  </si>
  <si>
    <t>Medicago sativa falcata (L.) Arcang.</t>
  </si>
  <si>
    <t>Institute of Field Crops and Viticulture</t>
  </si>
  <si>
    <t>Medicago sativa gaetula</t>
  </si>
  <si>
    <t>Institute of forest genetics</t>
  </si>
  <si>
    <t>Medicago sativa glomerata (Balb.) Rouy</t>
  </si>
  <si>
    <t>Institute of Genetics,  Fudan University</t>
  </si>
  <si>
    <t>Medicago sativa L.</t>
  </si>
  <si>
    <t>Institute of Husbandry and Breeding of the National Academy of Sciences of Belarus</t>
  </si>
  <si>
    <t>Medicago sativa type mielga L.</t>
  </si>
  <si>
    <t>Institute of Mol. &amp; Cell. Bioscience,  Department of CellularFunction</t>
  </si>
  <si>
    <t>Medicago sauvagei</t>
  </si>
  <si>
    <t>Institute of Plant Breeding and Agricultural Research 'Nazareno Strampelli'</t>
  </si>
  <si>
    <t>Medicago saxatilis</t>
  </si>
  <si>
    <t>Institute of Plant Breeding, College of Agriculture, University of the Philippines, Los Baños College</t>
  </si>
  <si>
    <t>Medicago scutellata (L.) Mill.</t>
  </si>
  <si>
    <t>Institute of Plant Production n.a. V.Y. Yurjev of UAAS</t>
  </si>
  <si>
    <t>Medicago secundiflora</t>
  </si>
  <si>
    <t>Institute of Pomology, Jiangxi Academy of Agricultural Sciences</t>
  </si>
  <si>
    <t>Medicago shepardii Post ex Boiss.</t>
  </si>
  <si>
    <t>Institute of Wheat and Sunflower Dobroudja</t>
  </si>
  <si>
    <t>Medicago soleirolii Duby</t>
  </si>
  <si>
    <t>Institute Plant Biotechnology</t>
  </si>
  <si>
    <t>Medicago suffruticosa leiocarpa (Benth.) Urb</t>
  </si>
  <si>
    <t>InstitutionX</t>
  </si>
  <si>
    <t>Medicago suffruticosa Ramond ex DC.</t>
  </si>
  <si>
    <t>Instituto Agronomico de Campinas</t>
  </si>
  <si>
    <t>Medicago suffruticosa suffruticosa</t>
  </si>
  <si>
    <t>Instituto Agronomico de Parana</t>
  </si>
  <si>
    <t>Medicago tenoreana</t>
  </si>
  <si>
    <t>Instituto Canario de Investigaciones Agrarias</t>
  </si>
  <si>
    <t>Medicago tornata</t>
  </si>
  <si>
    <t>Instituto Colombiano Agropecuario</t>
  </si>
  <si>
    <t>Medicago tornata rugolosa</t>
  </si>
  <si>
    <t>Instituto de Biologia y Biotecnologia Vegetal</t>
  </si>
  <si>
    <t>Medicago tornata spinulosa</t>
  </si>
  <si>
    <t>Instituto de Biotecnologia,  CICVyA-CNIA</t>
  </si>
  <si>
    <t>Medicago tornata tornata</t>
  </si>
  <si>
    <t>Instituto de Investigacao Agronomica</t>
  </si>
  <si>
    <t>Medicago truncatula</t>
  </si>
  <si>
    <t>Instituto de Investigaciones de Citricos y otros Frutales</t>
  </si>
  <si>
    <t>Medicago truncatula longispina</t>
  </si>
  <si>
    <t>Instituto de Investigaciones Fundamentales en Agr. Tropical</t>
  </si>
  <si>
    <t>Medicago truncatula tricycla</t>
  </si>
  <si>
    <t>Instituto de Protecçao da Produçao Agro-Alimentar</t>
  </si>
  <si>
    <t>Medicago truncatula truncatula</t>
  </si>
  <si>
    <t>Instituto Fitogenetico 'Santa Catalina'</t>
  </si>
  <si>
    <t>Medicago turbinata (L.) All.</t>
  </si>
  <si>
    <t>Instituto Nacional de Ciencas Agr.</t>
  </si>
  <si>
    <t>Medicago varia Martyn</t>
  </si>
  <si>
    <t>Instituto Nacional de Investigação Agronomica</t>
  </si>
  <si>
    <t>Microcitrus australasica (F. Muell.) Swingle</t>
  </si>
  <si>
    <t>Instituto Nacional de Investigacion Agropecuaria</t>
  </si>
  <si>
    <t>(Microcitrus australasica (F. Muell.) Swingle x (Fortunella sp. x Citrus mitis))</t>
  </si>
  <si>
    <t>Instituto nacional de Investigaciones Agricolas Celaya Mexique</t>
  </si>
  <si>
    <t>(Microcitrus australasica (F. Muell.) Swingle x Microcitrus australis (Planch.) Swing.)</t>
  </si>
  <si>
    <t>Instituto Nacional de Investigaciones Forestales, Agrícolas y Pecuarias</t>
  </si>
  <si>
    <t>Microcitrus australis (A. Cunn. ex Mudie) Swingle</t>
  </si>
  <si>
    <t>Instituto Nacional de Tecnología Agropecuaria</t>
  </si>
  <si>
    <t>Microcitrus Swingle</t>
  </si>
  <si>
    <t>Instituto Nacional de Tecnología Agropecuaria Estacion Experimental Marcos Juárez</t>
  </si>
  <si>
    <t>Monodelphis domestica</t>
  </si>
  <si>
    <t>Instituto Nacional de Tecnología Agropecuaria Estacion Experimental Pergamino</t>
  </si>
  <si>
    <t>Murraya J. Koenig ex L.</t>
  </si>
  <si>
    <t>Instituto Valenciano de Investigaciones Agrarias</t>
  </si>
  <si>
    <t>Murraya paniculata (L.) Jack</t>
  </si>
  <si>
    <t>INTA</t>
  </si>
  <si>
    <t>Mus musculus</t>
  </si>
  <si>
    <t>INTA Estacion Experimental</t>
  </si>
  <si>
    <t>Muscadinia munsoniana Small</t>
  </si>
  <si>
    <t>Interactions Arbres/Microorganismes</t>
  </si>
  <si>
    <t>Muscadinia popenoei Fennell</t>
  </si>
  <si>
    <t>International Centre for Agricultural Research in Dry Areas</t>
  </si>
  <si>
    <t>Muscadinia rotundifolia cv. Carlos</t>
  </si>
  <si>
    <t>International Institute of Tropical Agriculture</t>
  </si>
  <si>
    <t>Muscadinia rotundifolia cv. Dulcet</t>
  </si>
  <si>
    <t>IPK</t>
  </si>
  <si>
    <t>Muscadinia rotundifolia cv. Fry</t>
  </si>
  <si>
    <t>IPMSV</t>
  </si>
  <si>
    <t>Muscadinia rotundifolia cv. Regale</t>
  </si>
  <si>
    <t>IRD</t>
  </si>
  <si>
    <t>Muscadinia rotundifolia cv. Trayshed</t>
  </si>
  <si>
    <t>IRISA</t>
  </si>
  <si>
    <t>Muscadinia rotundifolia cv. Yuga x Carlos</t>
  </si>
  <si>
    <t>IRRI</t>
  </si>
  <si>
    <t>Muscadinia rotundifolia Mchx.</t>
  </si>
  <si>
    <t>Istituto di Agronomia e Coltivazioni - Universita di Bologna</t>
  </si>
  <si>
    <t>Muscadinia Small</t>
  </si>
  <si>
    <t>Istituto di Genetica Vegetale, Consiglio Nazionale delle Richerche</t>
  </si>
  <si>
    <t>Myzus persicae</t>
  </si>
  <si>
    <t>Istituto di Scienze Biochimiche</t>
  </si>
  <si>
    <t>Olea europaea L.</t>
  </si>
  <si>
    <t>Istituto Sperimentale per lAgrumicoltura</t>
  </si>
  <si>
    <t>Onobrychis Hill.</t>
  </si>
  <si>
    <t>ISV-CNRS</t>
  </si>
  <si>
    <t>Onobrychis viciifolia Scop.</t>
  </si>
  <si>
    <t>J. Berthélémé</t>
  </si>
  <si>
    <t>Oryza barthii</t>
  </si>
  <si>
    <t>Jardin Botanico, Wilson Popenoe de Lancetilla</t>
  </si>
  <si>
    <t>Oryza glaberrima</t>
  </si>
  <si>
    <t>Jardin botanique de Bordeaux</t>
  </si>
  <si>
    <t>Oryza longistaminata</t>
  </si>
  <si>
    <t>Jiangsu Academy of Agricultural Sciences</t>
  </si>
  <si>
    <t>Oryza nivara</t>
  </si>
  <si>
    <t>JKI Julius Kühn-Institut</t>
  </si>
  <si>
    <t>Oryza rufipogon</t>
  </si>
  <si>
    <t>John Innes CentreNorwich Research Park</t>
  </si>
  <si>
    <t>Oryza sativa</t>
  </si>
  <si>
    <t>Jorion</t>
  </si>
  <si>
    <t>Oryzias latipes</t>
  </si>
  <si>
    <t>Jose Buck S.A.</t>
  </si>
  <si>
    <t>Pan troglodytes</t>
  </si>
  <si>
    <t>Joseph Nickerson Research Centre</t>
  </si>
  <si>
    <t>Parthenocissus henryana Graebn. ex Diels</t>
  </si>
  <si>
    <t>Jourdan Pierre,  Tain - France</t>
  </si>
  <si>
    <t>Parthenocissus Planch.</t>
  </si>
  <si>
    <t>Julius Kühn-Institut</t>
  </si>
  <si>
    <t>Parthenocissus quinquefolia (L.) Planch.</t>
  </si>
  <si>
    <t>Kaerntner Saatbaugenossenschaft/Carinthian Agricultural Company</t>
  </si>
  <si>
    <t>Parthenocissus tricuspidata Planch.</t>
  </si>
  <si>
    <t>Kagoshima University, Faculty of Agriculture, Laboratory of Horticultural Science</t>
  </si>
  <si>
    <t>Parthenocissus voineriana</t>
  </si>
  <si>
    <t>Kansas Agricultural Experiment Station, Kansas State University</t>
  </si>
  <si>
    <t>Phaseolus vulgaris</t>
  </si>
  <si>
    <t>Kansas State University</t>
  </si>
  <si>
    <t>Phleum L.</t>
  </si>
  <si>
    <t>Karaganda State Agricultural Experiment Station</t>
  </si>
  <si>
    <t>Phleum pratense L.</t>
  </si>
  <si>
    <t>Kazakh Research Institute of Agriculture</t>
  </si>
  <si>
    <t>Phytophthora parasitica</t>
  </si>
  <si>
    <t>Key Lab. of Crop Germplasm &amp; Biotechnology</t>
  </si>
  <si>
    <t>Picea abies</t>
  </si>
  <si>
    <t>Key Laboratory of Crop Germplasm &amp; Biotechnology</t>
  </si>
  <si>
    <t>Pinus pinaster</t>
  </si>
  <si>
    <t>Key Laboratory of Ministry of Education for PlantDevelopmental Biology</t>
  </si>
  <si>
    <t>Pinus sylvestris</t>
  </si>
  <si>
    <t>Key Laboratory Tree Genetic Engineering of Nanjing Forestry</t>
  </si>
  <si>
    <t>Pisum fulvum</t>
  </si>
  <si>
    <t>Kihara Institute for Biological Research,  Yokohama CityUniversity</t>
  </si>
  <si>
    <t>Pisum L.</t>
  </si>
  <si>
    <t>Kihara Institute for Biological Research, Yokohama City University</t>
  </si>
  <si>
    <t>Pisum sativum L.</t>
  </si>
  <si>
    <t>Kleinwanzlebener Saatzucht AG</t>
  </si>
  <si>
    <t>Pisum sativum subsp. abyssinicum</t>
  </si>
  <si>
    <t>Krasnyy Kut breeding station</t>
  </si>
  <si>
    <t>Pisum sativum subsp. elatius</t>
  </si>
  <si>
    <t>Kumho Life &amp; Environmental Science Laboratory (KLESL)</t>
  </si>
  <si>
    <t>Pisum sativum subsp. sativum</t>
  </si>
  <si>
    <t>KWS France</t>
  </si>
  <si>
    <t>Pisum sativum var. arvense</t>
  </si>
  <si>
    <t>KWS UK Ltd</t>
  </si>
  <si>
    <t>Pisum sativum var. choresmicum</t>
  </si>
  <si>
    <t>La. Agr. Exp. Sta.</t>
  </si>
  <si>
    <t>Pisum sativum var. pumilio</t>
  </si>
  <si>
    <t>Lab. Biol. Developpement des Plantes</t>
  </si>
  <si>
    <t>Pisum sativum var. tibetanicum</t>
  </si>
  <si>
    <t>Lab. Biotech. et Amelior. Plantes - Pole de Biotechnologie Vegetale</t>
  </si>
  <si>
    <t>Poncirus polyandra S. Q. Ding et al.</t>
  </si>
  <si>
    <t>Lab de Biochimie</t>
  </si>
  <si>
    <t>Poncirus Raf.</t>
  </si>
  <si>
    <t>Lab of Biotechnology</t>
  </si>
  <si>
    <t>Poncirus trifoliata (L.) Raf.</t>
  </si>
  <si>
    <t>Lab of Molecular Biology</t>
  </si>
  <si>
    <t>Populus alba</t>
  </si>
  <si>
    <t>Lab. of Plant Development Physiology and  Molecular Biology</t>
  </si>
  <si>
    <t>Populus alba x populus tremula var. glandulosa</t>
  </si>
  <si>
    <t>Lab of Plant Molecular Physiology</t>
  </si>
  <si>
    <t>Populus deltoides</t>
  </si>
  <si>
    <t>Laboratoire BAP</t>
  </si>
  <si>
    <t>Populus deltoides x Populus nigra</t>
  </si>
  <si>
    <t>Laboratoire de Biologie du Developpement des Plantes</t>
  </si>
  <si>
    <t>Populus deltoides x populus trichocarpa</t>
  </si>
  <si>
    <t>Laboratoire de Biologie du developpement des plantes</t>
  </si>
  <si>
    <t>Populus euphratica</t>
  </si>
  <si>
    <t>Laboratoire de Biologie Moleculaire</t>
  </si>
  <si>
    <t>Populus fremontii</t>
  </si>
  <si>
    <t>Laboratoire de Biotechnologie et Amelioration des Plantes</t>
  </si>
  <si>
    <t>Populus fremontii x populus angustifolia</t>
  </si>
  <si>
    <t>Laboratoire de Biotechnologie et d'amélioration des plantes</t>
  </si>
  <si>
    <t>Populus nigra</t>
  </si>
  <si>
    <t>Laboratoire de Génétique et Amélioration des Plantes, INRA-Lille</t>
  </si>
  <si>
    <t>Populus tomentiglandulosa</t>
  </si>
  <si>
    <t>Laboratoire de Genetique Moleculaire</t>
  </si>
  <si>
    <t>Populus tremula</t>
  </si>
  <si>
    <t>Laboratoire de Genomique et Bioinformatique</t>
  </si>
  <si>
    <t>Populus tremula x populus alba</t>
  </si>
  <si>
    <t>Laboratoire de Génomique et Bioinformatique</t>
  </si>
  <si>
    <t>Populus tremula x populus tremuloides</t>
  </si>
  <si>
    <t>Laboratoire de Mondonville</t>
  </si>
  <si>
    <t>Populus tremuloides</t>
  </si>
  <si>
    <t>Laboratoire de Nutrition Azotee des Plantes</t>
  </si>
  <si>
    <t>Populus trichocarpa</t>
  </si>
  <si>
    <t>Laboratoire de Pathologie Vegetale</t>
  </si>
  <si>
    <t>Populus trichocarpa x populus deltoides</t>
  </si>
  <si>
    <t>Laboratoire de Physiologie et Biologie MoleculairesVegetales,  URA CNRS 565</t>
  </si>
  <si>
    <t>Populus trichocarpa x Populus nigra</t>
  </si>
  <si>
    <t>Laboratoire de Phytoparasitologie</t>
  </si>
  <si>
    <t>Populus x canadensis</t>
  </si>
  <si>
    <t>Laboratoire de Phytopathologie Moleculaire ; SainsburyLaboratory</t>
  </si>
  <si>
    <t>Prunus armeniaca L.</t>
  </si>
  <si>
    <t>Laboratoire de Phytopathologie Moleculaire (LPPM)</t>
  </si>
  <si>
    <t>Prunus avium L.</t>
  </si>
  <si>
    <t>Laboratoire d'Organogenese Moleculaire Vegetale</t>
  </si>
  <si>
    <t>Prunus cerasus L.</t>
  </si>
  <si>
    <t>Laboratoire genome et developpement des plantes LGDP</t>
  </si>
  <si>
    <t>Prunus domestica L.</t>
  </si>
  <si>
    <t>Laboratoire Ginome et Diveloppement des Plantes</t>
  </si>
  <si>
    <t>Prunus dulcis (P. Mill.) D.A. Webber</t>
  </si>
  <si>
    <t>Laboratorio di Genetica Molecolare</t>
  </si>
  <si>
    <t>Prunus insititia L.</t>
  </si>
  <si>
    <t>Laboratory for Genomics and  Bioinformatics</t>
  </si>
  <si>
    <t>Prunus L.</t>
  </si>
  <si>
    <t>Laboratory of Biochemistry,  Department of Molecular Geneticsand</t>
  </si>
  <si>
    <t>Prunus semperflorens Ehrh.</t>
  </si>
  <si>
    <t>Laboratory of Functional Genetics</t>
  </si>
  <si>
    <t>Prunus x gondouinii (Poit. &amp; Turpin.) Schneid.</t>
  </si>
  <si>
    <t>Laboratory of Molecular Biology</t>
  </si>
  <si>
    <t>Pterocissus mirabilis Urb. &amp; Ekman</t>
  </si>
  <si>
    <t>Laboratory of Plant Biotechnology</t>
  </si>
  <si>
    <t>Pterocissus Urb. &amp; Ekman</t>
  </si>
  <si>
    <t>Laboratory of Plant Molecular Biology</t>
  </si>
  <si>
    <t>Pyrus L.</t>
  </si>
  <si>
    <t>Laboratory of Plant Molecular Breeding</t>
  </si>
  <si>
    <t>Quercus petraea</t>
  </si>
  <si>
    <t>Laboratory of Tropical Crop Improvement, Katholieke Universiteit Leuven</t>
  </si>
  <si>
    <t>Quercus robur</t>
  </si>
  <si>
    <t>Lacombe Research Centre Agriculture and Agri-Food Canada</t>
  </si>
  <si>
    <t>Rhopalosiphum padi</t>
  </si>
  <si>
    <t>Lafite, Ferme des Anglais</t>
  </si>
  <si>
    <t>Rosa chinensis</t>
  </si>
  <si>
    <t>Landbrugets Kornforaedling Sejet</t>
  </si>
  <si>
    <t>Rosa hybrida</t>
  </si>
  <si>
    <t>Landwirtschaftliche Lehranstalten Triesdorf</t>
  </si>
  <si>
    <t>Rosa wichuraiana</t>
  </si>
  <si>
    <t>Landwirtschaftsbetrieb Neuhof Rohrau, Pflanzenzucht</t>
  </si>
  <si>
    <t>Rutaceae</t>
  </si>
  <si>
    <t>Layne David - Summerland BC - Canada</t>
  </si>
  <si>
    <t>Saccharum officinarum</t>
  </si>
  <si>
    <t>LCB</t>
  </si>
  <si>
    <t>Saccharum spontaneum</t>
  </si>
  <si>
    <t>Lehrstuhl fuer Genetik</t>
  </si>
  <si>
    <t>Sclerotinia sclerotorium</t>
  </si>
  <si>
    <t>Leshan Citrus Association</t>
  </si>
  <si>
    <t>Secale cereale</t>
  </si>
  <si>
    <t>Lethbridge Research Station, Agriculture Canada</t>
  </si>
  <si>
    <t>Severinia buxifolia (Poir.) Ten.</t>
  </si>
  <si>
    <t>Letianxi Special Produce Station</t>
  </si>
  <si>
    <t>Severinia Ten. ex Endl.</t>
  </si>
  <si>
    <t>LG Molekulargenetik</t>
  </si>
  <si>
    <t>Solanum alandiae Cardenas</t>
  </si>
  <si>
    <t>Limagrain</t>
  </si>
  <si>
    <t>Solanum albicans Ochoa</t>
  </si>
  <si>
    <t>Limagrain Europe Riom</t>
  </si>
  <si>
    <t>Solanum andreanum Baker</t>
  </si>
  <si>
    <t>Limagrain Genetics</t>
  </si>
  <si>
    <t>Solanum avilesii Hawkes &amp; Hjert.</t>
  </si>
  <si>
    <t>Limagrain Iberica</t>
  </si>
  <si>
    <t>Solanum berthaultii Hawkes</t>
  </si>
  <si>
    <t>Limagrain UK Ltd</t>
  </si>
  <si>
    <t>Solanum brachistotrichum Rydb.</t>
  </si>
  <si>
    <t>Limagrain Verneuil Holding</t>
  </si>
  <si>
    <t>Solanum brevidens Phil.</t>
  </si>
  <si>
    <t>Limagrain-Nickerson GmbH</t>
  </si>
  <si>
    <t>Solanum bulbocastanum Dunal</t>
  </si>
  <si>
    <t>Lincoln University</t>
  </si>
  <si>
    <t>Solanum cardiophyllum Lindl.</t>
  </si>
  <si>
    <t>LIPM,  CNRS/INRA</t>
  </si>
  <si>
    <t>Solanum chacoense Bitter</t>
  </si>
  <si>
    <t>Lita Annenberg Hazen Genome Sequencing Center</t>
  </si>
  <si>
    <t>Solanum cheesmaniae</t>
  </si>
  <si>
    <t>Lithuanian Institute of Agriculture</t>
  </si>
  <si>
    <t>Solanum chmielewskii</t>
  </si>
  <si>
    <t>London Horticultural Society</t>
  </si>
  <si>
    <t>Solanum comersonii Poir.</t>
  </si>
  <si>
    <t>Louisiana State University USA</t>
  </si>
  <si>
    <t>Solanum demissum Lindl.</t>
  </si>
  <si>
    <t>Luigi Samoggia</t>
  </si>
  <si>
    <t>Solanum etuberosum Lindl.</t>
  </si>
  <si>
    <t>Luk'janenko Krasnodar Agricultural Research Institute</t>
  </si>
  <si>
    <t>Solanum fendleri A. Gray</t>
  </si>
  <si>
    <t>M. Alain Marcel</t>
  </si>
  <si>
    <t>Solanum gourlayi Hawkes</t>
  </si>
  <si>
    <t>M. Anderson Fred, CA - USA</t>
  </si>
  <si>
    <t>Solanum habrochaites</t>
  </si>
  <si>
    <t>M. Ballot</t>
  </si>
  <si>
    <t>Solanum hougasii Correll</t>
  </si>
  <si>
    <t>M. Bordes, Rivesaltes Pyrénées Orientales - France</t>
  </si>
  <si>
    <t>Solanum kurtzianum Bitter &amp; Wittm.</t>
  </si>
  <si>
    <t>M. Bouchot</t>
  </si>
  <si>
    <t>Solanum L.</t>
  </si>
  <si>
    <t>M. Boyat</t>
  </si>
  <si>
    <t>Solanum lycopersicum</t>
  </si>
  <si>
    <t>M. Briot</t>
  </si>
  <si>
    <t>Solanum lycopersicum var. cerasiforme</t>
  </si>
  <si>
    <t>M. Brun</t>
  </si>
  <si>
    <t>Solanum oplocense Hawkes</t>
  </si>
  <si>
    <t>M. Canino, Spain</t>
  </si>
  <si>
    <t>Solanum pennellii</t>
  </si>
  <si>
    <t>M. Carraut</t>
  </si>
  <si>
    <t>Solanum phureja Juz. &amp; Bukasov</t>
  </si>
  <si>
    <t>M. Chazotier</t>
  </si>
  <si>
    <t>Solanum pimpinellifolium</t>
  </si>
  <si>
    <t>M. Chorozé, pépiniériste</t>
  </si>
  <si>
    <t>Solanum polyadenium Greenm.</t>
  </si>
  <si>
    <t>M. Clanet</t>
  </si>
  <si>
    <t>Solanum polytrichon Rydb.</t>
  </si>
  <si>
    <t>M. Coste, Pyrénées Orientales - France</t>
  </si>
  <si>
    <t>Solanum schenckii Bitter</t>
  </si>
  <si>
    <t>M. Cunty</t>
  </si>
  <si>
    <t>Solanum sparsipilum Juz. &amp; Bukasov</t>
  </si>
  <si>
    <t>M. Duquesne</t>
  </si>
  <si>
    <t>Solanum spegazzinii Bitter</t>
  </si>
  <si>
    <t>M. Escudier, Aramon, Gard - France</t>
  </si>
  <si>
    <t>Solanum stenotonum Juz. &amp; Bukasov</t>
  </si>
  <si>
    <t>M. Flandin, pépiniériste</t>
  </si>
  <si>
    <t>Solanum stoloniferum Schltdl. &amp; Bouché</t>
  </si>
  <si>
    <t>M. Gidouin</t>
  </si>
  <si>
    <t>Solanum sucrense Hawkes</t>
  </si>
  <si>
    <t>M. Goepfert</t>
  </si>
  <si>
    <t>Solanum tarijense Hawkes</t>
  </si>
  <si>
    <t>M. Grassely</t>
  </si>
  <si>
    <t>Solanum trifidum Correll</t>
  </si>
  <si>
    <t>M. Guillaume</t>
  </si>
  <si>
    <t>Solanum tuberosum andigenum Juz. &amp; Bukasov</t>
  </si>
  <si>
    <t>M. Jaboulay</t>
  </si>
  <si>
    <t>Solanum tuberosum L.</t>
  </si>
  <si>
    <t>M. Kupper, arboriculteur</t>
  </si>
  <si>
    <t>Solanum tuberosum tuberosum L.</t>
  </si>
  <si>
    <t>M. Laboulfié</t>
  </si>
  <si>
    <t>Solanum vernei Bitter &amp; Wittm.</t>
  </si>
  <si>
    <t>M. Lerouzic</t>
  </si>
  <si>
    <t>Sorghum bicolor</t>
  </si>
  <si>
    <t>M. Luizet, Ecully, Rhone - France</t>
  </si>
  <si>
    <t>(Tangelo x Citrus paradisi Macf.)</t>
  </si>
  <si>
    <t>M. Malauzat, rue Château Trompette</t>
  </si>
  <si>
    <t>(Tangor x Citrus temple Hort. ex Y. Tan.)</t>
  </si>
  <si>
    <t>M. Maray-Meuilley</t>
  </si>
  <si>
    <t>Tetrastigma K.Schum.</t>
  </si>
  <si>
    <t>M. Merrand, St Etienne de Valoux, Ardeche - France</t>
  </si>
  <si>
    <t>Tetrastigma lanceolarium Planch.</t>
  </si>
  <si>
    <t>M. Moll</t>
  </si>
  <si>
    <t>Tetrastigma voinearium Pierre ex Gagnep.</t>
  </si>
  <si>
    <t>M. Murat</t>
  </si>
  <si>
    <t>Theobroma cacao</t>
  </si>
  <si>
    <t>M. Pejouan, Toulouges, Pyrénées Orientales  - France</t>
  </si>
  <si>
    <t>Thinopyrum ponticum (Podp.) Barkworth &amp; D.R. Dewey</t>
  </si>
  <si>
    <t>M. Pérès</t>
  </si>
  <si>
    <t>Toxoptera citricida</t>
  </si>
  <si>
    <t>M. Pierre Renoux</t>
  </si>
  <si>
    <t>Trifolium L.</t>
  </si>
  <si>
    <t>M. Poncet</t>
  </si>
  <si>
    <t>Trifolium pratense L.</t>
  </si>
  <si>
    <t>M. Popon</t>
  </si>
  <si>
    <t>Trifolium repens L.</t>
  </si>
  <si>
    <t>M. Ribelaygue, Pyrénées Orientales - France</t>
  </si>
  <si>
    <t>Trifolium resupinatum L.</t>
  </si>
  <si>
    <t>M. Riou Pierre, Francia</t>
  </si>
  <si>
    <t>Trifolium subterraneum</t>
  </si>
  <si>
    <t>M. Rohn</t>
  </si>
  <si>
    <t>Trifolium subterraneum brachicalycinum</t>
  </si>
  <si>
    <t>M. Roth</t>
  </si>
  <si>
    <t>Trifolium subterraneum subterraneum</t>
  </si>
  <si>
    <t>M. Roudier, Larnage - France</t>
  </si>
  <si>
    <t>Trifolium subterraneum yanninicum</t>
  </si>
  <si>
    <t>M. Rouget, Sernhac - France</t>
  </si>
  <si>
    <t>Triticeae</t>
  </si>
  <si>
    <t>M. Royère à 'Le Bicout'</t>
  </si>
  <si>
    <t>Triticum</t>
  </si>
  <si>
    <t>M. Saint-Germain</t>
  </si>
  <si>
    <t>Triticum aaronshii</t>
  </si>
  <si>
    <t>M. Schmidt</t>
  </si>
  <si>
    <t>Triticum aaronshii aaronshii</t>
  </si>
  <si>
    <t>M. Sigalas Antoine, Bordes-Hautes</t>
  </si>
  <si>
    <t>Triticum abyssinicum</t>
  </si>
  <si>
    <t>M. Soupa</t>
  </si>
  <si>
    <t>Triticum aegilopoides (Link) Bal.</t>
  </si>
  <si>
    <t>M. Stentzel</t>
  </si>
  <si>
    <t>M. Thomas</t>
  </si>
  <si>
    <t>Triticum aestivum aestivum</t>
  </si>
  <si>
    <t>M. Tisseyre, St Hyppolite Pyrénées Orientales - France</t>
  </si>
  <si>
    <t>Triticum aestivum compactum</t>
  </si>
  <si>
    <t>M. Wouters - Argentine</t>
  </si>
  <si>
    <t>Triticum aestivum fongicidum</t>
  </si>
  <si>
    <t>M. Zimandl</t>
  </si>
  <si>
    <t>Triticum aestivum group aestivum Bowden</t>
  </si>
  <si>
    <t>Maillard Arsène et Laurence, Elne - France</t>
  </si>
  <si>
    <t>Triticum aestivum group macha</t>
  </si>
  <si>
    <t>Maïsadour semences</t>
  </si>
  <si>
    <t>Triticum aestivum hisbis</t>
  </si>
  <si>
    <t>Maison Fernand Le Peuple</t>
  </si>
  <si>
    <t>Triticum aestivum L.</t>
  </si>
  <si>
    <t>Maize Group of National Key Labortory of Crop GeneticImprovement</t>
  </si>
  <si>
    <t>Triticum aestivum L. em. Thell.</t>
  </si>
  <si>
    <t>Maize Research Institute 'Zemin Polje'</t>
  </si>
  <si>
    <t>Triticum aestivum L. em. Thell. group aestivum</t>
  </si>
  <si>
    <t>Malang Research Institute for Food Crops, BALITAN</t>
  </si>
  <si>
    <t>Triticum aestivum L. em. Thell. group compactum (Host) Thell.</t>
  </si>
  <si>
    <t>Maliani Genetica di Maliani Cesare</t>
  </si>
  <si>
    <t>Triticum aestivum L. em. Thell. group spelta (L.) Thell.</t>
  </si>
  <si>
    <t>MAP</t>
  </si>
  <si>
    <t>Triticum aestivum L. em. Thell. group sphaerococcum (Perc.) Mac Key</t>
  </si>
  <si>
    <t>Marc CREPIN</t>
  </si>
  <si>
    <t>Triticum aestivum L. em. Thell. group vavilovii (Jakubz.) A. Love, stat. &amp; comb. nov</t>
  </si>
  <si>
    <t>Maryland Agricultural Experiment Station, University of Maryland</t>
  </si>
  <si>
    <t>Triticum aestivum L. em. Thell. subsp. compactum (Host.) MK.</t>
  </si>
  <si>
    <t>McNair Seed Company</t>
  </si>
  <si>
    <t>Triticum aestivum L. em. Thell. subsp. spelta (L.) Thell.</t>
  </si>
  <si>
    <t>Merckling</t>
  </si>
  <si>
    <t>Triticum aestivum L. em. Thell. subsp. sphaerococcum (Perc.) MK.</t>
  </si>
  <si>
    <t>Michigan Agricultural Experiment Station, Michigan State University</t>
  </si>
  <si>
    <t>Triticum aestivum L. em. Thell. subsp. vavilovi (Tuman.) Sears</t>
  </si>
  <si>
    <t>Microbiology and  Cell Biology</t>
  </si>
  <si>
    <t>Triticum aestivum L. group macha Bowden</t>
  </si>
  <si>
    <t>Microbiology and  Plant Phisiology</t>
  </si>
  <si>
    <t>Triticum aestivum L. ssp. hadropyrum (Flaksb.) Tzvelev</t>
  </si>
  <si>
    <t>Miln Masters Group Ltd</t>
  </si>
  <si>
    <t>Triticum aestivum L. ssp. macha (Dekapr. &amp; Menabde) Mac Key</t>
  </si>
  <si>
    <t>Minnesota Agricultural Experiment Station, University of Minnesota</t>
  </si>
  <si>
    <t>Triticum aestivum macha</t>
  </si>
  <si>
    <t>Minstry of Agriculture</t>
  </si>
  <si>
    <t>Triticum aestivum oasiculum</t>
  </si>
  <si>
    <t>Missouri Agricultural Experiment Station, University of Missouri</t>
  </si>
  <si>
    <t>Triticum aestivum petropavlovskyi</t>
  </si>
  <si>
    <t>Molecular and  Developmental Genetics</t>
  </si>
  <si>
    <t>Triticum aestivum spelta</t>
  </si>
  <si>
    <t>Molecular and Cell Biology</t>
  </si>
  <si>
    <t>Triticum aestivum sphaerococcum</t>
  </si>
  <si>
    <t>Molecular Biology</t>
  </si>
  <si>
    <t>Triticum aestivum ssp. aestivum</t>
  </si>
  <si>
    <t>Molecular Genetics</t>
  </si>
  <si>
    <t>Triticum aestivum ssp. hadropyrum</t>
  </si>
  <si>
    <t>Molecular Host plant resistance lab-Dr. C. Mike Smith</t>
  </si>
  <si>
    <t>Triticum aestivum var. compactum</t>
  </si>
  <si>
    <t>Molecular Plant Genetics</t>
  </si>
  <si>
    <t>Triticum aestivum var. compactum Bowden</t>
  </si>
  <si>
    <t>Triticum aestivum var. spelta</t>
  </si>
  <si>
    <t>Mons</t>
  </si>
  <si>
    <t>Triticum aestivum var. spelta Bowden</t>
  </si>
  <si>
    <t>Monsanto Company</t>
  </si>
  <si>
    <t>Triticum aestivum var. sphaerococcum</t>
  </si>
  <si>
    <t>Monsanto (Nîmes)</t>
  </si>
  <si>
    <t>Triticum aestivum var. sphaerococcum Bowden</t>
  </si>
  <si>
    <t>Monsanto semences</t>
  </si>
  <si>
    <t>Triticum aestivum var. vavilovii Bowden</t>
  </si>
  <si>
    <t>Monsanto (St Andiol)</t>
  </si>
  <si>
    <t>Triticum aestivum vavilovi</t>
  </si>
  <si>
    <t>Montana Agricultural Experiment Station, Montana State University</t>
  </si>
  <si>
    <t>Triticum amyleum</t>
  </si>
  <si>
    <t>Montanari Domenico, Faenza - Italy</t>
  </si>
  <si>
    <t>Triticum araraticum</t>
  </si>
  <si>
    <t>Monteux Caillet René, Mouries - France</t>
  </si>
  <si>
    <t>Triticum araraticum Jakubz.</t>
  </si>
  <si>
    <t>Montpellier SupAgro</t>
  </si>
  <si>
    <t>Triticum armeniacum (Jakubz.) A. Loeve &amp; D. Loeve</t>
  </si>
  <si>
    <t>Morphogenesis Research Group</t>
  </si>
  <si>
    <t>Triticum asiaticum Kudr.</t>
  </si>
  <si>
    <t>Morstar a.s., Breeding Station</t>
  </si>
  <si>
    <t>Triticum baeoticum</t>
  </si>
  <si>
    <t>Mr. Mazéas</t>
  </si>
  <si>
    <t>Triticum boeoticum ssp. boeoticum</t>
  </si>
  <si>
    <t>MSU-DOE Plant Research Laboratory</t>
  </si>
  <si>
    <t>Triticum boeoticum ssp. thaoudar</t>
  </si>
  <si>
    <t>MUCL Culture Collection</t>
  </si>
  <si>
    <t>Triticum cereale Schrank</t>
  </si>
  <si>
    <t>Murdoch University</t>
  </si>
  <si>
    <t>Triticum columnare</t>
  </si>
  <si>
    <t>Muséum d'histoire naturelle de Grenoble</t>
  </si>
  <si>
    <t>Triticum comosum</t>
  </si>
  <si>
    <t>Museum National d'Histoire Naturelle de Paris</t>
  </si>
  <si>
    <t>Triticum compositum</t>
  </si>
  <si>
    <t>Mutation breeding</t>
  </si>
  <si>
    <t>Triticum compositum L.</t>
  </si>
  <si>
    <t>NARO Hokkaido Agricultural Research Center</t>
  </si>
  <si>
    <t>Triticum crassum</t>
  </si>
  <si>
    <t>NARO Tohoku Agricultural Research Center</t>
  </si>
  <si>
    <t>Triticum cylindricum</t>
  </si>
  <si>
    <t>NASC</t>
  </si>
  <si>
    <t>Triticum dichasians</t>
  </si>
  <si>
    <t>National Biological Institute</t>
  </si>
  <si>
    <t>Triticum dicoccoides (Korn. ex Aschers. &amp; Graebn.) Aarons</t>
  </si>
  <si>
    <t>National Bureau of Plant Genetic Resources</t>
  </si>
  <si>
    <t>Triticum dicoccoides (Korn. ex Aschers. et Graebn.) Schweinf.</t>
  </si>
  <si>
    <t>National Center for Agricultural research and Technology Transfer</t>
  </si>
  <si>
    <t>Triticum dicoccoides Korn. ex Schweinf.</t>
  </si>
  <si>
    <t>National Center for Gene Research</t>
  </si>
  <si>
    <t>Triticum dicoccoides Korn. in litt. in Schweinf.</t>
  </si>
  <si>
    <t>National Citrus Research Programme</t>
  </si>
  <si>
    <t>Triticum dicoccoides race orientale Percival</t>
  </si>
  <si>
    <t>National Clonal Germplasm Repository - Orlando, USDA-ARS</t>
  </si>
  <si>
    <t>Triticum dicoccoides var. nudiglumis</t>
  </si>
  <si>
    <t>National Crop Experiment Station Seodundong</t>
  </si>
  <si>
    <t>Triticum dicoccoides var. nudiglumis Nabalek</t>
  </si>
  <si>
    <t>National Genebank of Kenya, Crop Plant Genetic Resources Centre - Muguga</t>
  </si>
  <si>
    <t>Triticum dicoccoides var. pyramidale Percival</t>
  </si>
  <si>
    <t>National Horticultural Research Institute</t>
  </si>
  <si>
    <t>Triticum dicoccoides var. timopheevii Zhuk.</t>
  </si>
  <si>
    <t>National Institute of Agrobiological Resources</t>
  </si>
  <si>
    <t>Triticum dicoccon</t>
  </si>
  <si>
    <t>National Institute of Agrobiological Sciences</t>
  </si>
  <si>
    <t>Triticum dicoccon Schrank</t>
  </si>
  <si>
    <t>National Institute of Agro-Environmental Sciences</t>
  </si>
  <si>
    <t>Triticum dicoccon (Schrank) A. Love, comb. nov.</t>
  </si>
  <si>
    <t>National Institute of Fruit Tree Science</t>
  </si>
  <si>
    <t>Triticum dicoccum Schrank</t>
  </si>
  <si>
    <t>National Key Laboratory of Crop Genetic Improvement</t>
  </si>
  <si>
    <t>Triticum dimococcum</t>
  </si>
  <si>
    <t>National Plant Breeding Research Station</t>
  </si>
  <si>
    <t>Triticum durum (Desf.) A. Love, comb. nov.</t>
  </si>
  <si>
    <t>National Plant Genetic Resources Centre</t>
  </si>
  <si>
    <t>Triticum farrum Bayle-Bar.</t>
  </si>
  <si>
    <t>National Plant Germplasm Quarantine Laboratory, USDA-ARS</t>
  </si>
  <si>
    <t>Triticum fungicidum</t>
  </si>
  <si>
    <t>National Research Centre for Citrus</t>
  </si>
  <si>
    <t>Triticum fungicidum subsp. nigrum</t>
  </si>
  <si>
    <t>National Research Centre on Plant Biotechnology</t>
  </si>
  <si>
    <t>Triticum georgicum</t>
  </si>
  <si>
    <t>National White Clover Impr. Prog. Agricultural Research &amp; Adv. Stat.</t>
  </si>
  <si>
    <t>Triticum hybernum L.</t>
  </si>
  <si>
    <t>Natural Resource Sciences and Landscape Architecture</t>
  </si>
  <si>
    <t>Triticum ibericum Menabde</t>
  </si>
  <si>
    <t>Nebraska Agricultural Experiment Station, University of Nebraska</t>
  </si>
  <si>
    <t>Triticum jakubzineri</t>
  </si>
  <si>
    <t>NEIKER-Tecnalia</t>
  </si>
  <si>
    <t>Triticum junceum L.</t>
  </si>
  <si>
    <t>New Mexico State University USA</t>
  </si>
  <si>
    <t>Triticum juvenale</t>
  </si>
  <si>
    <t>New South Wales Agriculture</t>
  </si>
  <si>
    <t>Triticum juvenale Thell.</t>
  </si>
  <si>
    <t>New York State Agricultural Experiment Station, Cornell University</t>
  </si>
  <si>
    <t>Triticum karamyschevii Nevski</t>
  </si>
  <si>
    <t>New Zealand Institute for Crop and Food Research, Ltd.</t>
  </si>
  <si>
    <t>Triticum kiharae</t>
  </si>
  <si>
    <t>Newhall Land and Water Compagny</t>
  </si>
  <si>
    <t>Triticum kotschyi</t>
  </si>
  <si>
    <t>N.I. Vavilov All-Russian Scientific Research Institute of Plant Industry</t>
  </si>
  <si>
    <t>Triticum L.</t>
  </si>
  <si>
    <t>N.I. Vavilov Research Instituteof Plant Industry</t>
  </si>
  <si>
    <t>Triticum macrochaetum</t>
  </si>
  <si>
    <t>Nickerson</t>
  </si>
  <si>
    <t>Triticum monococcum</t>
  </si>
  <si>
    <t>Nimblegen Systems Inc</t>
  </si>
  <si>
    <t>Triticum monococcum boeoticum</t>
  </si>
  <si>
    <t>nite de Genetique et d'Amelioration des Fruits et Legumes</t>
  </si>
  <si>
    <t>Triticum monococcum L. subsp. boeoticum (Boiss.) MK.</t>
  </si>
  <si>
    <t>Njala University College</t>
  </si>
  <si>
    <t>Triticum monococcum monococcum</t>
  </si>
  <si>
    <t>Noiton Dominique, Hamilton - New Zealand</t>
  </si>
  <si>
    <t>Triticum monococcum ssp. boeoticum</t>
  </si>
  <si>
    <t>Nordic Genetic Resource Center</t>
  </si>
  <si>
    <t>Triticum monococcum urartu</t>
  </si>
  <si>
    <t>Nordostbayerischer Saatbauverband</t>
  </si>
  <si>
    <t>Triticum muticum</t>
  </si>
  <si>
    <t>North American Plant Breeders, Inc.</t>
  </si>
  <si>
    <t>Triticum neglectum</t>
  </si>
  <si>
    <t>North Carolina Agricultural Experiment Station, North Carolina State University</t>
  </si>
  <si>
    <t>Triticum orientale</t>
  </si>
  <si>
    <t>North Dakota Agricultural Experiment Station, North Dakota State University</t>
  </si>
  <si>
    <t>Triticum orientale Percival</t>
  </si>
  <si>
    <t>Northrup King &amp; Co.</t>
  </si>
  <si>
    <t>Triticum ovatum</t>
  </si>
  <si>
    <t>Northwest A&amp;F University</t>
  </si>
  <si>
    <t>Triticum palaeocolchicum Menabde</t>
  </si>
  <si>
    <t>Norwegian University for Life Sciences</t>
  </si>
  <si>
    <t>Triticum peregrinum</t>
  </si>
  <si>
    <t>Novodonskaya - Donetsk State Agricultural Experiment Station</t>
  </si>
  <si>
    <t>Triticum peregrinum Hackel</t>
  </si>
  <si>
    <t>Nunhems Spain (El Ejido)</t>
  </si>
  <si>
    <t>Triticum persicum</t>
  </si>
  <si>
    <t>Nunhems Spain (La Palma)</t>
  </si>
  <si>
    <t>Triticum persicum (Percival) Vavilov ex Zhukovsky</t>
  </si>
  <si>
    <t>Nutrition azote des plantes</t>
  </si>
  <si>
    <t>Triticum persicum Vav.</t>
  </si>
  <si>
    <t>N.V. Clovis Matton Plant Breeding Station, Kerkhove</t>
  </si>
  <si>
    <t>Triticum pyramidale Perc.</t>
  </si>
  <si>
    <t>N.V. Clovis Matton Plant Breeding Station, Tiegem</t>
  </si>
  <si>
    <t>Triticum rectum</t>
  </si>
  <si>
    <t>Occitane des Semences</t>
  </si>
  <si>
    <t>Triticum repens L.</t>
  </si>
  <si>
    <t>Odesa State Regional Agricultural Experimental Station</t>
  </si>
  <si>
    <t>Triticum sativum Lam.</t>
  </si>
  <si>
    <t>Ohio Agricultural Reasearch and Development Center, Ohio State University</t>
  </si>
  <si>
    <t>Triticum searsii</t>
  </si>
  <si>
    <t>Oklahoma Agricultural Experiment Station, Division of Agricultural Sciences &amp; Natural Resources</t>
  </si>
  <si>
    <t>Triticum secale Link</t>
  </si>
  <si>
    <t>Ontario Agricultural College, University of Guelph</t>
  </si>
  <si>
    <t>Triticum spelta</t>
  </si>
  <si>
    <t>Oregon Agricultural Experimental Sation, Oregon State University</t>
  </si>
  <si>
    <t>Triticum speltiforme</t>
  </si>
  <si>
    <t>Organisation Bretonne de Sélection</t>
  </si>
  <si>
    <t>Triticum speltoides</t>
  </si>
  <si>
    <t>Orsem S.A.</t>
  </si>
  <si>
    <t>Triticum speltoides (Tausch) Gre. ex Richter var. aucheri</t>
  </si>
  <si>
    <t>Osmab Tosum Gene Bank - Ankara University</t>
  </si>
  <si>
    <t>Triticum speltoides (Tausch) Gre. ex Richter var. ligustica</t>
  </si>
  <si>
    <t>Pajbjergfonden</t>
  </si>
  <si>
    <t>Triticum speltoides (Tausch) Gren. ex Richter var. aucheri</t>
  </si>
  <si>
    <t>Palais Carnolés</t>
  </si>
  <si>
    <t>Triticum speltoides (Tausch) Gren. ex Richter var. ligustica</t>
  </si>
  <si>
    <t>Parc Naturel Régional du Haut-Languedoc</t>
  </si>
  <si>
    <t>Triticum sphaerococcum Perc.</t>
  </si>
  <si>
    <t>Parc Naturel Régional du Luberon</t>
  </si>
  <si>
    <t>Triticum syriacum</t>
  </si>
  <si>
    <t>Parc Naturel Régional du Queyras</t>
  </si>
  <si>
    <t>Triticum syriacum Bowden</t>
  </si>
  <si>
    <t>PARTNERCHIP</t>
  </si>
  <si>
    <t>Triticum tauschii</t>
  </si>
  <si>
    <t>Peltier Graines (don't exist anymore)</t>
  </si>
  <si>
    <t>Triticum thaoudar</t>
  </si>
  <si>
    <t>Pennsylvania Agricultural Experiment Station, Pennsylvania State University</t>
  </si>
  <si>
    <t>Triticum timococcum</t>
  </si>
  <si>
    <t>Pépinière A. Pays</t>
  </si>
  <si>
    <t>Triticum timonovum</t>
  </si>
  <si>
    <t>Pépinière Burlat</t>
  </si>
  <si>
    <t>Triticum timopheevii</t>
  </si>
  <si>
    <t>Pépinière Cadoux</t>
  </si>
  <si>
    <t>Triticum timopheevii araraticum</t>
  </si>
  <si>
    <t>Pépinière Delbard</t>
  </si>
  <si>
    <t>Triticum timopheevii armeniacum</t>
  </si>
  <si>
    <t>Pépinière Dieudonné</t>
  </si>
  <si>
    <t>Triticum timopheevii L. var. zhukovskyi</t>
  </si>
  <si>
    <t>Pépinière Domingo Orero</t>
  </si>
  <si>
    <t>Triticum timopheevii ssp. araraticum</t>
  </si>
  <si>
    <t>Triticum timopheevii ssp. armeniacum</t>
  </si>
  <si>
    <t>Pépinière ESAT LEnvol</t>
  </si>
  <si>
    <t>Triticum timopheevii ssp. armeniacum (Jakubz.) van Slageren</t>
  </si>
  <si>
    <t>Pépinière Escande Benoit, Saint Vite - France</t>
  </si>
  <si>
    <t>Triticum timopheevii ssp. timopheevii</t>
  </si>
  <si>
    <t>Pépinière Fabre, Villeneuve s/Lot - France</t>
  </si>
  <si>
    <t>Triticum timopheevii timopheevii</t>
  </si>
  <si>
    <t>Pépinière Jouve-Racamond</t>
  </si>
  <si>
    <t>Triticum timopheevii var. zhukovskyi</t>
  </si>
  <si>
    <t>Pépinière Lambertin</t>
  </si>
  <si>
    <t>Triticum timopheevii Zhuk.</t>
  </si>
  <si>
    <t>Pépinière Lambertin - Nîmes - France</t>
  </si>
  <si>
    <t>Triticum timopheevii (Zhuk.) Zhuk.</t>
  </si>
  <si>
    <t>Pépinière Leroy</t>
  </si>
  <si>
    <t>Triticum timopheevii (Zhuk.) Zhuk. var. timopheevii</t>
  </si>
  <si>
    <t>Pépinière Martre</t>
  </si>
  <si>
    <t>Triticum timopheevii (Zhuk.) Zhuk. var. zhukovskii (Men. &amp; Er.) Morris &amp; Sears</t>
  </si>
  <si>
    <t>Pépinière Moreau</t>
  </si>
  <si>
    <t>Triticum timopheevii (Zhuk.) Zhuk. var. zhukovskii (Men. &amp; Er.) Morris &amp; Sears comb. nov.</t>
  </si>
  <si>
    <t>Pépinière Pinguet-Guindon</t>
  </si>
  <si>
    <t>Triticum timopheevii zhukovskyi</t>
  </si>
  <si>
    <t>Pépinière Taliani,  Garons - France</t>
  </si>
  <si>
    <t>Triticum triaristatum</t>
  </si>
  <si>
    <t>Pépinière Thuilleaux</t>
  </si>
  <si>
    <t>Triticum tripsacoides</t>
  </si>
  <si>
    <t>Pépinière Valla Georges SCEA, Valence - France</t>
  </si>
  <si>
    <t>Triticum turgidum</t>
  </si>
  <si>
    <t>Pépinière Veauvy</t>
  </si>
  <si>
    <t>Triticum turgidum aethiopicum</t>
  </si>
  <si>
    <t>Pépinières Bachelet-Charvot</t>
  </si>
  <si>
    <t>Triticum turgidum carthlicum</t>
  </si>
  <si>
    <t>Pépinières Baltet</t>
  </si>
  <si>
    <t>Triticum turgidum dicoccoïdes</t>
  </si>
  <si>
    <t>Pépinières Croux</t>
  </si>
  <si>
    <t>Triticum turgidum dicoccum</t>
  </si>
  <si>
    <t>Pépinières de La Tronche</t>
  </si>
  <si>
    <t>Triticum turgidum durum</t>
  </si>
  <si>
    <t>Pépinières Fabre</t>
  </si>
  <si>
    <t>Triticum turgidum group aethiopicum</t>
  </si>
  <si>
    <t>Pépinières Garbaye et Gravier</t>
  </si>
  <si>
    <t>Triticum turgidum group palaeocolchicum</t>
  </si>
  <si>
    <t>Pépinières L. Pin</t>
  </si>
  <si>
    <t>Triticum turgidum group turgidum</t>
  </si>
  <si>
    <t>Pépinières Lafitte</t>
  </si>
  <si>
    <t>Triticum turgidum ispahanicum</t>
  </si>
  <si>
    <t>Pépinières Levavasseur</t>
  </si>
  <si>
    <t>Triticum turgidum L. em. Bowden var. timopheevii (Zhuk.) Bowden f. timopheevii Bowden</t>
  </si>
  <si>
    <t>Pépinières Nomblot</t>
  </si>
  <si>
    <t>Triticum turgidum L. em. Bowden var. timopheevii (Zhuk.) Bowden f. zhukovskyi (Mem. &amp; Er.) Bowden</t>
  </si>
  <si>
    <t>Triticum turgidum L. em. Bowden var. tumanianii (Jakubz.) Bowden</t>
  </si>
  <si>
    <t>Pépinières Rolland Crosse</t>
  </si>
  <si>
    <t>Triticum turgidum L. em. Thell.</t>
  </si>
  <si>
    <t>Pépinières Simon</t>
  </si>
  <si>
    <t>Triticum turgidum L. group aethiopicum Bowden</t>
  </si>
  <si>
    <t>Petal Genomics</t>
  </si>
  <si>
    <t>Triticum turgidum L. group dicoccon (Schrank) Thell.</t>
  </si>
  <si>
    <t>Peter Henderson &amp; Co</t>
  </si>
  <si>
    <t>Triticum turgidum L. group durum (Desf.) Husnot</t>
  </si>
  <si>
    <t>Petoseed</t>
  </si>
  <si>
    <t>Triticum turgidum L. group palaeocolchicum Bowden</t>
  </si>
  <si>
    <t>Pflanzenzucht Dr. h.c. Carsten Inh. Erhardt Eger KG</t>
  </si>
  <si>
    <t>Triticum turgidum L. group polonicum Bowden</t>
  </si>
  <si>
    <t>Phu Guy Fruit Research Centre</t>
  </si>
  <si>
    <t>Triticum turgidum L. group turgidum Bowden</t>
  </si>
  <si>
    <t>Phu Ho Fruit Crops Research Centre</t>
  </si>
  <si>
    <t>Triticum turgidum L. (Nevski) group carthlicum Bowden</t>
  </si>
  <si>
    <t>Phytopathologie und Pflanzenschutz</t>
  </si>
  <si>
    <t>Triticum turgidum L. ssp. dicoccoides (Korn. ex Schweinf.) A. Love, comb. nov.</t>
  </si>
  <si>
    <t>Piast Hodowla Roslin Lagiewniki Sp. z o.o.</t>
  </si>
  <si>
    <t>Triticum turgidum L. ssp. dicoccoides (Korn.) Thell.</t>
  </si>
  <si>
    <t>Pioneer génétique</t>
  </si>
  <si>
    <t>Triticum turgidum L. ssp. palaeocolchicum (A. Love &amp; D. Love) A. Love, comb. nov.</t>
  </si>
  <si>
    <t>Pioneer Seed Co. Ltd.</t>
  </si>
  <si>
    <t>Triticum turgidum L. ssp. timopheevii (Zhuk.) A. Love &amp; D. Love</t>
  </si>
  <si>
    <t>Plant Biochemistry and  Molecular Biology Group,  Division ofBiochemical Sciences</t>
  </si>
  <si>
    <t>Triticum turgidum L. ssp. turanicum (Jakubz.) A. Love &amp; D. Love</t>
  </si>
  <si>
    <t>Plant Biology Division</t>
  </si>
  <si>
    <t>Triticum turgidum L. ssp. turanicum (Jakubz.) A. Love, comb. nov.</t>
  </si>
  <si>
    <t>Plant Biotech Research Center</t>
  </si>
  <si>
    <t>Triticum turgidum L. ssp. turgidum (L.) A. Love, comb. nov.</t>
  </si>
  <si>
    <t>Plant Biotechnology Institute,  National Research Council ofCanada</t>
  </si>
  <si>
    <t>Triticum turgidum (L.) Thell.</t>
  </si>
  <si>
    <t>Plant Biotechnology Institute,  National Research CouncilCanada</t>
  </si>
  <si>
    <t>Triticum turgidum (L.) Thell. subsp. carthlicum (Nevski) MK.</t>
  </si>
  <si>
    <t>Plant Biotechnology Key Laboratory</t>
  </si>
  <si>
    <t>Triticum turgidum (L.) Thell. subsp. dicoccoides (Korn.) Thell.</t>
  </si>
  <si>
    <t>Plant Breeding and Acclimatization Institute at Radzikow</t>
  </si>
  <si>
    <t>Triticum turgidum L. Thell. subsp. dicoccon (Schrank) Thell.</t>
  </si>
  <si>
    <t>Plant Breeding and Genetics Institute</t>
  </si>
  <si>
    <t>Triticum turgidum (L.) Thell. subsp. paleocolchicum Men.</t>
  </si>
  <si>
    <t>Plant Breeding Institute,  University of Sydney</t>
  </si>
  <si>
    <t>Triticum turgidum (L.) Thell. subsp. turgidum convar aethiopicum Jakubz.</t>
  </si>
  <si>
    <t>Plant Breeding International</t>
  </si>
  <si>
    <t>Triticum turgidum L. Thell. subsp. turgidum convar durum (Desf.) MK.</t>
  </si>
  <si>
    <t>Plant Breeding Station Laski</t>
  </si>
  <si>
    <t>Triticum turgidum L. Thell. subsp. turgidum convar polonicum (L.) MK.</t>
  </si>
  <si>
    <t>plant cellular biology laboratory/ Dr. STEINMETZ</t>
  </si>
  <si>
    <t>Triticum turgidum (L.) Thell. subsp. turgidum convar turanicum (Jakubz.) MK.</t>
  </si>
  <si>
    <t>Plant culture institute - Tammisto</t>
  </si>
  <si>
    <t>Triticum turgidum L. var. carthlicum (Nevski) A. Love &amp; D. Love</t>
  </si>
  <si>
    <t>Plant Development Biology</t>
  </si>
  <si>
    <t>Triticum turgidum L. var. dicoccoides (Korn. in litt. in Schweinf.) Bowden</t>
  </si>
  <si>
    <t>Plant Development Molecular Biology Lab</t>
  </si>
  <si>
    <t>Triticum turgidum L. var. polonicum (L.) A. Love &amp; D. Love</t>
  </si>
  <si>
    <t>Plant development molecular biology lab</t>
  </si>
  <si>
    <t>Triticum turgidum L. var. timopheevii</t>
  </si>
  <si>
    <t>Plant Developmental Genetics</t>
  </si>
  <si>
    <t>Triticum turgidum L. var. tumanianii</t>
  </si>
  <si>
    <t>Plant Functional Genomics Research Group</t>
  </si>
  <si>
    <t>Triticum turgidum paleocolchicum</t>
  </si>
  <si>
    <t>Plant Gene Expression Center</t>
  </si>
  <si>
    <t>Triticum turgidum polonicum</t>
  </si>
  <si>
    <t>Plant Gene Resources of Canada Central Exper. Farm, Agri. Canada</t>
  </si>
  <si>
    <t>Triticum turgidum ssp. carthlicum</t>
  </si>
  <si>
    <t>Plant Gene Resources of Canada, Saskatoon Research Centre, Agriculture and Agri-Food Canada</t>
  </si>
  <si>
    <t>Triticum turgidum ssp. dicoccoides</t>
  </si>
  <si>
    <t>Plant Genetic Resources Department</t>
  </si>
  <si>
    <t>Triticum turgidum ssp. dicoccon</t>
  </si>
  <si>
    <t>Plant Genetic Resources Unit</t>
  </si>
  <si>
    <t>Triticum turgidum ssp. durum</t>
  </si>
  <si>
    <t>Plant Genetics</t>
  </si>
  <si>
    <t>Triticum turgidum ssp. palaeocolchicum A. Love &amp; D. Love</t>
  </si>
  <si>
    <t>Plant Genetics and  Breeding</t>
  </si>
  <si>
    <t>Triticum turgidum ssp. paleocolchicum</t>
  </si>
  <si>
    <t>Plant Genome Center Co.,  Ltd</t>
  </si>
  <si>
    <t>Triticum turgidum ssp. polonicum</t>
  </si>
  <si>
    <t>Plant Genome Mapping Laboratory</t>
  </si>
  <si>
    <t>Triticum turgidum ssp. turanicum</t>
  </si>
  <si>
    <t>Plant Genomics Lab.,  Department of Crop,  Soil and Environmental Sciences</t>
  </si>
  <si>
    <t>Triticum turgidum ssp. turgidum</t>
  </si>
  <si>
    <t>Plant Molecular and Cellular Biology Program</t>
  </si>
  <si>
    <t>Triticum turgidum subsp. carthlicum x Secale strictum subsp.</t>
  </si>
  <si>
    <t>Plant Molecular Biology</t>
  </si>
  <si>
    <t>Triticum turgidum turanicum</t>
  </si>
  <si>
    <t>Plant Molecular Genetic Laboratory</t>
  </si>
  <si>
    <t>Triticum turgidum turgidum</t>
  </si>
  <si>
    <t>Plant Molecular Genetics</t>
  </si>
  <si>
    <t>Triticum turgidum var. carthlicum</t>
  </si>
  <si>
    <t>Plant Molecular Genetics Laboratory</t>
  </si>
  <si>
    <t>Triticum turgidum var. dicoccon</t>
  </si>
  <si>
    <t>Plant Molecular Physiology and  Functional Genomics</t>
  </si>
  <si>
    <t>Triticum turgidum var. dicoccon Bowden</t>
  </si>
  <si>
    <t>Plant Natural Products</t>
  </si>
  <si>
    <t>Triticum turgidum var. durum</t>
  </si>
  <si>
    <t>Plant Nematode Genetics Group</t>
  </si>
  <si>
    <t>Triticum turgidum var. durum Bowden</t>
  </si>
  <si>
    <t>Plant Pathology</t>
  </si>
  <si>
    <t>Triticum turgidum var. polonicum</t>
  </si>
  <si>
    <t>Plant Pathology Department</t>
  </si>
  <si>
    <t>Triticum umbellulatum</t>
  </si>
  <si>
    <t>Plant Protection Division I.C.I.</t>
  </si>
  <si>
    <t>Triticum uniaristatum</t>
  </si>
  <si>
    <t>Plant Research Institute</t>
  </si>
  <si>
    <t>Triticum urartu</t>
  </si>
  <si>
    <t>Plant Research International</t>
  </si>
  <si>
    <t>Triticum urartu Thumanian ex Gandilyan</t>
  </si>
  <si>
    <t>Plant Sciences</t>
  </si>
  <si>
    <t>Triticum vaillantianum</t>
  </si>
  <si>
    <t>PLANT SELECT, Ltd.</t>
  </si>
  <si>
    <t>Triticum vavilovii Jakubz.</t>
  </si>
  <si>
    <t>Plant Systems Biology</t>
  </si>
  <si>
    <t>Triticum vulgare ssp. hadropyrum Flaksb.</t>
  </si>
  <si>
    <t>plantechno srl</t>
  </si>
  <si>
    <t>Triticum vulgare ssp. irano-asiaticum Flaksb.</t>
  </si>
  <si>
    <t>Plantes legumineuses, DGAP</t>
  </si>
  <si>
    <t>Triticum vulgare var. dicoccon (Schrank) Korn</t>
  </si>
  <si>
    <t>PlantTec Biotechnologie</t>
  </si>
  <si>
    <t>Triticum vulgare Villars</t>
  </si>
  <si>
    <t>Plate-Forme de cytogÃ©nÃ©tique MolÃ©culaire</t>
  </si>
  <si>
    <t>Triticum zhukovskyi Menabde &amp; Ericzjan</t>
  </si>
  <si>
    <t>Plew Horticultural Experimental Station</t>
  </si>
  <si>
    <t>Vicia faba L.</t>
  </si>
  <si>
    <t>PMDV - Equipe Analyse fonctionnelle du genome de Botrytis cinerea</t>
  </si>
  <si>
    <t>Vicia faba subsp. equina</t>
  </si>
  <si>
    <t>Pole de biotechnologie vegetales UMR5546</t>
  </si>
  <si>
    <t>Vicia faba subsp. major</t>
  </si>
  <si>
    <t>Povolzhskii NII Selektsii i Semenovodstva Im. P.N. Konstantinova Ran</t>
  </si>
  <si>
    <t>Vicia faba subsp. minor</t>
  </si>
  <si>
    <t>Practical Scientific Institute of Plant Growing 'SELECTIA'</t>
  </si>
  <si>
    <t>Vicia faba subsp. paucijuga</t>
  </si>
  <si>
    <t>Probsdorfer Plant Breeding</t>
  </si>
  <si>
    <t>Vicia L.</t>
  </si>
  <si>
    <t>Programa de Recursos Genéticos Nicaragüenses  (REGEN)</t>
  </si>
  <si>
    <t>Vicia sativa L.</t>
  </si>
  <si>
    <t>Projet Arborea, Centre d'Etude de la Foret</t>
  </si>
  <si>
    <t>Vitaceae</t>
  </si>
  <si>
    <t>Propriété Saint Jean</t>
  </si>
  <si>
    <t>Vitis</t>
  </si>
  <si>
    <t>PROSEA Headquarters, Wageningen Agricultural University</t>
  </si>
  <si>
    <t>Vitis aestivalis Mchx.</t>
  </si>
  <si>
    <t>proteomique</t>
  </si>
  <si>
    <t>Vitis affinis Gagnep. ex Osmaston</t>
  </si>
  <si>
    <t>PSB Produccion Vegetal, Murcia - Spain</t>
  </si>
  <si>
    <t>Vitis amurensis Ruprecht</t>
  </si>
  <si>
    <t>Punjab Agricultural University</t>
  </si>
  <si>
    <t>Vitis apliniana Collett &amp; Hemsl.</t>
  </si>
  <si>
    <t>Queensland Wheat Research Institut Department of Primary Industries</t>
  </si>
  <si>
    <t>Vitis arizonica Engelm.</t>
  </si>
  <si>
    <t>RAGT</t>
  </si>
  <si>
    <t>Vitis armata Diels &amp; Gilg</t>
  </si>
  <si>
    <t>R.A.G.T. 2N</t>
  </si>
  <si>
    <t>Vitis aubertiana Gage</t>
  </si>
  <si>
    <t>Rapillard Charly, Conthey - Suisse</t>
  </si>
  <si>
    <t>Vitis austrokoreana Hatus.</t>
  </si>
  <si>
    <t>RDP (UMR5667 INRA/CNRS/ENSL/UCBL)</t>
  </si>
  <si>
    <t>Vitis baileyana Munson</t>
  </si>
  <si>
    <t>Redblush Nursery</t>
  </si>
  <si>
    <t>Vitis balansaeana Planch.</t>
  </si>
  <si>
    <t>Regional Fruit Research Station, PAU</t>
  </si>
  <si>
    <t>Vitis berlandieri Planch.</t>
  </si>
  <si>
    <t>Regional Station Shillong, NBPGR</t>
  </si>
  <si>
    <t>Vitis betulifolia Diels &amp; Gilg</t>
  </si>
  <si>
    <t>Reproduction et Developpement des Plantes</t>
  </si>
  <si>
    <t>Vitis bicolor Le Conte</t>
  </si>
  <si>
    <t>Research and Development Division</t>
  </si>
  <si>
    <t>Vitis blancoii Munson</t>
  </si>
  <si>
    <t>Research Branch Agriculture Canada</t>
  </si>
  <si>
    <t>Vitis bourgeana Planch.</t>
  </si>
  <si>
    <t>Research Institute for Bioresources</t>
  </si>
  <si>
    <t>Vitis bourquina Munson</t>
  </si>
  <si>
    <t>Research Institute for Cereals and Technical Plants Fundulea</t>
  </si>
  <si>
    <t>Vitis bryoniifolia Bunge</t>
  </si>
  <si>
    <t>Research Institute for Olive and Citrus Trees</t>
  </si>
  <si>
    <t>Vitis burmanica Collett &amp; Hemsl.</t>
  </si>
  <si>
    <t>Research Institute of Agricultural for South-East Region</t>
  </si>
  <si>
    <t>Vitis californica Bentham</t>
  </si>
  <si>
    <t>Research Institute of Crop Production</t>
  </si>
  <si>
    <t>Vitis candicans Engelm.</t>
  </si>
  <si>
    <t>Research Institute of Village Services</t>
  </si>
  <si>
    <t>Vitis caribaea D.C.</t>
  </si>
  <si>
    <t>Resistance des Plantes aux Bioagresseurs (RPB)</t>
  </si>
  <si>
    <t>Vitis champinii Planch.</t>
  </si>
  <si>
    <t>Resources Botany Research Center</t>
  </si>
  <si>
    <t>Vitis choii Hatus.</t>
  </si>
  <si>
    <t>Revol Jean-Pierre, Larnage - France</t>
  </si>
  <si>
    <t>Vitis chrysobotrys H.Lév. &amp; Vaniot</t>
  </si>
  <si>
    <t>RhoBio</t>
  </si>
  <si>
    <t>Vitis chunganensis Hu</t>
  </si>
  <si>
    <t>Rice Research Institute</t>
  </si>
  <si>
    <t>Vitis chungii F.P.Metcalf</t>
  </si>
  <si>
    <t>RICP Praha-Ruzyne Agricultural Research Station</t>
  </si>
  <si>
    <t>Vitis cinerea Engelm.</t>
  </si>
  <si>
    <t>Rijk Zwaan</t>
  </si>
  <si>
    <t>Vitis coignetiae cv. Ishikari</t>
  </si>
  <si>
    <t>Ringot</t>
  </si>
  <si>
    <t>Vitis coignetiae Pulliat</t>
  </si>
  <si>
    <t>Roberts WL, Grandview Washington - USA</t>
  </si>
  <si>
    <t>Vitis cordifolia cv. n°9 Couderc</t>
  </si>
  <si>
    <t>Roseworthy Agricultural College</t>
  </si>
  <si>
    <t>Vitis cordifolia Mchx.</t>
  </si>
  <si>
    <t>Royal Palm Nurseries</t>
  </si>
  <si>
    <t>Vitis coriacea Shuttl.</t>
  </si>
  <si>
    <t>Rubidoux laboratory</t>
  </si>
  <si>
    <t>Vitis davidii Romanet du Caillaud</t>
  </si>
  <si>
    <t>Rustica Prograin Genetique</t>
  </si>
  <si>
    <t>Vitis del rioi Galet</t>
  </si>
  <si>
    <t>Rutgers University - NJ - USA</t>
  </si>
  <si>
    <t>Vitis doaniana Munson</t>
  </si>
  <si>
    <t>Rutgers University - NJ - USA - M. Vinson P</t>
  </si>
  <si>
    <t>Vitis embergeri Galet</t>
  </si>
  <si>
    <t>Saatbau Linz / Oberoesterreichische Landessaatbaugenossenschaft</t>
  </si>
  <si>
    <t>Vitis ficifolioides Wang</t>
  </si>
  <si>
    <t>Saaten-Union France s.a.r.l - Saaten-Union Recherche s.a.s</t>
  </si>
  <si>
    <t>Vitis flexuosa Thunb.</t>
  </si>
  <si>
    <t>Saatzucht Bauer GmbH &amp; Co KG</t>
  </si>
  <si>
    <t>Vitis gigas Fennell</t>
  </si>
  <si>
    <t>Saatzucht Donau GesmbH. &amp; CoKG</t>
  </si>
  <si>
    <t>Vitis girdiana Munson</t>
  </si>
  <si>
    <t>Saatzucht Engelen Büchling Ohg</t>
  </si>
  <si>
    <t>Vitis glabrescens Fritsch</t>
  </si>
  <si>
    <t>Saatzucht Hans Schweiger &amp; Co. Ohg</t>
  </si>
  <si>
    <t>Vitis hancockii Hance</t>
  </si>
  <si>
    <t>Saatzucht Josef Breun GdbR</t>
  </si>
  <si>
    <t>Vitis helleri Small</t>
  </si>
  <si>
    <t>Saatzucht Piatti</t>
  </si>
  <si>
    <t>Vitis hexamera Gagnep.</t>
  </si>
  <si>
    <t>Saatzucht Streng GmbH &amp; Co. KG</t>
  </si>
  <si>
    <t>Vitis hissarica Vassilcz.</t>
  </si>
  <si>
    <t>Saatzuchtgesellschaft Nordsaat GmbH</t>
  </si>
  <si>
    <t>Vitis illex Bailey</t>
  </si>
  <si>
    <t>Saatzuchtwirtschaft Johann Firlbeck KG</t>
  </si>
  <si>
    <t>Vitis kelemgensis Momiyama</t>
  </si>
  <si>
    <t>Saatzuchtwirtschaft Lang-Doerfler</t>
  </si>
  <si>
    <t>Vitis kiusiama Momiyama</t>
  </si>
  <si>
    <t>Saatzuchtwirtschaft Otto Breustedt GmbH</t>
  </si>
  <si>
    <t>Vitis L.</t>
  </si>
  <si>
    <t>Sakata Seed France</t>
  </si>
  <si>
    <t>Vitis labrusca cv. Cambridge</t>
  </si>
  <si>
    <t>Samarskij Niish Im.N.M. Tulajkova</t>
  </si>
  <si>
    <t>Vitis labrusca cv. Caroline</t>
  </si>
  <si>
    <t>SantÃ© de la Vigne et QualitÃ© du Vin</t>
  </si>
  <si>
    <t>Vitis labrusca cv. Caywood</t>
  </si>
  <si>
    <t>Santé de la Vigne et Qualité du Vin</t>
  </si>
  <si>
    <t>Vitis labrusca cv. Concord</t>
  </si>
  <si>
    <t>S.A.S. Florimond Desprez</t>
  </si>
  <si>
    <t>Vitis labrusca cv. Creveling</t>
  </si>
  <si>
    <t>Satten-Ring Pfeuffer - Von Ruemker oHG</t>
  </si>
  <si>
    <t>Vitis labrusca cv. Early Victor</t>
  </si>
  <si>
    <t>SBAT El Ariana, Tunisie</t>
  </si>
  <si>
    <t>Vitis labrusca cv. Isabelle</t>
  </si>
  <si>
    <t>SCA - Agricultural Research Station Turda-Cluj</t>
  </si>
  <si>
    <t>Vitis labrusca cv. Israella</t>
  </si>
  <si>
    <t>SCA Adrien Momont et fils, S.A.</t>
  </si>
  <si>
    <t>Vitis labrusca cv. Ive's seedling</t>
  </si>
  <si>
    <t>Schnable Laboratory</t>
  </si>
  <si>
    <t>Vitis labrusca cv. Miles</t>
  </si>
  <si>
    <t>Schnable laboratory</t>
  </si>
  <si>
    <t>Vitis labrusca cv. Muncy</t>
  </si>
  <si>
    <t>School of Biological Sciences</t>
  </si>
  <si>
    <t>Vitis labrusca cv. North America</t>
  </si>
  <si>
    <t>Science de l'Horticulture, Rabat, Maroc</t>
  </si>
  <si>
    <t>Vitis labrusca cv. North Carolina</t>
  </si>
  <si>
    <t>Scott Research Farm</t>
  </si>
  <si>
    <t>Vitis labrusca cv. Pierce = California Concord</t>
  </si>
  <si>
    <t>SDR Fruit LLC, Boulder- CO - USA</t>
  </si>
  <si>
    <t>Vitis labrusca cv. Rentz</t>
  </si>
  <si>
    <t>Seagaga Research Station</t>
  </si>
  <si>
    <t>Vitis labrusca cv. Scarlett</t>
  </si>
  <si>
    <t>Seager Wheeler</t>
  </si>
  <si>
    <t>Vitis labrusca L.</t>
  </si>
  <si>
    <t>Secobra Saatzucht GmbH</t>
  </si>
  <si>
    <t>Vitis lanata Roxburgh</t>
  </si>
  <si>
    <t>Seed and Plant Improvement Institute</t>
  </si>
  <si>
    <t>Vitis lanceolata Roxb.</t>
  </si>
  <si>
    <t>Selekt Research and Breeding Institute</t>
  </si>
  <si>
    <t>Vitis leucocarpa Hayata</t>
  </si>
  <si>
    <t>SELGEN, Breeding Station Chlumec</t>
  </si>
  <si>
    <t>Vitis lincecumii Buckley</t>
  </si>
  <si>
    <t>SELGEN, Breeding Station Stupice</t>
  </si>
  <si>
    <t>Vitis longii Prince</t>
  </si>
  <si>
    <t>SELGEN, Breeding Station Uhretice</t>
  </si>
  <si>
    <t>Vitis monticola Buckley</t>
  </si>
  <si>
    <t>Semences Cargill, Centre de Recherches Céréales à Pailles et Colza</t>
  </si>
  <si>
    <t>Vitis novisinensis Vassilcz.</t>
  </si>
  <si>
    <t>Semences de Provence</t>
  </si>
  <si>
    <t>Vitis pedicellata M.A.Lawson</t>
  </si>
  <si>
    <t>Semiarid Prairie Agricultural Research Centre, Agriculture and Agri-Food Canada</t>
  </si>
  <si>
    <t>Vitis pentagona Diels &amp; Gilg</t>
  </si>
  <si>
    <t>Semillas Falco</t>
  </si>
  <si>
    <t>Vitis piasezkii cv. pagnuccii</t>
  </si>
  <si>
    <t>Seminis</t>
  </si>
  <si>
    <t>Vitis piasezkii Maximowicz</t>
  </si>
  <si>
    <t>Seoul National University</t>
  </si>
  <si>
    <t>Vitis piloso-nerva F.P.Metcalf</t>
  </si>
  <si>
    <t>SERASEM</t>
  </si>
  <si>
    <t>Vitis potanini Maxim.</t>
  </si>
  <si>
    <t>Servien Norbert et Pierre-Gilles - Granges lès Beaumont - France</t>
  </si>
  <si>
    <t>Vitis pseudoreticulata W.T.Wang</t>
  </si>
  <si>
    <t>Settore Biotecnologie e Agricoltura, Dipartimento Innovazione, ENEA</t>
  </si>
  <si>
    <t>Vitis punctata Raf.</t>
  </si>
  <si>
    <t>Seva Flora SRO, Valtice - République Tchèque</t>
  </si>
  <si>
    <t>Vitis reticulata Pamp.</t>
  </si>
  <si>
    <t>Shanghai Institute of Plant Physiology and  Ecology</t>
  </si>
  <si>
    <t>Vitis retordii Romanet du Caill. ex Planch.</t>
  </si>
  <si>
    <t>Shanxi Academy of Agricultural Sciences</t>
  </si>
  <si>
    <t>Vitis riparia cv. Riparia Gloire de Montpellier</t>
  </si>
  <si>
    <t>Shulaev's Lab</t>
  </si>
  <si>
    <t>Vitis riparia cv. Riparia grand glabre</t>
  </si>
  <si>
    <t>Siberian Research Institute of Agriculture</t>
  </si>
  <si>
    <t>Vitis riparia Mchx.</t>
  </si>
  <si>
    <t>SICA Centrex, Torreilles, France</t>
  </si>
  <si>
    <t>Vitis romanetii Romanet du Caillaud</t>
  </si>
  <si>
    <t>Sica La Tapy</t>
  </si>
  <si>
    <t>Vitis rubra cv. palmata</t>
  </si>
  <si>
    <t>Sica SE.CO.CE. Semences Dromigny et Hamel</t>
  </si>
  <si>
    <t>Vitis rubra Mchx.</t>
  </si>
  <si>
    <t>Sicarex Beaujolais</t>
  </si>
  <si>
    <t>Vitis rufotomentosa Small</t>
  </si>
  <si>
    <t>Sicarex du Sud-Ouest</t>
  </si>
  <si>
    <t>Vitis rupestris cv. Rupestris du Lot</t>
  </si>
  <si>
    <t>Signaling and  Plant Metabolism</t>
  </si>
  <si>
    <t>Vitis rupestris Sheele</t>
  </si>
  <si>
    <t>Signaux et messages cellulaires chez les vegetaux</t>
  </si>
  <si>
    <t>Vitis schumanniana Kuntze</t>
  </si>
  <si>
    <t>SIS - Societa Italiana Sementi</t>
  </si>
  <si>
    <t>Vitis seguinii H.Lév.</t>
  </si>
  <si>
    <t>Sladkovicovo Plant Breeding Station</t>
  </si>
  <si>
    <t>Vitis serroniana Glaz.</t>
  </si>
  <si>
    <t>Small Grains Research Centre, Agricultural Research Institute 'Serbia'</t>
  </si>
  <si>
    <t>Vitis shiragai Makino</t>
  </si>
  <si>
    <t>Societa Produttori Sementi</t>
  </si>
  <si>
    <t>Vitis silvestrii Pamp.</t>
  </si>
  <si>
    <t>Société de Viticulture du Jura</t>
  </si>
  <si>
    <t>Vitis simpsonii Munson</t>
  </si>
  <si>
    <t>Société Pomologique du Berry</t>
  </si>
  <si>
    <t>Vitis thunbergii Siebold &amp; Zucc.</t>
  </si>
  <si>
    <t>Société pour l'Encouragement de l'Orge de Brasserie</t>
  </si>
  <si>
    <t>Vitis treleasei Munson</t>
  </si>
  <si>
    <t>SOGROUP</t>
  </si>
  <si>
    <t>Vitis tsoii Merr.</t>
  </si>
  <si>
    <t>Solanum</t>
  </si>
  <si>
    <t>Vitis vicaryana Kurz</t>
  </si>
  <si>
    <t>Solanum Tourneur</t>
  </si>
  <si>
    <t>Vitis vinifera L.</t>
  </si>
  <si>
    <t>Solary Plant Breeding Station</t>
  </si>
  <si>
    <t>Vitis vinifera subsp sylvestris cv. Lambrusque métisse</t>
  </si>
  <si>
    <t>Sorghum genetics and  molecular biology lab</t>
  </si>
  <si>
    <t>Vitis vinifera subsp sylvestris cv. Lambrusque vraie</t>
  </si>
  <si>
    <t>South Dakota Agricultural Experiment Station, South Dakota State University</t>
  </si>
  <si>
    <t>Vitis vinifera subsp sylvestris L.</t>
  </si>
  <si>
    <t>Southwick Steve, El Macero, CA - USA</t>
  </si>
  <si>
    <t>Vitis vinifera subsp vinifera cv. A Kalatchel</t>
  </si>
  <si>
    <t>Special Research Centre,  Basic and  Applied Plant MolecularBiology</t>
  </si>
  <si>
    <t>Vitis vinifera subsp vinifera cv. A 406 SRLH</t>
  </si>
  <si>
    <t>SRA  INRA-CIRAD</t>
  </si>
  <si>
    <t>Vitis vinifera subsp vinifera cv. Abbuoto</t>
  </si>
  <si>
    <t>Star Fruit</t>
  </si>
  <si>
    <t>Vitis vinifera subsp vinifera cv. Abdjouch</t>
  </si>
  <si>
    <t>State Key Lab of Genetics</t>
  </si>
  <si>
    <t>Vitis vinifera subsp vinifera cv. Abondance</t>
  </si>
  <si>
    <t>State Lab of Plant Physiology and  Biochemistry</t>
  </si>
  <si>
    <t>Vitis vinifera subsp vinifera cv. Abondant</t>
  </si>
  <si>
    <t>State Lab of plant physiology and  biochemistry</t>
  </si>
  <si>
    <t>Vitis vinifera subsp vinifera cv. Abouhou</t>
  </si>
  <si>
    <t>Station Agrumicole de Lipa</t>
  </si>
  <si>
    <t>Vitis vinifera subsp vinifera cv. Abouriou</t>
  </si>
  <si>
    <t>Station Agrumicole de Nan</t>
  </si>
  <si>
    <t>Vitis vinifera subsp vinifera cv. Achlamiche</t>
  </si>
  <si>
    <t>Station Centrale de la Recherche sur les Agrumes, Institut National de la Recherche Agronomique du Maroc</t>
  </si>
  <si>
    <t>Vitis vinifera subsp vinifera cv. Adissi</t>
  </si>
  <si>
    <t>Station d'amelioration des arbres forestiers</t>
  </si>
  <si>
    <t>Vitis vinifera subsp vinifera cv. Admirable de Courtiller</t>
  </si>
  <si>
    <t>Station d'amelioration des plantes</t>
  </si>
  <si>
    <t>Vitis vinifera subsp vinifera cv. Aetoniki</t>
  </si>
  <si>
    <t>Station d'arboriculture de Poros - Trizinias (Grèce)</t>
  </si>
  <si>
    <t>Vitis vinifera subsp vinifera cv. Aetonychi kokkino</t>
  </si>
  <si>
    <t>Station de Betanimena</t>
  </si>
  <si>
    <t>Vitis vinifera subsp vinifera cv. Aetonychi mavro</t>
  </si>
  <si>
    <t>Station de cultures fruitières de Foulaya</t>
  </si>
  <si>
    <t>Vitis vinifera subsp vinifera cv. Aetonyki</t>
  </si>
  <si>
    <t>Station de Génétique et Amélioration des Plantes, INRA-Versailles</t>
  </si>
  <si>
    <t>Vitis vinifera subsp vinifera cv. Afarta pobres</t>
  </si>
  <si>
    <t>Station de Genetique et d'Amelioration des Plantes</t>
  </si>
  <si>
    <t>Vitis vinifera subsp vinifera cv. Affenthaler</t>
  </si>
  <si>
    <t>Station de Genetique et d'Amelioration des plantes</t>
  </si>
  <si>
    <t>Vitis vinifera subsp vinifera cv. Ag isioum</t>
  </si>
  <si>
    <t>Station de Génétique et d'Amélioration des Plantes, INRA-Dijon</t>
  </si>
  <si>
    <t>Vitis vinifera subsp vinifera cv. Ag Kiourdach</t>
  </si>
  <si>
    <t>Station de Genetique et dÕAmelioration des Plantes</t>
  </si>
  <si>
    <t>Vitis vinifera subsp vinifera cv. Agadaï</t>
  </si>
  <si>
    <t>Station de Genetique et dUAmelioration des Plantes</t>
  </si>
  <si>
    <t>Vitis vinifera subsp vinifera cv. Agapanthe</t>
  </si>
  <si>
    <t>Station de Genetique Vegetale</t>
  </si>
  <si>
    <t>Vitis vinifera subsp vinifera cv. Aghianniotico</t>
  </si>
  <si>
    <t>Station de Genetique Vegetale du Moulon</t>
  </si>
  <si>
    <t>Vitis vinifera subsp vinifera cv. Aghiorgitiko</t>
  </si>
  <si>
    <t>Station de Pathologie Vegetale</t>
  </si>
  <si>
    <t>Vitis vinifera subsp vinifera cv. Aglianico</t>
  </si>
  <si>
    <t>Station de Pathologie Végétale, INRA-Avignon</t>
  </si>
  <si>
    <t>Vitis vinifera subsp vinifera cv. Agostenga noir</t>
  </si>
  <si>
    <t>Station de recherche Agroscope Changins-Wädenswil</t>
  </si>
  <si>
    <t>Vitis vinifera subsp vinifera cv. Agourane</t>
  </si>
  <si>
    <t>Station de recherche Agroscope Changins-WÃ¤denswil</t>
  </si>
  <si>
    <t>Vitis vinifera subsp vinifera cv. Agrio mavro</t>
  </si>
  <si>
    <t>Station de Recherche du Comité Nord</t>
  </si>
  <si>
    <t>Vitis vinifera subsp vinifera cv. Aguyar</t>
  </si>
  <si>
    <t>Station de Recherche du Comité Nord &amp; GIPT</t>
  </si>
  <si>
    <t>Vitis vinifera subsp vinifera cv. Ahmar</t>
  </si>
  <si>
    <t>Station de Recherchedu Comité Nord &amp; GNIPTIT</t>
  </si>
  <si>
    <t>Vitis vinifera subsp vinifera cv. Ahmed</t>
  </si>
  <si>
    <t>Station Expérimentale Agronomique de Boufarik</t>
  </si>
  <si>
    <t>Vitis vinifera subsp vinifera cv. Ahmeh sal apyrène</t>
  </si>
  <si>
    <t>Station expérimentale de Oeiras Portugal</t>
  </si>
  <si>
    <t>Vitis vinifera subsp vinifera cv. Ahmeh Sal 9</t>
  </si>
  <si>
    <t>Station Régionale Horticole de Sefrou</t>
  </si>
  <si>
    <t>Vitis vinifera subsp vinifera cv. Ahmeur bou Ahmeur</t>
  </si>
  <si>
    <t>Statistique &amp; Genome</t>
  </si>
  <si>
    <t>Vitis vinifera subsp vinifera cv. Ahumat</t>
  </si>
  <si>
    <t>Statistique &amp; Génome</t>
  </si>
  <si>
    <t>Vitis vinifera subsp vinifera cv. Aïbatly</t>
  </si>
  <si>
    <t>Statiunea de Cercetare Dezvoltare Agricola Albota</t>
  </si>
  <si>
    <t>Vitis vinifera subsp vinifera cv. Aïda = Pirovano 233</t>
  </si>
  <si>
    <t>Ste Coopérative Agricole du Nord-Est de la Brie</t>
  </si>
  <si>
    <t>Vitis vinifera subsp vinifera cv. Aïdani mavro</t>
  </si>
  <si>
    <t>Stellenbosch University</t>
  </si>
  <si>
    <t>Vitis vinifera subsp vinifera cv. Aïn Begra</t>
  </si>
  <si>
    <t>Structure et Metabolisme des Plantes</t>
  </si>
  <si>
    <t>Vitis vinifera subsp vinifera cv. Aïn el Bouma</t>
  </si>
  <si>
    <t>Subtropical Horticultural Research Unit, National Germplasm Repository - Miami, USDA</t>
  </si>
  <si>
    <t>Vitis vinifera subsp vinifera cv. Aïn Kelba</t>
  </si>
  <si>
    <t>Suceava Genebank</t>
  </si>
  <si>
    <t>Vitis vinifera subsp vinifera cv. Airen</t>
  </si>
  <si>
    <t>Summerfield Nursery Co.</t>
  </si>
  <si>
    <t>Vitis vinifera subsp vinifera cv. Ak chekerek</t>
  </si>
  <si>
    <t>Sun World International - Bakersfield, CA - USA</t>
  </si>
  <si>
    <t>Vitis vinifera subsp vinifera cv. Ak ouzioum tagapskii</t>
  </si>
  <si>
    <t>Sunshine Nurseries</t>
  </si>
  <si>
    <t>Vitis vinifera subsp vinifera cv. Akiki</t>
  </si>
  <si>
    <t>Svalof Weibull AB Cereal Breeding Department</t>
  </si>
  <si>
    <t>Vitis vinifera subsp vinifera cv. Aklyk jaune</t>
  </si>
  <si>
    <t>SW Seed Hadmersleben GmbH</t>
  </si>
  <si>
    <t>Vitis vinifera subsp vinifera cv. Akominato</t>
  </si>
  <si>
    <t>Swedish University of Agricultural Sciences - Department of Plant Breeding Research</t>
  </si>
  <si>
    <t>Vitis vinifera subsp vinifera cv. Alabar noir</t>
  </si>
  <si>
    <t>Swiss Institute of Bioinformatics</t>
  </si>
  <si>
    <t>Vitis vinifera subsp vinifera cv. Alanttermö</t>
  </si>
  <si>
    <t>Syndicat de Producteurs de Marron de Charentes</t>
  </si>
  <si>
    <t>Vitis vinifera subsp vinifera cv. Alb rominesc</t>
  </si>
  <si>
    <t>Syndicat Général des Vignerons Réunis des Côtes-du-Rhône</t>
  </si>
  <si>
    <t>Vitis vinifera subsp vinifera cv. Alba aganin isioum</t>
  </si>
  <si>
    <t>Syngenta</t>
  </si>
  <si>
    <t>Vitis vinifera subsp vinifera cv. Alba imputotato</t>
  </si>
  <si>
    <t>Syngenta Seeds Ltd</t>
  </si>
  <si>
    <t>Vitis vinifera subsp vinifera cv. Alba magna = Pirovano 283</t>
  </si>
  <si>
    <t>Syngenta Seeds S.A.</t>
  </si>
  <si>
    <t>Vitis vinifera subsp vinifera cv. Albalonga = Würzburg B 51-2-1</t>
  </si>
  <si>
    <t>Syngenta Seeds S.A.S.</t>
  </si>
  <si>
    <t>Vitis vinifera subsp vinifera cv. Albana</t>
  </si>
  <si>
    <t>Takii recherche France</t>
  </si>
  <si>
    <t>Vitis vinifera subsp vinifera cv. Albanello</t>
  </si>
  <si>
    <t>Technisem</t>
  </si>
  <si>
    <t>Vitis vinifera subsp vinifera cv. Albaranzeuli bianco</t>
  </si>
  <si>
    <t>Technology Department</t>
  </si>
  <si>
    <t>Vitis vinifera subsp vinifera cv. Albarola</t>
  </si>
  <si>
    <t>Terr'Loire</t>
  </si>
  <si>
    <t>Vitis vinifera subsp vinifera cv. Albert Dientz</t>
  </si>
  <si>
    <t>Texas Agricultural Experiment Station, Texas A &amp; M University</t>
  </si>
  <si>
    <t>Vitis vinifera subsp vinifera cv. Albillo</t>
  </si>
  <si>
    <t>TEZIER S.A.</t>
  </si>
  <si>
    <t>Vitis vinifera subsp vinifera cv. Albino de Sousa</t>
  </si>
  <si>
    <t>The Agricultural Research Council - Grain Crops Institute</t>
  </si>
  <si>
    <t>Vitis vinifera subsp vinifera cv. Albourlah</t>
  </si>
  <si>
    <t>The Arabidopsis Information Resource</t>
  </si>
  <si>
    <t>Vitis vinifera subsp vinifera cv. Aléatico</t>
  </si>
  <si>
    <t>The Biotechnology Center</t>
  </si>
  <si>
    <t>Vitis vinifera subsp vinifera cv. Aledo</t>
  </si>
  <si>
    <t>The Citrus Nursery</t>
  </si>
  <si>
    <t>Vitis vinifera subsp vinifera cv. Alenky</t>
  </si>
  <si>
    <t>The First Laboratory for Plant Gene Research</t>
  </si>
  <si>
    <t>Vitis vinifera subsp vinifera cv. Alepou</t>
  </si>
  <si>
    <t>The Genome Analysis Centre</t>
  </si>
  <si>
    <t>Vitis vinifera subsp vinifera cv. Alexandroouli</t>
  </si>
  <si>
    <t>The Key Laboratory of Gene Engineering of Ministry ofEducation</t>
  </si>
  <si>
    <t>Vitis vinifera subsp vinifera cv. Alfrocheiro preto</t>
  </si>
  <si>
    <t>The Molecular Breeding Lab of Wheat Research Center - Henan Academy of Agricultural Sciences</t>
  </si>
  <si>
    <t>Vitis vinifera subsp vinifera cv. Algara</t>
  </si>
  <si>
    <t>The Rockefeller Foundation</t>
  </si>
  <si>
    <t>Vitis vinifera subsp vinifera cv. Alia boka</t>
  </si>
  <si>
    <t>The V.M. Remeslo Myronivka Institute for Wheat</t>
  </si>
  <si>
    <t>Vitis vinifera subsp vinifera cv. Alicante anglais blanc</t>
  </si>
  <si>
    <t>Tintori Nursery</t>
  </si>
  <si>
    <t>Vitis vinifera subsp vinifera cv. Alicante Bouschet érigé</t>
  </si>
  <si>
    <t>Top Semence</t>
  </si>
  <si>
    <t>Vitis vinifera subsp vinifera cv. Alicante Bouschet extra fertile</t>
  </si>
  <si>
    <t>Torbert Rocheford</t>
  </si>
  <si>
    <t>Vitis vinifera subsp vinifera cv. Alicante Bouschet n°1</t>
  </si>
  <si>
    <t>Toumelin (don't exist anymore)</t>
  </si>
  <si>
    <t>Vitis vinifera subsp vinifera cv. Alicante Bouschet n°2</t>
  </si>
  <si>
    <t>Tourneur Grandes Cultures Obtentions</t>
  </si>
  <si>
    <t>Vitis vinifera subsp vinifera cv. Alicante Bouschet n°7</t>
  </si>
  <si>
    <t>Trait and  Technology Development,  Agronomic Traits</t>
  </si>
  <si>
    <t>Vitis vinifera subsp vinifera cv. Alicante Bouschet n°8</t>
  </si>
  <si>
    <t>Trait and  Technology Development,  Food and  Feed Research</t>
  </si>
  <si>
    <t>Vitis vinifera subsp vinifera cv. Alicante Bouschet précoce (ou n°5)</t>
  </si>
  <si>
    <t>Transition Zone Agricultural Research Institute</t>
  </si>
  <si>
    <t>Vitis vinifera subsp vinifera cv. Alicante Bouschet tardif (ou n°6)</t>
  </si>
  <si>
    <t>TRANSPORT DES ASSIMILATS</t>
  </si>
  <si>
    <t>Vitis vinifera subsp vinifera cv. Alicante Bouschet x Piquepoul gris</t>
  </si>
  <si>
    <t>Trégor Sélection</t>
  </si>
  <si>
    <t>Vitis vinifera subsp vinifera cv. Alicante Bouschet x Piquepoul n°12</t>
  </si>
  <si>
    <t>Tribhuvan University</t>
  </si>
  <si>
    <t>Vitis vinifera subsp vinifera cv. Alicante Henri Bouschet</t>
  </si>
  <si>
    <t>Tropical Agricultural Research Station, Clonal Repository USDA/ARS</t>
  </si>
  <si>
    <t>Vitis vinifera subsp vinifera cv. Alicante rosa</t>
  </si>
  <si>
    <t>Tropical Crops Experimental Station</t>
  </si>
  <si>
    <t>Vitis vinifera subsp vinifera cv. Aligoté</t>
  </si>
  <si>
    <t>Truffaut</t>
  </si>
  <si>
    <t>Vitis vinifera subsp vinifera cv. Alii tierskii</t>
  </si>
  <si>
    <t>Tsukuba Life Science Center</t>
  </si>
  <si>
    <t>Vitis vinifera subsp vinifera cv. Alimchak</t>
  </si>
  <si>
    <t>T&amp;TD,  Agronomic Traits,  Yield Stability</t>
  </si>
  <si>
    <t>Vitis vinifera subsp vinifera cv. Almafre</t>
  </si>
  <si>
    <t>Tulun State Plant Breeding Station</t>
  </si>
  <si>
    <t>Vitis vinifera subsp vinifera cv. Alnwick seedling</t>
  </si>
  <si>
    <t>Turkmen Academy of Agricultural Sciences</t>
  </si>
  <si>
    <t>Vitis vinifera subsp vinifera cv. Alphonse Lavallée</t>
  </si>
  <si>
    <t>Twyford Plant Laborences (NPBGR), North Carolina State University</t>
  </si>
  <si>
    <t>Vitis vinifera subsp vinifera cv. Altesse</t>
  </si>
  <si>
    <t>Tystofte-Forsoggstation</t>
  </si>
  <si>
    <t>Vitis vinifera subsp vinifera cv. Alva</t>
  </si>
  <si>
    <t>UAGPF</t>
  </si>
  <si>
    <t>Vitis vinifera subsp vinifera cv. Alval = INRA 1552-24</t>
  </si>
  <si>
    <t>UCOPAC - Verneuil - Recherches</t>
  </si>
  <si>
    <t>Vitis vinifera subsp vinifera cv. Alvarelhao</t>
  </si>
  <si>
    <t>UE arboricole, INRA-Toulenne et INRA-Bourran</t>
  </si>
  <si>
    <t>Vitis vinifera subsp vinifera cv. Alvarinho</t>
  </si>
  <si>
    <t>UE Diascope, INRA-Montpellier</t>
  </si>
  <si>
    <t>Vitis vinifera subsp vinifera cv. Alvina = INRA 2121-61</t>
  </si>
  <si>
    <t>UE Maïs, INRA-Saint-Martin-de-Hinx</t>
  </si>
  <si>
    <t>Vitis vinifera subsp vinifera cv. Alwan</t>
  </si>
  <si>
    <t>Vitis vinifera subsp vinifera cv. Amaral</t>
  </si>
  <si>
    <t>UIPMSV</t>
  </si>
  <si>
    <t>Vitis vinifera subsp vinifera cv. Amaral branco</t>
  </si>
  <si>
    <t>ULICE</t>
  </si>
  <si>
    <t>Vitis vinifera subsp vinifera cv. Ambary</t>
  </si>
  <si>
    <t>Umea Plant Science Center</t>
  </si>
  <si>
    <t>Vitis vinifera subsp vinifera cv. Amellal</t>
  </si>
  <si>
    <t>Umea Plant Science Center, Department of Plant Physiology</t>
  </si>
  <si>
    <t>Vitis vinifera subsp vinifera cv. Amessasse</t>
  </si>
  <si>
    <t>UMR AGAP Amélioration Génétique et Adaptation des Plantes méditerranéennes et Tropicales</t>
  </si>
  <si>
    <t>Vitis vinifera subsp vinifera cv. Amfioni</t>
  </si>
  <si>
    <t>UMR Amélioration des Plantes et Biotechnologies Végétales, INRA-Rennes</t>
  </si>
  <si>
    <t>Vitis vinifera subsp vinifera cv. Amigne</t>
  </si>
  <si>
    <t>Vitis vinifera subsp vinifera cv. Amokrane</t>
  </si>
  <si>
    <t>UMR APBV</t>
  </si>
  <si>
    <t>Vitis vinifera subsp vinifera cv. Ampelakiotico galano</t>
  </si>
  <si>
    <t>UMR ASP 1095</t>
  </si>
  <si>
    <t>Vitis vinifera subsp vinifera cv. Ancellota</t>
  </si>
  <si>
    <t>UMR ASP 1095 (Amelioration et Sante des Plantes)</t>
  </si>
  <si>
    <t>Vitis vinifera subsp vinifera cv. Ancorat</t>
  </si>
  <si>
    <t>UMR BiO3P</t>
  </si>
  <si>
    <t>Vitis vinifera subsp vinifera cv. Aneb ben Koreli</t>
  </si>
  <si>
    <t>UMR CNRS/INRA 215</t>
  </si>
  <si>
    <t>Vitis vinifera subsp vinifera cv. Aneb bou Bezzoul</t>
  </si>
  <si>
    <t>UMR DAP 1098</t>
  </si>
  <si>
    <t>Vitis vinifera subsp vinifera cv. Aneb el Amar</t>
  </si>
  <si>
    <t>UMR de Genetique vegetale</t>
  </si>
  <si>
    <t>Vitis vinifera subsp vinifera cv. Angelo Longo = Pirovano 101</t>
  </si>
  <si>
    <t>UMR de Genetique Vegetale du Moulon</t>
  </si>
  <si>
    <t>Vitis vinifera subsp vinifera cv. Angelo Pirovano = Pirovano 2</t>
  </si>
  <si>
    <t>UMR de Ginitique Vigitale</t>
  </si>
  <si>
    <t>Vitis vinifera subsp vinifera cv. Angiola</t>
  </si>
  <si>
    <t>Vitis vinifera subsp vinifera cv. Angulato</t>
  </si>
  <si>
    <t>UMR DiaPC</t>
  </si>
  <si>
    <t>Vitis vinifera subsp vinifera cv. Annamaria</t>
  </si>
  <si>
    <t>UMR Diversité et Adaptation des Plantes Cultivées, INRA-Montpellier</t>
  </si>
  <si>
    <t>Vitis vinifera subsp vinifera cv. Antão vaz</t>
  </si>
  <si>
    <t>UMR Diversite et Genomes des Plantes Cultivees</t>
  </si>
  <si>
    <t>Vitis vinifera subsp vinifera cv. Aouillat</t>
  </si>
  <si>
    <t>Vitis vinifera subsp vinifera cv. Appley Towers</t>
  </si>
  <si>
    <t>Vitis vinifera subsp vinifera cv. Aprofeher</t>
  </si>
  <si>
    <t>Vitis vinifera subsp vinifera cv. Aptiche aga</t>
  </si>
  <si>
    <t>UMR Génétique et Horticulture GenHort, INRA-Angers</t>
  </si>
  <si>
    <t>Vitis vinifera subsp vinifera cv. Apyrène de Roussé</t>
  </si>
  <si>
    <t>UMR Génétique Végétale, INRA-Moulon</t>
  </si>
  <si>
    <t>Vitis vinifera subsp vinifera cv. Aragatzi</t>
  </si>
  <si>
    <t>UMR Génomique Végétale, INRA-Evry</t>
  </si>
  <si>
    <t>Vitis vinifera subsp vinifera cv. Araklinos</t>
  </si>
  <si>
    <t>UMR IaM - 1136</t>
  </si>
  <si>
    <t>Vitis vinifera subsp vinifera cv. Aramon</t>
  </si>
  <si>
    <t>UMR INRA 1088 Plante-Microbe-Environment</t>
  </si>
  <si>
    <t>Vitis vinifera subsp vinifera cv. Aramon blanc</t>
  </si>
  <si>
    <t>UMR INRA 1088/CNRS 5184/U. Bourgogne PME,  Inra</t>
  </si>
  <si>
    <t>Vitis vinifera subsp vinifera cv. Aramon blanc de la Calmette</t>
  </si>
  <si>
    <t>UMR INRA 1165 - CNRS 8114 - UEVE</t>
  </si>
  <si>
    <t>Vitis vinifera subsp vinifera cv. Aramon Bouschet n°1</t>
  </si>
  <si>
    <t>UMR INRA 1165 CNRS 8114 - UEVE</t>
  </si>
  <si>
    <t>Vitis vinifera subsp vinifera cv. Aramon Bouschet n°3</t>
  </si>
  <si>
    <t>UMR INRA-Agrocampus</t>
  </si>
  <si>
    <t>Vitis vinifera subsp vinifera cv. Aramon Bouschet n°5</t>
  </si>
  <si>
    <t>UMR INRA-ENSAR</t>
  </si>
  <si>
    <t>Vitis vinifera subsp vinifera cv. Aramon gris</t>
  </si>
  <si>
    <t>UMR INRA-INSA BF2I</t>
  </si>
  <si>
    <t>Vitis vinifera subsp vinifera cv. Aramon teinturier Bouschet</t>
  </si>
  <si>
    <t>UMR INRA-UBP Amilioration &amp; Santi des Plantes</t>
  </si>
  <si>
    <t>Vitis vinifera subsp vinifera cv. Aranel = INRA 1816-106</t>
  </si>
  <si>
    <t>UMR INRA-UHP 1137</t>
  </si>
  <si>
    <t>Vitis vinifera subsp vinifera cv. Aranyka sarga</t>
  </si>
  <si>
    <t>UMR Institut de Génétique, Environnement et Protection des Plantes, INRA-Rennes</t>
  </si>
  <si>
    <t>Vitis vinifera subsp vinifera cv. Ararati</t>
  </si>
  <si>
    <t>Vitis vinifera subsp vinifera cv. Araxeni tchernii</t>
  </si>
  <si>
    <t>UMR Institut de Génétique, Environnement et Protection des Plantes, INRA-Rennes, Site de Plougoulm</t>
  </si>
  <si>
    <t>Vitis vinifera subsp vinifera cv. Arbane</t>
  </si>
  <si>
    <t>UMR Peuplement Végétaux et Bioagresseurs en Milieu Tropical, CIRAD-Réunion</t>
  </si>
  <si>
    <t>Vitis vinifera subsp vinifera cv. Arbia</t>
  </si>
  <si>
    <t>Vitis vinifera subsp vinifera cv. Arbois rose</t>
  </si>
  <si>
    <t>UMR SPO</t>
  </si>
  <si>
    <t>Vitis vinifera subsp vinifera cv. Ardona = INRA 605-8</t>
  </si>
  <si>
    <t>UMR Stress Abiotiques et Différenciation des Végétaux Cultivés</t>
  </si>
  <si>
    <t>Vitis vinifera subsp vinifera cv. Ardonnet</t>
  </si>
  <si>
    <t>UMR UMR INRA 1165 - CNRS 8114 - UEVE</t>
  </si>
  <si>
    <t>Vitis vinifera subsp vinifera cv. Ardounet noir</t>
  </si>
  <si>
    <t>UMR UP-IRD-CNRS 5096</t>
  </si>
  <si>
    <t>Vitis vinifera subsp vinifera cv. Areni tchernii</t>
  </si>
  <si>
    <t>UMR USTL-INRA 1281 - Stress abiotique et difirenciation des vigitaux cultivis (SADV)</t>
  </si>
  <si>
    <t>Vitis vinifera subsp vinifera cv. Argant</t>
  </si>
  <si>
    <t>UMR 1095 INRA-UBP Amélioration &amp; Santé des Plantes</t>
  </si>
  <si>
    <t>Vitis vinifera subsp vinifera cv. Arinarnoa</t>
  </si>
  <si>
    <t>UMR 1095 INRA/UBP GDEC</t>
  </si>
  <si>
    <t>Vitis vinifera subsp vinifera cv. Ariño</t>
  </si>
  <si>
    <t>UMR 1095 INRA-UBP Génétique, Diversité et Ecophysiologie des Céréales</t>
  </si>
  <si>
    <t>Vitis vinifera subsp vinifera cv. Arinto de Bucelas</t>
  </si>
  <si>
    <t>UMR 1095 INRA-UBP Ginitique, Diversiti et Ecophysiologie des Ciriales</t>
  </si>
  <si>
    <t>Vitis vinifera subsp vinifera cv. Arinto du Dâo</t>
  </si>
  <si>
    <t>UMR 1096 / PIA</t>
  </si>
  <si>
    <t>Vitis vinifera subsp vinifera cv. Arizul</t>
  </si>
  <si>
    <t>UMR 1096 /PIA</t>
  </si>
  <si>
    <t>Vitis vinifera subsp vinifera cv. Armas</t>
  </si>
  <si>
    <t>UMR 1097 Vigne</t>
  </si>
  <si>
    <t>Vitis vinifera subsp vinifera cv. Armenia</t>
  </si>
  <si>
    <t>UMR 1136</t>
  </si>
  <si>
    <t>Vitis vinifera subsp vinifera cv. Arna guirna</t>
  </si>
  <si>
    <t>UMR 118 INRA-AgroCampus Rennes</t>
  </si>
  <si>
    <t>Vitis vinifera subsp vinifera cv. Arneis</t>
  </si>
  <si>
    <t>UMR 12 87 EGFV</t>
  </si>
  <si>
    <t>Vitis vinifera subsp vinifera cv. Aromatica = Pirovano 393</t>
  </si>
  <si>
    <t>UMR 320 Genetique Vegetale</t>
  </si>
  <si>
    <t>Vitis vinifera subsp vinifera cv. Aromriesling</t>
  </si>
  <si>
    <t>UMR 5004 laboratoire de physiologie et biologie moleculaire des plantes</t>
  </si>
  <si>
    <t>Vitis vinifera subsp vinifera cv. Arpad = Evêque Prohaszka</t>
  </si>
  <si>
    <t>UMR 5546 Pole de biotechnologies vegetales</t>
  </si>
  <si>
    <t>Vitis vinifera subsp vinifera cv. Arriloba</t>
  </si>
  <si>
    <t>UMR 619 - Equipe Biologie de la Vigne</t>
  </si>
  <si>
    <t>Vitis vinifera subsp vinifera cv. Arrouya</t>
  </si>
  <si>
    <t>UMR 8618 - Laboratoire Structure et Metabolisme des Plantes</t>
  </si>
  <si>
    <t>Vitis vinifera subsp vinifera cv. Arrufiac</t>
  </si>
  <si>
    <t>UMR-DAP</t>
  </si>
  <si>
    <t>Vitis vinifera subsp vinifera cv. Arturo Marescalchi = Pirovano 318</t>
  </si>
  <si>
    <t>UMR05 CNRS/INRA</t>
  </si>
  <si>
    <t>Vitis vinifera subsp vinifera cv. Arvesiniadu</t>
  </si>
  <si>
    <t>UMR1097 Vigne</t>
  </si>
  <si>
    <t>Vitis vinifera subsp vinifera cv. Arvignon</t>
  </si>
  <si>
    <t>UMR118 Amelioration des plantes</t>
  </si>
  <si>
    <t>Vitis vinifera subsp vinifera cv. Arvine</t>
  </si>
  <si>
    <t>UMR518 AgroParisTech/INRA</t>
  </si>
  <si>
    <t>Vitis vinifera subsp vinifera cv. Ascott Citronelle</t>
  </si>
  <si>
    <t>UMR759 Ecophysiologie des plantes sous stress environnementaux</t>
  </si>
  <si>
    <t>Vitis vinifera subsp vinifera cv. Askari</t>
  </si>
  <si>
    <t>UMR8576 CNRS/UST Lille</t>
  </si>
  <si>
    <t>Vitis vinifera subsp vinifera cv. Askeri</t>
  </si>
  <si>
    <t>UNCAC Cooperative Agricole Cereales</t>
  </si>
  <si>
    <t>Vitis vinifera subsp vinifera cv. Askudi</t>
  </si>
  <si>
    <t>UNCAC La Brosse Montceaux</t>
  </si>
  <si>
    <t>Vitis vinifera subsp vinifera cv. Asma</t>
  </si>
  <si>
    <t>Unicopa Clause</t>
  </si>
  <si>
    <t>Vitis vinifera subsp vinifera cv. Asmi assouad</t>
  </si>
  <si>
    <t>Unidad de Recursos Geneticos Universidad Autonoma de Chapingo</t>
  </si>
  <si>
    <t>Vitis vinifera subsp vinifera cv. Asmi blanc</t>
  </si>
  <si>
    <t>Union des Producteurs de Plaimont</t>
  </si>
  <si>
    <t>Vitis vinifera subsp vinifera cv. Aspiran Bouschet</t>
  </si>
  <si>
    <t>Unisigma Gie de Recherche et de Selection</t>
  </si>
  <si>
    <t>Vitis vinifera subsp vinifera cv. Aspiran rouge foncé</t>
  </si>
  <si>
    <t>Unit of Forest improvement, Genetics and Physiology</t>
  </si>
  <si>
    <t>Vitis vinifera subsp vinifera cv. Asprinio</t>
  </si>
  <si>
    <t>UnitÃ© AmÃ©lioration, GÃ©nÃ©tique et Physiologie ForestiÃ?res</t>
  </si>
  <si>
    <t>Vitis vinifera subsp vinifera cv. Asprouda de Santorini</t>
  </si>
  <si>
    <t>UnitC) de Nutrition AzotC)e des Plantes</t>
  </si>
  <si>
    <t>Vitis vinifera subsp vinifera cv. Asprouda Zakinthou</t>
  </si>
  <si>
    <t>Unite Centrale de la Miniere, GEVES</t>
  </si>
  <si>
    <t>Vitis vinifera subsp vinifera cv. Assali al arous</t>
  </si>
  <si>
    <t>Unite d'amelioration des plantes</t>
  </si>
  <si>
    <t>Vitis vinifera subsp vinifera cv. Assario roxo</t>
  </si>
  <si>
    <t>Unite de Biochime et Biologie Moleculaire des Cereales</t>
  </si>
  <si>
    <t>Vitis vinifera subsp vinifera cv. Assario Tinto</t>
  </si>
  <si>
    <t>Unite de Biochimie et Biologie Moleculaire des Cereales</t>
  </si>
  <si>
    <t>Vitis vinifera subsp vinifera cv. Assario (1)</t>
  </si>
  <si>
    <t>Unite de Genetique dt d amelioration des plantes fourrageres</t>
  </si>
  <si>
    <t>Vitis vinifera subsp vinifera cv. Assario (2)</t>
  </si>
  <si>
    <t>Unite de Genetique et d'Amelioration des Fruits et Legumes</t>
  </si>
  <si>
    <t>Vitis vinifera subsp vinifera cv. Asseli</t>
  </si>
  <si>
    <t>Unite de Genetique et d'Amelioration des Plantes Fourrageres (UGAPF)</t>
  </si>
  <si>
    <t>Vitis vinifera subsp vinifera cv. Asserghin</t>
  </si>
  <si>
    <t>Unite de Recherche des Produits de la Vigne</t>
  </si>
  <si>
    <t>Vitis vinifera subsp vinifera cv. Assouad Abou khislé</t>
  </si>
  <si>
    <t>Unite de Recherche en Genetique et Amelioration des plantes</t>
  </si>
  <si>
    <t>Vitis vinifera subsp vinifera cv. Assouad afranji</t>
  </si>
  <si>
    <t>Unite de Recherche en Genomique vegetale</t>
  </si>
  <si>
    <t>Vitis vinifera subsp vinifera cv. Assouad anouni</t>
  </si>
  <si>
    <t>Unite de Recherche Genomique-Info</t>
  </si>
  <si>
    <t>Vitis vinifera subsp vinifera cv. Assouad karech</t>
  </si>
  <si>
    <t>Unite de recherche sur les legumineuses (URLEG)</t>
  </si>
  <si>
    <t>Vitis vinifera subsp vinifera cv. Assoued kere</t>
  </si>
  <si>
    <t>Unite de Recherches en Sante Vegetale</t>
  </si>
  <si>
    <t>Vitis vinifera subsp vinifera cv. Assoued zeme</t>
  </si>
  <si>
    <t>Unite de recherches Interactions Plantes Microorganismes et Sante Vegetale</t>
  </si>
  <si>
    <t>Vitis vinifera subsp vinifera cv. Assul kara</t>
  </si>
  <si>
    <t>Unité Expérimentale du Domaine de Pech Rouge, INRA-Montpellier - UMR-SPO</t>
  </si>
  <si>
    <t>Vitis vinifera subsp vinifera cv. Assyrtico</t>
  </si>
  <si>
    <t>Vitis vinifera subsp vinifera cv. Athiri</t>
  </si>
  <si>
    <t>Unite experimentale du Magneraud, GEVES</t>
  </si>
  <si>
    <t>Vitis vinifera subsp vinifera cv. Athiri lefko</t>
  </si>
  <si>
    <t>Vitis vinifera subsp vinifera cv. Atomic</t>
  </si>
  <si>
    <t>Unite Genetique et amelioration des plantes</t>
  </si>
  <si>
    <t>Vitis vinifera subsp vinifera cv. Atomic apyrène</t>
  </si>
  <si>
    <t>Unite Interactions Plantes-Microorganismes et Sante Vegetale</t>
  </si>
  <si>
    <t>Vitis vinifera subsp vinifera cv. Attiki</t>
  </si>
  <si>
    <t>Unité mixte de recherche Génétique et ecophysiologie des légumineuses (UMRLEG)</t>
  </si>
  <si>
    <t>Vitis vinifera subsp vinifera cv. Attila</t>
  </si>
  <si>
    <t>Unité mixte de recherche Génétique et écophysiologie des légumineuses (UMRLEG)</t>
  </si>
  <si>
    <t>Vitis vinifera subsp vinifera cv. Attilio Ragioneri = Pirovano 150</t>
  </si>
  <si>
    <t>Unité mixte de recherche Physiologie Moléculaire des Semences (UMR PMS)</t>
  </si>
  <si>
    <t>Vitis vinifera subsp vinifera cv. Aubin</t>
  </si>
  <si>
    <t>United State Department of Agriculture by Agricultural Research Service, Washington - USA - Fogle H.</t>
  </si>
  <si>
    <t>Vitis vinifera subsp vinifera cv. Aubin vert</t>
  </si>
  <si>
    <t>United States Department of Agriculture Georgie USA</t>
  </si>
  <si>
    <t>Vitis vinifera subsp vinifera cv. Aubun</t>
  </si>
  <si>
    <t>Univ. Calif. Citrus Exp. Sta.</t>
  </si>
  <si>
    <t>Vitis vinifera subsp vinifera cv. Audibert</t>
  </si>
  <si>
    <t>Universidad de la Republica Oriental del Uruguay</t>
  </si>
  <si>
    <t>Vitis vinifera subsp vinifera cv. Augster blau</t>
  </si>
  <si>
    <t>Universidad Nacional Autonoma de Honduras</t>
  </si>
  <si>
    <t>Vitis vinifera subsp vinifera cv. Augster weisser</t>
  </si>
  <si>
    <t>Universidad Nacional Hermilio Abad del Cusco, Centro K'Ayra</t>
  </si>
  <si>
    <t>Vitis vinifera subsp vinifera cv. Aurata = Pirovano 110</t>
  </si>
  <si>
    <t>Universidade Federal do Rio Grande do Rio Grande</t>
  </si>
  <si>
    <t>Vitis vinifera subsp vinifera cv. Aurora = Pirovano 100</t>
  </si>
  <si>
    <t>Universita di Catania</t>
  </si>
  <si>
    <t>Vitis vinifera subsp vinifera cv. Autumn black</t>
  </si>
  <si>
    <t>Universitaet Hohenheim</t>
  </si>
  <si>
    <t>Vitis vinifera subsp vinifera cv. Autumn seedless</t>
  </si>
  <si>
    <t>Universite Grenoble Biologie moleculaire et vegetale</t>
  </si>
  <si>
    <t>Vitis vinifera subsp vinifera cv. Auxerrois</t>
  </si>
  <si>
    <t>University California USA</t>
  </si>
  <si>
    <t>Vitis vinifera subsp vinifera cv. Avana</t>
  </si>
  <si>
    <t>University Florida USA</t>
  </si>
  <si>
    <t>Vitis vinifera subsp vinifera cv. Avarengo</t>
  </si>
  <si>
    <t>University of Arizona</t>
  </si>
  <si>
    <t>Vitis vinifera subsp vinifera cv. Avassirkhva</t>
  </si>
  <si>
    <t>University of California</t>
  </si>
  <si>
    <t>Vitis vinifera subsp vinifera cv. Avesso</t>
  </si>
  <si>
    <t>University of Illinois,  Urbana-Champaign</t>
  </si>
  <si>
    <t>Vitis vinifera subsp vinifera cv. Avgoulato</t>
  </si>
  <si>
    <t>University of Pretoria</t>
  </si>
  <si>
    <t>Vitis vinifera subsp vinifera cv. Azal branco</t>
  </si>
  <si>
    <t>University of Puerto Rico</t>
  </si>
  <si>
    <t>Vitis vinifera subsp vinifera cv. Azal tinto</t>
  </si>
  <si>
    <t>University of Saskatchewan</t>
  </si>
  <si>
    <t>Vitis vinifera subsp vinifera cv. Azizi el Jaïa</t>
  </si>
  <si>
    <t>University of Sydney Plant Breeding Institute</t>
  </si>
  <si>
    <t>Vitis vinifera subsp vinifera cv. Azougah</t>
  </si>
  <si>
    <t>University of Udayana</t>
  </si>
  <si>
    <t>Vitis vinifera subsp vinifera cv. B 3-1</t>
  </si>
  <si>
    <t>University of Wuhan, Hubei</t>
  </si>
  <si>
    <t>Vitis vinifera subsp vinifera cv. B 5-6</t>
  </si>
  <si>
    <t>UNKNOWN</t>
  </si>
  <si>
    <t>Vitis vinifera subsp vinifera cv. Babeasca gris</t>
  </si>
  <si>
    <t>Vitis vinifera subsp vinifera cv. Babeasca neagra</t>
  </si>
  <si>
    <t>UPS Pole de Biotechnologie Vegetale</t>
  </si>
  <si>
    <t>Vitis vinifera subsp vinifera cv. Babic</t>
  </si>
  <si>
    <t>Vitis vinifera subsp vinifera cv. Bacchus = Geilweilerhof 33-29-133</t>
  </si>
  <si>
    <t>UR EFV</t>
  </si>
  <si>
    <t>Vitis vinifera subsp vinifera cv. Bacchus Bidault</t>
  </si>
  <si>
    <t>Vitis vinifera subsp vinifera cv. Bachet</t>
  </si>
  <si>
    <t>UR GAFL</t>
  </si>
  <si>
    <t>Vitis vinifera subsp vinifera cv. Badacsonyi Somzölö</t>
  </si>
  <si>
    <t>Vitis vinifera subsp vinifera cv. Baga</t>
  </si>
  <si>
    <t>Vitis vinifera subsp vinifera cv. Baïan Schirei</t>
  </si>
  <si>
    <t>Vitis vinifera subsp vinifera cv. Bakarka</t>
  </si>
  <si>
    <t>URGV</t>
  </si>
  <si>
    <t>Vitis vinifera subsp vinifera cv. Bakator kek</t>
  </si>
  <si>
    <t>URGV,  CNRS / INRA</t>
  </si>
  <si>
    <t>Vitis vinifera subsp vinifera cv. Bakator piros</t>
  </si>
  <si>
    <t>URGV - Plant Genomics Research Unit</t>
  </si>
  <si>
    <t>Vitis vinifera subsp vinifera cv. Bakator tüdöszinu</t>
  </si>
  <si>
    <t>Vitis vinifera subsp vinifera cv. Bakouri</t>
  </si>
  <si>
    <t>URP3F</t>
  </si>
  <si>
    <t>Vitis vinifera subsp vinifera cv. Balafant</t>
  </si>
  <si>
    <t>UR121 RIZ</t>
  </si>
  <si>
    <t>Vitis vinifera subsp vinifera cv. Balaton kincse</t>
  </si>
  <si>
    <t>UR254 Genetique et amelioration des plantes</t>
  </si>
  <si>
    <t>Vitis vinifera subsp vinifera cv. Balbut bijeli</t>
  </si>
  <si>
    <t>U.S. Date and Citrus Station</t>
  </si>
  <si>
    <t>Vitis vinifera subsp vinifera cv. Balint</t>
  </si>
  <si>
    <t>US Department of Agriculture,  Agriculture Research Service, Pacific West Area,  Western Regional Research Center</t>
  </si>
  <si>
    <t>Vitis vinifera subsp vinifera cv. Balouti</t>
  </si>
  <si>
    <t>US Department of Agriculture,  Agriculture Research Service, Plant Science and  Entomology Unit</t>
  </si>
  <si>
    <t>Vitis vinifera subsp vinifera cv. Balouzme</t>
  </si>
  <si>
    <t>U.S. Horticultural Field Station</t>
  </si>
  <si>
    <t>Vitis vinifera subsp vinifera cv. Balsamina nera</t>
  </si>
  <si>
    <t>U.S Horticultural Research</t>
  </si>
  <si>
    <t>Vitis vinifera subsp vinifera cv. Balsamino blanc</t>
  </si>
  <si>
    <t>US. Horticultural Research Lab,  Ft. Pierce,  FL</t>
  </si>
  <si>
    <t>Vitis vinifera subsp vinifera cv. Balzac blanc</t>
  </si>
  <si>
    <t>US Horticultural Research Laboratory</t>
  </si>
  <si>
    <t>Vitis vinifera subsp vinifera cv. Banati Rizling</t>
  </si>
  <si>
    <t>US Horticulture Research Laboratory, USDA/ARS</t>
  </si>
  <si>
    <t>Vitis vinifera subsp vinifera cv. Baratcsuha kek</t>
  </si>
  <si>
    <t>USDA, ARS Agricultural Research Service</t>
  </si>
  <si>
    <t>Vitis vinifera subsp vinifera cv. Baratcsuha szürke</t>
  </si>
  <si>
    <t>USDA, ARS, National Small Grains Collection</t>
  </si>
  <si>
    <t>Vitis vinifera subsp vinifera cv. Barbableu = Pirovano 81</t>
  </si>
  <si>
    <t>USDA, ARS, Plant Genetic Resources Unit, Cornell University, New York State Agricultural Experiment Station</t>
  </si>
  <si>
    <t>Vitis vinifera subsp vinifera cv. Barbaroux</t>
  </si>
  <si>
    <t>USDA, ARS, Washington State University, Irrigation Agricultural Research and Extension Center</t>
  </si>
  <si>
    <t>Vitis vinifera subsp vinifera cv. Barbera</t>
  </si>
  <si>
    <t>USDA, ARS, Western Regional Plant Introduction Station, Washington State University</t>
  </si>
  <si>
    <t>Vitis vinifera subsp vinifera cv. Barbera bianca</t>
  </si>
  <si>
    <t>USDA ARS WRRC</t>
  </si>
  <si>
    <t>Vitis vinifera subsp vinifera cv. Barcello</t>
  </si>
  <si>
    <t>USDA Beltsville Agricultural research Centre</t>
  </si>
  <si>
    <t>Vitis vinifera subsp vinifera cv. Barducis</t>
  </si>
  <si>
    <t>USDA/ARS Children's Nutrition Research Center</t>
  </si>
  <si>
    <t>Vitis vinifera subsp vinifera cv. Baresana</t>
  </si>
  <si>
    <t>USDA-ARS-JWDSRC</t>
  </si>
  <si>
    <t>Vitis vinifera subsp vinifera cv. Barlinka</t>
  </si>
  <si>
    <t>U.S.Department of Agriculture</t>
  </si>
  <si>
    <t>Vitis vinifera subsp vinifera cv. Barone dell Aterno = Pirovano 184</t>
  </si>
  <si>
    <t>U.S.Department of Agriculture - Agricultural Research Service</t>
  </si>
  <si>
    <t>Vitis vinifera subsp vinifera cv. Baroque</t>
  </si>
  <si>
    <t>Ustimovskaya Experimental Station for Plant Cultivation</t>
  </si>
  <si>
    <t>Vitis vinifera subsp vinifera cv. Baroque rose</t>
  </si>
  <si>
    <t>Utah Agricultural Experiment Station, Utah State University</t>
  </si>
  <si>
    <t>Vitis vinifera subsp vinifera cv. Barraquou</t>
  </si>
  <si>
    <t>Van borren, Tchécoslovaquie</t>
  </si>
  <si>
    <t>Vitis vinifera subsp vinifera cv. Barsaglina</t>
  </si>
  <si>
    <t>Van der Have GmbH</t>
  </si>
  <si>
    <t>Vitis vinifera subsp vinifera cv. Baserri</t>
  </si>
  <si>
    <t>Veg Saatzucht Hadmersleben</t>
  </si>
  <si>
    <t>Vitis vinifera subsp vinifera cv. Basicata</t>
  </si>
  <si>
    <t>Vegetable breeding station PEKIN</t>
  </si>
  <si>
    <t>Vitis vinifera subsp vinifera cv. Basicata faux</t>
  </si>
  <si>
    <t>Verger expérimental de l'Yonne (89) - France</t>
  </si>
  <si>
    <t>Vitis vinifera subsp vinifera cv. Basile Logothetis = Pirovano 77</t>
  </si>
  <si>
    <t>Villa Thuret</t>
  </si>
  <si>
    <t>Vitis vinifera subsp vinifera cv. Basilicumtraube</t>
  </si>
  <si>
    <t>Ville de Menton</t>
  </si>
  <si>
    <t>Vitis vinifera subsp vinifera cv. Bastardinho</t>
  </si>
  <si>
    <t>Vilmorin</t>
  </si>
  <si>
    <t>Vitis vinifera subsp vinifera cv. Bastardo Magaratchskii</t>
  </si>
  <si>
    <t>Vilmorin S.A.</t>
  </si>
  <si>
    <t>Vitis vinifera subsp vinifera cv. Batiki</t>
  </si>
  <si>
    <t>Vilmorin-Andrieux</t>
  </si>
  <si>
    <t>Vitis vinifera subsp vinifera cv. Batoca blanc</t>
  </si>
  <si>
    <t>Virginia Agricultural Experiment Station, Virginia Tech</t>
  </si>
  <si>
    <t>Vitis vinifera subsp vinifera cv. Battraube</t>
  </si>
  <si>
    <t>Vnii Sorgo I Drugih Zernovyh Kul'tur</t>
  </si>
  <si>
    <t>Vitis vinifera subsp vinifera cv. Batuta neagra</t>
  </si>
  <si>
    <t>Volcani Research Center</t>
  </si>
  <si>
    <t>Vitis vinifera subsp vinifera cv. Baude</t>
  </si>
  <si>
    <t>Waite Agricultural Research Institute University of Adelaide</t>
  </si>
  <si>
    <t>Vitis vinifera subsp vinifera cv. Baxtiori</t>
  </si>
  <si>
    <t>Wakayama Fruit Tree Experiment Station</t>
  </si>
  <si>
    <t>Vitis vinifera subsp vinifera cv. Bayad</t>
  </si>
  <si>
    <t>Washington State University Research Foundation - Pullman, WA - USA - Toyama TK</t>
  </si>
  <si>
    <t>Vitis vinifera subsp vinifera cv. Bayadi</t>
  </si>
  <si>
    <t>Washington State University Research Foundation, Pullman, WA - USA + Cot International, Generac - France</t>
  </si>
  <si>
    <t>Vitis vinifera subsp vinifera cv. Bayadi de Syrie</t>
  </si>
  <si>
    <t>Weizman Institute of Science</t>
  </si>
  <si>
    <t>Vitis vinifera subsp vinifera cv. Bayadi du Liban</t>
  </si>
  <si>
    <t>Western Australian Department of Agriculture</t>
  </si>
  <si>
    <t>Vitis vinifera subsp vinifera cv. BB 575-49 SRLH</t>
  </si>
  <si>
    <t>Wet-lowlands Islands Research Programme, Keravat</t>
  </si>
  <si>
    <t>Vitis vinifera subsp vinifera cv. Beala debela</t>
  </si>
  <si>
    <t>Wheat National Research Center</t>
  </si>
  <si>
    <t>Vitis vinifera subsp vinifera cv. Beaunoir</t>
  </si>
  <si>
    <t>Wheat Research Institute Ilam Research Centre</t>
  </si>
  <si>
    <t>Vitis vinifera subsp vinifera cv. Beauty seedless</t>
  </si>
  <si>
    <t>Wiersum Plant Breeding Station</t>
  </si>
  <si>
    <t>Vitis vinifera subsp vinifera cv. Béclan</t>
  </si>
  <si>
    <t>William James Farrer - Breeder</t>
  </si>
  <si>
    <t>Vitis vinifera subsp vinifera cv. Beid el Hamman</t>
  </si>
  <si>
    <t>Willits &amp; Newcomb Nurseries Co. Inc</t>
  </si>
  <si>
    <t>Vitis vinifera subsp vinifera cv. Beitamouni</t>
  </si>
  <si>
    <t>Winnipeg Research Station Agriculture Canada</t>
  </si>
  <si>
    <t>Vitis vinifera subsp vinifera cv. Belair</t>
  </si>
  <si>
    <t>Wisconsin Agricultural Experiment Station, University of Wisconsin</t>
  </si>
  <si>
    <t>Vitis vinifera subsp vinifera cv. Beldi x Ugni blanc</t>
  </si>
  <si>
    <t>World Seeds Inc.</t>
  </si>
  <si>
    <t>Vitis vinifera subsp vinifera cv. Beldi x Ugni blanc 36 L 4</t>
  </si>
  <si>
    <t>Yossef Ben-dor, Perot Oemashtalot Ltd. - Hama'ala - Israel</t>
  </si>
  <si>
    <t>Vitis vinifera subsp vinifera cv. Belle de Cegled</t>
  </si>
  <si>
    <t>Zaiger Floid, Modesto - CA - USA</t>
  </si>
  <si>
    <t>Vitis vinifera subsp vinifera cv. Bellevue</t>
  </si>
  <si>
    <t>Zelder B.V.</t>
  </si>
  <si>
    <t>Vitis vinifera subsp vinifera cv. Bellino</t>
  </si>
  <si>
    <t>Zeneca Seeds UK Limited - Plant Breeding and Research Centre</t>
  </si>
  <si>
    <t>Vitis vinifera subsp vinifera cv. Bellone</t>
  </si>
  <si>
    <t>Zeneca Wheat Improvement Centre,  Norwich Research Park</t>
  </si>
  <si>
    <t>Vitis vinifera subsp vinifera cv. Belz el Ansa</t>
  </si>
  <si>
    <t>Zhejiang University</t>
  </si>
  <si>
    <t>Vitis vinifera subsp vinifera cv. Bem tabornok = Général Bem</t>
  </si>
  <si>
    <t>Zjednocz. Hodowli Roslin i Nasiennictwa</t>
  </si>
  <si>
    <t>Vitis vinifera subsp vinifera cv. Ben Suilah</t>
  </si>
  <si>
    <t>ZMBP - Center for Molecular Biology of Plants</t>
  </si>
  <si>
    <t>Vitis vinifera subsp vinifera cv. Beneti noir</t>
  </si>
  <si>
    <t>Vitis vinifera subsp vinifera cv. Benicarlo</t>
  </si>
  <si>
    <t>Vitis vinifera subsp vinifera cv. Beogradska rana</t>
  </si>
  <si>
    <t>Vitis vinifera subsp vinifera cv. Béquignol</t>
  </si>
  <si>
    <t>Vitis vinifera subsp vinifera cv. Béquignol blanc</t>
  </si>
  <si>
    <t>Vitis vinifera subsp vinifera cv. Béquignol gris</t>
  </si>
  <si>
    <t>Vitis vinifera subsp vinifera cv. Beran</t>
  </si>
  <si>
    <t>Vitis vinifera subsp vinifera cv. Berbecel</t>
  </si>
  <si>
    <t>Vitis vinifera subsp vinifera cv. Berdomenel</t>
  </si>
  <si>
    <t>Vitis vinifera subsp vinifera cv. Beregi rozsas</t>
  </si>
  <si>
    <t>Vitis vinifera subsp vinifera cv. Beregi rozsas faux</t>
  </si>
  <si>
    <t>Vitis vinifera subsp vinifera cv. Bermestia bianca</t>
  </si>
  <si>
    <t>Vitis vinifera subsp vinifera cv. Bervedino</t>
  </si>
  <si>
    <t>Vitis vinifera subsp vinifera cv. Besgano nero</t>
  </si>
  <si>
    <t>Vitis vinifera subsp vinifera cv. Best's 22</t>
  </si>
  <si>
    <t>Vitis vinifera subsp vinifera cv. Bettlertraube</t>
  </si>
  <si>
    <t>Vitis vinifera subsp vinifera cv. Beylerce</t>
  </si>
  <si>
    <t>Vitis vinifera subsp vinifera cv. Bezoul el Aouda</t>
  </si>
  <si>
    <t>Vitis vinifera subsp vinifera cv. Bezoul el Kedima</t>
  </si>
  <si>
    <t>Vitis vinifera subsp vinifera cv. Bezoul el Kelba</t>
  </si>
  <si>
    <t>Vitis vinifera subsp vinifera cv. Bezoul el Khadem</t>
  </si>
  <si>
    <t>Vitis vinifera subsp vinifera cv. Bia blanc</t>
  </si>
  <si>
    <t>Vitis vinifera subsp vinifera cv. Biancame</t>
  </si>
  <si>
    <t>Vitis vinifera subsp vinifera cv. Biancazza</t>
  </si>
  <si>
    <t>Vitis vinifera subsp vinifera cv. Bianchetta genovese</t>
  </si>
  <si>
    <t>Vitis vinifera subsp vinifera cv. Bianchetta trevigiana</t>
  </si>
  <si>
    <t>Vitis vinifera subsp vinifera cv. Bianco d'Alessano</t>
  </si>
  <si>
    <t>Vitis vinifera subsp vinifera cv. Biancolella</t>
  </si>
  <si>
    <t>Vitis vinifera subsp vinifera cv. Biancone</t>
  </si>
  <si>
    <t>Vitis vinifera subsp vinifera cv. Biancu Gentile</t>
  </si>
  <si>
    <t>Vitis vinifera subsp vinifera cv. Bicane</t>
  </si>
  <si>
    <t>Vitis vinifera subsp vinifera cv. Bichtii</t>
  </si>
  <si>
    <t>Vitis vinifera subsp vinifera cv. Biczo balint emleke</t>
  </si>
  <si>
    <t>Vitis vinifera subsp vinifera cv. Biczö egon</t>
  </si>
  <si>
    <t>Vitis vinifera subsp vinifera cv. Bidaneh ghelmez</t>
  </si>
  <si>
    <t>Vitis vinifera subsp vinifera cv. Bien donné</t>
  </si>
  <si>
    <t>Vitis vinifera subsp vinifera cv. Big Perlon</t>
  </si>
  <si>
    <t>Vitis vinifera subsp vinifera cv. Bigasse</t>
  </si>
  <si>
    <t>Vitis vinifera subsp vinifera cv. Binisalem</t>
  </si>
  <si>
    <t>Vitis vinifera subsp vinifera cv. Black Alicante</t>
  </si>
  <si>
    <t>Vitis vinifera subsp vinifera cv. Black monukka</t>
  </si>
  <si>
    <t>Vitis vinifera subsp vinifera cv. Black Morocco</t>
  </si>
  <si>
    <t>Vitis vinifera subsp vinifera cv. Black Pearl Corrin</t>
  </si>
  <si>
    <t>Vitis vinifera subsp vinifera cv. Black Prince</t>
  </si>
  <si>
    <t>Vitis vinifera subsp vinifera cv. Black Rose = H 3-47</t>
  </si>
  <si>
    <t>Vitis vinifera subsp vinifera cv. Blanc Auba</t>
  </si>
  <si>
    <t>Vitis vinifera subsp vinifera cv. Blanc Cardon</t>
  </si>
  <si>
    <t>Vitis vinifera subsp vinifera cv. Blanc d'ambre</t>
  </si>
  <si>
    <t>Vitis vinifera subsp vinifera cv. Blanc Dame</t>
  </si>
  <si>
    <t>Vitis vinifera subsp vinifera cv. Blanc d'Automne</t>
  </si>
  <si>
    <t>Vitis vinifera subsp vinifera cv. Blanc de Creüe</t>
  </si>
  <si>
    <t>Vitis vinifera subsp vinifera cv. Blanc de Dellys</t>
  </si>
  <si>
    <t>Vitis vinifera subsp vinifera cv. Blanc de Dellys x Rhodites</t>
  </si>
  <si>
    <t>Vitis vinifera subsp vinifera cv. Blanc de Morgex</t>
  </si>
  <si>
    <t>Vitis vinifera subsp vinifera cv. Blanc de Rhafsaï</t>
  </si>
  <si>
    <t>Vitis vinifera subsp vinifera cv. Blanc Marquis</t>
  </si>
  <si>
    <t>Vitis vinifera subsp vinifera cv. Blanc Neyroud</t>
  </si>
  <si>
    <t>Vitis vinifera subsp vinifera cv. Blanc vert</t>
  </si>
  <si>
    <t>Vitis vinifera subsp vinifera cv. Blanca Gordal</t>
  </si>
  <si>
    <t>Vitis vinifera subsp vinifera cv. Blanca Superior para parral</t>
  </si>
  <si>
    <t>Vitis vinifera subsp vinifera cv. Blanca temprana Almeria</t>
  </si>
  <si>
    <t>Vitis vinifera subsp vinifera cv. Blancard</t>
  </si>
  <si>
    <t>Vitis vinifera subsp vinifera cv. Blanchier</t>
  </si>
  <si>
    <t>Vitis vinifera subsp vinifera cv. Blancorna</t>
  </si>
  <si>
    <t>Vitis vinifera subsp vinifera cv. Blank blauer</t>
  </si>
  <si>
    <t>Vitis vinifera subsp vinifera cv. Blanqueiron</t>
  </si>
  <si>
    <t>Vitis vinifera subsp vinifera cv. Blatina crna</t>
  </si>
  <si>
    <t>Vitis vinifera subsp vinifera cv. Blauburger</t>
  </si>
  <si>
    <t>Vitis vinifera subsp vinifera cv. Blauer Muskateller</t>
  </si>
  <si>
    <t>Vitis vinifera subsp vinifera cv. Blush seedless</t>
  </si>
  <si>
    <t>Vitis vinifera subsp vinifera cv. Boal cachudo</t>
  </si>
  <si>
    <t>Vitis vinifera subsp vinifera cv. Boal de Alicante Moscatel</t>
  </si>
  <si>
    <t>Vitis vinifera subsp vinifera cv. Boal de Madère</t>
  </si>
  <si>
    <t>Vitis vinifera subsp vinifera cv. Boal de Natura</t>
  </si>
  <si>
    <t>Vitis vinifera subsp vinifera cv. Boal molle</t>
  </si>
  <si>
    <t>Vitis vinifera subsp vinifera cv. Boal rosado</t>
  </si>
  <si>
    <t>Vitis vinifera subsp vinifera cv. Bobal</t>
  </si>
  <si>
    <t>Vitis vinifera subsp vinifera cv. Bocalilla</t>
  </si>
  <si>
    <t>Vitis vinifera subsp vinifera cv. Bogaz kere</t>
  </si>
  <si>
    <t>Vitis vinifera subsp vinifera cv. Bogdanusa</t>
  </si>
  <si>
    <t>Vitis vinifera subsp vinifera cv. Bogdanyi dinka</t>
  </si>
  <si>
    <t>Vitis vinifera subsp vinifera cv. Bogni 17 B</t>
  </si>
  <si>
    <t>Vitis vinifera subsp vinifera cv. Bogni 8</t>
  </si>
  <si>
    <t>Vitis vinifera subsp vinifera cv. Bombino bianco</t>
  </si>
  <si>
    <t>Vitis vinifera subsp vinifera cv. Bombino nero</t>
  </si>
  <si>
    <t>Vitis vinifera subsp vinifera cv. Bon blanc de Frangy</t>
  </si>
  <si>
    <t>Vitis vinifera subsp vinifera cv. Bonamico</t>
  </si>
  <si>
    <t>Vitis vinifera subsp vinifera cv. Bonarda piemontese</t>
  </si>
  <si>
    <t>Vitis vinifera subsp vinifera cv. Bonheur</t>
  </si>
  <si>
    <t>Vitis vinifera subsp vinifera cv. Bonne Vituaigne</t>
  </si>
  <si>
    <t>Vitis vinifera subsp vinifera cv. Bonnet de retord</t>
  </si>
  <si>
    <t>Vitis vinifera subsp vinifera cv. Bonnita</t>
  </si>
  <si>
    <t>Vitis vinifera subsp vinifera cv. Borba blanca</t>
  </si>
  <si>
    <t>Vitis vinifera subsp vinifera cv. Boriska</t>
  </si>
  <si>
    <t>Vitis vinifera subsp vinifera cv. Borraçal</t>
  </si>
  <si>
    <t>Vitis vinifera subsp vinifera cv. Borrado das moscas</t>
  </si>
  <si>
    <t>Vitis vinifera subsp vinifera cv. Bosco</t>
  </si>
  <si>
    <t>Vitis vinifera subsp vinifera cv. Boskokwi</t>
  </si>
  <si>
    <t>Vitis vinifera subsp vinifera cv. Botun</t>
  </si>
  <si>
    <t>Vitis vinifera subsp vinifera cv. Bou Khanzir blanc</t>
  </si>
  <si>
    <t>Vitis vinifera subsp vinifera cv. Bou Khanzir noir</t>
  </si>
  <si>
    <t>Vitis vinifera subsp vinifera cv. Bou Qsob faux</t>
  </si>
  <si>
    <t>Vitis vinifera subsp vinifera cv. Bou Rouguia</t>
  </si>
  <si>
    <t>Vitis vinifera subsp vinifera cv. Bouaki nor</t>
  </si>
  <si>
    <t>Vitis vinifera subsp vinifera cv. Bouaki tach</t>
  </si>
  <si>
    <t>Vitis vinifera subsp vinifera cv. Bouchalès</t>
  </si>
  <si>
    <t>Vitis vinifera subsp vinifera cv. Bouchereau</t>
  </si>
  <si>
    <t>Vitis vinifera subsp vinifera cv. Bouchouka</t>
  </si>
  <si>
    <t>Vitis vinifera subsp vinifera cv. Boudechouri tcherny</t>
  </si>
  <si>
    <t>Vitis vinifera subsp vinifera cv. Bouillan</t>
  </si>
  <si>
    <t>Vitis vinifera subsp vinifera cv. Bouillenc noir</t>
  </si>
  <si>
    <t>Vitis vinifera subsp vinifera cv. Bouillet</t>
  </si>
  <si>
    <t>Vitis vinifera subsp vinifera cv. Boulanoui</t>
  </si>
  <si>
    <t>Vitis vinifera subsp vinifera cv. Bouquet riesling</t>
  </si>
  <si>
    <t>Vitis vinifera subsp vinifera cv. Bouquet Sylvaner</t>
  </si>
  <si>
    <t>Vitis vinifera subsp vinifera cv. Bouquettraube</t>
  </si>
  <si>
    <t>Vitis vinifera subsp vinifera cv. Bourboulenc</t>
  </si>
  <si>
    <t>Vitis vinifera subsp vinifera cv. Bourdier 2-04-58</t>
  </si>
  <si>
    <t>Vitis vinifera subsp vinifera cv. Bourrisquou</t>
  </si>
  <si>
    <t>Vitis vinifera subsp vinifera cv. Bouteillan noir</t>
  </si>
  <si>
    <t>Vitis vinifera subsp vinifera cv. Bouvierrebe</t>
  </si>
  <si>
    <t>Vitis vinifera subsp vinifera cv. Bouzouga</t>
  </si>
  <si>
    <t>Vitis vinifera subsp vinifera cv. Bovale grande = Bovale di Spagna</t>
  </si>
  <si>
    <t>Vitis vinifera subsp vinifera cv. Bracciola nera</t>
  </si>
  <si>
    <t>Vitis vinifera subsp vinifera cv. Brachet</t>
  </si>
  <si>
    <t>Vitis vinifera subsp vinifera cv. Brachet 2</t>
  </si>
  <si>
    <t>Vitis vinifera subsp vinifera cv. Brachetto</t>
  </si>
  <si>
    <t>Vitis vinifera subsp vinifera cv. Braghina</t>
  </si>
  <si>
    <t>Vitis vinifera subsp vinifera cv. Bratkovina</t>
  </si>
  <si>
    <t>Vitis vinifera subsp vinifera cv. Bronnerstraube</t>
  </si>
  <si>
    <t>Vitis vinifera subsp vinifera cv. Broumest</t>
  </si>
  <si>
    <t>Vitis vinifera subsp vinifera cv. Brun argenté</t>
  </si>
  <si>
    <t>Vitis vinifera subsp vinifera cv. Brun Fourca</t>
  </si>
  <si>
    <t>Vitis vinifera subsp vinifera cv. Bruni 1 Sélection clonale</t>
  </si>
  <si>
    <t>Vitis vinifera subsp vinifera cv. Bruni 100</t>
  </si>
  <si>
    <t>Vitis vinifera subsp vinifera cv. Bruni 102</t>
  </si>
  <si>
    <t>Vitis vinifera subsp vinifera cv. Bruni 116</t>
  </si>
  <si>
    <t>Vitis vinifera subsp vinifera cv. Bruni 12</t>
  </si>
  <si>
    <t>Vitis vinifera subsp vinifera cv. Bruni 125</t>
  </si>
  <si>
    <t>Vitis vinifera subsp vinifera cv. Bruni 14</t>
  </si>
  <si>
    <t>Vitis vinifera subsp vinifera cv. Bruni 147</t>
  </si>
  <si>
    <t>Vitis vinifera subsp vinifera cv. Bruni 15</t>
  </si>
  <si>
    <t>Vitis vinifera subsp vinifera cv. Bruni 154</t>
  </si>
  <si>
    <t>Vitis vinifera subsp vinifera cv. Bruni 18 (hybride)</t>
  </si>
  <si>
    <t>Vitis vinifera subsp vinifera cv. Bruni 317</t>
  </si>
  <si>
    <t>Vitis vinifera subsp vinifera cv. Bruni 33</t>
  </si>
  <si>
    <t>Vitis vinifera subsp vinifera cv. Bruni 36</t>
  </si>
  <si>
    <t>Vitis vinifera subsp vinifera cv. Bruni 360</t>
  </si>
  <si>
    <t>Vitis vinifera subsp vinifera cv. Bruni 381</t>
  </si>
  <si>
    <t>Vitis vinifera subsp vinifera cv. Bruni 4</t>
  </si>
  <si>
    <t>Vitis vinifera subsp vinifera cv. Bruni 41</t>
  </si>
  <si>
    <t>Vitis vinifera subsp vinifera cv. Bruni 415</t>
  </si>
  <si>
    <t>Vitis vinifera subsp vinifera cv. Bruni 429</t>
  </si>
  <si>
    <t>Vitis vinifera subsp vinifera cv. Bruni 45</t>
  </si>
  <si>
    <t>Vitis vinifera subsp vinifera cv. Bruni 54</t>
  </si>
  <si>
    <t>Vitis vinifera subsp vinifera cv. Bruni 65</t>
  </si>
  <si>
    <t>Vitis vinifera subsp vinifera cv. Bruni 74</t>
  </si>
  <si>
    <t>Vitis vinifera subsp vinifera cv. Bruni 75</t>
  </si>
  <si>
    <t>Vitis vinifera subsp vinifera cv. Bruni 90</t>
  </si>
  <si>
    <t>Vitis vinifera subsp vinifera cv. Brunq noir</t>
  </si>
  <si>
    <t>Vitis vinifera subsp vinifera cv. Brustiano</t>
  </si>
  <si>
    <t>Vitis vinifera subsp vinifera cv. Brustiano faux</t>
  </si>
  <si>
    <t>Vitis vinifera subsp vinifera cv. Buckland sweet water</t>
  </si>
  <si>
    <t>Vitis vinifera subsp vinifera cv. Budai Szagos</t>
  </si>
  <si>
    <t>Vitis vinifera subsp vinifera cv. Budai zöld</t>
  </si>
  <si>
    <t>Vitis vinifera subsp vinifera cv. Burgrave de Hongrie</t>
  </si>
  <si>
    <t>Vitis vinifera subsp vinifera cv. Cabasma alba</t>
  </si>
  <si>
    <t>Vitis vinifera subsp vinifera cv. Cabernet franc</t>
  </si>
  <si>
    <t>Vitis vinifera subsp vinifera cv. Cabernet Lion</t>
  </si>
  <si>
    <t>Vitis vinifera subsp vinifera cv. Cabernet-Malbec n°1</t>
  </si>
  <si>
    <t>Vitis vinifera subsp vinifera cv. Cabernet-Malbec n°2</t>
  </si>
  <si>
    <t>Vitis vinifera subsp vinifera cv. Cabernet-Malbec n°4</t>
  </si>
  <si>
    <t>Vitis vinifera subsp vinifera cv. Cabernet-Sauvignon</t>
  </si>
  <si>
    <t>Vitis vinifera subsp vinifera cv. Cacaboué</t>
  </si>
  <si>
    <t>Vitis vinifera subsp vinifera cv. Caddiu</t>
  </si>
  <si>
    <t>Vitis vinifera subsp vinifera cv. Cainho branco</t>
  </si>
  <si>
    <t>Vitis vinifera subsp vinifera cv. Caiño longo</t>
  </si>
  <si>
    <t>Vitis vinifera subsp vinifera cv. Calabre</t>
  </si>
  <si>
    <t>Vitis vinifera subsp vinifera cv. Calabrese</t>
  </si>
  <si>
    <t>Vitis vinifera subsp vinifera cv. Caladoc = INRA 1510-104</t>
  </si>
  <si>
    <t>Vitis vinifera subsp vinifera cv. Calitor</t>
  </si>
  <si>
    <t>Vitis vinifera subsp vinifera cv. Calitor blanc</t>
  </si>
  <si>
    <t>Vitis vinifera subsp vinifera cv. Calitor gris</t>
  </si>
  <si>
    <t>Vitis vinifera subsp vinifera cv. Callet</t>
  </si>
  <si>
    <t>Vitis vinifera subsp vinifera cv. Calmeria = C11-31-5</t>
  </si>
  <si>
    <t>Vitis vinifera subsp vinifera cv. Caloria</t>
  </si>
  <si>
    <t>Vitis vinifera subsp vinifera cv. Calzin</t>
  </si>
  <si>
    <t>Vitis vinifera subsp vinifera cv. Camaralet de Lasseube</t>
  </si>
  <si>
    <t>Vitis vinifera subsp vinifera cv. Camaraou blanc</t>
  </si>
  <si>
    <t>Vitis vinifera subsp vinifera cv. Camaraou noir</t>
  </si>
  <si>
    <t>Vitis vinifera subsp vinifera cv. Canaiolo</t>
  </si>
  <si>
    <t>Vitis vinifera subsp vinifera cv. Canari</t>
  </si>
  <si>
    <t>Vitis vinifera subsp vinifera cv. Canina nera</t>
  </si>
  <si>
    <t>Vitis vinifera subsp vinifera cv. Canner seedless</t>
  </si>
  <si>
    <t>Vitis vinifera subsp vinifera cv. Cannon Hall</t>
  </si>
  <si>
    <t>Vitis vinifera subsp vinifera cv. Cannon Hall faux</t>
  </si>
  <si>
    <t>Vitis vinifera subsp vinifera cv. Cañocazo</t>
  </si>
  <si>
    <t>Vitis vinifera subsp vinifera cv. Cañorroyo</t>
  </si>
  <si>
    <t>Vitis vinifera subsp vinifera cv. Cape currant</t>
  </si>
  <si>
    <t>Vitis vinifera subsp vinifera cv. Caralicante</t>
  </si>
  <si>
    <t>Vitis vinifera subsp vinifera cv. Carcaces</t>
  </si>
  <si>
    <t>Vitis vinifera subsp vinifera cv. Carcajolo</t>
  </si>
  <si>
    <t>Vitis vinifera subsp vinifera cv. Carcajolo blanc</t>
  </si>
  <si>
    <t>Vitis vinifera subsp vinifera cv. Cardinal = G 10-30</t>
  </si>
  <si>
    <t>Vitis vinifera subsp vinifera cv. Carignan</t>
  </si>
  <si>
    <t>Vitis vinifera subsp vinifera cv. Carignan blanc</t>
  </si>
  <si>
    <t>Vitis vinifera subsp vinifera cv. Carignan Bouschet</t>
  </si>
  <si>
    <t>Vitis vinifera subsp vinifera cv. Carignan gris</t>
  </si>
  <si>
    <t>Vitis vinifera subsp vinifera cv. Carla = INRA 1650-10</t>
  </si>
  <si>
    <t>Vitis vinifera subsp vinifera cv. Carmenère</t>
  </si>
  <si>
    <t>Vitis vinifera subsp vinifera cv. Carminoir</t>
  </si>
  <si>
    <t>Vitis vinifera subsp vinifera cv. Carnelian</t>
  </si>
  <si>
    <t>Vitis vinifera subsp vinifera cv. Carrega somera</t>
  </si>
  <si>
    <t>Vitis vinifera subsp vinifera cv. Carricante</t>
  </si>
  <si>
    <t>Vitis vinifera subsp vinifera cv. Cartuja blanca</t>
  </si>
  <si>
    <t>Vitis vinifera subsp vinifera cv. Castellano morado</t>
  </si>
  <si>
    <t>Vitis vinifera subsp vinifera cv. Castets</t>
  </si>
  <si>
    <t>Vitis vinifera subsp vinifera cv. Castiglione</t>
  </si>
  <si>
    <t>Vitis vinifera subsp vinifera cv. Catalanesca</t>
  </si>
  <si>
    <t>Vitis vinifera subsp vinifera cv. Catanese nero</t>
  </si>
  <si>
    <t>Vitis vinifera subsp vinifera cv. Catarratto bianco comune</t>
  </si>
  <si>
    <t>Vitis vinifera subsp vinifera cv. Catarratto bianco lucido</t>
  </si>
  <si>
    <t>Vitis vinifera subsp vinifera cv. Catarratto nero</t>
  </si>
  <si>
    <t>Vitis vinifera subsp vinifera cv. Centennial seedless</t>
  </si>
  <si>
    <t>Vitis vinifera subsp vinifera cv. Centorotolli</t>
  </si>
  <si>
    <t>Vitis vinifera subsp vinifera cv. Cep rouge</t>
  </si>
  <si>
    <t>Vitis vinifera subsp vinifera cv. Cercial du Dão</t>
  </si>
  <si>
    <t>Vitis vinifera subsp vinifera cv. Cereza</t>
  </si>
  <si>
    <t>Vitis vinifera subsp vinifera cv. Cesanese comune</t>
  </si>
  <si>
    <t>Vitis vinifera subsp vinifera cv. César</t>
  </si>
  <si>
    <t>Vitis vinifera subsp vinifera cv. Chaani biely</t>
  </si>
  <si>
    <t>Vitis vinifera subsp vinifera cv. Chaani tchernii</t>
  </si>
  <si>
    <t>Vitis vinifera subsp vinifera cv. Chahnani</t>
  </si>
  <si>
    <t>Vitis vinifera subsp vinifera cv. Chaillaud</t>
  </si>
  <si>
    <t>Vitis vinifera subsp vinifera cv. Chakar angour de Tachkent</t>
  </si>
  <si>
    <t>Vitis vinifera subsp vinifera cv. Chalosse noire</t>
  </si>
  <si>
    <t>Vitis vinifera subsp vinifera cv. Chalosse noire = Négret castrais</t>
  </si>
  <si>
    <t>Vitis vinifera subsp vinifera cv. Chami</t>
  </si>
  <si>
    <t>Vitis vinifera subsp vinifera cv. Chany gris</t>
  </si>
  <si>
    <t>Vitis vinifera subsp vinifera cv. Chaouch blanc</t>
  </si>
  <si>
    <t>Vitis vinifera subsp vinifera cv. Chaouch rose</t>
  </si>
  <si>
    <t>Vitis vinifera subsp vinifera cv. Chaptal</t>
  </si>
  <si>
    <t>Vitis vinifera subsp vinifera cv. Chardonnay</t>
  </si>
  <si>
    <t>Vitis vinifera subsp vinifera cv. Chardonnay musqué</t>
  </si>
  <si>
    <t>Vitis vinifera subsp vinifera cv. Chardonnay rose</t>
  </si>
  <si>
    <t>Vitis vinifera subsp vinifera cv. Charmont</t>
  </si>
  <si>
    <t>Vitis vinifera subsp vinifera cv. Chasan = INRA 1527-78</t>
  </si>
  <si>
    <t>Vitis vinifera subsp vinifera cv. Chasselas</t>
  </si>
  <si>
    <t>Vitis vinifera subsp vinifera cv. Chasselas apyrène</t>
  </si>
  <si>
    <t>Vitis vinifera subsp vinifera cv. Chasselas des Bouches du Rhône</t>
  </si>
  <si>
    <t>Vitis vinifera subsp vinifera cv. Chasselas Duhamel</t>
  </si>
  <si>
    <t>Vitis vinifera subsp vinifera cv. Chasselas Impérial Oberlin</t>
  </si>
  <si>
    <t>Vitis vinifera subsp vinifera cv. Chasselas lacinifolié</t>
  </si>
  <si>
    <t>Vitis vinifera subsp vinifera cv. Chasselas Michel Tompa</t>
  </si>
  <si>
    <t>Vitis vinifera subsp vinifera cv. Chasselas musqué</t>
  </si>
  <si>
    <t>Vitis vinifera subsp vinifera cv. Chasselas noir</t>
  </si>
  <si>
    <t>Vitis vinifera subsp vinifera cv. Chasselas rose</t>
  </si>
  <si>
    <t>Vitis vinifera subsp vinifera cv. Chasselas rose royal</t>
  </si>
  <si>
    <t>Vitis vinifera subsp vinifera cv. Chasselas rouge</t>
  </si>
  <si>
    <t>Vitis vinifera subsp vinifera cv. Chasselas tétraploïde</t>
  </si>
  <si>
    <t>Vitis vinifera subsp vinifera cv. Chasselas violet</t>
  </si>
  <si>
    <t>Vitis vinifera subsp vinifera cv. Chatus</t>
  </si>
  <si>
    <t>Vitis vinifera subsp vinifera cv. Chenanson = INRA 1509-149</t>
  </si>
  <si>
    <t>Vitis vinifera subsp vinifera cv. Chenin</t>
  </si>
  <si>
    <t>Vitis vinifera subsp vinifera cv. Chichaud</t>
  </si>
  <si>
    <t>Vitis vinifera subsp vinifera cv. Chikki</t>
  </si>
  <si>
    <t>Vitis vinifera subsp vinifera cv. Chirai</t>
  </si>
  <si>
    <t>Vitis vinifera subsp vinifera cv. Chiroka Melnichka = Melnik</t>
  </si>
  <si>
    <t>Vitis vinifera subsp vinifera cv. Chirvan chakhi</t>
  </si>
  <si>
    <t>Vitis vinifera subsp vinifera cv. Chouchillon</t>
  </si>
  <si>
    <t>Vitis vinifera subsp vinifera cv. Christmas rose</t>
  </si>
  <si>
    <t>Vitis vinifera subsp vinifera cv. Chtour angour</t>
  </si>
  <si>
    <t>Vitis vinifera subsp vinifera cv. Ciclopica = Pirovano 60</t>
  </si>
  <si>
    <t>Vitis vinifera subsp vinifera cv. Ciganyszölö</t>
  </si>
  <si>
    <t>Vitis vinifera subsp vinifera cv. Ciliegiolo</t>
  </si>
  <si>
    <t>Vitis vinifera subsp vinifera cv. Cinsaut</t>
  </si>
  <si>
    <t>Vitis vinifera subsp vinifera cv. Cinsaut Bouschet</t>
  </si>
  <si>
    <t>Vitis vinifera subsp vinifera cv. Cioinic</t>
  </si>
  <si>
    <t>Vitis vinifera subsp vinifera cv. Circé</t>
  </si>
  <si>
    <t>Vitis vinifera subsp vinifera cv. Citana</t>
  </si>
  <si>
    <t>Vitis vinifera subsp vinifera cv. Citronelle</t>
  </si>
  <si>
    <t>Vitis vinifera subsp vinifera cv. Citronelle x Aramon</t>
  </si>
  <si>
    <t>Vitis vinifera subsp vinifera cv. Clairette</t>
  </si>
  <si>
    <t>Vitis vinifera subsp vinifera cv. Clairette Mazel</t>
  </si>
  <si>
    <t>Vitis vinifera subsp vinifera cv. Clairette rose</t>
  </si>
  <si>
    <t>Vitis vinifera subsp vinifera cv. Clairette x Beldi 36 L 2</t>
  </si>
  <si>
    <t>Vitis vinifera subsp vinifera cv. Clarin = INRA 573-11</t>
  </si>
  <si>
    <t>Vitis vinifera subsp vinifera cv. Claverie</t>
  </si>
  <si>
    <t>Vitis vinifera subsp vinifera cv. Claverie coulard</t>
  </si>
  <si>
    <t>Vitis vinifera subsp vinifera cv. Clotilde Prosperi = Prosperi 190</t>
  </si>
  <si>
    <t>Vitis vinifera subsp vinifera cv. Coada vulpii</t>
  </si>
  <si>
    <t>Vitis vinifera subsp vinifera cv. Coarna alba</t>
  </si>
  <si>
    <t>Vitis vinifera subsp vinifera cv. Coarna neagra</t>
  </si>
  <si>
    <t>Vitis vinifera subsp vinifera cv. Coarna rosie</t>
  </si>
  <si>
    <t>Vitis vinifera subsp vinifera cv. Cococciola</t>
  </si>
  <si>
    <t>Vitis vinifera subsp vinifera cv. Coda di volpe bianca</t>
  </si>
  <si>
    <t>Vitis vinifera subsp vinifera cv. Codega</t>
  </si>
  <si>
    <t>Vitis vinifera subsp vinifera cv. Codivarta</t>
  </si>
  <si>
    <t>Vitis vinifera subsp vinifera cv. Colman blanc</t>
  </si>
  <si>
    <t>Vitis vinifera subsp vinifera cv. Colombana nera</t>
  </si>
  <si>
    <t>Vitis vinifera subsp vinifera cv. Colombard</t>
  </si>
  <si>
    <t>Vitis vinifera subsp vinifera cv. Colombaud = Bouteillan blanc</t>
  </si>
  <si>
    <t>Vitis vinifera subsp vinifera cv. Colorino</t>
  </si>
  <si>
    <t>Vitis vinifera subsp vinifera cv. Completer</t>
  </si>
  <si>
    <t>Vitis vinifera subsp vinifera cv. Conca d'ora = Paulsen 152</t>
  </si>
  <si>
    <t>Vitis vinifera subsp vinifera cv. Conegliano 120</t>
  </si>
  <si>
    <t>Vitis vinifera subsp vinifera cv. Conegliano 199</t>
  </si>
  <si>
    <t>Vitis vinifera subsp vinifera cv. Conegliano 213</t>
  </si>
  <si>
    <t>Vitis vinifera subsp vinifera cv. Conegliano 218</t>
  </si>
  <si>
    <t>Vitis vinifera subsp vinifera cv. Constantinescu-Negreanu 2/13/8 (Victoria)</t>
  </si>
  <si>
    <t>Vitis vinifera subsp vinifera cv. Conte rosso = Pirovano 73</t>
  </si>
  <si>
    <t>Vitis vinifera subsp vinifera cv. Corbeau</t>
  </si>
  <si>
    <t>Vitis vinifera subsp vinifera cv. Corbina vicentina</t>
  </si>
  <si>
    <t>Vitis vinifera subsp vinifera cv. Corfiatis</t>
  </si>
  <si>
    <t>Vitis vinifera subsp vinifera cv. Corinthe blanc</t>
  </si>
  <si>
    <t>Vitis vinifera subsp vinifera cv. Corinthe noir</t>
  </si>
  <si>
    <t>Vitis vinifera subsp vinifera cv. Corinto bianco</t>
  </si>
  <si>
    <t>Vitis vinifera subsp vinifera cv. Corneille</t>
  </si>
  <si>
    <t>Vitis vinifera subsp vinifera cv. Cornet</t>
  </si>
  <si>
    <t>Vitis vinifera subsp vinifera cv. Cornichon violet</t>
  </si>
  <si>
    <t>Vitis vinifera subsp vinifera cv. Cornichon violet = Rosa menna di vacca</t>
  </si>
  <si>
    <t>Vitis vinifera subsp vinifera cv. Cornifesto</t>
  </si>
  <si>
    <t>Vitis vinifera subsp vinifera cv. Corniola bianca di Milazzo</t>
  </si>
  <si>
    <t>Vitis vinifera subsp vinifera cv. Corniola nera</t>
  </si>
  <si>
    <t>Vitis vinifera subsp vinifera cv. Corrin Seedless</t>
  </si>
  <si>
    <t>Vitis vinifera subsp vinifera cv. Cortese</t>
  </si>
  <si>
    <t>Vitis vinifera subsp vinifera cv. Corvina veronese</t>
  </si>
  <si>
    <t>Vitis vinifera subsp vinifera cv. Cot</t>
  </si>
  <si>
    <t>Vitis vinifera subsp vinifera cv. Cot de Chéragas</t>
  </si>
  <si>
    <t>Vitis vinifera subsp vinifera cv. Counoise</t>
  </si>
  <si>
    <t>Vitis vinifera subsp vinifera cv. Courbès</t>
  </si>
  <si>
    <t>Vitis vinifera subsp vinifera cv. Courbu</t>
  </si>
  <si>
    <t>Vitis vinifera subsp vinifera cv. Courbu noir</t>
  </si>
  <si>
    <t>Vitis vinifera subsp vinifera cv. Courtoisie</t>
  </si>
  <si>
    <t>Vitis vinifera subsp vinifera cv. Coutinho 6</t>
  </si>
  <si>
    <t>Vitis vinifera subsp vinifera cv. Crassostaphyllo</t>
  </si>
  <si>
    <t>Vitis vinifera subsp vinifera cv. Crimposie</t>
  </si>
  <si>
    <t>Vitis vinifera subsp vinifera cv. Crimson seedless</t>
  </si>
  <si>
    <t>Vitis vinifera subsp vinifera cv. Criolla chica 2</t>
  </si>
  <si>
    <t>Vitis vinifera subsp vinifera cv. Criolla mediana 2</t>
  </si>
  <si>
    <t>Vitis vinifera subsp vinifera cv. Criolla San Juanina</t>
  </si>
  <si>
    <t>Vitis vinifera subsp vinifera cv. Crista couleur d'ambre</t>
  </si>
  <si>
    <t>Vitis vinifera subsp vinifera cv. Croatina</t>
  </si>
  <si>
    <t>Vitis vinifera subsp vinifera cv. Croetto</t>
  </si>
  <si>
    <t>Vitis vinifera subsp vinifera cv. Crouchen</t>
  </si>
  <si>
    <t>Vitis vinifera subsp vinifera cv. Cruciulita</t>
  </si>
  <si>
    <t>Vitis vinifera subsp vinifera cv. Crujidera</t>
  </si>
  <si>
    <t>Vitis vinifera subsp vinifera cv. Crujillon</t>
  </si>
  <si>
    <t>Vitis vinifera subsp vinifera cv. Crvena slaubanic</t>
  </si>
  <si>
    <t>Vitis vinifera subsp vinifera cv. Crystal (Afrique du Sud)</t>
  </si>
  <si>
    <t>Vitis vinifera subsp vinifera cv. Crystal (Etats-Unis)</t>
  </si>
  <si>
    <t>Vitis vinifera subsp vinifera cv. Csoka szöllö</t>
  </si>
  <si>
    <t>Vitis vinifera subsp vinifera cv. Csomorika</t>
  </si>
  <si>
    <t>Vitis vinifera subsp vinifera cv. Cualtaccio</t>
  </si>
  <si>
    <t>Vitis vinifera subsp vinifera cv. Curisti</t>
  </si>
  <si>
    <t>Vitis vinifera subsp vinifera cv. Cyperntraube</t>
  </si>
  <si>
    <t>Vitis vinifera subsp vinifera cv. Dabouki</t>
  </si>
  <si>
    <t>Vitis vinifera subsp vinifera cv. Dalmasso III-33</t>
  </si>
  <si>
    <t>Vitis vinifera subsp vinifera cv. Dalmasso IX-1</t>
  </si>
  <si>
    <t>Vitis vinifera subsp vinifera cv. Dalmasso VIII-5</t>
  </si>
  <si>
    <t>Vitis vinifera subsp vinifera cv. Dalmasso VII-9</t>
  </si>
  <si>
    <t>Vitis vinifera subsp vinifera cv. Dalmasso VI-17</t>
  </si>
  <si>
    <t>Vitis vinifera subsp vinifera cv. Dalmasso VI-24</t>
  </si>
  <si>
    <t>Vitis vinifera subsp vinifera cv. Dalmasso VI-6</t>
  </si>
  <si>
    <t>Vitis vinifera subsp vinifera cv. Dalmasso XI-20</t>
  </si>
  <si>
    <t>Vitis vinifera subsp vinifera cv. Dalmasso XI-8</t>
  </si>
  <si>
    <t>Vitis vinifera subsp vinifera cv. Dalmasso XVIII-1</t>
  </si>
  <si>
    <t>Vitis vinifera subsp vinifera cv. Damas rouge</t>
  </si>
  <si>
    <t>Vitis vinifera subsp vinifera cv. Dameret</t>
  </si>
  <si>
    <t>Vitis vinifera subsp vinifera cv. Dameron</t>
  </si>
  <si>
    <t>Vitis vinifera subsp vinifera cv. Danam = INRA 1551-6</t>
  </si>
  <si>
    <t>Vitis vinifera subsp vinifera cv. Danlas = INRA 1548-20</t>
  </si>
  <si>
    <t>Vitis vinifera subsp vinifera cv. Danugue</t>
  </si>
  <si>
    <t>Vitis vinifera subsp vinifera cv. Danuta = INRA 1992-3</t>
  </si>
  <si>
    <t>Vitis vinifera subsp vinifera cv. Daphni</t>
  </si>
  <si>
    <t>Vitis vinifera subsp vinifera cv. Daranyi Ignac</t>
  </si>
  <si>
    <t>Vitis vinifera subsp vinifera cv. Darkaïa</t>
  </si>
  <si>
    <t>Vitis vinifera subsp vinifera cv. Dastatchine</t>
  </si>
  <si>
    <t>Vitis vinifera subsp vinifera cv. Datal = INRA 753-54</t>
  </si>
  <si>
    <t>Vitis vinifera subsp vinifera cv. Dattier de Beyrouth</t>
  </si>
  <si>
    <t>Vitis vinifera subsp vinifera cv. Dattier noir</t>
  </si>
  <si>
    <t>Vitis vinifera subsp vinifera cv. Dauphine</t>
  </si>
  <si>
    <t>Vitis vinifera subsp vinifera cv. David = Pirovano 109</t>
  </si>
  <si>
    <t>Vitis vinifera subsp vinifera cv. Dawn seedless</t>
  </si>
  <si>
    <t>Vitis vinifera subsp vinifera cv. De Hengril</t>
  </si>
  <si>
    <t>Vitis vinifera subsp vinifera cv. Debina</t>
  </si>
  <si>
    <t>Vitis vinifera subsp vinifera cv. Dedo de dama</t>
  </si>
  <si>
    <t>Vitis vinifera subsp vinifera cv. Delhro = JA148-59 SRLH</t>
  </si>
  <si>
    <t>Vitis vinifera subsp vinifera cv. Delight</t>
  </si>
  <si>
    <t>Vitis vinifera subsp vinifera cv. Delizia di Vaprio = Pirovano 46 a</t>
  </si>
  <si>
    <t>Vitis vinifera subsp vinifera cv. Delizia gialla = Pirovano 266</t>
  </si>
  <si>
    <t>Vitis vinifera subsp vinifera cv. Demir kara</t>
  </si>
  <si>
    <t>Vitis vinifera subsp vinifera cv. Derani</t>
  </si>
  <si>
    <t>Vitis vinifera subsp vinifera cv. Dermatas</t>
  </si>
  <si>
    <t>Vitis vinifera subsp vinifera cv. Diagalves</t>
  </si>
  <si>
    <t>Vitis vinifera subsp vinifera cv. Diamante nero = Pirovano 87</t>
  </si>
  <si>
    <t>Vitis vinifera subsp vinifera cv. Diamanttraube</t>
  </si>
  <si>
    <t>Vitis vinifera subsp vinifera cv. Diana</t>
  </si>
  <si>
    <t>Vitis vinifera subsp vinifera cv. Dimiat</t>
  </si>
  <si>
    <t>Vitis vinifera subsp vinifera cv. Diminitis</t>
  </si>
  <si>
    <t>Vitis vinifera subsp vinifera cv. Dimrit</t>
  </si>
  <si>
    <t>Vitis vinifera subsp vinifera cv. Dinka feher</t>
  </si>
  <si>
    <t>Vitis vinifera subsp vinifera cv. Dinka vörös</t>
  </si>
  <si>
    <t>Vitis vinifera subsp vinifera cv. Dinka zöld</t>
  </si>
  <si>
    <t>Vitis vinifera subsp vinifera cv. Diolinoir</t>
  </si>
  <si>
    <t>Vitis vinifera subsp vinifera cv. Directeur Tisserand</t>
  </si>
  <si>
    <t>Vitis vinifera subsp vinifera cv. Divromo</t>
  </si>
  <si>
    <t>Vitis vinifera subsp vinifera cv. Djandjal kara</t>
  </si>
  <si>
    <t>Vitis vinifera subsp vinifera cv. Djoura ousum</t>
  </si>
  <si>
    <t>Vitis vinifera subsp vinifera cv. Dlinnokhvosty</t>
  </si>
  <si>
    <t>Vitis vinifera subsp vinifera cv. Dobricic</t>
  </si>
  <si>
    <t>Vitis vinifera subsp vinifera cv. Doçal grande</t>
  </si>
  <si>
    <t>Vitis vinifera subsp vinifera cv. Dokay</t>
  </si>
  <si>
    <t>Vitis vinifera subsp vinifera cv. Dolcetto</t>
  </si>
  <si>
    <t>Vitis vinifera subsp vinifera cv. Dolosata</t>
  </si>
  <si>
    <t>Vitis vinifera subsp vinifera cv. Dominga</t>
  </si>
  <si>
    <t>Vitis vinifera subsp vinifera cv. Domvrena aspri</t>
  </si>
  <si>
    <t>Vitis vinifera subsp vinifera cv. Domvrena mavri</t>
  </si>
  <si>
    <t>Vitis vinifera subsp vinifera cv. Don Bueno</t>
  </si>
  <si>
    <t>Vitis vinifera subsp vinifera cv. Don Mariano</t>
  </si>
  <si>
    <t>Vitis vinifera subsp vinifera cv. Dona branca</t>
  </si>
  <si>
    <t>Vitis vinifera subsp vinifera cv. Dona Maria = Leao Ferreira da Almeida 31-54-41</t>
  </si>
  <si>
    <t>Vitis vinifera subsp vinifera cv. Dongine</t>
  </si>
  <si>
    <t>Vitis vinifera subsp vinifera cv. Donzelinho</t>
  </si>
  <si>
    <t>Vitis vinifera subsp vinifera cv. Donzelinho do Castelo</t>
  </si>
  <si>
    <t>Vitis vinifera subsp vinifera cv. Doradilla</t>
  </si>
  <si>
    <t>Vitis vinifera subsp vinifera cv. Doral</t>
  </si>
  <si>
    <t>Vitis vinifera subsp vinifera cv. Dorona di Venezia</t>
  </si>
  <si>
    <t>Vitis vinifera subsp vinifera cv. Douradinha</t>
  </si>
  <si>
    <t>Vitis vinifera subsp vinifera cv. Doux d'Henry</t>
  </si>
  <si>
    <t>Vitis vinifera subsp vinifera cv. Dronkane</t>
  </si>
  <si>
    <t>Vitis vinifera subsp vinifera cv. Duc d'Anjou</t>
  </si>
  <si>
    <t>Vitis vinifera subsp vinifera cv. Duc de Magenta</t>
  </si>
  <si>
    <t>Vitis vinifera subsp vinifera cv. Duchess of Buccleugh</t>
  </si>
  <si>
    <t>Vitis vinifera subsp vinifera cv. Duras</t>
  </si>
  <si>
    <t>Vitis vinifera subsp vinifera cv. Durella</t>
  </si>
  <si>
    <t>Vitis vinifera subsp vinifera cv. Dureza</t>
  </si>
  <si>
    <t>Vitis vinifera subsp vinifera cv. Durif</t>
  </si>
  <si>
    <t>Vitis vinifera subsp vinifera cv. Early Cardinal</t>
  </si>
  <si>
    <t>Vitis vinifera subsp vinifera cv. Early Muscat</t>
  </si>
  <si>
    <t>Vitis vinifera subsp vinifera cv. Ederena</t>
  </si>
  <si>
    <t>Vitis vinifera subsp vinifera cv. Egiodola</t>
  </si>
  <si>
    <t>Vitis vinifera subsp vinifera cv. Ehrenfelser = Gm 9-93</t>
  </si>
  <si>
    <t>Vitis vinifera subsp vinifera cv. Einuni</t>
  </si>
  <si>
    <t>Vitis vinifera subsp vinifera cv. Ekigaïna</t>
  </si>
  <si>
    <t>Vitis vinifera subsp vinifera cv. Ekim kara</t>
  </si>
  <si>
    <t>Vitis vinifera subsp vinifera cv. El Biod</t>
  </si>
  <si>
    <t>Vitis vinifera subsp vinifera cv. El Farryali</t>
  </si>
  <si>
    <t>Vitis vinifera subsp vinifera cv. El Gouz</t>
  </si>
  <si>
    <t>Vitis vinifera subsp vinifera cv. Elbling</t>
  </si>
  <si>
    <t>Vitis vinifera subsp vinifera cv. Elbling blau</t>
  </si>
  <si>
    <t>Vitis vinifera subsp vinifera cv. Elbling rose</t>
  </si>
  <si>
    <t>Vitis vinifera subsp vinifera cv. Elbling rot</t>
  </si>
  <si>
    <t>Vitis vinifera subsp vinifera cv. Elizabeth Krasnay</t>
  </si>
  <si>
    <t>Vitis vinifera subsp vinifera cv. Emerald Riesling</t>
  </si>
  <si>
    <t>Vitis vinifera subsp vinifera cv. Emerald seedless</t>
  </si>
  <si>
    <t>Vitis vinifera subsp vinifera cv. Emilia = Dalmasso VI-3</t>
  </si>
  <si>
    <t>Vitis vinifera subsp vinifera cv. Emperor</t>
  </si>
  <si>
    <t>Vitis vinifera subsp vinifera cv. Emperor seedless</t>
  </si>
  <si>
    <t>Vitis vinifera subsp vinifera cv. Empibotte</t>
  </si>
  <si>
    <t>Vitis vinifera subsp vinifera cv. En Kövidinkam</t>
  </si>
  <si>
    <t>Vitis vinifera subsp vinifera cv. Encruzado</t>
  </si>
  <si>
    <t>Vitis vinifera subsp vinifera cv. Enfariné</t>
  </si>
  <si>
    <t>Vitis vinifera subsp vinifera cv. Enfariné gris</t>
  </si>
  <si>
    <t>Vitis vinifera subsp vinifera cv. Epero de Gall</t>
  </si>
  <si>
    <t>Vitis vinifera subsp vinifera cv. Epinou</t>
  </si>
  <si>
    <t>Vitis vinifera subsp vinifera cv. Erbaluce</t>
  </si>
  <si>
    <t>Vitis vinifera subsp vinifera cv. Erdeifeher</t>
  </si>
  <si>
    <t>Vitis vinifera subsp vinifera cv. Espadeiro branco</t>
  </si>
  <si>
    <t>Vitis vinifera subsp vinifera cv. Espadeiro tinto</t>
  </si>
  <si>
    <t>Vitis vinifera subsp vinifera cv. Estaca saoumo</t>
  </si>
  <si>
    <t>Vitis vinifera subsp vinifera cv. Etraire de la Dui</t>
  </si>
  <si>
    <t>Vitis vinifera subsp vinifera cv. Exalta</t>
  </si>
  <si>
    <t>Vitis vinifera subsp vinifera cv. Exbrayat</t>
  </si>
  <si>
    <t>Vitis vinifera subsp vinifera cv. Exotic</t>
  </si>
  <si>
    <t>Vitis vinifera subsp vinifera cv. Ezereves Magyarorszag Emleke</t>
  </si>
  <si>
    <t>Vitis vinifera subsp vinifera cv. Ezerjo</t>
  </si>
  <si>
    <t>Vitis vinifera subsp vinifera cv. F. Lantini = Pirovano 263</t>
  </si>
  <si>
    <t>Vitis vinifera subsp vinifera cv. F 10-79</t>
  </si>
  <si>
    <t>Vitis vinifera subsp vinifera cv. Faberrebe = Alzey 10375</t>
  </si>
  <si>
    <t>Vitis vinifera subsp vinifera cv. Faddy zsiga dinka</t>
  </si>
  <si>
    <t>Vitis vinifera subsp vinifera cv. Fakhri</t>
  </si>
  <si>
    <t>Vitis vinifera subsp vinifera cv. Falanghina</t>
  </si>
  <si>
    <t>Vitis vinifera subsp vinifera cv. Fantasy seedless</t>
  </si>
  <si>
    <t>Vitis vinifera subsp vinifera cv. Farana noir</t>
  </si>
  <si>
    <t>Vitis vinifera subsp vinifera cv. Farbfränkisch</t>
  </si>
  <si>
    <t>Vitis vinifera subsp vinifera cv. Fatima</t>
  </si>
  <si>
    <t>Vitis vinifera subsp vinifera cv. Fatma</t>
  </si>
  <si>
    <t>Vitis vinifera subsp vinifera cv. Faux Courbu noir</t>
  </si>
  <si>
    <t>Vitis vinifera subsp vinifera cv. Faux Mauzac blanc</t>
  </si>
  <si>
    <t>Vitis vinifera subsp vinifera cv. Fayoumi</t>
  </si>
  <si>
    <t>Vitis vinifera subsp vinifera cv. Feher Kövidinka</t>
  </si>
  <si>
    <t>Vitis vinifera subsp vinifera cv. Feinriesling</t>
  </si>
  <si>
    <t>Vitis vinifera subsp vinifera cv. Fer</t>
  </si>
  <si>
    <t>Vitis vinifera subsp vinifera cv. Ferlé de Pegões = Leao Ferreira da Almeida 17-48-1</t>
  </si>
  <si>
    <t>Vitis vinifera subsp vinifera cv. Ferlé 76 = Leao Ferreira da Almeida 34-49-76</t>
  </si>
  <si>
    <t>Vitis vinifera subsp vinifera cv. Fernand rose</t>
  </si>
  <si>
    <t>Vitis vinifera subsp vinifera cv. Fernao Pires</t>
  </si>
  <si>
    <t>Vitis vinifera subsp vinifera cv. Ferral</t>
  </si>
  <si>
    <t>Vitis vinifera subsp vinifera cv. Ferral tamara</t>
  </si>
  <si>
    <t>Vitis vinifera subsp vinifera cv. Feteasca neagra</t>
  </si>
  <si>
    <t>Vitis vinifera subsp vinifera cv. Feteasca regala</t>
  </si>
  <si>
    <t>Vitis vinifera subsp vinifera cv. Feunate</t>
  </si>
  <si>
    <t>Vitis vinifera subsp vinifera cv. Fiano</t>
  </si>
  <si>
    <t>Vitis vinifera subsp vinifera cv. Fiesta</t>
  </si>
  <si>
    <t>Vitis vinifera subsp vinifera cv. Findling = Kimmig KP 1</t>
  </si>
  <si>
    <t>Vitis vinifera subsp vinifera cv. Fintendo</t>
  </si>
  <si>
    <t>Vitis vinifera subsp vinifera cv. Firnriesling</t>
  </si>
  <si>
    <t>Vitis vinifera subsp vinifera cv. Fitzrebe</t>
  </si>
  <si>
    <t>Vitis vinifera subsp vinifera cv. Flame seedless</t>
  </si>
  <si>
    <t>Vitis vinifera subsp vinifera cv. Flaming rose</t>
  </si>
  <si>
    <t>Vitis vinifera subsp vinifera cv. Fleur de Kecskemet</t>
  </si>
  <si>
    <t>Vitis vinifera subsp vinifera cv. Flora</t>
  </si>
  <si>
    <t>Vitis vinifera subsp vinifera cv. Focca</t>
  </si>
  <si>
    <t>Vitis vinifera subsp vinifera cv. Fogarina</t>
  </si>
  <si>
    <t>Vitis vinifera subsp vinifera cv. Foglia tonda</t>
  </si>
  <si>
    <t>Vitis vinifera subsp vinifera cv. Fogoneu</t>
  </si>
  <si>
    <t>Vitis vinifera subsp vinifera cv. Folignan</t>
  </si>
  <si>
    <t>Vitis vinifera subsp vinifera cv. Folle blanche</t>
  </si>
  <si>
    <t>Vitis vinifera subsp vinifera cv. Folle blanche du Minervois</t>
  </si>
  <si>
    <t>Vitis vinifera subsp vinifera cv. Fondo de Orza</t>
  </si>
  <si>
    <t>Vitis vinifera subsp vinifera cv. Forastera</t>
  </si>
  <si>
    <t>Vitis vinifera subsp vinifera cv. Forastera (Iles Canaries)</t>
  </si>
  <si>
    <t>Vitis vinifera subsp vinifera cv. Forcalla</t>
  </si>
  <si>
    <t>Vitis vinifera subsp vinifera cv. Forcellina</t>
  </si>
  <si>
    <t>Vitis vinifera subsp vinifera cv. Formosa = Pirovano 245</t>
  </si>
  <si>
    <t>Vitis vinifera subsp vinifera cv. Fortana</t>
  </si>
  <si>
    <t>Vitis vinifera subsp vinifera cv. Foster's white seedling</t>
  </si>
  <si>
    <t>Vitis vinifera subsp vinifera cv. Fotcha</t>
  </si>
  <si>
    <t>Vitis vinifera subsp vinifera cv. Franc noir de la Haute-Saône</t>
  </si>
  <si>
    <t>Vitis vinifera subsp vinifera cv. Francavidda</t>
  </si>
  <si>
    <t>Vitis vinifera subsp vinifera cv. François Ier</t>
  </si>
  <si>
    <t>Vitis vinifera subsp vinifera cv. François noir</t>
  </si>
  <si>
    <t>Vitis vinifera subsp vinifera cv. Francuse</t>
  </si>
  <si>
    <t>Vitis vinifera subsp vinifera cv. Frankamon</t>
  </si>
  <si>
    <t>Vitis vinifera subsp vinifera cv. Frankenthal</t>
  </si>
  <si>
    <t>Vitis vinifera subsp vinifera cv. Frankenthal rose foncé</t>
  </si>
  <si>
    <t>Vitis vinifera subsp vinifera cv. Frankenthal rouge foncé</t>
  </si>
  <si>
    <t>Vitis vinifera subsp vinifera cv. Frappato di Vittoria</t>
  </si>
  <si>
    <t>Vitis vinifera subsp vinifera cv. Fredericton</t>
  </si>
  <si>
    <t>Vitis vinifera subsp vinifera cv. Freisa</t>
  </si>
  <si>
    <t>Vitis vinifera subsp vinifera cv. Freisamer</t>
  </si>
  <si>
    <t>Vitis vinifera subsp vinifera cv. Frühgipfler I</t>
  </si>
  <si>
    <t>Vitis vinifera subsp vinifera cv. Frühmuscat Oberlin</t>
  </si>
  <si>
    <t>Vitis vinifera subsp vinifera cv. Frühriesling</t>
  </si>
  <si>
    <t>Vitis vinifera subsp vinifera cv. Fruttuosa = Pirovano 27</t>
  </si>
  <si>
    <t>Vitis vinifera subsp vinifera cv. Fuella nera</t>
  </si>
  <si>
    <t>Vitis vinifera subsp vinifera cv. Fulgens = Pirovano 347</t>
  </si>
  <si>
    <t>Vitis vinifera subsp vinifera cv. Fumin</t>
  </si>
  <si>
    <t>Vitis vinifera subsp vinifera cv. Furjmony feher</t>
  </si>
  <si>
    <t>Vitis vinifera subsp vinifera cv. Furmint</t>
  </si>
  <si>
    <t>Vitis vinifera subsp vinifera cv. Furmint piros</t>
  </si>
  <si>
    <t>Vitis vinifera subsp vinifera cv. Furmint valtözö</t>
  </si>
  <si>
    <t>Vitis vinifera subsp vinifera cv. Fürstentraube</t>
  </si>
  <si>
    <t>Vitis vinifera subsp vinifera cv. Fusca = Pirovano 142</t>
  </si>
  <si>
    <t>Vitis vinifera subsp vinifera cv. G. Molon = Pirovano 102</t>
  </si>
  <si>
    <t>Vitis vinifera subsp vinifera cv. G 367-49 SRLH</t>
  </si>
  <si>
    <t>Vitis vinifera subsp vinifera cv. Gaglioppo</t>
  </si>
  <si>
    <t>Vitis vinifera subsp vinifera cv. Gaïdouria</t>
  </si>
  <si>
    <t>Vitis vinifera subsp vinifera cv. Galbena de Odobesti</t>
  </si>
  <si>
    <t>Vitis vinifera subsp vinifera cv. Galbena uriasa</t>
  </si>
  <si>
    <t>Vitis vinifera subsp vinifera cv. Galbena verde</t>
  </si>
  <si>
    <t>Vitis vinifera subsp vinifera cv. Galego de Montemor</t>
  </si>
  <si>
    <t>Vitis vinifera subsp vinifera cv. Galego dourado</t>
  </si>
  <si>
    <t>Vitis vinifera subsp vinifera cv. Galotta</t>
  </si>
  <si>
    <t>Vitis vinifera subsp vinifera cv. Galvani = Pirovano 86</t>
  </si>
  <si>
    <t>Vitis vinifera subsp vinifera cv. Gamarelha branca</t>
  </si>
  <si>
    <t>Vitis vinifera subsp vinifera cv. Gamaret</t>
  </si>
  <si>
    <t>Vitis vinifera subsp vinifera cv. Gamay</t>
  </si>
  <si>
    <t>Vitis vinifera subsp vinifera cv. Gamay à fleurs doubles</t>
  </si>
  <si>
    <t>Vitis vinifera subsp vinifera cv. Gamay blanc Gloriod</t>
  </si>
  <si>
    <t>Vitis vinifera subsp vinifera cv. Gamay Castille</t>
  </si>
  <si>
    <t>Vitis vinifera subsp vinifera cv. Gamay Castille mutation blanche</t>
  </si>
  <si>
    <t>Vitis vinifera subsp vinifera cv. Gamay de Bouze</t>
  </si>
  <si>
    <t>Vitis vinifera subsp vinifera cv. Gamay de Chaudenay</t>
  </si>
  <si>
    <t>Vitis vinifera subsp vinifera cv. Gamay Fréaux</t>
  </si>
  <si>
    <t>Vitis vinifera subsp vinifera cv. Gamay gris</t>
  </si>
  <si>
    <t>Vitis vinifera subsp vinifera cv. Gamay mourot</t>
  </si>
  <si>
    <t>Vitis vinifera subsp vinifera cv. Gamay précoce noir</t>
  </si>
  <si>
    <t>Vitis vinifera subsp vinifera cv. Gamza de Varna</t>
  </si>
  <si>
    <t>Vitis vinifera subsp vinifera cv. Ganson = INRA 1509-73</t>
  </si>
  <si>
    <t>Vitis vinifera subsp vinifera cv. Gantziandan</t>
  </si>
  <si>
    <t>Vitis vinifera subsp vinifera cv. Garandmak</t>
  </si>
  <si>
    <t>Vitis vinifera subsp vinifera cv. Garganega</t>
  </si>
  <si>
    <t>Vitis vinifera subsp vinifera cv. Garrido fino</t>
  </si>
  <si>
    <t>Vitis vinifera subsp vinifera cv. Garrido macho</t>
  </si>
  <si>
    <t>Vitis vinifera subsp vinifera cv. Gascon</t>
  </si>
  <si>
    <t>Vitis vinifera subsp vinifera cv. Gateta</t>
  </si>
  <si>
    <t>Vitis vinifera subsp vinifera cv. Gegic</t>
  </si>
  <si>
    <t>Vitis vinifera subsp vinifera cv. Gelbholzer blau</t>
  </si>
  <si>
    <t>Vitis vinifera subsp vinifera cv. Gemre</t>
  </si>
  <si>
    <t>Vitis vinifera subsp vinifera cv. Général de la Marmora</t>
  </si>
  <si>
    <t>Vitis vinifera subsp vinifera cv. Général de la Marmora faux</t>
  </si>
  <si>
    <t>Vitis vinifera subsp vinifera cv. Genk Uzum</t>
  </si>
  <si>
    <t>Vitis vinifera subsp vinifera cv. Genouillet</t>
  </si>
  <si>
    <t>Vitis vinifera subsp vinifera cv. Genovèse</t>
  </si>
  <si>
    <t>Vitis vinifera subsp vinifera cv. Gewürztraminer</t>
  </si>
  <si>
    <t>Vitis vinifera subsp vinifera cv. Gheméra</t>
  </si>
  <si>
    <t>Vitis vinifera subsp vinifera cv. Ghiouroukiko</t>
  </si>
  <si>
    <t>Vitis vinifera subsp vinifera cv. Gholadon</t>
  </si>
  <si>
    <t>Vitis vinifera subsp vinifera cv. Gibert</t>
  </si>
  <si>
    <t>Vitis vinifera subsp vinifera cv. Gibi</t>
  </si>
  <si>
    <t>Vitis vinifera subsp vinifera cv. Gierniolat</t>
  </si>
  <si>
    <t>Vitis vinifera subsp vinifera cv. Gildé</t>
  </si>
  <si>
    <t>Vitis vinifera subsp vinifera cv. Giro</t>
  </si>
  <si>
    <t>Vitis vinifera subsp vinifera cv. Giro (Iles Baléares)</t>
  </si>
  <si>
    <t>Vitis vinifera subsp vinifera cv. Glacière</t>
  </si>
  <si>
    <t>Vitis vinifera subsp vinifera cv. Gloria Hungariae</t>
  </si>
  <si>
    <t>Vitis vinifera subsp vinifera cv. Glycostaphyllo</t>
  </si>
  <si>
    <t>Vitis vinifera subsp vinifera cv. Goher</t>
  </si>
  <si>
    <t>Vitis vinifera subsp vinifera cv. Goher Piros</t>
  </si>
  <si>
    <t>Vitis vinifera subsp vinifera cv. Goher valtözö</t>
  </si>
  <si>
    <t>Vitis vinifera subsp vinifera cv. Gold</t>
  </si>
  <si>
    <t>Vitis vinifera subsp vinifera cv. Golden champion = Mill Hill Hamburg</t>
  </si>
  <si>
    <t>Vitis vinifera subsp vinifera cv. Golden Queen</t>
  </si>
  <si>
    <t>Vitis vinifera subsp vinifera cv. Goldriesling B</t>
  </si>
  <si>
    <t>Vitis vinifera subsp vinifera cv. Gora Chirine</t>
  </si>
  <si>
    <t>Vitis vinifera subsp vinifera cv. Gora Chirine rose</t>
  </si>
  <si>
    <t>Vitis vinifera subsp vinifera cv. Gordan</t>
  </si>
  <si>
    <t>Vitis vinifera subsp vinifera cv. Gordin</t>
  </si>
  <si>
    <t>Vitis vinifera subsp vinifera cv. Gordin gurguiat</t>
  </si>
  <si>
    <t>Vitis vinifera subsp vinifera cv. Gorgollosa</t>
  </si>
  <si>
    <t>Vitis vinifera subsp vinifera cv. Goron</t>
  </si>
  <si>
    <t>Vitis vinifera subsp vinifera cv. Gouais blanc</t>
  </si>
  <si>
    <t>Vitis vinifera subsp vinifera cv. Gouget</t>
  </si>
  <si>
    <t>Vitis vinifera subsp vinifera cv. Gounaïa</t>
  </si>
  <si>
    <t>Vitis vinifera subsp vinifera cv. Goustoulidi</t>
  </si>
  <si>
    <t>Vitis vinifera subsp vinifera cv. Goyura</t>
  </si>
  <si>
    <t>Vitis vinifera subsp vinifera cv. Gradiska</t>
  </si>
  <si>
    <t>Vitis vinifera subsp vinifera cv. Graisse</t>
  </si>
  <si>
    <t>Vitis vinifera subsp vinifera cv. Gramon = INRA 1740-774</t>
  </si>
  <si>
    <t>Vitis vinifera subsp vinifera cv. Grand Noir de la Calmette</t>
  </si>
  <si>
    <t>Vitis vinifera subsp vinifera cv. Granoir</t>
  </si>
  <si>
    <t>Vitis vinifera subsp vinifera cv. Grappenoux</t>
  </si>
  <si>
    <t>Vitis vinifera subsp vinifera cv. Grasa de Cotnari</t>
  </si>
  <si>
    <t>Vitis vinifera subsp vinifera cv. Grassen</t>
  </si>
  <si>
    <t>Vitis vinifera subsp vinifera cv. Grec blanc</t>
  </si>
  <si>
    <t>Vitis vinifera subsp vinifera cv. Grec rouge</t>
  </si>
  <si>
    <t>Vitis vinifera subsp vinifera cv. Grecanico</t>
  </si>
  <si>
    <t>Vitis vinifera subsp vinifera cv. Grechetto</t>
  </si>
  <si>
    <t>Vitis vinifera subsp vinifera cv. Greco bianco</t>
  </si>
  <si>
    <t>Vitis vinifera subsp vinifera cv. Greco bianco di tufo</t>
  </si>
  <si>
    <t>Vitis vinifera subsp vinifera cv. Greco nero</t>
  </si>
  <si>
    <t>Vitis vinifera subsp vinifera cv. Grenache</t>
  </si>
  <si>
    <t>Vitis vinifera subsp vinifera cv. Grenache blanc</t>
  </si>
  <si>
    <t>Vitis vinifera subsp vinifera cv. Grenache gris</t>
  </si>
  <si>
    <t>Vitis vinifera subsp vinifera cv. Grenache noir femelle</t>
  </si>
  <si>
    <t>Vitis vinifera subsp vinifera cv. Grignolino</t>
  </si>
  <si>
    <t>Vitis vinifera subsp vinifera cv. Grillo</t>
  </si>
  <si>
    <t>Vitis vinifera subsp vinifera cv. Gringet</t>
  </si>
  <si>
    <t>Vitis vinifera subsp vinifera cv. Grk</t>
  </si>
  <si>
    <t>Vitis vinifera subsp vinifera cv. Grolleau</t>
  </si>
  <si>
    <t>Vitis vinifera subsp vinifera cv. Grolleau blanc</t>
  </si>
  <si>
    <t>Vitis vinifera subsp vinifera cv. Grolleau gris</t>
  </si>
  <si>
    <t>Vitis vinifera subsp vinifera cv. Gropello di San Stefano</t>
  </si>
  <si>
    <t>Vitis vinifera subsp vinifera cv. Gropello gentile</t>
  </si>
  <si>
    <t>Vitis vinifera subsp vinifera cv. Gros Bec</t>
  </si>
  <si>
    <t>Vitis vinifera subsp vinifera cv. Gros Blanc</t>
  </si>
  <si>
    <t>Vitis vinifera subsp vinifera cv. Gros Bourgogne</t>
  </si>
  <si>
    <t>Vitis vinifera subsp vinifera cv. Gros Bouschet</t>
  </si>
  <si>
    <t>Vitis vinifera subsp vinifera cv. Gros Cabernet</t>
  </si>
  <si>
    <t>Vitis vinifera subsp vinifera cv. Gros Colman</t>
  </si>
  <si>
    <t>Vitis vinifera subsp vinifera cv. Gros Manseng</t>
  </si>
  <si>
    <t>Vitis vinifera subsp vinifera cv. Gros Manseng de Lucq</t>
  </si>
  <si>
    <t>Vitis vinifera subsp vinifera cv. Gros Manseng Meunier</t>
  </si>
  <si>
    <t>Vitis vinifera subsp vinifera cv. Gros Mansois</t>
  </si>
  <si>
    <t>Vitis vinifera subsp vinifera cv. Gros Maroc</t>
  </si>
  <si>
    <t>Vitis vinifera subsp vinifera cv. Gros noir des Beni Abès</t>
  </si>
  <si>
    <t>Vitis vinifera subsp vinifera cv. Gros Péjac</t>
  </si>
  <si>
    <t>Vitis vinifera subsp vinifera cv. Gros Verdot</t>
  </si>
  <si>
    <t>Vitis vinifera subsp vinifera cv. Gros Vert</t>
  </si>
  <si>
    <t>Vitis vinifera subsp vinifera cv. Gros Vert noir</t>
  </si>
  <si>
    <t>Vitis vinifera subsp vinifera cv. Grosse Jacquère</t>
  </si>
  <si>
    <t>Vitis vinifera subsp vinifera cv. Grosse Roussette</t>
  </si>
  <si>
    <t>Vitis vinifera subsp vinifera cv. Guadurea</t>
  </si>
  <si>
    <t>Vitis vinifera subsp vinifera cv. Gualarido</t>
  </si>
  <si>
    <t>Vitis vinifera subsp vinifera cv. Guarnaccia</t>
  </si>
  <si>
    <t>Vitis vinifera subsp vinifera cv. Gueuche blanc</t>
  </si>
  <si>
    <t>Vitis vinifera subsp vinifera cv. Gueuche noir</t>
  </si>
  <si>
    <t>Vitis vinifera subsp vinifera cv. Guignard de Saintours</t>
  </si>
  <si>
    <t>Vitis vinifera subsp vinifera cv. Guillany Imre</t>
  </si>
  <si>
    <t>Vitis vinifera subsp vinifera cv. Guillemot</t>
  </si>
  <si>
    <t>Vitis vinifera subsp vinifera cv. Guiouliabi dagestanskii</t>
  </si>
  <si>
    <t>Vitis vinifera subsp vinifera cv. Gustavne Szauter</t>
  </si>
  <si>
    <t>Vitis vinifera subsp vinifera cv. Gyöngy feher</t>
  </si>
  <si>
    <t>Vitis vinifera subsp vinifera cv. Gyöngy szölö</t>
  </si>
  <si>
    <t>Vitis vinifera subsp vinifera cv. Hadari</t>
  </si>
  <si>
    <t>Vitis vinifera subsp vinifera cv. Hagi ali negru</t>
  </si>
  <si>
    <t>Vitis vinifera subsp vinifera cv. Halholyag</t>
  </si>
  <si>
    <t>Vitis vinifera subsp vinifera cv. Hammami</t>
  </si>
  <si>
    <t>Vitis vinifera subsp vinifera cv. Hamvas</t>
  </si>
  <si>
    <t>Vitis vinifera subsp vinifera cv. Hängling blau</t>
  </si>
  <si>
    <t>Vitis vinifera subsp vinifera cv. Hansen rot</t>
  </si>
  <si>
    <t>Vitis vinifera subsp vinifera cv. Harslevelu</t>
  </si>
  <si>
    <t>Vitis vinifera subsp vinifera cv. Hasan dede</t>
  </si>
  <si>
    <t>Vitis vinifera subsp vinifera cv. Hebron blanc</t>
  </si>
  <si>
    <t>Vitis vinifera subsp vinifera cv. Hegedüs Sandor</t>
  </si>
  <si>
    <t>Vitis vinifera subsp vinifera cv. Hegoa</t>
  </si>
  <si>
    <t>Vitis vinifera subsp vinifera cv. Helfensteiner = We S 5332</t>
  </si>
  <si>
    <t>Vitis vinifera subsp vinifera cv. Henab</t>
  </si>
  <si>
    <t>Vitis vinifera subsp vinifera cv. Henab turki faux</t>
  </si>
  <si>
    <t>Vitis vinifera subsp vinifera cv. Heptakilo</t>
  </si>
  <si>
    <t>Vitis vinifera subsp vinifera cv. Heroldrebe = We S 130</t>
  </si>
  <si>
    <t>Vitis vinifera subsp vinifera cv. Heunisch blanc</t>
  </si>
  <si>
    <t>Vitis vinifera subsp vinifera cv. Heunisch noir</t>
  </si>
  <si>
    <t>Vitis vinifera subsp vinifera cv. Heunisch rose</t>
  </si>
  <si>
    <t>Vitis vinifera subsp vinifera cv. Hibou blanc</t>
  </si>
  <si>
    <t>Vitis vinifera subsp vinifera cv. Hibou noir</t>
  </si>
  <si>
    <t>Vitis vinifera subsp vinifera cv. Himoniatiko</t>
  </si>
  <si>
    <t>Vitis vinifera subsp vinifera cv. Honigler</t>
  </si>
  <si>
    <t>Vitis vinifera subsp vinifera cv. Horoz karasi</t>
  </si>
  <si>
    <t>Vitis vinifera subsp vinifera cv. Hosszunyelu</t>
  </si>
  <si>
    <t>Vitis vinifera subsp vinifera cv. Humagne blanche</t>
  </si>
  <si>
    <t>Vitis vinifera subsp vinifera cv. Humagne rouge</t>
  </si>
  <si>
    <t>Vitis vinifera subsp vinifera cv. Hunisa</t>
  </si>
  <si>
    <t>Vitis vinifera subsp vinifera cv. Hunyadi = Horty Miklosné</t>
  </si>
  <si>
    <t>Vitis vinifera subsp vinifera cv. Husseini (Afghanistan)</t>
  </si>
  <si>
    <t>Vitis vinifera subsp vinifera cv. Husseini (Etats-Unis)</t>
  </si>
  <si>
    <t>Vitis vinifera subsp vinifera cv. Huxelrebe = Alzey 3962</t>
  </si>
  <si>
    <t>Vitis vinifera subsp vinifera cv. Icod de los Vinos</t>
  </si>
  <si>
    <t>Vitis vinifera subsp vinifera cv. Ida</t>
  </si>
  <si>
    <t>Vitis vinifera subsp vinifera cv. Igherziz</t>
  </si>
  <si>
    <t>Vitis vinifera subsp vinifera cv. Ignea = Pirovano 185</t>
  </si>
  <si>
    <t>Vitis vinifera subsp vinifera cv. ¿illade du 1er Août</t>
  </si>
  <si>
    <t>Vitis vinifera subsp vinifera cv. Imperatriz</t>
  </si>
  <si>
    <t>Vitis vinifera subsp vinifera cv. Impero = Pirovano 264</t>
  </si>
  <si>
    <t>Vitis vinifera subsp vinifera cv. Impigno</t>
  </si>
  <si>
    <t>Vitis vinifera subsp vinifera cv. Inab el Mir</t>
  </si>
  <si>
    <t>Vitis vinifera subsp vinifera cv. Inconnu blanc</t>
  </si>
  <si>
    <t>Vitis vinifera subsp vinifera cv. Inconnu blanc de Jongieux</t>
  </si>
  <si>
    <t>Vitis vinifera subsp vinifera cv. Inconnu noir</t>
  </si>
  <si>
    <t>Vitis vinifera subsp vinifera cv. Ingram's Hardy Prolific</t>
  </si>
  <si>
    <t>Vitis vinifera subsp vinifera cv. Inzolia</t>
  </si>
  <si>
    <t>Vitis vinifera subsp vinifera cv. Irki</t>
  </si>
  <si>
    <t>Vitis vinifera subsp vinifera cv. Irsay Oliver</t>
  </si>
  <si>
    <t>Vitis vinifera subsp vinifera cv. Isa = INRA 2012-55</t>
  </si>
  <si>
    <t>Vitis vinifera subsp vinifera cv. Ispisari</t>
  </si>
  <si>
    <t>Vitis vinifera subsp vinifera cv. Italia = Pirovano 65</t>
  </si>
  <si>
    <t>Vitis vinifera subsp vinifera cv. Italia rubi</t>
  </si>
  <si>
    <t>Vitis vinifera subsp vinifera cv. Itchkimar biely</t>
  </si>
  <si>
    <t>Vitis vinifera subsp vinifera cv. Ithaki</t>
  </si>
  <si>
    <t>Vitis vinifera subsp vinifera cv. Itshkimar</t>
  </si>
  <si>
    <t>Vitis vinifera subsp vinifera cv. Ivan</t>
  </si>
  <si>
    <t>Vitis vinifera subsp vinifera cv. Izsaki sarfeher</t>
  </si>
  <si>
    <t>Vitis vinifera subsp vinifera cv. Jacquère</t>
  </si>
  <si>
    <t>Vitis vinifera subsp vinifera cv. Jacquère noire faux</t>
  </si>
  <si>
    <t>Vitis vinifera subsp vinifera cv. Jaen</t>
  </si>
  <si>
    <t>Vitis vinifera subsp vinifera cv. Jaen negro</t>
  </si>
  <si>
    <t>Vitis vinifera subsp vinifera cv. Jaen noir</t>
  </si>
  <si>
    <t>Vitis vinifera subsp vinifera cv. Jahafi</t>
  </si>
  <si>
    <t>Vitis vinifera subsp vinifera cv. Jampal</t>
  </si>
  <si>
    <t>Vitis vinifera subsp vinifera cv. Jaoumet</t>
  </si>
  <si>
    <t>Vitis vinifera subsp vinifera cv. Jardovany</t>
  </si>
  <si>
    <t>Vitis vinifera subsp vinifera cv. Jardovany fekete</t>
  </si>
  <si>
    <t>Vitis vinifera subsp vinifera cv. Jaumin</t>
  </si>
  <si>
    <t>Vitis vinifera subsp vinifera cv. Javor gross</t>
  </si>
  <si>
    <t>Vitis vinifera subsp vinifera cv. Jean Bernath</t>
  </si>
  <si>
    <t>Vitis vinifera subsp vinifera cv. Jean Macé</t>
  </si>
  <si>
    <t>Vitis vinifera subsp vinifera cv. Jeludovii</t>
  </si>
  <si>
    <t>Vitis vinifera subsp vinifera cv. Jerez fina</t>
  </si>
  <si>
    <t>Vitis vinifera subsp vinifera cv. Jérusalem bleu</t>
  </si>
  <si>
    <t>Vitis vinifera subsp vinifera cv. Jijona</t>
  </si>
  <si>
    <t>Vitis vinifera subsp vinifera cv. Jo rizling</t>
  </si>
  <si>
    <t>Vitis vinifera subsp vinifera cv. Joamenco</t>
  </si>
  <si>
    <t>Vitis vinifera subsp vinifera cv. João Domingos</t>
  </si>
  <si>
    <t>Vitis vinifera subsp vinifera cv. Joubertin</t>
  </si>
  <si>
    <t>Vitis vinifera subsp vinifera cv. Joumalak biely</t>
  </si>
  <si>
    <t>Vitis vinifera subsp vinifera cv. Jubilé (Bulgarie)</t>
  </si>
  <si>
    <t>Vitis vinifera subsp vinifera cv. Juhfark</t>
  </si>
  <si>
    <t>Vitis vinifera subsp vinifera cv. Julius Caesar</t>
  </si>
  <si>
    <t>Vitis vinifera subsp vinifera cv. July Muscat</t>
  </si>
  <si>
    <t>Vitis vinifera subsp vinifera cv. Jurançon blanc</t>
  </si>
  <si>
    <t>Vitis vinifera subsp vinifera cv. Jurançon noir</t>
  </si>
  <si>
    <t>Vitis vinifera subsp vinifera cv. Kabyle noir</t>
  </si>
  <si>
    <t>Vitis vinifera subsp vinifera cv. Kadarka</t>
  </si>
  <si>
    <t>Vitis vinifera subsp vinifera cv. Kadarka Szürke</t>
  </si>
  <si>
    <t>Vitis vinifera subsp vinifera cv. Kadarka Török</t>
  </si>
  <si>
    <t>Vitis vinifera subsp vinifera cv. Kadarun</t>
  </si>
  <si>
    <t>Vitis vinifera subsp vinifera cv. Kaisermuskat</t>
  </si>
  <si>
    <t>Vitis vinifera subsp vinifera cv. Kakkete</t>
  </si>
  <si>
    <t>Vitis vinifera subsp vinifera cv. Kakourdess blanc</t>
  </si>
  <si>
    <t>Vitis vinifera subsp vinifera cv. Kalecik siyahi</t>
  </si>
  <si>
    <t>Vitis vinifera subsp vinifera cv. Kalili</t>
  </si>
  <si>
    <t>Vitis vinifera subsp vinifera cv. Kalina</t>
  </si>
  <si>
    <t>Vitis vinifera subsp vinifera cv. Kandahar</t>
  </si>
  <si>
    <t>Vitis vinifera subsp vinifera cv. Kandari</t>
  </si>
  <si>
    <t>Vitis vinifera subsp vinifera cv. Kanigl grün</t>
  </si>
  <si>
    <t>Vitis vinifera subsp vinifera cv. Kanzler = Alzey 3983</t>
  </si>
  <si>
    <t>Vitis vinifera subsp vinifera cv. Kaouchansky</t>
  </si>
  <si>
    <t>Vitis vinifera subsp vinifera cv. Kara kaltak</t>
  </si>
  <si>
    <t>Vitis vinifera subsp vinifera cv. Kara ouzume Aschkhabadsky</t>
  </si>
  <si>
    <t>Vitis vinifera subsp vinifera cv. Kara Palvan</t>
  </si>
  <si>
    <t>Vitis vinifera subsp vinifera cv. Kara papigi</t>
  </si>
  <si>
    <t>Vitis vinifera subsp vinifera cv. Karabraimis</t>
  </si>
  <si>
    <t>Vitis vinifera subsp vinifera cv. Karasakiz</t>
  </si>
  <si>
    <t>Vitis vinifera subsp vinifera cv. Karitsiotis</t>
  </si>
  <si>
    <t>Vitis vinifera subsp vinifera cv. Karmir Kakhani</t>
  </si>
  <si>
    <t>Vitis vinifera subsp vinifera cv. Karolowska</t>
  </si>
  <si>
    <t>Vitis vinifera subsp vinifera cv. Karroo belle</t>
  </si>
  <si>
    <t>Vitis vinifera subsp vinifera cv. Karydato</t>
  </si>
  <si>
    <t>Vitis vinifera subsp vinifera cv. Karystino</t>
  </si>
  <si>
    <t>Vitis vinifera subsp vinifera cv. Kasoufi de la Bekaa</t>
  </si>
  <si>
    <t>Vitis vinifera subsp vinifera cv. Kasoufi enta</t>
  </si>
  <si>
    <t>Vitis vinifera subsp vinifera cv. Kassoufi</t>
  </si>
  <si>
    <t>Vitis vinifera subsp vinifera cv. Kata</t>
  </si>
  <si>
    <t>Vitis vinifera subsp vinifera cv. Katsacoulias</t>
  </si>
  <si>
    <t>Vitis vinifera subsp vinifera cv. Katta kourgan</t>
  </si>
  <si>
    <t>Vitis vinifera subsp vinifera cv. Kauka blau</t>
  </si>
  <si>
    <t>Vitis vinifera subsp vinifera cv. Kaytagi rose</t>
  </si>
  <si>
    <t>Vitis vinifera subsp vinifera cv. Kechmisch aly violet</t>
  </si>
  <si>
    <t>Vitis vinifera subsp vinifera cv. Kecskecsecsu kek</t>
  </si>
  <si>
    <t>Vitis vinifera subsp vinifera cv. Kecskecsecsu roszas piros</t>
  </si>
  <si>
    <t>Vitis vinifera subsp vinifera cv. Kecskemet kincse</t>
  </si>
  <si>
    <t>Vitis vinifera subsp vinifera cv. Kecskemet Szepe</t>
  </si>
  <si>
    <t>Vitis vinifera subsp vinifera cv. Kecskemeti izes</t>
  </si>
  <si>
    <t>Vitis vinifera subsp vinifera cv. Kecskemeti rizling</t>
  </si>
  <si>
    <t>Vitis vinifera subsp vinifera cv. Kefessia</t>
  </si>
  <si>
    <t>Vitis vinifera subsp vinifera cv. Kekhlibar</t>
  </si>
  <si>
    <t>Vitis vinifera subsp vinifera cv. Keknyelü</t>
  </si>
  <si>
    <t>Vitis vinifera subsp vinifera cv. Kerner = We S 25-30</t>
  </si>
  <si>
    <t>Vitis vinifera subsp vinifera cv. Keropodia</t>
  </si>
  <si>
    <t>Vitis vinifera subsp vinifera cv. Khalili Piskakes</t>
  </si>
  <si>
    <t>Vitis vinifera subsp vinifera cv. Khalili tcherni</t>
  </si>
  <si>
    <t>Vitis vinifera subsp vinifera cv. Khalt</t>
  </si>
  <si>
    <t>Vitis vinifera subsp vinifera cv. Khatmi</t>
  </si>
  <si>
    <t>Vitis vinifera subsp vinifera cv. Khikhvi</t>
  </si>
  <si>
    <t>Vitis vinifera subsp vinifera cv. Khindogny</t>
  </si>
  <si>
    <t>Vitis vinifera subsp vinifera cv. Khoussaïné blanc</t>
  </si>
  <si>
    <t>Vitis vinifera subsp vinifera cv. Kibraiski</t>
  </si>
  <si>
    <t>Vitis vinifera subsp vinifera cv. Kichmich chichraou</t>
  </si>
  <si>
    <t>Vitis vinifera subsp vinifera cv. Kichmich rond</t>
  </si>
  <si>
    <t>Vitis vinifera subsp vinifera cv. Kincsem</t>
  </si>
  <si>
    <t>Vitis vinifera subsp vinifera cv. Kizil</t>
  </si>
  <si>
    <t>Vitis vinifera subsp vinifera cv. Kizil sapak</t>
  </si>
  <si>
    <t>Vitis vinifera subsp vinifera cv. Knipperlé</t>
  </si>
  <si>
    <t>Vitis vinifera subsp vinifera cv. Kocsis Irma</t>
  </si>
  <si>
    <t>Vitis vinifera subsp vinifera cv. Kocsis Pal szilvanija</t>
  </si>
  <si>
    <t>Vitis vinifera subsp vinifera cv. Kocsis Sandor</t>
  </si>
  <si>
    <t>Vitis vinifera subsp vinifera cv. Kokkinellia</t>
  </si>
  <si>
    <t>Vitis vinifera subsp vinifera cv. Kokkinostaphylo</t>
  </si>
  <si>
    <t>Vitis vinifera subsp vinifera cv. Kokour bely</t>
  </si>
  <si>
    <t>Vitis vinifera subsp vinifera cv. Kolliniatico</t>
  </si>
  <si>
    <t>Vitis vinifera subsp vinifera cv. Kölner blau</t>
  </si>
  <si>
    <t>Vitis vinifera subsp vinifera cv. Kolokythas avgoulatos</t>
  </si>
  <si>
    <t>Vitis vinifera subsp vinifera cv. Kolontar</t>
  </si>
  <si>
    <t>Vitis vinifera subsp vinifera cv. Königstraube</t>
  </si>
  <si>
    <t>Vitis vinifera subsp vinifera cv. Kontocladi</t>
  </si>
  <si>
    <t>Vitis vinifera subsp vinifera cv. Korai Olasz</t>
  </si>
  <si>
    <t>Vitis vinifera subsp vinifera cv. Korithi à gros grains</t>
  </si>
  <si>
    <t>Vitis vinifera subsp vinifera cv. Korithi aspro</t>
  </si>
  <si>
    <t>Vitis vinifera subsp vinifera cv. Korithi mavro</t>
  </si>
  <si>
    <t>Vitis vinifera subsp vinifera cv. Koritsanos rouge</t>
  </si>
  <si>
    <t>Vitis vinifera subsp vinifera cv. Koshu noir faux</t>
  </si>
  <si>
    <t>Vitis vinifera subsp vinifera cv. Kossorotovsky</t>
  </si>
  <si>
    <t>Vitis vinifera subsp vinifera cv. Kotselina</t>
  </si>
  <si>
    <t>Vitis vinifera subsp vinifera cv. Kotsiphali</t>
  </si>
  <si>
    <t>Vitis vinifera subsp vinifera cv. Koudsi</t>
  </si>
  <si>
    <t>Vitis vinifera subsp vinifera cv. Kouldjinsky</t>
  </si>
  <si>
    <t>Vitis vinifera subsp vinifera cv. Koumari</t>
  </si>
  <si>
    <t>Vitis vinifera subsp vinifera cv. Kouroupitsa</t>
  </si>
  <si>
    <t>Vitis vinifera subsp vinifera cv. Koussan</t>
  </si>
  <si>
    <t>Vitis vinifera subsp vinifera cv. Kovacsi feher</t>
  </si>
  <si>
    <t>Vitis vinifera subsp vinifera cv. Kovalevka</t>
  </si>
  <si>
    <t>Vitis vinifera subsp vinifera cv. Kövidinka</t>
  </si>
  <si>
    <t>Vitis vinifera subsp vinifera cv. Koytsoumbeli aspro</t>
  </si>
  <si>
    <t>Vitis vinifera subsp vinifera cv. Koz ouzioum</t>
  </si>
  <si>
    <t>Vitis vinifera subsp vinifera cv. Kozanitis</t>
  </si>
  <si>
    <t>Vitis vinifera subsp vinifera cv. Kozma</t>
  </si>
  <si>
    <t>Vitis vinifera subsp vinifera cv. Kracher gelber</t>
  </si>
  <si>
    <t>Vitis vinifera subsp vinifera cv. Krakhouna</t>
  </si>
  <si>
    <t>Vitis vinifera subsp vinifera cv. Krasnostop zolotowskii</t>
  </si>
  <si>
    <t>Vitis vinifera subsp vinifera cv. Kravi tzitzi</t>
  </si>
  <si>
    <t>Vitis vinifera subsp vinifera cv. Krestovsky</t>
  </si>
  <si>
    <t>Vitis vinifera subsp vinifera cv. Kroustalli</t>
  </si>
  <si>
    <t>Vitis vinifera subsp vinifera cv. Kujundzusa</t>
  </si>
  <si>
    <t>Vitis vinifera subsp vinifera cv. Kurtelaska</t>
  </si>
  <si>
    <t>Vitis vinifera subsp vinifera cv. Kypreiko</t>
  </si>
  <si>
    <t>Vitis vinifera subsp vinifera cv. La Guitte</t>
  </si>
  <si>
    <t>Vitis vinifera subsp vinifera cv. La Rochelle</t>
  </si>
  <si>
    <t>Vitis vinifera subsp vinifera cv. Laadari</t>
  </si>
  <si>
    <t>Vitis vinifera subsp vinifera cv. Labrusco</t>
  </si>
  <si>
    <t>Vitis vinifera subsp vinifera cv. Lacrima di Maria</t>
  </si>
  <si>
    <t>Vitis vinifera subsp vinifera cv. Lacryma Christi</t>
  </si>
  <si>
    <t>Vitis vinifera subsp vinifera cv. Ladikino</t>
  </si>
  <si>
    <t>Vitis vinifera subsp vinifera cv. Lady Downe's seedling</t>
  </si>
  <si>
    <t>Vitis vinifera subsp vinifera cv. Lady Hastings</t>
  </si>
  <si>
    <t>Vitis vinifera subsp vinifera cv. Lafayette</t>
  </si>
  <si>
    <t>Vitis vinifera subsp vinifera cv. Lagauzère A</t>
  </si>
  <si>
    <t>Vitis vinifera subsp vinifera cv. Lagauzère B</t>
  </si>
  <si>
    <t>Vitis vinifera subsp vinifera cv. Lagauzère C</t>
  </si>
  <si>
    <t>Vitis vinifera subsp vinifera cv. Lagauzère E</t>
  </si>
  <si>
    <t>Vitis vinifera subsp vinifera cv. Lagauzère 19</t>
  </si>
  <si>
    <t>Vitis vinifera subsp vinifera cv. Lagauzère 20</t>
  </si>
  <si>
    <t>Vitis vinifera subsp vinifera cv. Lagauzère 21</t>
  </si>
  <si>
    <t>Vitis vinifera subsp vinifera cv. Lagorthi</t>
  </si>
  <si>
    <t>Vitis vinifera subsp vinifera cv. Lagrein</t>
  </si>
  <si>
    <t>Vitis vinifera subsp vinifera cv. Lahntraube</t>
  </si>
  <si>
    <t>Vitis vinifera subsp vinifera cv. Lahntraube (Institut Oberlin)</t>
  </si>
  <si>
    <t>Vitis vinifera subsp vinifera cv. Lallée</t>
  </si>
  <si>
    <t>Vitis vinifera subsp vinifera cv. Lambrusco à foglia frastigliata</t>
  </si>
  <si>
    <t>Vitis vinifera subsp vinifera cv. Lambrusco di Sorbara</t>
  </si>
  <si>
    <t>Vitis vinifera subsp vinifera cv. Lambrusco grasparossa</t>
  </si>
  <si>
    <t>Vitis vinifera subsp vinifera cv. Lambrusco Maestri</t>
  </si>
  <si>
    <t>Vitis vinifera subsp vinifera cv. Lambrusco Marani</t>
  </si>
  <si>
    <t>Vitis vinifera subsp vinifera cv. Lambrusco Monterico</t>
  </si>
  <si>
    <t>Vitis vinifera subsp vinifera cv. Lambrusco oliva</t>
  </si>
  <si>
    <t>Vitis vinifera subsp vinifera cv. Lambrusco salamino</t>
  </si>
  <si>
    <t>Vitis vinifera subsp vinifera cv. Lambrusco Viadanese</t>
  </si>
  <si>
    <t>Vitis vinifera subsp vinifera cv. Lambruscone</t>
  </si>
  <si>
    <t>Vitis vinifera subsp vinifera cv. Lambrusque A</t>
  </si>
  <si>
    <t>Vitis vinifera subsp vinifera cv. lambrusque C</t>
  </si>
  <si>
    <t>Vitis vinifera subsp vinifera cv. Lambrusque D</t>
  </si>
  <si>
    <t>Vitis vinifera subsp vinifera cv. Lambrusque E</t>
  </si>
  <si>
    <t>Vitis vinifera subsp vinifera cv. Lambrusque F</t>
  </si>
  <si>
    <t>Vitis vinifera subsp vinifera cv. Lambrusque I</t>
  </si>
  <si>
    <t>Vitis vinifera subsp vinifera cv. Lambrusque J</t>
  </si>
  <si>
    <t>Vitis vinifera subsp vinifera cv. Lambrusque spontanée coloniale</t>
  </si>
  <si>
    <t>Vitis vinifera subsp vinifera cv. Lambrusque subspontanée</t>
  </si>
  <si>
    <t>Vitis vinifera subsp vinifera cv. Lamparfahr de Vany</t>
  </si>
  <si>
    <t>Vitis vinifera subsp vinifera cv. Landroter</t>
  </si>
  <si>
    <t>Vitis vinifera subsp vinifera cv. Lanjaron claro</t>
  </si>
  <si>
    <t>Vitis vinifera subsp vinifera cv. Larião</t>
  </si>
  <si>
    <t>Vitis vinifera subsp vinifera cv. Lasina</t>
  </si>
  <si>
    <t>Vitis vinifera subsp vinifera cv. Laska</t>
  </si>
  <si>
    <t>Vitis vinifera subsp vinifera cv. Latina = Pirovano 711</t>
  </si>
  <si>
    <t>Vitis vinifera subsp vinifera cv. Lattuario nero</t>
  </si>
  <si>
    <t>Vitis vinifera subsp vinifera cv. Lauzet</t>
  </si>
  <si>
    <t>Vitis vinifera subsp vinifera cv. Leanyka</t>
  </si>
  <si>
    <t>Vitis vinifera subsp vinifera cv. Leao Ferreira da Almeida 10-48-24</t>
  </si>
  <si>
    <t>Vitis vinifera subsp vinifera cv. Leao Ferreira da Almeida 29-54-30</t>
  </si>
  <si>
    <t>Vitis vinifera subsp vinifera cv. Leao Ferreira da Almeida 29-54-7</t>
  </si>
  <si>
    <t>Vitis vinifera subsp vinifera cv. Leao Ferreira da Almeida 34-49-48</t>
  </si>
  <si>
    <t>Vitis vinifera subsp vinifera cv. Leao Ferreira da Almeida 34-49-50</t>
  </si>
  <si>
    <t>Vitis vinifera subsp vinifera cv. Leao Ferreira da Almeida 37-50-8</t>
  </si>
  <si>
    <t>Vitis vinifera subsp vinifera cv. Leao Ferreira da Almeida 4-49-44</t>
  </si>
  <si>
    <t>Vitis vinifera subsp vinifera cv. Leao Ferreira da Almeida 7-49-35</t>
  </si>
  <si>
    <t>Vitis vinifera subsp vinifera cv. Lefcas</t>
  </si>
  <si>
    <t>Vitis vinifera subsp vinifera cv. Len de l'El</t>
  </si>
  <si>
    <t>Vitis vinifera subsp vinifera cv. L'Enfant trouvé</t>
  </si>
  <si>
    <t>Vitis vinifera subsp vinifera cv. Léopold III</t>
  </si>
  <si>
    <t>Vitis vinifera subsp vinifera cv. Lercat</t>
  </si>
  <si>
    <t>Vitis vinifera subsp vinifera cv. Lesz meg hazam</t>
  </si>
  <si>
    <t>Vitis vinifera subsp vinifera cv. Lialmigui</t>
  </si>
  <si>
    <t>Vitis vinifera subsp vinifera cv. Liatico</t>
  </si>
  <si>
    <t>Vitis vinifera subsp vinifera cv. Lignage</t>
  </si>
  <si>
    <t>Vitis vinifera subsp vinifera cv. Lignan</t>
  </si>
  <si>
    <t>Vitis vinifera subsp vinifera cv. Liliorila</t>
  </si>
  <si>
    <t>Vitis vinifera subsp vinifera cv. Limberger</t>
  </si>
  <si>
    <t>Vitis vinifera subsp vinifera cv. Limniona</t>
  </si>
  <si>
    <t>Vitis vinifera subsp vinifera cv. Linné</t>
  </si>
  <si>
    <t>Vitis vinifera subsp vinifera cv. Listan</t>
  </si>
  <si>
    <t>Vitis vinifera subsp vinifera cv. Lisztes feher feketefaju</t>
  </si>
  <si>
    <t>Vitis vinifera subsp vinifera cv. Lisztes piros</t>
  </si>
  <si>
    <t>Vitis vinifera subsp vinifera cv. Littorio = Pirovano 90</t>
  </si>
  <si>
    <t>Vitis vinifera subsp vinifera cv. Lival = INRA 696-11</t>
  </si>
  <si>
    <t>Vitis vinifera subsp vinifera cv. Lkeny noir</t>
  </si>
  <si>
    <t>Vitis vinifera subsp vinifera cv. Lledoner pelut</t>
  </si>
  <si>
    <t>Vitis vinifera subsp vinifera cv. Lombardia = Pirovano 353</t>
  </si>
  <si>
    <t>Vitis vinifera subsp vinifera cv. Louali</t>
  </si>
  <si>
    <t>Vitis vinifera subsp vinifera cv. Loureiro</t>
  </si>
  <si>
    <t>Vitis vinifera subsp vinifera cv. Lucien Baltet</t>
  </si>
  <si>
    <t>Vitis vinifera subsp vinifera cv. Luigi Razza = Pirovano 365</t>
  </si>
  <si>
    <t>Vitis vinifera subsp vinifera cv. Luisa blanca</t>
  </si>
  <si>
    <t>Vitis vinifera subsp vinifera cv. Lumassina</t>
  </si>
  <si>
    <t>Vitis vinifera subsp vinifera cv. Luparello</t>
  </si>
  <si>
    <t>Vitis vinifera subsp vinifera cv. Lutea = Pirovano 167</t>
  </si>
  <si>
    <t>Vitis vinifera subsp vinifera cv. Maabouri</t>
  </si>
  <si>
    <t>Vitis vinifera subsp vinifera cv. Maça</t>
  </si>
  <si>
    <t>Vitis vinifera subsp vinifera cv. Macabeu</t>
  </si>
  <si>
    <t>Vitis vinifera subsp vinifera cv. Maceratino</t>
  </si>
  <si>
    <t>Vitis vinifera subsp vinifera cv. Mackensen</t>
  </si>
  <si>
    <t>Vitis vinifera subsp vinifera cv. Madeleine angevine</t>
  </si>
  <si>
    <t>Vitis vinifera subsp vinifera cv. Madeleine angevine Oberlin</t>
  </si>
  <si>
    <t>Vitis vinifera subsp vinifera cv. Madeleine Céline</t>
  </si>
  <si>
    <t>Vitis vinifera subsp vinifera cv. Madeleine de Clermont</t>
  </si>
  <si>
    <t>Vitis vinifera subsp vinifera cv. Madeleine royale</t>
  </si>
  <si>
    <t>Vitis vinifera subsp vinifera cv. Madeleine Salomon</t>
  </si>
  <si>
    <t>Vitis vinifera subsp vinifera cv. Madeleine Sämling 18</t>
  </si>
  <si>
    <t>Vitis vinifera subsp vinifera cv. Madeleine Sämling 22</t>
  </si>
  <si>
    <t>Vitis vinifera subsp vinifera cv. Madina = INRA 2004-9</t>
  </si>
  <si>
    <t>Vitis vinifera subsp vinifera cv. Magliocco</t>
  </si>
  <si>
    <t>Vitis vinifera subsp vinifera cv. Magyartraube</t>
  </si>
  <si>
    <t>Vitis vinifera subsp vinifera cv. Maingonat 50 L 2</t>
  </si>
  <si>
    <t>Vitis vinifera subsp vinifera cv. Maingonnat 11 L 13</t>
  </si>
  <si>
    <t>Vitis vinifera subsp vinifera cv. Maingonnat 12 L 11</t>
  </si>
  <si>
    <t>Vitis vinifera subsp vinifera cv. Maingonnat 14 L 23</t>
  </si>
  <si>
    <t>Vitis vinifera subsp vinifera cv. Maingonnat 16 L 4</t>
  </si>
  <si>
    <t>Vitis vinifera subsp vinifera cv. Maingonnat 17 L 24</t>
  </si>
  <si>
    <t>Vitis vinifera subsp vinifera cv. Maingonnat 19 L 25</t>
  </si>
  <si>
    <t>Vitis vinifera subsp vinifera cv. Maingonnat 20 L 12</t>
  </si>
  <si>
    <t>Vitis vinifera subsp vinifera cv. Maingonnat 20 L 22</t>
  </si>
  <si>
    <t>Vitis vinifera subsp vinifera cv. Maingonnat 25 L 5</t>
  </si>
  <si>
    <t>Vitis vinifera subsp vinifera cv. Maingonnat 27 L1</t>
  </si>
  <si>
    <t>Vitis vinifera subsp vinifera cv. Maingonnat 3 L 1</t>
  </si>
  <si>
    <t>Vitis vinifera subsp vinifera cv. Maingonnat 3 L 22</t>
  </si>
  <si>
    <t>Vitis vinifera subsp vinifera cv. Maingonnat 30 L 22</t>
  </si>
  <si>
    <t>Vitis vinifera subsp vinifera cv. Maingonnat 31 L 10</t>
  </si>
  <si>
    <t>Vitis vinifera subsp vinifera cv. Maingonnat 31 L 11</t>
  </si>
  <si>
    <t>Vitis vinifera subsp vinifera cv. Maingonnat 34 L 5</t>
  </si>
  <si>
    <t>Vitis vinifera subsp vinifera cv. Maingonnat 4 L 22</t>
  </si>
  <si>
    <t>Vitis vinifera subsp vinifera cv. Maingonnat 42 L 10</t>
  </si>
  <si>
    <t>Vitis vinifera subsp vinifera cv. Maingonnat 48 L 2</t>
  </si>
  <si>
    <t>Vitis vinifera subsp vinifera cv. Maingonnat 48 L 4</t>
  </si>
  <si>
    <t>Vitis vinifera subsp vinifera cv. Maingonnat 50 L 4</t>
  </si>
  <si>
    <t>Vitis vinifera subsp vinifera cv. Maingonnat 7 L 1</t>
  </si>
  <si>
    <t>Vitis vinifera subsp vinifera cv. Maingonnat 9 L 24</t>
  </si>
  <si>
    <t>Vitis vinifera subsp vinifera cv. Malaga II</t>
  </si>
  <si>
    <t>Vitis vinifera subsp vinifera cv. Malaga noir</t>
  </si>
  <si>
    <t>Vitis vinifera subsp vinifera cv. Maloukato</t>
  </si>
  <si>
    <t>Vitis vinifera subsp vinifera cv. Malpé (1)</t>
  </si>
  <si>
    <t>Vitis vinifera subsp vinifera cv. Malpé (2)</t>
  </si>
  <si>
    <t>Vitis vinifera subsp vinifera cv. Malvar</t>
  </si>
  <si>
    <t>Vitis vinifera subsp vinifera cv. Malvarisco</t>
  </si>
  <si>
    <t>Vitis vinifera subsp vinifera cv. Malvasia</t>
  </si>
  <si>
    <t>Vitis vinifera subsp vinifera cv. Malvasia del Chianti</t>
  </si>
  <si>
    <t>Vitis vinifera subsp vinifera cv. Malvasia del Lazio</t>
  </si>
  <si>
    <t>Vitis vinifera subsp vinifera cv. Malvasia di Candia</t>
  </si>
  <si>
    <t>Vitis vinifera subsp vinifera cv. Malvasia di Candia aromatica</t>
  </si>
  <si>
    <t>Vitis vinifera subsp vinifera cv. Malvasia di Casorzo</t>
  </si>
  <si>
    <t>Vitis vinifera subsp vinifera cv. Malvasia di Sardegna</t>
  </si>
  <si>
    <t>Vitis vinifera subsp vinifera cv. Malvasia di Schierano</t>
  </si>
  <si>
    <t>Vitis vinifera subsp vinifera cv. Malvasia fina</t>
  </si>
  <si>
    <t>Vitis vinifera subsp vinifera cv. Malvasia istriana</t>
  </si>
  <si>
    <t>Vitis vinifera subsp vinifera cv. Malvasia Moscatel Fonte grande</t>
  </si>
  <si>
    <t>Vitis vinifera subsp vinifera cv. Malvasia nera di Brindisi</t>
  </si>
  <si>
    <t>Vitis vinifera subsp vinifera cv. Malvasia nera di Lecce</t>
  </si>
  <si>
    <t>Vitis vinifera subsp vinifera cv. Malvasia rei</t>
  </si>
  <si>
    <t>Vitis vinifera subsp vinifera cv. Malvina</t>
  </si>
  <si>
    <t>Vitis vinifera subsp vinifera cv. Malvoisie de Sitges fausse</t>
  </si>
  <si>
    <t>Vitis vinifera subsp vinifera cv. Mamelon</t>
  </si>
  <si>
    <t>Vitis vinifera subsp vinifera cv. Mammolo</t>
  </si>
  <si>
    <t>Vitis vinifera subsp vinifera cv. Mancens</t>
  </si>
  <si>
    <t>Vitis vinifera subsp vinifera cv. Mancin</t>
  </si>
  <si>
    <t>Vitis vinifera subsp vinifera cv. Mandrègue</t>
  </si>
  <si>
    <t>Vitis vinifera subsp vinifera cv. Manseng noir</t>
  </si>
  <si>
    <t>Vitis vinifera subsp vinifera cv. Manseng vert</t>
  </si>
  <si>
    <t>Vitis vinifera subsp vinifera cv. Mansonnet</t>
  </si>
  <si>
    <t>Vitis vinifera subsp vinifera cv. Manteudo</t>
  </si>
  <si>
    <t>Vitis vinifera subsp vinifera cv. Mantheudo</t>
  </si>
  <si>
    <t>Vitis vinifera subsp vinifera cv. Mantilaria</t>
  </si>
  <si>
    <t>Vitis vinifera subsp vinifera cv. Mantuo de Pilas</t>
  </si>
  <si>
    <t>Vitis vinifera subsp vinifera cv. Manzoni 1-50</t>
  </si>
  <si>
    <t>Vitis vinifera subsp vinifera cv. Manzoni 2-15</t>
  </si>
  <si>
    <t>Vitis vinifera subsp vinifera cv. Manzoni 3-26</t>
  </si>
  <si>
    <t>Vitis vinifera subsp vinifera cv. Maratheftico</t>
  </si>
  <si>
    <t>Vitis vinifera subsp vinifera cv. Marawi</t>
  </si>
  <si>
    <t>Vitis vinifera subsp vinifera cv. Maréchal Bosquet</t>
  </si>
  <si>
    <t>Vitis vinifera subsp vinifera cv. Maréchal Gallieni</t>
  </si>
  <si>
    <t>Vitis vinifera subsp vinifera cv. Marengo = Pirovano 205</t>
  </si>
  <si>
    <t>Vitis vinifera subsp vinifera cv. Maria Pirovano = Pirovano 165</t>
  </si>
  <si>
    <t>Vitis vinifera subsp vinifera cv. Marienriesling</t>
  </si>
  <si>
    <t>Vitis vinifera subsp vinifera cv. Mariensteiner = Würzburg B 51-7-3</t>
  </si>
  <si>
    <t>Vitis vinifera subsp vinifera cv. Mario Mariani = Pirovano 276</t>
  </si>
  <si>
    <t>Vitis vinifera subsp vinifera cv. Marocain gris</t>
  </si>
  <si>
    <t>Vitis vinifera subsp vinifera cv. Marocain noir</t>
  </si>
  <si>
    <t>Vitis vinifera subsp vinifera cv. Maroo seedless</t>
  </si>
  <si>
    <t>Vitis vinifera subsp vinifera cv. Marouhé</t>
  </si>
  <si>
    <t>Vitis vinifera subsp vinifera cv. Marsanne</t>
  </si>
  <si>
    <t>Vitis vinifera subsp vinifera cv. Marsanne de Pays</t>
  </si>
  <si>
    <t>Vitis vinifera subsp vinifera cv. Marselan = INRA 1810-68</t>
  </si>
  <si>
    <t>Vitis vinifera subsp vinifera cv. Marsigliana nera</t>
  </si>
  <si>
    <t>Vitis vinifera subsp vinifera cv. Martien</t>
  </si>
  <si>
    <t>Vitis vinifera subsp vinifera cv. Marzemino</t>
  </si>
  <si>
    <t>Vitis vinifera subsp vinifera cv. Massecamp</t>
  </si>
  <si>
    <t>Vitis vinifera subsp vinifera cv. Mateu</t>
  </si>
  <si>
    <t>Vitis vinifera subsp vinifera cv. Mathiasz Janos Diadala muskotaly</t>
  </si>
  <si>
    <t>Vitis vinifera subsp vinifera cv. Mathiasz Janos Emleke</t>
  </si>
  <si>
    <t>Vitis vinifera subsp vinifera cv. Mathiasz Janosne</t>
  </si>
  <si>
    <t>Vitis vinifera subsp vinifera cv. Mathiasz Muskotaly = Revai tranonor</t>
  </si>
  <si>
    <t>Vitis vinifera subsp vinifera cv. Mathiasz 215 faux</t>
  </si>
  <si>
    <t>Vitis vinifera subsp vinifera cv. Maticha</t>
  </si>
  <si>
    <t>Vitis vinifera subsp vinifera cv. Matilde</t>
  </si>
  <si>
    <t>Vitis vinifera subsp vinifera cv. Matrassa</t>
  </si>
  <si>
    <t>Vitis vinifera subsp vinifera cv. Maturana</t>
  </si>
  <si>
    <t>Vitis vinifera subsp vinifera cv. Mauvaise Roussette</t>
  </si>
  <si>
    <t>Vitis vinifera subsp vinifera cv. Mauzac</t>
  </si>
  <si>
    <t>Vitis vinifera subsp vinifera cv. Mauzac noir</t>
  </si>
  <si>
    <t>Vitis vinifera subsp vinifera cv. Mauzac rose</t>
  </si>
  <si>
    <t>Vitis vinifera subsp vinifera cv. Mavro Kymis</t>
  </si>
  <si>
    <t>Vitis vinifera subsp vinifera cv. Mavrodaphni</t>
  </si>
  <si>
    <t>Vitis vinifera subsp vinifera cv. Mavrostypho</t>
  </si>
  <si>
    <t>Vitis vinifera subsp vinifera cv. Mavrotragano</t>
  </si>
  <si>
    <t>Vitis vinifera subsp vinifera cv. Mavroudi</t>
  </si>
  <si>
    <t>Vitis vinifera subsp vinifera cv. Mavrud</t>
  </si>
  <si>
    <t>Vitis vinifera subsp vinifera cv. Mavrud Varnenski</t>
  </si>
  <si>
    <t>Vitis vinifera subsp vinifera cv. Mayorquin</t>
  </si>
  <si>
    <t>Vitis vinifera subsp vinifera cv. Mazzari</t>
  </si>
  <si>
    <t>Vitis vinifera subsp vinifera cv. Mècle de Bourgoin</t>
  </si>
  <si>
    <t>Vitis vinifera subsp vinifera cv. Médoc noir</t>
  </si>
  <si>
    <t>Vitis vinifera subsp vinifera cv. Mehdik</t>
  </si>
  <si>
    <t>Vitis vinifera subsp vinifera cv. Mehlweiss</t>
  </si>
  <si>
    <t>Vitis vinifera subsp vinifera cv. Melbento</t>
  </si>
  <si>
    <t>Vitis vinifera subsp vinifera cv. Melon</t>
  </si>
  <si>
    <t>Vitis vinifera subsp vinifera cv. Melon noir</t>
  </si>
  <si>
    <t>Vitis vinifera subsp vinifera cv. Mencia</t>
  </si>
  <si>
    <t>Vitis vinifera subsp vinifera cv. Mendel = Pirovano 532</t>
  </si>
  <si>
    <t>Vitis vinifera subsp vinifera cv. Mérille</t>
  </si>
  <si>
    <t>Vitis vinifera subsp vinifera cv. Merlot</t>
  </si>
  <si>
    <t>Vitis vinifera subsp vinifera cv. Merlot blanc</t>
  </si>
  <si>
    <t>Vitis vinifera subsp vinifera cv. Merlot gris</t>
  </si>
  <si>
    <t>Vitis vinifera subsp vinifera cv. Merseguera</t>
  </si>
  <si>
    <t>Vitis vinifera subsp vinifera cv. Meslier noir</t>
  </si>
  <si>
    <t>Vitis vinifera subsp vinifera cv. Meslier Saint-François</t>
  </si>
  <si>
    <t>Vitis vinifera subsp vinifera cv. Métis Clerc</t>
  </si>
  <si>
    <t>Vitis vinifera subsp vinifera cv. Meunier</t>
  </si>
  <si>
    <t>Vitis vinifera subsp vinifera cv. Meunier Court Maillé</t>
  </si>
  <si>
    <t>Vitis vinifera subsp vinifera cv. Meunier tête de nègre</t>
  </si>
  <si>
    <t>Vitis vinifera subsp vinifera cv. Mezesfeher</t>
  </si>
  <si>
    <t>Vitis vinifera subsp vinifera cv. Mezesfekete</t>
  </si>
  <si>
    <t>Vitis vinifera subsp vinifera cv. Mezi</t>
  </si>
  <si>
    <t>Vitis vinifera subsp vinifera cv. Mgaloblichvili</t>
  </si>
  <si>
    <t>Vitis vinifera subsp vinifera cv. Michele Palieri = Palieri 5</t>
  </si>
  <si>
    <t>Vitis vinifera subsp vinifera cv. Miguel de Arco</t>
  </si>
  <si>
    <t>Vitis vinifera subsp vinifera cv. Mikveh 17</t>
  </si>
  <si>
    <t>Vitis vinifera subsp vinifera cv. Milgranet</t>
  </si>
  <si>
    <t>Vitis vinifera subsp vinifera cv. Milton</t>
  </si>
  <si>
    <t>Vitis vinifera subsp vinifera cv. Minnella bianca</t>
  </si>
  <si>
    <t>Vitis vinifera subsp vinifera cv. Mireille = Mi 108 C</t>
  </si>
  <si>
    <t>Vitis vinifera subsp vinifera cv. Mirifica = Pirovano 432</t>
  </si>
  <si>
    <t>Vitis vinifera subsp vinifera cv. Mirni</t>
  </si>
  <si>
    <t>Vitis vinifera subsp vinifera cv. Misguli kara</t>
  </si>
  <si>
    <t>Vitis vinifera subsp vinifera cv. Mishung</t>
  </si>
  <si>
    <t>Vitis vinifera subsp vinifera cv. Misket tcherven</t>
  </si>
  <si>
    <t>Vitis vinifera subsp vinifera cv. Misket vratchansky</t>
  </si>
  <si>
    <t>Vitis vinifera subsp vinifera cv. Mission</t>
  </si>
  <si>
    <t>Vitis vinifera subsp vinifera cv. Mistress Hall</t>
  </si>
  <si>
    <t>Vitis vinifera subsp vinifera cv. Mohzel</t>
  </si>
  <si>
    <t>Vitis vinifera subsp vinifera cv. Moldovanka</t>
  </si>
  <si>
    <t>Vitis vinifera subsp vinifera cv. Molette</t>
  </si>
  <si>
    <t>Vitis vinifera subsp vinifera cv. Molinara</t>
  </si>
  <si>
    <t>Vitis vinifera subsp vinifera cv. Molinera gorda</t>
  </si>
  <si>
    <t>Vitis vinifera subsp vinifera cv. Mollar</t>
  </si>
  <si>
    <t>Vitis vinifera subsp vinifera cv. Mollard</t>
  </si>
  <si>
    <t>Vitis vinifera subsp vinifera cv. Monaca</t>
  </si>
  <si>
    <t>Vitis vinifera subsp vinifera cv. Monbadon</t>
  </si>
  <si>
    <t>Vitis vinifera subsp vinifera cv. Mondeuse</t>
  </si>
  <si>
    <t>Vitis vinifera subsp vinifera cv. Mondeuse blanche</t>
  </si>
  <si>
    <t>Vitis vinifera subsp vinifera cv. Mondeuse du Piémont</t>
  </si>
  <si>
    <t>Vitis vinifera subsp vinifera cv. Mondeuse grise</t>
  </si>
  <si>
    <t>Vitis vinifera subsp vinifera cv. Monemvassia</t>
  </si>
  <si>
    <t>Vitis vinifera subsp vinifera cv. Monerac = INRA 1740-1142</t>
  </si>
  <si>
    <t>Vitis vinifera subsp vinifera cv. Monica</t>
  </si>
  <si>
    <t>Vitis vinifera subsp vinifera cv. Monique</t>
  </si>
  <si>
    <t>Vitis vinifera subsp vinifera cv. Monte d'oro = Pirovano 240</t>
  </si>
  <si>
    <t>Vitis vinifera subsp vinifera cv. Montepulciano</t>
  </si>
  <si>
    <t>Vitis vinifera subsp vinifera cv. Montils</t>
  </si>
  <si>
    <t>Vitis vinifera subsp vinifera cv. Montonico bianco</t>
  </si>
  <si>
    <t>Vitis vinifera subsp vinifera cv. Montu</t>
  </si>
  <si>
    <t>Vitis vinifera subsp vinifera cv. Montuonico</t>
  </si>
  <si>
    <t>Vitis vinifera subsp vinifera cv. Morenillo</t>
  </si>
  <si>
    <t>Vitis vinifera subsp vinifera cv. Moreto</t>
  </si>
  <si>
    <t>Vitis vinifera subsp vinifera cv. Moriot Muskat = Geilweilerhof I-28-30</t>
  </si>
  <si>
    <t>Vitis vinifera subsp vinifera cv. Morisca</t>
  </si>
  <si>
    <t>Vitis vinifera subsp vinifera cv. Morlin gris</t>
  </si>
  <si>
    <t>Vitis vinifera subsp vinifera cv. Mornen</t>
  </si>
  <si>
    <t>Vitis vinifera subsp vinifera cv. Morrastel</t>
  </si>
  <si>
    <t>Vitis vinifera subsp vinifera cv. Morrastel Bouschet à gros grains</t>
  </si>
  <si>
    <t>Vitis vinifera subsp vinifera cv. Moscatel de Camarate</t>
  </si>
  <si>
    <t>Vitis vinifera subsp vinifera cv. Moscatel de San Ildefonso</t>
  </si>
  <si>
    <t>Vitis vinifera subsp vinifera cv. Moscatel Dr Soares Franco</t>
  </si>
  <si>
    <t>Vitis vinifera subsp vinifera cv. Moscatel rosa = Leao Ferreira da Almeida 37-51-15</t>
  </si>
  <si>
    <t>Vitis vinifera subsp vinifera cv. Moscatel rosado</t>
  </si>
  <si>
    <t>Vitis vinifera subsp vinifera cv. Moscato Cerletti</t>
  </si>
  <si>
    <t>Vitis vinifera subsp vinifera cv. Moscato d'Adda</t>
  </si>
  <si>
    <t>Vitis vinifera subsp vinifera cv. Moscato giallo</t>
  </si>
  <si>
    <t>Vitis vinifera subsp vinifera cv. Moscato Tiammor = Pirovano 672</t>
  </si>
  <si>
    <t>Vitis vinifera subsp vinifera cv. Moschardina</t>
  </si>
  <si>
    <t>Vitis vinifera subsp vinifera cv. Moschopatata</t>
  </si>
  <si>
    <t>Vitis vinifera subsp vinifera cv. Mouchketny</t>
  </si>
  <si>
    <t>Vitis vinifera subsp vinifera cv. Moudjouretouli</t>
  </si>
  <si>
    <t>Vitis vinifera subsp vinifera cv. Mourisco branco</t>
  </si>
  <si>
    <t>Vitis vinifera subsp vinifera cv. Mourisco de Semente</t>
  </si>
  <si>
    <t>Vitis vinifera subsp vinifera cv. Mourisco du Minho</t>
  </si>
  <si>
    <t>Vitis vinifera subsp vinifera cv. Mourisco nacional</t>
  </si>
  <si>
    <t>Vitis vinifera subsp vinifera cv. Mourisco tinto</t>
  </si>
  <si>
    <t>Vitis vinifera subsp vinifera cv. Mourtaou</t>
  </si>
  <si>
    <t>Vitis vinifera subsp vinifera cv. Mourtès</t>
  </si>
  <si>
    <t>Vitis vinifera subsp vinifera cv. Mourvaison</t>
  </si>
  <si>
    <t>Vitis vinifera subsp vinifera cv. Mourvèdre</t>
  </si>
  <si>
    <t>Vitis vinifera subsp vinifera cv. Mourvèdre gris</t>
  </si>
  <si>
    <t>Vitis vinifera subsp vinifera cv. Mouscha</t>
  </si>
  <si>
    <t>Vitis vinifera subsp vinifera cv. Mouyssaguès</t>
  </si>
  <si>
    <t>Vitis vinifera subsp vinifera cv. Mskhali</t>
  </si>
  <si>
    <t>Vitis vinifera subsp vinifera cv. Mtzvané</t>
  </si>
  <si>
    <t>Vitis vinifera subsp vinifera cv. Mulata = Leao Ferreira da Almeida 11-48-49</t>
  </si>
  <si>
    <t>Vitis vinifera subsp vinifera cv. Müller-Thurgau</t>
  </si>
  <si>
    <t>Vitis vinifera subsp vinifera cv. Munkatsy Jozsef Muskotaly</t>
  </si>
  <si>
    <t>Vitis vinifera subsp vinifera cv. Muresconu = Morescono</t>
  </si>
  <si>
    <t>Vitis vinifera subsp vinifera cv. Mureto</t>
  </si>
  <si>
    <t>Vitis vinifera subsp vinifera cv. Murrâo</t>
  </si>
  <si>
    <t>Vitis vinifera subsp vinifera cv. Muscadelle</t>
  </si>
  <si>
    <t>Vitis vinifera subsp vinifera cv. Muscardin</t>
  </si>
  <si>
    <t>Vitis vinifera subsp vinifera cv. Muscat à petits grains blancs</t>
  </si>
  <si>
    <t>Vitis vinifera subsp vinifera cv. Muscat à petits grains roses</t>
  </si>
  <si>
    <t>Vitis vinifera subsp vinifera cv. Muscat à petits grains rouges</t>
  </si>
  <si>
    <t>Vitis vinifera subsp vinifera cv. Muscat bifère</t>
  </si>
  <si>
    <t>Vitis vinifera subsp vinifera cv. Muscat Bouschet</t>
  </si>
  <si>
    <t>Vitis vinifera subsp vinifera cv. Muscat cendré</t>
  </si>
  <si>
    <t>Vitis vinifera subsp vinifera cv. Muscat d'Alexandrie</t>
  </si>
  <si>
    <t>Vitis vinifera subsp vinifera cv. Muscat d'Alexandrie rouge</t>
  </si>
  <si>
    <t>Vitis vinifera subsp vinifera cv. Muscat de Hambourg</t>
  </si>
  <si>
    <t>Vitis vinifera subsp vinifera cv. Muscat de Pantelleria</t>
  </si>
  <si>
    <t>Vitis vinifera subsp vinifera cv. Muscat de Roussé</t>
  </si>
  <si>
    <t>Vitis vinifera subsp vinifera cv. Muscat de Sarbelle</t>
  </si>
  <si>
    <t>Vitis vinifera subsp vinifera cv. Muscat de Saumur</t>
  </si>
  <si>
    <t>Vitis vinifera subsp vinifera cv. Muscat de Terracina</t>
  </si>
  <si>
    <t>Vitis vinifera subsp vinifera cv. Muscat d'Eisenstadt</t>
  </si>
  <si>
    <t>Vitis vinifera subsp vinifera cv. Muscat d'Istamboul</t>
  </si>
  <si>
    <t>Vitis vinifera subsp vinifera cv. Muscat d'Ouzbekistan</t>
  </si>
  <si>
    <t>Vitis vinifera subsp vinifera cv. Muscat fleur d'oranger</t>
  </si>
  <si>
    <t>Vitis vinifera subsp vinifera cv. Muscat fleur d'oranger faux</t>
  </si>
  <si>
    <t>Vitis vinifera subsp vinifera cv. Muscat gris de la Calmette</t>
  </si>
  <si>
    <t>Vitis vinifera subsp vinifera cv. Muscat Laserelle</t>
  </si>
  <si>
    <t>Vitis vinifera subsp vinifera cv. Muscat Lierval</t>
  </si>
  <si>
    <t>Vitis vinifera subsp vinifera cv. Muscat Madresfield Court</t>
  </si>
  <si>
    <t>Vitis vinifera subsp vinifera cv. Muscat Mikveh</t>
  </si>
  <si>
    <t>Vitis vinifera subsp vinifera cv. Muscat Oberlin</t>
  </si>
  <si>
    <t>Vitis vinifera subsp vinifera cv. Muscat Ottonel</t>
  </si>
  <si>
    <t>Vitis vinifera subsp vinifera cv. Muscat Paulsen = Paulsen 122</t>
  </si>
  <si>
    <t>Vitis vinifera subsp vinifera cv. Muscat Pince's black</t>
  </si>
  <si>
    <t>Vitis vinifera subsp vinifera cv. Muscat rouge de Madère</t>
  </si>
  <si>
    <t>Vitis vinifera subsp vinifera cv. Muscat Saint-Laurent</t>
  </si>
  <si>
    <t>Vitis vinifera subsp vinifera cv. Muscat Salomon</t>
  </si>
  <si>
    <t>Vitis vinifera subsp vinifera cv. Muscat Vira</t>
  </si>
  <si>
    <t>Vitis vinifera subsp vinifera cv. Muscat Vörösmarty</t>
  </si>
  <si>
    <t>Vitis vinifera subsp vinifera cv. Muskat blume</t>
  </si>
  <si>
    <t>Vitis vinifera subsp vinifera cv. Muskat bouquet</t>
  </si>
  <si>
    <t>Vitis vinifera subsp vinifera cv. Müsküle</t>
  </si>
  <si>
    <t>Vitis vinifera subsp vinifera cv. Mustos feher</t>
  </si>
  <si>
    <t>Vitis vinifera subsp vinifera cv. Nagyfüger</t>
  </si>
  <si>
    <t>Vitis vinifera subsp vinifera cv. Naosé</t>
  </si>
  <si>
    <t>Vitis vinifera subsp vinifera cv. Narince</t>
  </si>
  <si>
    <t>Vitis vinifera subsp vinifera cv. Narma</t>
  </si>
  <si>
    <t>Vitis vinifera subsp vinifera cv. Nasco</t>
  </si>
  <si>
    <t>Vitis vinifera subsp vinifera cv. Nave</t>
  </si>
  <si>
    <t>Vitis vinifera subsp vinifera cv. Nebbiolo</t>
  </si>
  <si>
    <t>Vitis vinifera subsp vinifera cv. Nedelcsev magvatlana</t>
  </si>
  <si>
    <t>Vitis vinifera subsp vinifera cv. Nedeltchev VI-4</t>
  </si>
  <si>
    <t>Vitis vinifera subsp vinifera cv. Nedeltchev V-6</t>
  </si>
  <si>
    <t>Vitis vinifera subsp vinifera cv. Negra corriente</t>
  </si>
  <si>
    <t>Vitis vinifera subsp vinifera cv. Negra mole</t>
  </si>
  <si>
    <t>Vitis vinifera subsp vinifera cv. Negra rayada</t>
  </si>
  <si>
    <t>Vitis vinifera subsp vinifera cv. Negral</t>
  </si>
  <si>
    <t>Vitis vinifera subsp vinifera cv. Negrara trentina</t>
  </si>
  <si>
    <t>Vitis vinifera subsp vinifera cv. Negrara veronese</t>
  </si>
  <si>
    <t>Vitis vinifera subsp vinifera cv. Négret de Banhars</t>
  </si>
  <si>
    <t>Vitis vinifera subsp vinifera cv. Négret de la Canourgue</t>
  </si>
  <si>
    <t>Vitis vinifera subsp vinifera cv. Négret pointu</t>
  </si>
  <si>
    <t>Vitis vinifera subsp vinifera cv. Négrette</t>
  </si>
  <si>
    <t>Vitis vinifera subsp vinifera cv. Negretto</t>
  </si>
  <si>
    <t>Vitis vinifera subsp vinifera cv. Negro amaro</t>
  </si>
  <si>
    <t>Vitis vinifera subsp vinifera cv. Negro mouro</t>
  </si>
  <si>
    <t>Vitis vinifera subsp vinifera cv. Negronza</t>
  </si>
  <si>
    <t>Vitis vinifera subsp vinifera cv. Negru de Causani</t>
  </si>
  <si>
    <t>Vitis vinifera subsp vinifera cv. Negru mare</t>
  </si>
  <si>
    <t>Vitis vinifera subsp vinifera cv. Negru moale</t>
  </si>
  <si>
    <t>Vitis vinifera subsp vinifera cv. Negru virtos</t>
  </si>
  <si>
    <t>Vitis vinifera subsp vinifera cv. Nehelescol</t>
  </si>
  <si>
    <t>Vitis vinifera subsp vinifera cv. Nemorin</t>
  </si>
  <si>
    <t>Vitis vinifera subsp vinifera cv. Nerello cappucio</t>
  </si>
  <si>
    <t>Vitis vinifera subsp vinifera cv. Nerello mascalese</t>
  </si>
  <si>
    <t>Vitis vinifera subsp vinifera cv. Neretta cuneese</t>
  </si>
  <si>
    <t>Vitis vinifera subsp vinifera cv. Neretto di Bairo</t>
  </si>
  <si>
    <t>Vitis vinifera subsp vinifera cv. Neretto grosso monregalese</t>
  </si>
  <si>
    <t>Vitis vinifera subsp vinifera cv. Nerona</t>
  </si>
  <si>
    <t>Vitis vinifera subsp vinifera cv. Netter</t>
  </si>
  <si>
    <t>Vitis vinifera subsp vinifera cv. Neuburger</t>
  </si>
  <si>
    <t>Vitis vinifera subsp vinifera cv. Neuburger (Roumanie)</t>
  </si>
  <si>
    <t>Vitis vinifera subsp vinifera cv. Nieddera</t>
  </si>
  <si>
    <t>Vitis vinifera subsp vinifera cv. Nieddu mannu gris</t>
  </si>
  <si>
    <t>Vitis vinifera subsp vinifera cv. Nielluccio</t>
  </si>
  <si>
    <t>Vitis vinifera subsp vinifera cv. Niger = Pirovano 486</t>
  </si>
  <si>
    <t>Vitis vinifera subsp vinifera cv. Nimrang</t>
  </si>
  <si>
    <t>Vitis vinifera subsp vinifera cv. Nimrang rouge</t>
  </si>
  <si>
    <t>Vitis vinifera subsp vinifera cv. Nincusa</t>
  </si>
  <si>
    <t>Vitis vinifera subsp vinifera cv. Niou-Sin</t>
  </si>
  <si>
    <t>Vitis vinifera subsp vinifera cv. Nobling = 128-40 Fribourg</t>
  </si>
  <si>
    <t>Vitis vinifera subsp vinifera cv. Nocera</t>
  </si>
  <si>
    <t>Vitis vinifera subsp vinifera cv. Noé</t>
  </si>
  <si>
    <t>Vitis vinifera subsp vinifera cv. Nogier 58-1</t>
  </si>
  <si>
    <t>Vitis vinifera subsp vinifera cv. Noir Fleurien</t>
  </si>
  <si>
    <t>Vitis vinifera subsp vinifera cv. Noir Glady</t>
  </si>
  <si>
    <t>Vitis vinifera subsp vinifera cv. Noir hâtif de Marseille</t>
  </si>
  <si>
    <t>Vitis vinifera subsp vinifera cv. Nosiola</t>
  </si>
  <si>
    <t>Vitis vinifera subsp vinifera cv. Noual</t>
  </si>
  <si>
    <t>Vitis vinifera subsp vinifera cv. Noulisok</t>
  </si>
  <si>
    <t>Vitis vinifera subsp vinifera cv. Novraste</t>
  </si>
  <si>
    <t>Vitis vinifera subsp vinifera cv. Nuno gomes</t>
  </si>
  <si>
    <t>Vitis vinifera subsp vinifera cv. Nuragus</t>
  </si>
  <si>
    <t>Vitis vinifera subsp vinifera cv. Obak bieli</t>
  </si>
  <si>
    <t>Vitis vinifera subsp vinifera cv. Obeidi</t>
  </si>
  <si>
    <t>Vitis vinifera subsp vinifera cv. Odem</t>
  </si>
  <si>
    <t>Vitis vinifera subsp vinifera cv. Odesky tcherny</t>
  </si>
  <si>
    <t>Vitis vinifera subsp vinifera cv. Odjalechi</t>
  </si>
  <si>
    <t>Vitis vinifera subsp vinifera cv. Odjou batak</t>
  </si>
  <si>
    <t>Vitis vinifera subsp vinifera cv. Odola</t>
  </si>
  <si>
    <t>Vitis vinifera subsp vinifera cv. Oeillade Bouschet n°1</t>
  </si>
  <si>
    <t>Vitis vinifera subsp vinifera cv. Oeillade bouschet n°4</t>
  </si>
  <si>
    <t>Vitis vinifera subsp vinifera cv. Oeillade noire</t>
  </si>
  <si>
    <t>Vitis vinifera subsp vinifera cv. Ofner</t>
  </si>
  <si>
    <t>Vitis vinifera subsp vinifera cv. Ohanès</t>
  </si>
  <si>
    <t>Vitis vinifera subsp vinifera cv. Okatac</t>
  </si>
  <si>
    <t>Vitis vinifera subsp vinifera cv. Oktiabrskii</t>
  </si>
  <si>
    <t>Vitis vinifera subsp vinifera cv. Öküz gözü</t>
  </si>
  <si>
    <t>Vitis vinifera subsp vinifera cv. Öküz gözü par erreur</t>
  </si>
  <si>
    <t>Vitis vinifera subsp vinifera cv. Olasz kadarka</t>
  </si>
  <si>
    <t>Vitis vinifera subsp vinifera cv. Olber weiss</t>
  </si>
  <si>
    <t>Vitis vinifera subsp vinifera cv. Olho de cocco</t>
  </si>
  <si>
    <t>Vitis vinifera subsp vinifera cv. Olho de Pargo</t>
  </si>
  <si>
    <t>Vitis vinifera subsp vinifera cv. Olivette Barthelet</t>
  </si>
  <si>
    <t>Vitis vinifera subsp vinifera cv. Olivette blanche</t>
  </si>
  <si>
    <t>Vitis vinifera subsp vinifera cv. Olivette noire</t>
  </si>
  <si>
    <t>Vitis vinifera subsp vinifera cv. Olivette rose</t>
  </si>
  <si>
    <t>Vitis vinifera subsp vinifera cv. Om Reu</t>
  </si>
  <si>
    <t>Vitis vinifera subsp vinifera cv. Onchette</t>
  </si>
  <si>
    <t>Vitis vinifera subsp vinifera cv. Ondenc</t>
  </si>
  <si>
    <t>Vitis vinifera subsp vinifera cv. Onusta</t>
  </si>
  <si>
    <t>Vitis vinifera subsp vinifera cv. Opale = Pirovano 213</t>
  </si>
  <si>
    <t>Vitis vinifera subsp vinifera cv. Oporto feher</t>
  </si>
  <si>
    <t>Vitis vinifera subsp vinifera cv. Oporto szürke</t>
  </si>
  <si>
    <t>Vitis vinifera subsp vinifera cv. Opsimos Edessis</t>
  </si>
  <si>
    <t>Vitis vinifera subsp vinifera cv. Optima = Geilweilerhof 33-13-113</t>
  </si>
  <si>
    <t>Vitis vinifera subsp vinifera cv. Ora = INRA 2403-3</t>
  </si>
  <si>
    <t>Vitis vinifera subsp vinifera cv. Orangetraube</t>
  </si>
  <si>
    <t>Vitis vinifera subsp vinifera cv. Orbois = Arbois</t>
  </si>
  <si>
    <t>Vitis vinifera subsp vinifera cv. Org tokos</t>
  </si>
  <si>
    <t>Vitis vinifera subsp vinifera cv. Orléans jaune</t>
  </si>
  <si>
    <t>Vitis vinifera subsp vinifera cv. Orlovi nogti</t>
  </si>
  <si>
    <t>Vitis vinifera subsp vinifera cv. Orlovi nokti cerni</t>
  </si>
  <si>
    <t>Vitis vinifera subsp vinifera cv. Ornove</t>
  </si>
  <si>
    <t>Vitis vinifera subsp vinifera cv. Ornove 2</t>
  </si>
  <si>
    <t>Vitis vinifera subsp vinifera cv. Örrökké piros</t>
  </si>
  <si>
    <t>Vitis vinifera subsp vinifera cv. Ortega = Würzburg B 48-21-4</t>
  </si>
  <si>
    <t>Vitis vinifera subsp vinifera cv. Ortrugo</t>
  </si>
  <si>
    <t>Vitis vinifera subsp vinifera cv. Otcha bala</t>
  </si>
  <si>
    <t>Vitis vinifera subsp vinifera cv. Ötfürtü</t>
  </si>
  <si>
    <t>Vitis vinifera subsp vinifera cv. Oul b'Ouzgueur</t>
  </si>
  <si>
    <t>Vitis vinifera subsp vinifera cv. Ouliven</t>
  </si>
  <si>
    <t>Vitis vinifera subsp vinifera cv. Ouroum üzümü</t>
  </si>
  <si>
    <t>Vitis vinifera subsp vinifera cv. Oussakheloouri</t>
  </si>
  <si>
    <t>Vitis vinifera subsp vinifera cv. Outanant</t>
  </si>
  <si>
    <t>Vitis vinifera subsp vinifera cv. Ovis</t>
  </si>
  <si>
    <t>Vitis vinifera subsp vinifera cv. Ozaan Daii</t>
  </si>
  <si>
    <t>Vitis vinifera subsp vinifera cv. Padeiro de Basto</t>
  </si>
  <si>
    <t>Vitis vinifera subsp vinifera cv. Pagadebiti</t>
  </si>
  <si>
    <t>Vitis vinifera subsp vinifera cv. Pagadebito</t>
  </si>
  <si>
    <t>Vitis vinifera subsp vinifera cv. Païs</t>
  </si>
  <si>
    <t>Vitis vinifera subsp vinifera cv. Palarusa</t>
  </si>
  <si>
    <t>Vitis vinifera subsp vinifera cv. Palestina Oberlin I</t>
  </si>
  <si>
    <t>Vitis vinifera subsp vinifera cv. Palestina Oberlin II</t>
  </si>
  <si>
    <t>Vitis vinifera subsp vinifera cv. Palestina Oberlin III</t>
  </si>
  <si>
    <t>Vitis vinifera subsp vinifera cv. Pallagrello nero</t>
  </si>
  <si>
    <t>Vitis vinifera subsp vinifera cv. Pamid</t>
  </si>
  <si>
    <t>Vitis vinifera subsp vinifera cv. Pamid bial</t>
  </si>
  <si>
    <t>Vitis vinifera subsp vinifera cv. Pamid siv</t>
  </si>
  <si>
    <t>Vitis vinifera subsp vinifera cv. Pamid tcher</t>
  </si>
  <si>
    <t>Vitis vinifera subsp vinifera cv. Pamidi</t>
  </si>
  <si>
    <t>Vitis vinifera subsp vinifera cv. Pannonia kincse</t>
  </si>
  <si>
    <t>Vitis vinifera subsp vinifera cv. Panse précoce</t>
  </si>
  <si>
    <t>Vitis vinifera subsp vinifera cv. Pansera</t>
  </si>
  <si>
    <t>Vitis vinifera subsp vinifera cv. Papadiko</t>
  </si>
  <si>
    <t>Vitis vinifera subsp vinifera cv. Papasca neagra</t>
  </si>
  <si>
    <t>Vitis vinifera subsp vinifera cv. Papaskarasi</t>
  </si>
  <si>
    <t>Vitis vinifera subsp vinifera cv. Paradisa</t>
  </si>
  <si>
    <t>Vitis vinifera subsp vinifera cv. Pardillo</t>
  </si>
  <si>
    <t>Vitis vinifera subsp vinifera cv. Pardina = Pirovano 130</t>
  </si>
  <si>
    <t>Vitis vinifera subsp vinifera cv. Pardotte</t>
  </si>
  <si>
    <t>Vitis vinifera subsp vinifera cv. Parduca</t>
  </si>
  <si>
    <t>Vitis vinifera subsp vinifera cv. Parellada</t>
  </si>
  <si>
    <t>Vitis vinifera subsp vinifera cv. Pariano</t>
  </si>
  <si>
    <t>Vitis vinifera subsp vinifera cv. Parkent</t>
  </si>
  <si>
    <t>Vitis vinifera subsp vinifera cv. Pascal</t>
  </si>
  <si>
    <t>Vitis vinifera subsp vinifera cv. Pascale di Cagliari</t>
  </si>
  <si>
    <t>Vitis vinifera subsp vinifera cv. Pasiga</t>
  </si>
  <si>
    <t>Vitis vinifera subsp vinifera cv. Patagonia</t>
  </si>
  <si>
    <t>Vitis vinifera subsp vinifera cv. Pattaresco</t>
  </si>
  <si>
    <t>Vitis vinifera subsp vinifera cv. Patte d'oie</t>
  </si>
  <si>
    <t>Vitis vinifera subsp vinifera cv. Pau Ferro</t>
  </si>
  <si>
    <t>Vitis vinifera subsp vinifera cv. Paulsen 157</t>
  </si>
  <si>
    <t>Vitis vinifera subsp vinifera cv. Pavana</t>
  </si>
  <si>
    <t>Vitis vinifera subsp vinifera cv. Pé de Perdiz</t>
  </si>
  <si>
    <t>Vitis vinifera subsp vinifera cv. Pé de Perdrix</t>
  </si>
  <si>
    <t>Vitis vinifera subsp vinifera cv. Peck</t>
  </si>
  <si>
    <t>Vitis vinifera subsp vinifera cv. Pecorino</t>
  </si>
  <si>
    <t>Vitis vinifera subsp vinifera cv. Pecsi dinka</t>
  </si>
  <si>
    <t>Vitis vinifera subsp vinifera cv. Pecsi Szagos</t>
  </si>
  <si>
    <t>Vitis vinifera subsp vinifera cv. Pedevenda</t>
  </si>
  <si>
    <t>Vitis vinifera subsp vinifera cv. Pedro Gimenez faux</t>
  </si>
  <si>
    <t>Vitis vinifera subsp vinifera cv. Pedro Jimenez</t>
  </si>
  <si>
    <t>Vitis vinifera subsp vinifera cv. Pedro Luis</t>
  </si>
  <si>
    <t>Vitis vinifera subsp vinifera cv. Pedrol</t>
  </si>
  <si>
    <t>Vitis vinifera subsp vinifera cv. Peikani</t>
  </si>
  <si>
    <t>Vitis vinifera subsp vinifera cv. Peince</t>
  </si>
  <si>
    <t>Vitis vinifera subsp vinifera cv. Peloursin</t>
  </si>
  <si>
    <t>Vitis vinifera subsp vinifera cv. Peloursin gris</t>
  </si>
  <si>
    <t>Vitis vinifera subsp vinifera cv. Penouille</t>
  </si>
  <si>
    <t>Vitis vinifera subsp vinifera cv. Perdea</t>
  </si>
  <si>
    <t>Vitis vinifera subsp vinifera cv. Perel</t>
  </si>
  <si>
    <t>Vitis vinifera subsp vinifera cv. Pergolese</t>
  </si>
  <si>
    <t>Vitis vinifera subsp vinifera cv. Pergrandis = Pirovano 388</t>
  </si>
  <si>
    <t>Vitis vinifera subsp vinifera cv. Periquita</t>
  </si>
  <si>
    <t>Vitis vinifera subsp vinifera cv. Perla nera = Pirovano 218</t>
  </si>
  <si>
    <t>Vitis vinifera subsp vinifera cv. Perlaut = INRA 669-45</t>
  </si>
  <si>
    <t>Vitis vinifera subsp vinifera cv. Perle = Scheu 3951</t>
  </si>
  <si>
    <t>Vitis vinifera subsp vinifera cv. Perle de Csaba</t>
  </si>
  <si>
    <t>Vitis vinifera subsp vinifera cv. Perle de Csaba rouge</t>
  </si>
  <si>
    <t>Vitis vinifera subsp vinifera cv. Perle impériale blanche</t>
  </si>
  <si>
    <t>Vitis vinifera subsp vinifera cv. Perlette</t>
  </si>
  <si>
    <t>Vitis vinifera subsp vinifera cv. Perlon</t>
  </si>
  <si>
    <t>Vitis vinifera subsp vinifera cv. Perlona = Pirovano 54</t>
  </si>
  <si>
    <t>Vitis vinifera subsp vinifera cv. Perola da Gestosa</t>
  </si>
  <si>
    <t>Vitis vinifera subsp vinifera cv. Perricone</t>
  </si>
  <si>
    <t>Vitis vinifera subsp vinifera cv. Perrier noir</t>
  </si>
  <si>
    <t>Vitis vinifera subsp vinifera cv. Perrum</t>
  </si>
  <si>
    <t>Vitis vinifera subsp vinifera cv. Perruno</t>
  </si>
  <si>
    <t>Vitis vinifera subsp vinifera cv. Persagne grise</t>
  </si>
  <si>
    <t>Vitis vinifera subsp vinifera cv. Persan</t>
  </si>
  <si>
    <t>Vitis vinifera subsp vinifera cv. Pervenetz praskoveisky</t>
  </si>
  <si>
    <t>Vitis vinifera subsp vinifera cv. Petinos</t>
  </si>
  <si>
    <t>Vitis vinifera subsp vinifera cv. Petit Blanchou</t>
  </si>
  <si>
    <t>Vitis vinifera subsp vinifera cv. Petit Bouschet</t>
  </si>
  <si>
    <t>Vitis vinifera subsp vinifera cv. Petit Bouschet à feuilles de Malvoisie</t>
  </si>
  <si>
    <t>Vitis vinifera subsp vinifera cv. Petit Bouschet à feuilles lisses x Aramon n°2</t>
  </si>
  <si>
    <t>Vitis vinifera subsp vinifera cv. Petit Bouschet à feuilles lisses x Aramon n°3</t>
  </si>
  <si>
    <t>Vitis vinifera subsp vinifera cv. Petit Bouschet à feuilles lisses x Aramon n°5</t>
  </si>
  <si>
    <t>Vitis vinifera subsp vinifera cv. Petit Bouschet extra fertile</t>
  </si>
  <si>
    <t>Vitis vinifera subsp vinifera cv. Petit Bouschet x Aramon n°1</t>
  </si>
  <si>
    <t>Vitis vinifera subsp vinifera cv. Petit Bouschet x Aramon n°2</t>
  </si>
  <si>
    <t>Vitis vinifera subsp vinifera cv. Petit Bouschet x Aramon n°4</t>
  </si>
  <si>
    <t>Vitis vinifera subsp vinifera cv. Petit Bouschet x Aramon n°6</t>
  </si>
  <si>
    <t>Vitis vinifera subsp vinifera cv. Petit Bouschet x Aramon n°7</t>
  </si>
  <si>
    <t>Vitis vinifera subsp vinifera cv. Petit Bouschet x Aramon n°8</t>
  </si>
  <si>
    <t>Vitis vinifera subsp vinifera cv. Petit Bouschet x Aramon n°9</t>
  </si>
  <si>
    <t>Vitis vinifera subsp vinifera cv. Petit Bouschet x Morrastel fleuri n°1</t>
  </si>
  <si>
    <t>Vitis vinifera subsp vinifera cv. Petit Bouschet x Morrastel n°3</t>
  </si>
  <si>
    <t>Vitis vinifera subsp vinifera cv. Petit Bouschet x Morrastel n°7</t>
  </si>
  <si>
    <t>Vitis vinifera subsp vinifera cv. Petit Bouschet x Piquepoul n°2</t>
  </si>
  <si>
    <t>Vitis vinifera subsp vinifera cv. Petit Bouschet x Terret gris</t>
  </si>
  <si>
    <t>Vitis vinifera subsp vinifera cv. Petit Courbu</t>
  </si>
  <si>
    <t>Vitis vinifera subsp vinifera cv. Petit Manseng</t>
  </si>
  <si>
    <t>Vitis vinifera subsp vinifera cv. Petit Meslier</t>
  </si>
  <si>
    <t>Vitis vinifera subsp vinifera cv. Petit Meslier rose</t>
  </si>
  <si>
    <t>Vitis vinifera subsp vinifera cv. Petit Péjac</t>
  </si>
  <si>
    <t>Vitis vinifera subsp vinifera cv. Petit rouge</t>
  </si>
  <si>
    <t>Vitis vinifera subsp vinifera cv. Petit Verdot</t>
  </si>
  <si>
    <t>Vitis vinifera subsp vinifera cv. Pétoin</t>
  </si>
  <si>
    <t>Vitis vinifera subsp vinifera cv. Peurion</t>
  </si>
  <si>
    <t>Vitis vinifera subsp vinifera cv. Peverella</t>
  </si>
  <si>
    <t>Vitis vinifera subsp vinifera cv. Peygamber üzümü</t>
  </si>
  <si>
    <t>Vitis vinifera subsp vinifera cv. Phakhri</t>
  </si>
  <si>
    <t>Vitis vinifera subsp vinifera cv. Phidia</t>
  </si>
  <si>
    <t>Vitis vinifera subsp vinifera cv. Phileri attikis</t>
  </si>
  <si>
    <t>Vitis vinifera subsp vinifera cv. Phileri rose</t>
  </si>
  <si>
    <t>Vitis vinifera subsp vinifera cv. Phileri rose musqué</t>
  </si>
  <si>
    <t>Vitis vinifera subsp vinifera cv. Phokiano</t>
  </si>
  <si>
    <t>Vitis vinifera subsp vinifera cv. Phraoula rose</t>
  </si>
  <si>
    <t>Vitis vinifera subsp vinifera cv. Picadillo blanco</t>
  </si>
  <si>
    <t>Vitis vinifera subsp vinifera cv. Picardan = Araignan blanc</t>
  </si>
  <si>
    <t>Vitis vinifera subsp vinifera cv. Piccola nera</t>
  </si>
  <si>
    <t>Vitis vinifera subsp vinifera cv. Piccolit</t>
  </si>
  <si>
    <t>Vitis vinifera subsp vinifera cv. Picolin</t>
  </si>
  <si>
    <t>Vitis vinifera subsp vinifera cv. Piedirosso</t>
  </si>
  <si>
    <t>Vitis vinifera subsp vinifera cv. Pigeonnet</t>
  </si>
  <si>
    <t>Vitis vinifera subsp vinifera cv. Pignol</t>
  </si>
  <si>
    <t>Vitis vinifera subsp vinifera cv. Pignola valtellinese</t>
  </si>
  <si>
    <t>Vitis vinifera subsp vinifera cv. Piment</t>
  </si>
  <si>
    <t>Vitis vinifera subsp vinifera cv. Pin el pou Tao</t>
  </si>
  <si>
    <t>Vitis vinifera subsp vinifera cv. Pineau d'Aunis</t>
  </si>
  <si>
    <t>Vitis vinifera subsp vinifera cv. Pineau d'Aunis teinturier</t>
  </si>
  <si>
    <t>Vitis vinifera subsp vinifera cv. Pinella bianca</t>
  </si>
  <si>
    <t>Vitis vinifera subsp vinifera cv. Pinot à fleurs doubles</t>
  </si>
  <si>
    <t>Vitis vinifera subsp vinifera cv. Pinot blanc</t>
  </si>
  <si>
    <t>Vitis vinifera subsp vinifera cv. Pinot gris</t>
  </si>
  <si>
    <t>Vitis vinifera subsp vinifera cv. Pinot lacinifolié</t>
  </si>
  <si>
    <t>Vitis vinifera subsp vinifera cv. Pinot noir</t>
  </si>
  <si>
    <t>Vitis vinifera subsp vinifera cv. Pinot précoce noir</t>
  </si>
  <si>
    <t>Vitis vinifera subsp vinifera cv. Pinot rouge</t>
  </si>
  <si>
    <t>Vitis vinifera subsp vinifera cv. Pinot teinturier</t>
  </si>
  <si>
    <t>Vitis vinifera subsp vinifera cv. Pinot tête de nègre</t>
  </si>
  <si>
    <t>Vitis vinifera subsp vinifera cv. Pinotage</t>
  </si>
  <si>
    <t>Vitis vinifera subsp vinifera cv. Piquepoul blanc</t>
  </si>
  <si>
    <t>Vitis vinifera subsp vinifera cv. Piquepoul Bouschet</t>
  </si>
  <si>
    <t>Vitis vinifera subsp vinifera cv. Piquepoul gris</t>
  </si>
  <si>
    <t>Vitis vinifera subsp vinifera cv. Piquepoul noir</t>
  </si>
  <si>
    <t>Vitis vinifera subsp vinifera cv. Pirciu</t>
  </si>
  <si>
    <t>Vitis vinifera subsp vinifera cv. Pirovano 1</t>
  </si>
  <si>
    <t>Vitis vinifera subsp vinifera cv. Pirovano 11</t>
  </si>
  <si>
    <t>Vitis vinifera subsp vinifera cv. Pirovano 111</t>
  </si>
  <si>
    <t>Vitis vinifera subsp vinifera cv. Pirovano 112</t>
  </si>
  <si>
    <t>Vitis vinifera subsp vinifera cv. Pirovano 113</t>
  </si>
  <si>
    <t>Vitis vinifera subsp vinifera cv. Pirovano 115</t>
  </si>
  <si>
    <t>Vitis vinifera subsp vinifera cv. Pirovano 123</t>
  </si>
  <si>
    <t>Vitis vinifera subsp vinifera cv. Pirovano 14</t>
  </si>
  <si>
    <t>Vitis vinifera subsp vinifera cv. Pirovano 15</t>
  </si>
  <si>
    <t>Vitis vinifera subsp vinifera cv. Pirovano 153</t>
  </si>
  <si>
    <t>Vitis vinifera subsp vinifera cv. Pirovano 154</t>
  </si>
  <si>
    <t>Vitis vinifera subsp vinifera cv. Pirovano 155</t>
  </si>
  <si>
    <t>Vitis vinifera subsp vinifera cv. Pirovano 156</t>
  </si>
  <si>
    <t>Vitis vinifera subsp vinifera cv. Pirovano 157</t>
  </si>
  <si>
    <t>Vitis vinifera subsp vinifera cv. Pirovano 159</t>
  </si>
  <si>
    <t>Vitis vinifera subsp vinifera cv. Pirovano 17</t>
  </si>
  <si>
    <t>Vitis vinifera subsp vinifera cv. Pirovano 174</t>
  </si>
  <si>
    <t>Vitis vinifera subsp vinifera cv. Pirovano 175</t>
  </si>
  <si>
    <t>Vitis vinifera subsp vinifera cv. Pirovano 182</t>
  </si>
  <si>
    <t>Vitis vinifera subsp vinifera cv. Pirovano 186</t>
  </si>
  <si>
    <t>Vitis vinifera subsp vinifera cv. Pirovano 186 a</t>
  </si>
  <si>
    <t>Vitis vinifera subsp vinifera cv. Pirovano 188</t>
  </si>
  <si>
    <t>Vitis vinifera subsp vinifera cv. Pirovano 19</t>
  </si>
  <si>
    <t>Vitis vinifera subsp vinifera cv. Pirovano 190</t>
  </si>
  <si>
    <t>Vitis vinifera subsp vinifera cv. Pirovano 21</t>
  </si>
  <si>
    <t>Vitis vinifera subsp vinifera cv. Pirovano 217</t>
  </si>
  <si>
    <t>Vitis vinifera subsp vinifera cv. Pirovano 219</t>
  </si>
  <si>
    <t>Vitis vinifera subsp vinifera cv. Pirovano 220 b</t>
  </si>
  <si>
    <t>Vitis vinifera subsp vinifera cv. Pirovano 225</t>
  </si>
  <si>
    <t>Vitis vinifera subsp vinifera cv. Pirovano 235</t>
  </si>
  <si>
    <t>Vitis vinifera subsp vinifera cv. Pirovano 24</t>
  </si>
  <si>
    <t>Vitis vinifera subsp vinifera cv. Pirovano 25</t>
  </si>
  <si>
    <t>Vitis vinifera subsp vinifera cv. Pirovano 28</t>
  </si>
  <si>
    <t>Vitis vinifera subsp vinifera cv. Pirovano 3</t>
  </si>
  <si>
    <t>Vitis vinifera subsp vinifera cv. Pirovano 306</t>
  </si>
  <si>
    <t>Vitis vinifera subsp vinifera cv. Pirovano 31</t>
  </si>
  <si>
    <t>Vitis vinifera subsp vinifera cv. Pirovano 312</t>
  </si>
  <si>
    <t>Vitis vinifera subsp vinifera cv. Pirovano 313 a</t>
  </si>
  <si>
    <t>Vitis vinifera subsp vinifera cv. Pirovano 315</t>
  </si>
  <si>
    <t>Vitis vinifera subsp vinifera cv. Pirovano 32</t>
  </si>
  <si>
    <t>Vitis vinifera subsp vinifera cv. Pirovano 321</t>
  </si>
  <si>
    <t>Vitis vinifera subsp vinifera cv. Pirovano 322</t>
  </si>
  <si>
    <t>Vitis vinifera subsp vinifera cv. Pirovano 338</t>
  </si>
  <si>
    <t>Vitis vinifera subsp vinifera cv. Pirovano 344</t>
  </si>
  <si>
    <t>Vitis vinifera subsp vinifera cv. Pirovano 346</t>
  </si>
  <si>
    <t>Vitis vinifera subsp vinifera cv. Pirovano 349</t>
  </si>
  <si>
    <t>Vitis vinifera subsp vinifera cv. Pirovano 352 faux</t>
  </si>
  <si>
    <t>Vitis vinifera subsp vinifera cv. Pirovano 359</t>
  </si>
  <si>
    <t>Vitis vinifera subsp vinifera cv. Pirovano 36</t>
  </si>
  <si>
    <t>Vitis vinifera subsp vinifera cv. Pirovano 378</t>
  </si>
  <si>
    <t>Vitis vinifera subsp vinifera cv. Pirovano 398</t>
  </si>
  <si>
    <t>Vitis vinifera subsp vinifera cv. Pirovano 399</t>
  </si>
  <si>
    <t>Vitis vinifera subsp vinifera cv. Pirovano 4</t>
  </si>
  <si>
    <t>Vitis vinifera subsp vinifera cv. Pirovano 428</t>
  </si>
  <si>
    <t>Vitis vinifera subsp vinifera cv. Pirovano 436</t>
  </si>
  <si>
    <t>Vitis vinifera subsp vinifera cv. Pirovano 46</t>
  </si>
  <si>
    <t>Vitis vinifera subsp vinifera cv. Pirovano 468</t>
  </si>
  <si>
    <t>Vitis vinifera subsp vinifera cv. Pirovano 471</t>
  </si>
  <si>
    <t>Vitis vinifera subsp vinifera cv. Pirovano 477 a</t>
  </si>
  <si>
    <t>Vitis vinifera subsp vinifera cv. Pirovano 49</t>
  </si>
  <si>
    <t>Vitis vinifera subsp vinifera cv. Pirovano 5</t>
  </si>
  <si>
    <t>Vitis vinifera subsp vinifera cv. Pirovano 50</t>
  </si>
  <si>
    <t>Vitis vinifera subsp vinifera cv. Pirovano 51</t>
  </si>
  <si>
    <t>Vitis vinifera subsp vinifera cv. Pirovano 53</t>
  </si>
  <si>
    <t>Vitis vinifera subsp vinifera cv. Pirovano 530</t>
  </si>
  <si>
    <t>Vitis vinifera subsp vinifera cv. Pirovano 531</t>
  </si>
  <si>
    <t>Vitis vinifera subsp vinifera cv. Pirovano 536</t>
  </si>
  <si>
    <t>Vitis vinifera subsp vinifera cv. Pirovano 54 A</t>
  </si>
  <si>
    <t>Vitis vinifera subsp vinifera cv. Pirovano 540 A</t>
  </si>
  <si>
    <t>Vitis vinifera subsp vinifera cv. Pirovano 544</t>
  </si>
  <si>
    <t>Vitis vinifera subsp vinifera cv. Pirovano 55 faux</t>
  </si>
  <si>
    <t>Vitis vinifera subsp vinifera cv. Pirovano 56</t>
  </si>
  <si>
    <t>Vitis vinifera subsp vinifera cv. Pirovano 57</t>
  </si>
  <si>
    <t>Vitis vinifera subsp vinifera cv. Pirovano 575</t>
  </si>
  <si>
    <t>Vitis vinifera subsp vinifera cv. Pirovano 61</t>
  </si>
  <si>
    <t>Vitis vinifera subsp vinifera cv. Pirovano 62</t>
  </si>
  <si>
    <t>Vitis vinifera subsp vinifera cv. Pirovano 620</t>
  </si>
  <si>
    <t>Vitis vinifera subsp vinifera cv. Pirovano 63</t>
  </si>
  <si>
    <t>Vitis vinifera subsp vinifera cv. Pirovano 64</t>
  </si>
  <si>
    <t>Vitis vinifera subsp vinifera cv. Pirovano 66</t>
  </si>
  <si>
    <t>Vitis vinifera subsp vinifera cv. Pirovano 671</t>
  </si>
  <si>
    <t>Vitis vinifera subsp vinifera cv. Pirovano 69</t>
  </si>
  <si>
    <t>Vitis vinifera subsp vinifera cv. Pirovano 74</t>
  </si>
  <si>
    <t>Vitis vinifera subsp vinifera cv. Pirovano 76</t>
  </si>
  <si>
    <t>Vitis vinifera subsp vinifera cv. Pirovano 79</t>
  </si>
  <si>
    <t>Vitis vinifera subsp vinifera cv. Pirovano 80</t>
  </si>
  <si>
    <t>Vitis vinifera subsp vinifera cv. Pirovano 84</t>
  </si>
  <si>
    <t>Vitis vinifera subsp vinifera cv. Pirovano 88</t>
  </si>
  <si>
    <t>Vitis vinifera subsp vinifera cv. Pirovano 91</t>
  </si>
  <si>
    <t>Vitis vinifera subsp vinifera cv. Pirovano 92</t>
  </si>
  <si>
    <t>Vitis vinifera subsp vinifera cv. Pirovano 93</t>
  </si>
  <si>
    <t>Vitis vinifera subsp vinifera cv. Pirovano 94</t>
  </si>
  <si>
    <t>Vitis vinifera subsp vinifera cv. Pirovano 95</t>
  </si>
  <si>
    <t>Vitis vinifera subsp vinifera cv. Pirovano 96</t>
  </si>
  <si>
    <t>Vitis vinifera subsp vinifera cv. Pirovano 97</t>
  </si>
  <si>
    <t>Vitis vinifera subsp vinifera cv. Pirovano 98</t>
  </si>
  <si>
    <t>Vitis vinifera subsp vinifera cv. Pirovano 99</t>
  </si>
  <si>
    <t>Vitis vinifera subsp vinifera cv. Pizzutello nero</t>
  </si>
  <si>
    <t>Vitis vinifera subsp vinifera cv. Plant d'Aoste</t>
  </si>
  <si>
    <t>Vitis vinifera subsp vinifera cv. Plant de Brunel</t>
  </si>
  <si>
    <t>Vitis vinifera subsp vinifera cv. Plant de Couston</t>
  </si>
  <si>
    <t>Vitis vinifera subsp vinifera cv. Plant de Flassans</t>
  </si>
  <si>
    <t>Vitis vinifera subsp vinifera cv. Plant droit</t>
  </si>
  <si>
    <t>Vitis vinifera subsp vinifera cv. Plant Vert</t>
  </si>
  <si>
    <t>Vitis vinifera subsp vinifera cv. Planta mula</t>
  </si>
  <si>
    <t>Vitis vinifera subsp vinifera cv. Planta nova</t>
  </si>
  <si>
    <t>Vitis vinifera subsp vinifera cv. Plassa</t>
  </si>
  <si>
    <t>Vitis vinifera subsp vinifera cv. Platyracho</t>
  </si>
  <si>
    <t>Vitis vinifera subsp vinifera cv. Plavac mali (Jelaska)</t>
  </si>
  <si>
    <t>Vitis vinifera subsp vinifera cv. Plavaï</t>
  </si>
  <si>
    <t>Vitis vinifera subsp vinifera cv. Plavina crna</t>
  </si>
  <si>
    <t>Vitis vinifera subsp vinifera cv. Pletchistik</t>
  </si>
  <si>
    <t>Vitis vinifera subsp vinifera cv. Plyto</t>
  </si>
  <si>
    <t>Vitis vinifera subsp vinifera cv. Pobeda</t>
  </si>
  <si>
    <t>Vitis vinifera subsp vinifera cv. Pointu</t>
  </si>
  <si>
    <t>Vitis vinifera subsp vinifera cv. Pollera nera</t>
  </si>
  <si>
    <t>Vitis vinifera subsp vinifera cv. Pollita</t>
  </si>
  <si>
    <t>Vitis vinifera subsp vinifera cv. Portan = INRA 1508-25</t>
  </si>
  <si>
    <t>Vitis vinifera subsp vinifera cv. Portugais blanc</t>
  </si>
  <si>
    <t>Vitis vinifera subsp vinifera cv. Portugais bleu</t>
  </si>
  <si>
    <t>Vitis vinifera subsp vinifera cv. Posip</t>
  </si>
  <si>
    <t>Vitis vinifera subsp vinifera cv. Potamissio</t>
  </si>
  <si>
    <t>Vitis vinifera subsp vinifera cv. Pougayen</t>
  </si>
  <si>
    <t>Vitis vinifera subsp vinifera cv. Pougnet</t>
  </si>
  <si>
    <t>Vitis vinifera subsp vinifera cv. Poulsard</t>
  </si>
  <si>
    <t>Vitis vinifera subsp vinifera cv. Poulsard blanc</t>
  </si>
  <si>
    <t>Vitis vinifera subsp vinifera cv. Poulsard rouge</t>
  </si>
  <si>
    <t>Vitis vinifera subsp vinifera cv. Pozsonyi feher</t>
  </si>
  <si>
    <t>Vitis vinifera subsp vinifera cv. Prc</t>
  </si>
  <si>
    <t>Vitis vinifera subsp vinifera cv. Précoce Bousquet</t>
  </si>
  <si>
    <t>Vitis vinifera subsp vinifera cv. Précoce de Malingre</t>
  </si>
  <si>
    <t>Vitis vinifera subsp vinifera cv. Précoce di Roma = Pirovano 707</t>
  </si>
  <si>
    <t>Vitis vinifera subsp vinifera cv. Premier</t>
  </si>
  <si>
    <t>Vitis vinifera subsp vinifera cv. Président Carnot</t>
  </si>
  <si>
    <t>Vitis vinifera subsp vinifera cv. Preto Martinho</t>
  </si>
  <si>
    <t>Vitis vinifera subsp vinifera cv. Preto salmoura</t>
  </si>
  <si>
    <t>Vitis vinifera subsp vinifera cv. Prima =  INRA 2719-122</t>
  </si>
  <si>
    <t>Vitis vinifera subsp vinifera cv. Primiera = Pirovano 309</t>
  </si>
  <si>
    <t>Vitis vinifera subsp vinifera cv. Primitivo</t>
  </si>
  <si>
    <t>Vitis vinifera subsp vinifera cv. Prin blanc</t>
  </si>
  <si>
    <t>Vitis vinifera subsp vinifera cv. Prince of Wales</t>
  </si>
  <si>
    <t>Vitis vinifera subsp vinifera cv. Princeps = Pirovano 357</t>
  </si>
  <si>
    <t>Vitis vinifera subsp vinifera cv. Principessa di Piemonte = Pirovano 108</t>
  </si>
  <si>
    <t>Vitis vinifera subsp vinifera cv. Prista</t>
  </si>
  <si>
    <t>Vitis vinifera subsp vinifera cv. Prodigiosa = Pirovano 59</t>
  </si>
  <si>
    <t>Vitis vinifera subsp vinifera cv. Prokupac</t>
  </si>
  <si>
    <t>Vitis vinifera subsp vinifera cv. Prosecco</t>
  </si>
  <si>
    <t>Vitis vinifera subsp vinifera cv. Prosecco lungo</t>
  </si>
  <si>
    <t>Vitis vinifera subsp vinifera cv. Prosperi 102</t>
  </si>
  <si>
    <t>Vitis vinifera subsp vinifera cv. Prosperi 167</t>
  </si>
  <si>
    <t>Vitis vinifera subsp vinifera cv. Prosperi 201</t>
  </si>
  <si>
    <t>Vitis vinifera subsp vinifera cv. Prosperi 204</t>
  </si>
  <si>
    <t>Vitis vinifera subsp vinifera cv. Prosperi 262</t>
  </si>
  <si>
    <t>Vitis vinifera subsp vinifera cv. Prosperi 268</t>
  </si>
  <si>
    <t>Vitis vinifera subsp vinifera cv. Prosperi 285</t>
  </si>
  <si>
    <t>Vitis vinifera subsp vinifera cv. Prosperi 37</t>
  </si>
  <si>
    <t>Vitis vinifera subsp vinifera cv. Prosperi 371</t>
  </si>
  <si>
    <t>Vitis vinifera subsp vinifera cv. Prosperi 8</t>
  </si>
  <si>
    <t>Vitis vinifera subsp vinifera cv. Prosperi 97</t>
  </si>
  <si>
    <t>Vitis vinifera subsp vinifera cv. Proueral</t>
  </si>
  <si>
    <t>Vitis vinifera subsp vinifera cv. Prueras</t>
  </si>
  <si>
    <t>Vitis vinifera subsp vinifera cv. Prune de Cazouls</t>
  </si>
  <si>
    <t>Vitis vinifera subsp vinifera cv. Prunelard</t>
  </si>
  <si>
    <t>Vitis vinifera subsp vinifera cv. Prunella moscato = Pirovano 47</t>
  </si>
  <si>
    <t>Vitis vinifera subsp vinifera cv. Prunesta nera</t>
  </si>
  <si>
    <t>Vitis vinifera subsp vinifera cv. Prunesta rosso violacea</t>
  </si>
  <si>
    <t>Vitis vinifera subsp vinifera cv. Psarotherico</t>
  </si>
  <si>
    <t>Vitis vinifera subsp vinifera cv. Pseudosyrico</t>
  </si>
  <si>
    <t>Vitis vinifera subsp vinifera cv. Puljïzanac</t>
  </si>
  <si>
    <t>Vitis vinifera subsp vinifera cv. Purcsin</t>
  </si>
  <si>
    <t>Vitis vinifera subsp vinifera cv. Putzscheere</t>
  </si>
  <si>
    <t>Vitis vinifera subsp vinifera cv. Quebranta</t>
  </si>
  <si>
    <t>Vitis vinifera subsp vinifera cv. Queen</t>
  </si>
  <si>
    <t>Vitis vinifera subsp vinifera cv. Quiebratinajas</t>
  </si>
  <si>
    <t>Vitis vinifera subsp vinifera cv. Quigat</t>
  </si>
  <si>
    <t>Vitis vinifera subsp vinifera cv. Rabigato</t>
  </si>
  <si>
    <t>Vitis vinifera subsp vinifera cv. Rabigato du Douro</t>
  </si>
  <si>
    <t>Vitis vinifera subsp vinifera cv. Raboso piave</t>
  </si>
  <si>
    <t>Vitis vinifera subsp vinifera cv. Raboso Veronese</t>
  </si>
  <si>
    <t>Vitis vinifera subsp vinifera cv. Raffiat de Moncade</t>
  </si>
  <si>
    <t>Vitis vinifera subsp vinifera cv. Raisaine</t>
  </si>
  <si>
    <t>Vitis vinifera subsp vinifera cv. Raisin de Kossuth</t>
  </si>
  <si>
    <t>Vitis vinifera subsp vinifera cv. Rakszölö</t>
  </si>
  <si>
    <t>Vitis vinifera subsp vinifera cv. Rami = Vidal 119</t>
  </si>
  <si>
    <t>Vitis vinifera subsp vinifera cv. Ramisco</t>
  </si>
  <si>
    <t>Vitis vinifera subsp vinifera cv. Rannii Vira</t>
  </si>
  <si>
    <t>Vitis vinifera subsp vinifera cv. Ranny Magaratcha = Magaratch 372</t>
  </si>
  <si>
    <t>Vitis vinifera subsp vinifera cv. Rassegui</t>
  </si>
  <si>
    <t>Vitis vinifera subsp vinifera cv. Rauschling</t>
  </si>
  <si>
    <t>Vitis vinifera subsp vinifera cv. Razachie alba</t>
  </si>
  <si>
    <t>Vitis vinifera subsp vinifera cv. Razachie rosie</t>
  </si>
  <si>
    <t>Vitis vinifera subsp vinifera cv. Razakiia mirisliva</t>
  </si>
  <si>
    <t>Vitis vinifera subsp vinifera cv. Razakiia piembiana</t>
  </si>
  <si>
    <t>Vitis vinifera subsp vinifera cv. Razdani</t>
  </si>
  <si>
    <t>Vitis vinifera subsp vinifera cv. Raziki</t>
  </si>
  <si>
    <t>Vitis vinifera subsp vinifera cv. Red globe</t>
  </si>
  <si>
    <t>Vitis vinifera subsp vinifera cv. Red May</t>
  </si>
  <si>
    <t>Vitis vinifera subsp vinifera cv. Refosco dal pedonculo rosso</t>
  </si>
  <si>
    <t>Vitis vinifera subsp vinifera cv. Refoscone</t>
  </si>
  <si>
    <t>Vitis vinifera subsp vinifera cv. Regenerator</t>
  </si>
  <si>
    <t>Vitis vinifera subsp vinifera cv. Reichensteiner</t>
  </si>
  <si>
    <t>Vitis vinifera subsp vinifera cv. Reichriesling</t>
  </si>
  <si>
    <t>Vitis vinifera subsp vinifera cv. Reichsfränkisch</t>
  </si>
  <si>
    <t>Vitis vinifera subsp vinifera cv. Reine des Vignes</t>
  </si>
  <si>
    <t>Vitis vinifera subsp vinifera cv. Retagliado bianco = Arrotelas</t>
  </si>
  <si>
    <t>Vitis vinifera subsp vinifera cv. Revers Cepens</t>
  </si>
  <si>
    <t>Vitis vinifera subsp vinifera cv. Rèze</t>
  </si>
  <si>
    <t>Vitis vinifera subsp vinifera cv. Rhoditis</t>
  </si>
  <si>
    <t>Vitis vinifera subsp vinifera cv. Ribier gris</t>
  </si>
  <si>
    <t>Vitis vinifera subsp vinifera cv. Ribier noir</t>
  </si>
  <si>
    <t>Vitis vinifera subsp vinifera cv. Ribol = INRA 1597-131</t>
  </si>
  <si>
    <t>Vitis vinifera subsp vinifera cv. Ribolla gialla</t>
  </si>
  <si>
    <t>Vitis vinifera subsp vinifera cv. Ribote</t>
  </si>
  <si>
    <t>Vitis vinifera subsp vinifera cv. Rieslaner = Würzburg NI 11-17</t>
  </si>
  <si>
    <t>Vitis vinifera subsp vinifera cv. Riesling</t>
  </si>
  <si>
    <t>Vitis vinifera subsp vinifera cv. Riesling italico</t>
  </si>
  <si>
    <t>Vitis vinifera subsp vinifera cv. Riesling Lion</t>
  </si>
  <si>
    <t>Vitis vinifera subsp vinifera cv. Riesling rouge</t>
  </si>
  <si>
    <t>Vitis vinifera subsp vinifera cv. Rigolbouillé</t>
  </si>
  <si>
    <t>Vitis vinifera subsp vinifera cv. Riminèse</t>
  </si>
  <si>
    <t>Vitis vinifera subsp vinifera cv. Rindjaga</t>
  </si>
  <si>
    <t>Vitis vinifera subsp vinifera cv. Rivairenc = Aspiran noir</t>
  </si>
  <si>
    <t>Vitis vinifera subsp vinifera cv. Rivairenc blanc = Aspiran blanc</t>
  </si>
  <si>
    <t>Vitis vinifera subsp vinifera cv. Rivairenc gris = Aspiran gris</t>
  </si>
  <si>
    <t>Vitis vinifera subsp vinifera cv. Rizamat</t>
  </si>
  <si>
    <t>Vitis vinifera subsp vinifera cv. Rizens</t>
  </si>
  <si>
    <t>Vitis vinifera subsp vinifera cv. Rkatsitelli</t>
  </si>
  <si>
    <t>Vitis vinifera subsp vinifera cv. Rkatziteli krasni</t>
  </si>
  <si>
    <t>Vitis vinifera subsp vinifera cv. Robin noir</t>
  </si>
  <si>
    <t>Vitis vinifera subsp vinifera cv. Rodi = Pirovano 166</t>
  </si>
  <si>
    <t>Vitis vinifera subsp vinifera cv. Rohrtraube</t>
  </si>
  <si>
    <t>Vitis vinifera subsp vinifera cv. Roi des précoces</t>
  </si>
  <si>
    <t>Vitis vinifera subsp vinifera cv. Roma = Pirovano 210</t>
  </si>
  <si>
    <t>Vitis vinifera subsp vinifera cv. Rombola noir</t>
  </si>
  <si>
    <t>Vitis vinifera subsp vinifera cv. Romeïco</t>
  </si>
  <si>
    <t>Vitis vinifera subsp vinifera cv. Romorantin</t>
  </si>
  <si>
    <t>Vitis vinifera subsp vinifera cv. Rondinella</t>
  </si>
  <si>
    <t>Vitis vinifera subsp vinifera cv. Ronelle</t>
  </si>
  <si>
    <t>Vitis vinifera subsp vinifera cv. Rosa del Peru type 1</t>
  </si>
  <si>
    <t>Vitis vinifera subsp vinifera cv. Rosa del Peru type 2</t>
  </si>
  <si>
    <t>Vitis vinifera subsp vinifera cv. Rosa menna di vacca</t>
  </si>
  <si>
    <t>Vitis vinifera subsp vinifera cv. Rosa steen</t>
  </si>
  <si>
    <t>Vitis vinifera subsp vinifera cv. Rosaki blanc de semis</t>
  </si>
  <si>
    <t>Vitis vinifera subsp vinifera cv. Rosaki noir de semis</t>
  </si>
  <si>
    <t>Vitis vinifera subsp vinifera cv. Rosé du Var</t>
  </si>
  <si>
    <t>Vitis vinifera subsp vinifera cv. Rossara trentina</t>
  </si>
  <si>
    <t>Vitis vinifera subsp vinifera cv. Rossese</t>
  </si>
  <si>
    <t>Vitis vinifera subsp vinifera cv. Rossignola</t>
  </si>
  <si>
    <t>Vitis vinifera subsp vinifera cv. Rossola bianca</t>
  </si>
  <si>
    <t>Vitis vinifera subsp vinifera cv. Rotberger = Gm 3-37</t>
  </si>
  <si>
    <t>Vitis vinifera subsp vinifera cv. Rotgipfler</t>
  </si>
  <si>
    <t>Vitis vinifera subsp vinifera cv. Roubinoy de Magaratch = Magaratch 56</t>
  </si>
  <si>
    <t>Vitis vinifera subsp vinifera cv. Roublot</t>
  </si>
  <si>
    <t>Vitis vinifera subsp vinifera cv. Rouchaki</t>
  </si>
  <si>
    <t>Vitis vinifera subsp vinifera cv. Rouge de Fully</t>
  </si>
  <si>
    <t>Vitis vinifera subsp vinifera cv. Roumi noir</t>
  </si>
  <si>
    <t>Vitis vinifera subsp vinifera cv. Roussaïtis</t>
  </si>
  <si>
    <t>Vitis vinifera subsp vinifera cv. Roussanne</t>
  </si>
  <si>
    <t>Vitis vinifera subsp vinifera cv. Roussaou</t>
  </si>
  <si>
    <t>Vitis vinifera subsp vinifera cv. Roussette d'Ayze</t>
  </si>
  <si>
    <t>Vitis vinifera subsp vinifera cv. Roxo dos pintos</t>
  </si>
  <si>
    <t>Vitis vinifera subsp vinifera cv. Royal</t>
  </si>
  <si>
    <t>Vitis vinifera subsp vinifera cv. Royal Ascot</t>
  </si>
  <si>
    <t>Vitis vinifera subsp vinifera cv. Royal Askant</t>
  </si>
  <si>
    <t>Vitis vinifera subsp vinifera cv. Royal Molenberg</t>
  </si>
  <si>
    <t>Vitis vinifera subsp vinifera cv. Royal Vineyard</t>
  </si>
  <si>
    <t>Vitis vinifera subsp vinifera cv. Rubi</t>
  </si>
  <si>
    <t>Vitis vinifera subsp vinifera cv. Ruby Cabernet</t>
  </si>
  <si>
    <t>Vitis vinifera subsp vinifera cv. Ruby seedless</t>
  </si>
  <si>
    <t>Vitis vinifera subsp vinifera cv. Rudezusa</t>
  </si>
  <si>
    <t>Vitis vinifera subsp vinifera cv. Ruzevina</t>
  </si>
  <si>
    <t>Vitis vinifera subsp vinifera cv. Sabalkanskoï</t>
  </si>
  <si>
    <t>Vitis vinifera subsp vinifera cv. Sabaté</t>
  </si>
  <si>
    <t>Vitis vinifera subsp vinifera cv. Sabra</t>
  </si>
  <si>
    <t>Vitis vinifera subsp vinifera cv. Sacavem = C27 Coutinho</t>
  </si>
  <si>
    <t>Vitis vinifera subsp vinifera cv. Sacy</t>
  </si>
  <si>
    <t>Vitis vinifera subsp vinifera cv. Sagrantino</t>
  </si>
  <si>
    <t>Vitis vinifera subsp vinifera cv. Sahami</t>
  </si>
  <si>
    <t>Vitis vinifera subsp vinifera cv. Sahebi</t>
  </si>
  <si>
    <t>Vitis vinifera subsp vinifera cv. Sahibi sorh</t>
  </si>
  <si>
    <t>Vitis vinifera subsp vinifera cv. Sahilii</t>
  </si>
  <si>
    <t>Vitis vinifera subsp vinifera cv. Saint-Emilion x Sémillon D</t>
  </si>
  <si>
    <t>Vitis vinifera subsp vinifera cv. Saint-Laurent</t>
  </si>
  <si>
    <t>Vitis vinifera subsp vinifera cv. Saint-Louis faux</t>
  </si>
  <si>
    <t>Vitis vinifera subsp vinifera cv. Saint-Macaire</t>
  </si>
  <si>
    <t>Vitis vinifera subsp vinifera cv. Sainton = Vidal 9</t>
  </si>
  <si>
    <t>Vitis vinifera subsp vinifera cv. Saint-Pierre doré</t>
  </si>
  <si>
    <t>Vitis vinifera subsp vinifera cv. Sakasli</t>
  </si>
  <si>
    <t>Vitis vinifera subsp vinifera cv. Salagnin</t>
  </si>
  <si>
    <t>Vitis vinifera subsp vinifera cv. Salba</t>
  </si>
  <si>
    <t>Vitis vinifera subsp vinifera cv. Salicette</t>
  </si>
  <si>
    <t>Vitis vinifera subsp vinifera cv. Samarrinho preto</t>
  </si>
  <si>
    <t>Vitis vinifera subsp vinifera cv. Samoriau</t>
  </si>
  <si>
    <t>Vitis vinifera subsp vinifera cv. Samoveanca</t>
  </si>
  <si>
    <t>Vitis vinifera subsp vinifera cv. San Antoni</t>
  </si>
  <si>
    <t>Vitis vinifera subsp vinifera cv. San Francisco</t>
  </si>
  <si>
    <t>Vitis vinifera subsp vinifera cv. San Jeronimo</t>
  </si>
  <si>
    <t>Vitis vinifera subsp vinifera cv. San Martino = Pirovano 215</t>
  </si>
  <si>
    <t>Vitis vinifera subsp vinifera cv. Sanginella di Salerno</t>
  </si>
  <si>
    <t>Vitis vinifera subsp vinifera cv. Santa Barbara = Pirovano 480</t>
  </si>
  <si>
    <t>Vitis vinifera subsp vinifera cv. Santa Magdalena</t>
  </si>
  <si>
    <t>Vitis vinifera subsp vinifera cv. Santa Morena</t>
  </si>
  <si>
    <t>Vitis vinifera subsp vinifera cv. Santa Paula</t>
  </si>
  <si>
    <t>Vitis vinifera subsp vinifera cv. Saperavi</t>
  </si>
  <si>
    <t>Vitis vinifera subsp vinifera cv. Sapere otzkhanouri</t>
  </si>
  <si>
    <t>Vitis vinifera subsp vinifera cv. Sarfeher</t>
  </si>
  <si>
    <t>Vitis vinifera subsp vinifera cv. Sary pandass</t>
  </si>
  <si>
    <t>Vitis vinifera subsp vinifera cv. Sateni bely</t>
  </si>
  <si>
    <t>Vitis vinifera subsp vinifera cv. Sateni tcherny</t>
  </si>
  <si>
    <t>Vitis vinifera subsp vinifera cv. Satino Kokkino</t>
  </si>
  <si>
    <t>Vitis vinifera subsp vinifera cv. Sauterne blanc</t>
  </si>
  <si>
    <t>Vitis vinifera subsp vinifera cv. Sauvaget</t>
  </si>
  <si>
    <t>Vitis vinifera subsp vinifera cv. Sauvignon</t>
  </si>
  <si>
    <t>Vitis vinifera subsp vinifera cv. Sauvignon gris</t>
  </si>
  <si>
    <t>Vitis vinifera subsp vinifera cv. Sauvignon rouge</t>
  </si>
  <si>
    <t>Vitis vinifera subsp vinifera cv. Sauvignonasse</t>
  </si>
  <si>
    <t>Vitis vinifera subsp vinifera cv. Savagnin blanc</t>
  </si>
  <si>
    <t>Vitis vinifera subsp vinifera cv. Savagnin rose</t>
  </si>
  <si>
    <t>Vitis vinifera subsp vinifera cv. Savvatiano</t>
  </si>
  <si>
    <t>Vitis vinifera subsp vinifera cv. Scaliger</t>
  </si>
  <si>
    <t>Vitis vinifera subsp vinifera cv. Schabasche</t>
  </si>
  <si>
    <t>Vitis vinifera subsp vinifera cv. Scheu 10514</t>
  </si>
  <si>
    <t>Vitis vinifera subsp vinifera cv. Scheurebe</t>
  </si>
  <si>
    <t>Vitis vinifera subsp vinifera cv. Schiava gentile</t>
  </si>
  <si>
    <t>Vitis vinifera subsp vinifera cv. Schiava grigia</t>
  </si>
  <si>
    <t>Vitis vinifera subsp vinifera cv. Schiava lombarda</t>
  </si>
  <si>
    <t>Vitis vinifera subsp vinifera cv. Schiradzouli</t>
  </si>
  <si>
    <t>Vitis vinifera subsp vinifera cv. Schiradzouli violet</t>
  </si>
  <si>
    <t>Vitis vinifera subsp vinifera cv. Schiras</t>
  </si>
  <si>
    <t>Vitis vinifera subsp vinifera cv. Sciaccarello</t>
  </si>
  <si>
    <t>Vitis vinifera subsp vinifera cv. Sciascinoso</t>
  </si>
  <si>
    <t>Vitis vinifera subsp vinifera cv. Sebai assouad</t>
  </si>
  <si>
    <t>Vitis vinifera subsp vinifera cv. Sécal</t>
  </si>
  <si>
    <t>Vitis vinifera subsp vinifera cv. Segalin = INRA 1377-174</t>
  </si>
  <si>
    <t>Vitis vinifera subsp vinifera cv. Seibel 60</t>
  </si>
  <si>
    <t>Vitis vinifera subsp vinifera cv. Select = Vidal 100 T</t>
  </si>
  <si>
    <t>Vitis vinifera subsp vinifera cv. Semebat</t>
  </si>
  <si>
    <t>Vitis vinifera subsp vinifera cv. Semidano</t>
  </si>
  <si>
    <t>Vitis vinifera subsp vinifera cv. Semillon</t>
  </si>
  <si>
    <t>Vitis vinifera subsp vinifera cv. Septimer = Alzey 3952</t>
  </si>
  <si>
    <t>Vitis vinifera subsp vinifera cv. Sercial</t>
  </si>
  <si>
    <t>Vitis vinifera subsp vinifera cv. Serénèze de Moirans</t>
  </si>
  <si>
    <t>Vitis vinifera subsp vinifera cv. Serénèze de Voreppe</t>
  </si>
  <si>
    <t>Vitis vinifera subsp vinifera cv. Serna</t>
  </si>
  <si>
    <t>Vitis vinifera subsp vinifera cv. Servabilis = Pirovano 221</t>
  </si>
  <si>
    <t>Vitis vinifera subsp vinifera cv. Servanin</t>
  </si>
  <si>
    <t>Vitis vinifera subsp vinifera cv. Servant</t>
  </si>
  <si>
    <t>Vitis vinifera subsp vinifera cv. Sevan</t>
  </si>
  <si>
    <t>Vitis vinifera subsp vinifera cv. Sgavetta</t>
  </si>
  <si>
    <t>Vitis vinifera subsp vinifera cv. Sguigarda</t>
  </si>
  <si>
    <t>Vitis vinifera subsp vinifera cv. Shenidani</t>
  </si>
  <si>
    <t>Vitis vinifera subsp vinifera cv. Shindo Khani</t>
  </si>
  <si>
    <t>Vitis vinifera subsp vinifera cv. Shirazi</t>
  </si>
  <si>
    <t>Vitis vinifera subsp vinifera cv. Siah</t>
  </si>
  <si>
    <t>Vitis vinifera subsp vinifera cv. Sibirkovy</t>
  </si>
  <si>
    <t>Vitis vinifera subsp vinifera cv. Sicilien faux</t>
  </si>
  <si>
    <t>Vitis vinifera subsp vinifera cv. Sideritis</t>
  </si>
  <si>
    <t>Vitis vinifera subsp vinifera cv. Siegerrebe = Scheu 7957</t>
  </si>
  <si>
    <t>Vitis vinifera subsp vinifera cv. Silberweiss</t>
  </si>
  <si>
    <t>Vitis vinifera subsp vinifera cv. Skiadopoulo</t>
  </si>
  <si>
    <t>Vitis vinifera subsp vinifera cv. Skyloklima</t>
  </si>
  <si>
    <t>Vitis vinifera subsp vinifera cv. Skylopnichtis</t>
  </si>
  <si>
    <t>Vitis vinifera subsp vinifera cv. Skylopnichtis blanc</t>
  </si>
  <si>
    <t>Vitis vinifera subsp vinifera cv. Slankamenka blanc</t>
  </si>
  <si>
    <t>Vitis vinifera subsp vinifera cv. Soiaki</t>
  </si>
  <si>
    <t>Vitis vinifera subsp vinifera cv. Soic</t>
  </si>
  <si>
    <t>Vitis vinifera subsp vinifera cv. Solferino = Pirovano 316</t>
  </si>
  <si>
    <t>Vitis vinifera subsp vinifera cv. Somarello rosso</t>
  </si>
  <si>
    <t>Vitis vinifera subsp vinifera cv. Somzölö kek</t>
  </si>
  <si>
    <t>Vitis vinifera subsp vinifera cv. Sorok Let Oktiabria</t>
  </si>
  <si>
    <t>Vitis vinifera subsp vinifera cv. Soukholimansky bely</t>
  </si>
  <si>
    <t>Vitis vinifera subsp vinifera cv. Souri (1)</t>
  </si>
  <si>
    <t>Vitis vinifera subsp vinifera cv. Souri (2)</t>
  </si>
  <si>
    <t>Vitis vinifera subsp vinifera cv. Sourkhak biely</t>
  </si>
  <si>
    <t>Vitis vinifera subsp vinifera cv. Sourkhak kitabsky</t>
  </si>
  <si>
    <t>Vitis vinifera subsp vinifera cv. Souvenir du Congrès</t>
  </si>
  <si>
    <t>Vitis vinifera subsp vinifera cv. Souzao</t>
  </si>
  <si>
    <t>Vitis vinifera subsp vinifera cv. Sovrana = Pirovano 244</t>
  </si>
  <si>
    <t>Vitis vinifera subsp vinifera cv. Staphidampelo</t>
  </si>
  <si>
    <t>Vitis vinifera subsp vinifera cv. Staphidostaphylo</t>
  </si>
  <si>
    <t>Vitis vinifera subsp vinifera cv. Steinschiller blanc</t>
  </si>
  <si>
    <t>Vitis vinifera subsp vinifera cv. Strophyliatico</t>
  </si>
  <si>
    <t>Vitis vinifera subsp vinifera cv. Suavis = Pirovano 365 s</t>
  </si>
  <si>
    <t>Vitis vinifera subsp vinifera cv. Subirat Parent</t>
  </si>
  <si>
    <t>Vitis vinifera subsp vinifera cv. Sugrafive = Early Supérior seedless</t>
  </si>
  <si>
    <t>Vitis vinifera subsp vinifera cv. Sugraone = Superior seedless</t>
  </si>
  <si>
    <t>Vitis vinifera subsp vinifera cv. Sulivan blanc</t>
  </si>
  <si>
    <t>Vitis vinifera subsp vinifera cv. Sultana moscata = Pirovano 75</t>
  </si>
  <si>
    <t>Vitis vinifera subsp vinifera cv. Sultanina</t>
  </si>
  <si>
    <t>Vitis vinifera subsp vinifera cv. Sultanine</t>
  </si>
  <si>
    <t>Vitis vinifera subsp vinifera cv. Sultanine monococco</t>
  </si>
  <si>
    <t>Vitis vinifera subsp vinifera cv. Sultanine rose</t>
  </si>
  <si>
    <t>Vitis vinifera subsp vinifera cv. Sultanine rouge</t>
  </si>
  <si>
    <t>Vitis vinifera subsp vinifera cv. Sumoll</t>
  </si>
  <si>
    <t>Vitis vinifera subsp vinifera cv. Suntory blanc</t>
  </si>
  <si>
    <t>Vitis vinifera subsp vinifera cv. Superba = Pirovano 476 a</t>
  </si>
  <si>
    <t>Vitis vinifera subsp vinifera cv. Superfrankenthal = Pirovano 243</t>
  </si>
  <si>
    <t>Vitis vinifera subsp vinifera cv. Superzibibbo = Pirovano 107 a</t>
  </si>
  <si>
    <t>Vitis vinifera subsp vinifera cv. Suscan crni</t>
  </si>
  <si>
    <t>Vitis vinifera subsp vinifera cv. Susumaniello</t>
  </si>
  <si>
    <t>Vitis vinifera subsp vinifera cv. Sykiotis</t>
  </si>
  <si>
    <t>Vitis vinifera subsp vinifera cv. Sylvaner</t>
  </si>
  <si>
    <t>Vitis vinifera subsp vinifera cv. Sylvaner blau</t>
  </si>
  <si>
    <t>Vitis vinifera subsp vinifera cv. Sylvaner rot</t>
  </si>
  <si>
    <t>Vitis vinifera subsp vinifera cv. Syrah</t>
  </si>
  <si>
    <t>Vitis vinifera subsp vinifera cv. Syriki</t>
  </si>
  <si>
    <t>Vitis vinifera subsp vinifera cv. Szagos Bajnar</t>
  </si>
  <si>
    <t>Vitis vinifera subsp vinifera cv. Szauter Gusztav</t>
  </si>
  <si>
    <t>Vitis vinifera subsp vinifera cv. Szegedi</t>
  </si>
  <si>
    <t>Vitis vinifera subsp vinifera cv. Szegeny ember szölöje</t>
  </si>
  <si>
    <t>Vitis vinifera subsp vinifera cv. Szent Laszlö</t>
  </si>
  <si>
    <t>Vitis vinifera subsp vinifera cv. Szeredi</t>
  </si>
  <si>
    <t>Vitis vinifera subsp vinifera cv. Szeremi zöld</t>
  </si>
  <si>
    <t>Vitis vinifera subsp vinifera cv. Tachtas</t>
  </si>
  <si>
    <t>Vitis vinifera subsp vinifera cv. Taferielt</t>
  </si>
  <si>
    <t>Vitis vinifera subsp vinifera cv. Tagleit n'timilli</t>
  </si>
  <si>
    <t>Vitis vinifera subsp vinifera cv. Tagobi</t>
  </si>
  <si>
    <t>Vitis vinifera subsp vinifera cv. Taifi belyi</t>
  </si>
  <si>
    <t>Vitis vinifera subsp vinifera cv. Taïfi rosovy</t>
  </si>
  <si>
    <t>Vitis vinifera subsp vinifera cv. Taïlilout</t>
  </si>
  <si>
    <t>Vitis vinifera subsp vinifera cv. Tamares</t>
  </si>
  <si>
    <t>Vitis vinifera subsp vinifera cv. Tamarez Moscatel 31-3-3</t>
  </si>
  <si>
    <t>Vitis vinifera subsp vinifera cv. Tana kouzy</t>
  </si>
  <si>
    <t>Vitis vinifera subsp vinifera cv. Tanagos</t>
  </si>
  <si>
    <t>Vitis vinifera subsp vinifera cv. Tankert</t>
  </si>
  <si>
    <t>Vitis vinifera subsp vinifera cv. Tannat</t>
  </si>
  <si>
    <t>Vitis vinifera subsp vinifera cv. Tantovina</t>
  </si>
  <si>
    <t>Vitis vinifera subsp vinifera cv. Tarabassié</t>
  </si>
  <si>
    <t>Vitis vinifera subsp vinifera cv. Tardif</t>
  </si>
  <si>
    <t>Vitis vinifera subsp vinifera cv. Tarnaou</t>
  </si>
  <si>
    <t>Vitis vinifera subsp vinifera cv. Tarragonins</t>
  </si>
  <si>
    <t>Vitis vinifera subsp vinifera cv. Tarrango</t>
  </si>
  <si>
    <t>Vitis vinifera subsp vinifera cv. Taschly</t>
  </si>
  <si>
    <t>Vitis vinifera subsp vinifera cv. Tavkveri</t>
  </si>
  <si>
    <t>Vitis vinifera subsp vinifera cv. Tavrida = Magaratch 171</t>
  </si>
  <si>
    <t>Vitis vinifera subsp vinifera cv. Tchaïnak</t>
  </si>
  <si>
    <t>Vitis vinifera subsp vinifera cv. Tchernii Crimski</t>
  </si>
  <si>
    <t>Vitis vinifera subsp vinifera cv. Tchilar</t>
  </si>
  <si>
    <t>Vitis vinifera subsp vinifera cv. Tchiliaki blanc</t>
  </si>
  <si>
    <t>Vitis vinifera subsp vinifera cv. Tchiliaki rouge</t>
  </si>
  <si>
    <t>Vitis vinifera subsp vinifera cv. Tchingin kara</t>
  </si>
  <si>
    <t>Vitis vinifera subsp vinifera cv. Tchinouri</t>
  </si>
  <si>
    <t>Vitis vinifera subsp vinifera cv. Tchkhaveri</t>
  </si>
  <si>
    <t>Vitis vinifera subsp vinifera cv. Teinturier</t>
  </si>
  <si>
    <t>Vitis vinifera subsp vinifera cv. Teli granat</t>
  </si>
  <si>
    <t>Vitis vinifera subsp vinifera cv. Tempranilla</t>
  </si>
  <si>
    <t>Vitis vinifera subsp vinifera cv. Tempranillo</t>
  </si>
  <si>
    <t>Vitis vinifera subsp vinifera cv. Téoulier</t>
  </si>
  <si>
    <t>Vitis vinifera subsp vinifera cv. Téoulier blanc</t>
  </si>
  <si>
    <t>Vitis vinifera subsp vinifera cv. Terbasch</t>
  </si>
  <si>
    <t>Vitis vinifera subsp vinifera cv. Teresita = Dalmasso XVIII-24</t>
  </si>
  <si>
    <t>Vitis vinifera subsp vinifera cv. Terlaner</t>
  </si>
  <si>
    <t>Vitis vinifera subsp vinifera cv. Teroldego</t>
  </si>
  <si>
    <t>Vitis vinifera subsp vinifera cv. Terr Gulmek</t>
  </si>
  <si>
    <t>Vitis vinifera subsp vinifera cv. Terramon long</t>
  </si>
  <si>
    <t>Vitis vinifera subsp vinifera cv. Terramon rond</t>
  </si>
  <si>
    <t>Vitis vinifera subsp vinifera cv. Terrano</t>
  </si>
  <si>
    <t>Vitis vinifera subsp vinifera cv. Terrantez de Madère</t>
  </si>
  <si>
    <t>Vitis vinifera subsp vinifera cv. Terrantez du Dão</t>
  </si>
  <si>
    <t>Vitis vinifera subsp vinifera cv. Terret blanc</t>
  </si>
  <si>
    <t>Vitis vinifera subsp vinifera cv. Terret Bouschet</t>
  </si>
  <si>
    <t>Vitis vinifera subsp vinifera cv. Terret gris</t>
  </si>
  <si>
    <t>Vitis vinifera subsp vinifera cv. Terret noir</t>
  </si>
  <si>
    <t>Vitis vinifera subsp vinifera cv. Teta de Vaca</t>
  </si>
  <si>
    <t>Vitis vinifera subsp vinifera cv. Thallocsy Lajos muskotaly = Muscat Thallocsy</t>
  </si>
  <si>
    <t>Vitis vinifera subsp vinifera cv. Thermi</t>
  </si>
  <si>
    <t>Vitis vinifera subsp vinifera cv. Tibouren</t>
  </si>
  <si>
    <t>Vitis vinifera subsp vinifera cv. Tihany</t>
  </si>
  <si>
    <t>Vitis vinifera subsp vinifera cv. Timorasso</t>
  </si>
  <si>
    <t>Vitis vinifera subsp vinifera cv. Timpurie</t>
  </si>
  <si>
    <t>Vitis vinifera subsp vinifera cv. Tini</t>
  </si>
  <si>
    <t>Vitis vinifera subsp vinifera cv. Tiniouine</t>
  </si>
  <si>
    <t>Vitis vinifera subsp vinifera cv. Tinos noir</t>
  </si>
  <si>
    <t>Vitis vinifera subsp vinifera cv. Tinta amarella</t>
  </si>
  <si>
    <t>Vitis vinifera subsp vinifera cv. Tinta Barroca</t>
  </si>
  <si>
    <t>Vitis vinifera subsp vinifera cv. Tinta carvalha</t>
  </si>
  <si>
    <t>Vitis vinifera subsp vinifera cv. Tinta castellõa</t>
  </si>
  <si>
    <t>Vitis vinifera subsp vinifera cv. Tinta de Madeira</t>
  </si>
  <si>
    <t>Vitis vinifera subsp vinifera cv. Tinta francisca</t>
  </si>
  <si>
    <t>Vitis vinifera subsp vinifera cv. Tinta pinheira</t>
  </si>
  <si>
    <t>Vitis vinifera subsp vinifera cv. Tintillo</t>
  </si>
  <si>
    <t>Vitis vinifera subsp vinifera cv. Tintinha = Leao Ferreira da Almeida 11-48-122</t>
  </si>
  <si>
    <t>Vitis vinifera subsp vinifera cv. Tinto Cao</t>
  </si>
  <si>
    <t>Vitis vinifera subsp vinifera cv. Tintora</t>
  </si>
  <si>
    <t>Vitis vinifera subsp vinifera cv. Tita Caprei</t>
  </si>
  <si>
    <t>Vitis vinifera subsp vinifera cv. Tolstokorii</t>
  </si>
  <si>
    <t>Vitis vinifera subsp vinifera cv. Török Mazsola</t>
  </si>
  <si>
    <t>Vitis vinifera subsp vinifera cv. Torralba</t>
  </si>
  <si>
    <t>Vitis vinifera subsp vinifera cv. Torrontès</t>
  </si>
  <si>
    <t>Vitis vinifera subsp vinifera cv. Torrontès mendocino</t>
  </si>
  <si>
    <t>Vitis vinifera subsp vinifera cv. Torrontès riojano</t>
  </si>
  <si>
    <t>Vitis vinifera subsp vinifera cv. Torrontès sanjuanino</t>
  </si>
  <si>
    <t>Vitis vinifera subsp vinifera cv. Tortozon</t>
  </si>
  <si>
    <t>Vitis vinifera subsp vinifera cv. Tourbat</t>
  </si>
  <si>
    <t>Vitis vinifera subsp vinifera cv. Touriga</t>
  </si>
  <si>
    <t>Vitis vinifera subsp vinifera cv. Toutrissin</t>
  </si>
  <si>
    <t>Vitis vinifera subsp vinifera cv. Tre voto</t>
  </si>
  <si>
    <t>Vitis vinifera subsp vinifera cv. Trebbiano</t>
  </si>
  <si>
    <t>Vitis vinifera subsp vinifera cv. Trebbiano di Soave</t>
  </si>
  <si>
    <t>Vitis vinifera subsp vinifera cv. Trebbiano giallo</t>
  </si>
  <si>
    <t>Vitis vinifera subsp vinifera cv. Trebbiano romagnolo</t>
  </si>
  <si>
    <t>Vitis vinifera subsp vinifera cv. Trebbiano spoletino</t>
  </si>
  <si>
    <t>Vitis vinifera subsp vinifera cv. Treixadura</t>
  </si>
  <si>
    <t>Vitis vinifera subsp vinifera cv. Trentham black faux</t>
  </si>
  <si>
    <t>Vitis vinifera subsp vinifera cv. Treolina</t>
  </si>
  <si>
    <t>Vitis vinifera subsp vinifera cv. Tressot</t>
  </si>
  <si>
    <t>Vitis vinifera subsp vinifera cv. Tressot blanc</t>
  </si>
  <si>
    <t>Vitis vinifera subsp vinifera cv. Tressot panaché</t>
  </si>
  <si>
    <t>Vitis vinifera subsp vinifera cv. Tressot panaché faux</t>
  </si>
  <si>
    <t>Vitis vinifera subsp vinifera cv. Trevisana nera</t>
  </si>
  <si>
    <t>Vitis vinifera subsp vinifera cv. Trieste = Pirovano 299</t>
  </si>
  <si>
    <t>Vitis vinifera subsp vinifera cv. Tripoli = Pirovano 352</t>
  </si>
  <si>
    <t>Vitis vinifera subsp vinifera cv. Trollinger blaudüftig</t>
  </si>
  <si>
    <t>Vitis vinifera subsp vinifera cv. Trollinger Muskat</t>
  </si>
  <si>
    <t>Vitis vinifera subsp vinifera cv. Trollingi feher</t>
  </si>
  <si>
    <t>Vitis vinifera subsp vinifera cv. Trousseau</t>
  </si>
  <si>
    <t>Vitis vinifera subsp vinifera cv. Trousseau gris</t>
  </si>
  <si>
    <t>Vitis vinifera subsp vinifera cv. Troyen</t>
  </si>
  <si>
    <t>Vitis vinifera subsp vinifera cv. Trunzo</t>
  </si>
  <si>
    <t>Vitis vinifera subsp vinifera cv. Tsambato</t>
  </si>
  <si>
    <t>Vitis vinifera subsp vinifera cv. Tschetirbak</t>
  </si>
  <si>
    <t>Vitis vinifera subsp vinifera cv. Tuia tiche</t>
  </si>
  <si>
    <t>Vitis vinifera subsp vinifera cv. Tuia tiche faux</t>
  </si>
  <si>
    <t>Vitis vinifera subsp vinifera cv. Tulillah</t>
  </si>
  <si>
    <t>Vitis vinifera subsp vinifera cv. Turki</t>
  </si>
  <si>
    <t>Vitis vinifera subsp vinifera cv. Turruntes</t>
  </si>
  <si>
    <t>Vitis vinifera subsp vinifera cv. Turska dinka</t>
  </si>
  <si>
    <t>Vitis vinifera subsp vinifera cv. Tzimlansky blanc</t>
  </si>
  <si>
    <t>Vitis vinifera subsp vinifera cv. Tzimlansky noir</t>
  </si>
  <si>
    <t>Vitis vinifera subsp vinifera cv. Tzitzka</t>
  </si>
  <si>
    <t>Vitis vinifera subsp vinifera cv. Tzolikoouri</t>
  </si>
  <si>
    <t>Vitis vinifera subsp vinifera cv. Ugni blanc</t>
  </si>
  <si>
    <t>Vitis vinifera subsp vinifera cv. Ugni blanc à feuilles découpées</t>
  </si>
  <si>
    <t>Vitis vinifera subsp vinifera cv. Ugni rouge</t>
  </si>
  <si>
    <t>Vitis vinifera subsp vinifera cv. Urben blau</t>
  </si>
  <si>
    <t>Vitis vinifera subsp vinifera cv. Urben rot</t>
  </si>
  <si>
    <t>Vitis vinifera subsp vinifera cv. Urreti</t>
  </si>
  <si>
    <t>Vitis vinifera subsp vinifera cv. Uva Cao</t>
  </si>
  <si>
    <t>Vitis vinifera subsp vinifera cv. Uva de Rey</t>
  </si>
  <si>
    <t>Vitis vinifera subsp vinifera cv. Uva di Troia</t>
  </si>
  <si>
    <t>Vitis vinifera subsp vinifera cv. Uva melona</t>
  </si>
  <si>
    <t>Vitis vinifera subsp vinifera cv. V 155 (J.P. Vidal)</t>
  </si>
  <si>
    <t>Vitis vinifera subsp vinifera cv. Valais noir</t>
  </si>
  <si>
    <t>Vitis vinifera subsp vinifera cv. Valdepeñas</t>
  </si>
  <si>
    <t>Vitis vinifera subsp vinifera cv. Valdiguié</t>
  </si>
  <si>
    <t>Vitis vinifera subsp vinifera cv. Valdiguié pissaïré</t>
  </si>
  <si>
    <t>Vitis vinifera subsp vinifera cv. Valenci blanco</t>
  </si>
  <si>
    <t>Vitis vinifera subsp vinifera cv. Valenci blanco faux</t>
  </si>
  <si>
    <t>Vitis vinifera subsp vinifera cv. Valensi noir</t>
  </si>
  <si>
    <t>Vitis vinifera subsp vinifera cv. Vapsa</t>
  </si>
  <si>
    <t>Vitis vinifera subsp vinifera cv. Vassarga bielaia</t>
  </si>
  <si>
    <t>Vitis vinifera subsp vinifera cv. Vassarga tchernaia</t>
  </si>
  <si>
    <t>Vitis vinifera subsp vinifera cv. Vékonyhéju</t>
  </si>
  <si>
    <t>Vitis vinifera subsp vinifera cv. Velteliner rouge</t>
  </si>
  <si>
    <t>Vitis vinifera subsp vinifera cv. Velteliner rouge précoce</t>
  </si>
  <si>
    <t>Vitis vinifera subsp vinifera cv. Velteliner vert</t>
  </si>
  <si>
    <t>Vitis vinifera subsp vinifera cv. Verdanel</t>
  </si>
  <si>
    <t>Vitis vinifera subsp vinifera cv. Verdea</t>
  </si>
  <si>
    <t>Vitis vinifera subsp vinifera cv. Verdeca</t>
  </si>
  <si>
    <t>Vitis vinifera subsp vinifera cv. Verdejo blanco</t>
  </si>
  <si>
    <t>Vitis vinifera subsp vinifera cv. Verdejo negro</t>
  </si>
  <si>
    <t>Vitis vinifera subsp vinifera cv. Verdelho</t>
  </si>
  <si>
    <t>Vitis vinifera subsp vinifera cv. Verdelho du Dâo</t>
  </si>
  <si>
    <t>Vitis vinifera subsp vinifera cv. Verdelho feijão</t>
  </si>
  <si>
    <t>Vitis vinifera subsp vinifera cv. Verdelho tinto femelle</t>
  </si>
  <si>
    <t>Vitis vinifera subsp vinifera cv. Verdesse</t>
  </si>
  <si>
    <t>Vitis vinifera subsp vinifera cv. Verdicchio</t>
  </si>
  <si>
    <t>Vitis vinifera subsp vinifera cv. Verdiso</t>
  </si>
  <si>
    <t>Vitis vinifera subsp vinifera cv. Verduschia</t>
  </si>
  <si>
    <t>Vitis vinifera subsp vinifera cv. Verduzzo friulano</t>
  </si>
  <si>
    <t>Vitis vinifera subsp vinifera cv. Verduzzo trevigiano</t>
  </si>
  <si>
    <t>Vitis vinifera subsp vinifera cv. Verico</t>
  </si>
  <si>
    <t>Vitis vinifera subsp vinifera cv. Verjus</t>
  </si>
  <si>
    <t>Vitis vinifera subsp vinifera cv. Vermentino</t>
  </si>
  <si>
    <t>Vitis vinifera subsp vinifera cv. Vermentino nero</t>
  </si>
  <si>
    <t>Vitis vinifera subsp vinifera cv. Vernaccia di Oristano</t>
  </si>
  <si>
    <t>Vitis vinifera subsp vinifera cv. Vernaccia di San Gimignano</t>
  </si>
  <si>
    <t>Vitis vinifera subsp vinifera cv. Vernaccia nera</t>
  </si>
  <si>
    <t>Vitis vinifera subsp vinifera cv. Vernaccina</t>
  </si>
  <si>
    <t>Vitis vinifera subsp vinifera cv. Verona = Pirovano 52</t>
  </si>
  <si>
    <t>Vitis vinifera subsp vinifera cv. Vespaiola</t>
  </si>
  <si>
    <t>Vitis vinifera subsp vinifera cv. Vespolina</t>
  </si>
  <si>
    <t>Vitis vinifera subsp vinifera cv. Vesprino</t>
  </si>
  <si>
    <t>Vitis vinifera subsp vinifera cv. Victor = Pirovano 314</t>
  </si>
  <si>
    <t>Vitis vinifera subsp vinifera cv. Vidal 117</t>
  </si>
  <si>
    <t>Vitis vinifera subsp vinifera cv. Vidal 31</t>
  </si>
  <si>
    <t>Vitis vinifera subsp vinifera cv. Vidal 311</t>
  </si>
  <si>
    <t>Vitis vinifera subsp vinifera cv. Vidal 36</t>
  </si>
  <si>
    <t>Vitis vinifera subsp vinifera cv. Vidal 539</t>
  </si>
  <si>
    <t>Vitis vinifera subsp vinifera cv. Vidal 544</t>
  </si>
  <si>
    <t>Vitis vinifera subsp vinifera cv. Vidal 547</t>
  </si>
  <si>
    <t>Vitis vinifera subsp vinifera cv. Vidal 548</t>
  </si>
  <si>
    <t>Vitis vinifera subsp vinifera cv. Vidal 595</t>
  </si>
  <si>
    <t>Vitis vinifera subsp vinifera cv. Vidal 662</t>
  </si>
  <si>
    <t>Vitis vinifera subsp vinifera cv. Vidal 678</t>
  </si>
  <si>
    <t>Vitis vinifera subsp vinifera cv. Vidal 686</t>
  </si>
  <si>
    <t>Vitis vinifera subsp vinifera cv. Vidal 76 T</t>
  </si>
  <si>
    <t>Vitis vinifera subsp vinifera cv. Vidal 800</t>
  </si>
  <si>
    <t>Vitis vinifera subsp vinifera cv. Vidal 804</t>
  </si>
  <si>
    <t>Vitis vinifera subsp vinifera cv. Vidal 808</t>
  </si>
  <si>
    <t>Vitis vinifera subsp vinifera cv. Vidal 815</t>
  </si>
  <si>
    <t>Vitis vinifera subsp vinifera cv. Vidal 83 T</t>
  </si>
  <si>
    <t>Vitis vinifera subsp vinifera cv. Vidal 98 T</t>
  </si>
  <si>
    <t>Vitis vinifera subsp vinifera cv. Vidal 99 T</t>
  </si>
  <si>
    <t>Vitis vinifera subsp vinifera cv. Vidiano</t>
  </si>
  <si>
    <t>Vitis vinifera subsp vinifera cv. Vien de Nus</t>
  </si>
  <si>
    <t>Vitis vinifera subsp vinifera cv. Vigne de Wood</t>
  </si>
  <si>
    <t>Vitis vinifera subsp vinifera cv. Vijiriega</t>
  </si>
  <si>
    <t>Vitis vinifera subsp vinifera cv. Vilana</t>
  </si>
  <si>
    <t>Vitis vinifera subsp vinifera cv. Villardiell</t>
  </si>
  <si>
    <t>Vitis vinifera subsp vinifera cv. Vinta</t>
  </si>
  <si>
    <t>Vitis vinifera subsp vinifera cv. Vintaïu</t>
  </si>
  <si>
    <t>Vitis vinifera subsp vinifera cv. Viognier</t>
  </si>
  <si>
    <t>Vitis vinifera subsp vinifera cv. Viola = Dalmasso XVIII-3</t>
  </si>
  <si>
    <t>Vitis vinifera subsp vinifera cv. Viosinho</t>
  </si>
  <si>
    <t>Vitis vinifera subsp vinifera cv. Viska</t>
  </si>
  <si>
    <t>Vitis vinifera subsp vinifera cv. Vital</t>
  </si>
  <si>
    <t>Vitis vinifera subsp vinifera cv. Volavna feher</t>
  </si>
  <si>
    <t>Vitis vinifera subsp vinifera cv. Volta = Pirovano 105</t>
  </si>
  <si>
    <t>Vitis vinifera subsp vinifera cv. Vörös vallas kek</t>
  </si>
  <si>
    <t>Vitis vinifera subsp vinifera cv. Voskeat</t>
  </si>
  <si>
    <t>Vitis vinifera subsp vinifera cv. Voudomato</t>
  </si>
  <si>
    <t>Vitis vinifera subsp vinifera cv. Vranac crni</t>
  </si>
  <si>
    <t>Vitis vinifera subsp vinifera cv. Vugava</t>
  </si>
  <si>
    <t>Vitis vinifera subsp vinifera cv. Vulpea</t>
  </si>
  <si>
    <t>Vitis vinifera subsp vinifera cv. Weisse Geisdutte par erreur</t>
  </si>
  <si>
    <t>Vitis vinifera subsp vinifera cv. West Freisia</t>
  </si>
  <si>
    <t>Vitis vinifera subsp vinifera cv. White Cinsaut</t>
  </si>
  <si>
    <t>Vitis vinifera subsp vinifera cv. White Lisbon</t>
  </si>
  <si>
    <t>Vitis vinifera subsp vinifera cv. White Muscadel</t>
  </si>
  <si>
    <t>Vitis vinifera subsp vinifera cv. White Prince</t>
  </si>
  <si>
    <t>Vitis vinifera subsp vinifera cv. Wildbacher blau</t>
  </si>
  <si>
    <t>Vitis vinifera subsp vinifera cv. Xarello</t>
  </si>
  <si>
    <t>Vitis vinifera subsp vinifera cv. Xarello vermell</t>
  </si>
  <si>
    <t>Vitis vinifera subsp vinifera cv. Xynomavro</t>
  </si>
  <si>
    <t>Vitis vinifera subsp vinifera cv. Yaghasti</t>
  </si>
  <si>
    <t>Vitis vinifera subsp vinifera cv. Yaï isioum rosovy</t>
  </si>
  <si>
    <t>Vitis vinifera subsp vinifera cv. Yapindjac</t>
  </si>
  <si>
    <t>Vitis vinifera subsp vinifera cv. Yekroa</t>
  </si>
  <si>
    <t>Vitis vinifera subsp vinifera cv. Ygia</t>
  </si>
  <si>
    <t>Vitis vinifera subsp vinifera cv. Yhsouh ali</t>
  </si>
  <si>
    <t>Vitis vinifera subsp vinifera cv. Zadarka bijela</t>
  </si>
  <si>
    <t>Vitis vinifera subsp vinifera cv. Zagtaïr</t>
  </si>
  <si>
    <t>Vitis vinifera subsp vinifera cv. Zalema</t>
  </si>
  <si>
    <t>Vitis vinifera subsp vinifera cv. Zalovitico</t>
  </si>
  <si>
    <t>Vitis vinifera subsp vinifera cv. Zampara</t>
  </si>
  <si>
    <t>Vitis vinifera subsp vinifera cv. Zeini</t>
  </si>
  <si>
    <t>Vitis vinifera subsp vinifera cv. Zeini abiad</t>
  </si>
  <si>
    <t>Vitis vinifera subsp vinifera cv. Zeini baladi</t>
  </si>
  <si>
    <t>Vitis vinifera subsp vinifera cv. Zeini rouge</t>
  </si>
  <si>
    <t>Vitis vinifera subsp vinifera cv. Zghihara de Husi</t>
  </si>
  <si>
    <t>Vitis vinifera subsp vinifera cv. Zierfandler rot</t>
  </si>
  <si>
    <t>Vitis vinifera subsp vinifera cv. Zilavka</t>
  </si>
  <si>
    <t>Vitis vinifera subsp vinifera cv. Zimsko belo</t>
  </si>
  <si>
    <t>Vitis vinifera subsp vinifera cv. Zizine</t>
  </si>
  <si>
    <t>Vitis vinifera subsp vinifera cv. Zlatarica bijela</t>
  </si>
  <si>
    <t>Vitis vinifera subsp vinifera cv. Zöldfürtü</t>
  </si>
  <si>
    <t>Vitis vinifera subsp vinifera cv. Zrinyi Ilona</t>
  </si>
  <si>
    <t>Vitis vinifera subsp vinifera cv. Zsitvai dinka</t>
  </si>
  <si>
    <t>Vitis vinifera subsp vinifera cv. Zweigelt blau</t>
  </si>
  <si>
    <t>Vitis vinifera subsp vinifera L.</t>
  </si>
  <si>
    <t>Vitis wenchowensis C.Ling</t>
  </si>
  <si>
    <t>Vitis x interspécifique</t>
  </si>
  <si>
    <t>Vitis x interspécifique cv. Aladin</t>
  </si>
  <si>
    <t>Vitis x interspécifique cv. Albenc = Galibert 36-1</t>
  </si>
  <si>
    <t>Vitis x interspécifique cv. Albignac = Galibert 12-1</t>
  </si>
  <si>
    <t>Vitis x interspécifique cv. Albignan</t>
  </si>
  <si>
    <t>Vitis x interspécifique cv. Alicante Ganzin</t>
  </si>
  <si>
    <t>Vitis x interspécifique cv. Alicante Terras 20</t>
  </si>
  <si>
    <t>Vitis x interspécifique cv. Amandin</t>
  </si>
  <si>
    <t>Vitis x interspécifique cv. Ambror = Seibel 10173</t>
  </si>
  <si>
    <t>Vitis x interspécifique cv. Aramond du Gard = Seibel 2007</t>
  </si>
  <si>
    <t>Vitis x interspécifique cv. Aramon-Rupestris Ganzin 1</t>
  </si>
  <si>
    <t>Vitis x interspécifique cv. Aramon-Rupestris Ganzin 2</t>
  </si>
  <si>
    <t>Vitis x interspécifique cv. Aramon-Rupestris Ganzin 9</t>
  </si>
  <si>
    <t>Vitis x interspécifique cv. Arboras = Galibert 22-5</t>
  </si>
  <si>
    <t>Vitis x interspécifique cv. Arnaud Fabre 3</t>
  </si>
  <si>
    <t>Vitis x interspécifique cv. Arnold 3401</t>
  </si>
  <si>
    <t>Vitis x interspécifique cv. Aspignan noir n° 1 = Galibert 239-35</t>
  </si>
  <si>
    <t>Vitis x interspécifique cv. Aspignan noir n°2 = Galibert 239-36</t>
  </si>
  <si>
    <t>Vitis x interspécifique cv. Aspignan n°1 = Galibert 239-34</t>
  </si>
  <si>
    <t>Vitis x interspécifique cv. Aurore = Seibel 5279</t>
  </si>
  <si>
    <t>Vitis x interspécifique cv. B Maclet</t>
  </si>
  <si>
    <t>Vitis x interspécifique cv. Baco blanc = Baco 22 A</t>
  </si>
  <si>
    <t>Vitis x interspécifique cv. Baco Noir = Baco 1</t>
  </si>
  <si>
    <t>Vitis x interspécifique cv. Baco 23 A</t>
  </si>
  <si>
    <t>Vitis x interspécifique cv. Baco 9-11</t>
  </si>
  <si>
    <t>Vitis x interspécifique cv. Beaujolais x 23657 S.V. n°1</t>
  </si>
  <si>
    <t>Vitis x interspécifique cv. Beaujolais x 23657 S.V. n°10</t>
  </si>
  <si>
    <t>Vitis x interspécifique cv. Beaujolais x 23657 S.V. n°11</t>
  </si>
  <si>
    <t>Vitis x interspécifique cv. Beaujolais x 23657 S.V. n°12</t>
  </si>
  <si>
    <t>Vitis x interspécifique cv. Beaujolais x 23657 S.V. n°13</t>
  </si>
  <si>
    <t>Vitis x interspécifique cv. Beaujolais x 23657 S.V. n°14</t>
  </si>
  <si>
    <t>Vitis x interspécifique cv. Beaujolais x 23657 S.V. n°15</t>
  </si>
  <si>
    <t>Vitis x interspécifique cv. Beaujolais x 23657 S.V. n°16</t>
  </si>
  <si>
    <t>Vitis x interspécifique cv. Beaujolais x 23657 S.V. n°17</t>
  </si>
  <si>
    <t>Vitis x interspécifique cv. Beaujolais x 23657 S.V. n°18</t>
  </si>
  <si>
    <t>Vitis x interspécifique cv. Beaujolais x 23657 S.V. n°2</t>
  </si>
  <si>
    <t>Vitis x interspécifique cv. Beaujolais x 23657 S.V. n°3</t>
  </si>
  <si>
    <t>Vitis x interspécifique cv. Beaujolais x 23657 S.V. n°4</t>
  </si>
  <si>
    <t>Vitis x interspécifique cv. Beaujolais x 23657 S.V. n°5</t>
  </si>
  <si>
    <t>Vitis x interspécifique cv. Beaujolais x 23657 S.V. n°6</t>
  </si>
  <si>
    <t>Vitis x interspécifique cv. Beaujolais x 23657 S.V. n°7</t>
  </si>
  <si>
    <t>Vitis x interspécifique cv. Beaujolais x 23657 S.V. n°8</t>
  </si>
  <si>
    <t>Vitis x interspécifique cv. Beaujolais x 23657 S.V. n°9</t>
  </si>
  <si>
    <t>Vitis x interspécifique cv. Bel Castel = Castel 13706</t>
  </si>
  <si>
    <t>Vitis x interspécifique cv. Bellandais = Seibel 14596</t>
  </si>
  <si>
    <t>Vitis x interspécifique cv. Bénédiction de Pecs</t>
  </si>
  <si>
    <t>Vitis x interspécifique cv. berlandieri x ?</t>
  </si>
  <si>
    <t>Vitis x interspécifique cv. Berlandieri-Colombard 1 A</t>
  </si>
  <si>
    <t>Vitis x interspécifique cv. Berlandieri-Colombard 1 B</t>
  </si>
  <si>
    <t>Vitis x interspécifique cv. Berlandieri-Colombard 2 = BC 2</t>
  </si>
  <si>
    <t>Vitis x interspécifique cv. Berlandieri-Colombard 3</t>
  </si>
  <si>
    <t>Vitis x interspécifique cv. Bertille Seyve 1125</t>
  </si>
  <si>
    <t>Vitis x interspécifique cv. Bertille Seyve 1127</t>
  </si>
  <si>
    <t>Vitis x interspécifique cv. Bertille Seyve 1129</t>
  </si>
  <si>
    <t>Vitis x interspécifique cv. Bertille Seyve 1134</t>
  </si>
  <si>
    <t>Vitis x interspécifique cv. Bertille Seyve 1353</t>
  </si>
  <si>
    <t>Vitis x interspécifique cv. Bertille Seyve 1372</t>
  </si>
  <si>
    <t>Vitis x interspécifique cv. Bertille Seyve 1516</t>
  </si>
  <si>
    <t>Vitis x interspécifique cv. Bertille Seyve 1522</t>
  </si>
  <si>
    <t>Vitis x interspécifique cv. Bertille Seyve 1523</t>
  </si>
  <si>
    <t>Vitis x interspécifique cv. Bertille Seyve 1630 faux</t>
  </si>
  <si>
    <t>Vitis x interspécifique cv. Bertille Seyve 1808</t>
  </si>
  <si>
    <t>Vitis x interspécifique cv. Bertille Seyve 1838</t>
  </si>
  <si>
    <t>Vitis x interspécifique cv. Bertille Seyve 2048</t>
  </si>
  <si>
    <t>Vitis x interspécifique cv. Bertille Seyve 2049</t>
  </si>
  <si>
    <t>Vitis x interspécifique cv. Bertille Seyve 2050</t>
  </si>
  <si>
    <t>Vitis x interspécifique cv. Bertille Seyve 2117</t>
  </si>
  <si>
    <t>Vitis x interspécifique cv. Bertille Seyve 2179</t>
  </si>
  <si>
    <t>Vitis x interspécifique cv. Bertille Seyve 2240</t>
  </si>
  <si>
    <t>Vitis x interspécifique cv. Bertille Seyve 2381</t>
  </si>
  <si>
    <t>Vitis x interspécifique cv. Bertille Seyve 2400</t>
  </si>
  <si>
    <t>Vitis x interspécifique cv. Bertille Seyve 2409</t>
  </si>
  <si>
    <t>Vitis x interspécifique cv. Bertille Seyve 2475</t>
  </si>
  <si>
    <t>Vitis x interspécifique cv. Bertille Seyve 2491</t>
  </si>
  <si>
    <t>Vitis x interspécifique cv. Bertille Seyve 2499</t>
  </si>
  <si>
    <t>Vitis x interspécifique cv. Bertille Seyve 2502</t>
  </si>
  <si>
    <t>Vitis x interspécifique cv. Bertille Seyve 2508</t>
  </si>
  <si>
    <t>Vitis x interspécifique cv. Bertille Seyve 2533</t>
  </si>
  <si>
    <t>Vitis x interspécifique cv. Bertille Seyve 2578</t>
  </si>
  <si>
    <t>Vitis x interspécifique cv. Bertille Seyve 2603</t>
  </si>
  <si>
    <t>Vitis x interspécifique cv. Bertille Seyve 2758</t>
  </si>
  <si>
    <t>Vitis x interspécifique cv. Bertille Seyve 2760</t>
  </si>
  <si>
    <t>Vitis x interspécifique cv. Bertille Seyve 2833</t>
  </si>
  <si>
    <t>Vitis x interspécifique cv. Bertille Seyve 2845</t>
  </si>
  <si>
    <t>Vitis x interspécifique cv. Bertille Seyve 2846</t>
  </si>
  <si>
    <t>Vitis x interspécifique cv. Bertille Seyve 3027</t>
  </si>
  <si>
    <t>Vitis x interspécifique cv. Bertille Seyve 3064</t>
  </si>
  <si>
    <t>Vitis x interspécifique cv. Bertille Seyve 3072</t>
  </si>
  <si>
    <t>Vitis x interspécifique cv. Bertille Seyve 3101</t>
  </si>
  <si>
    <t>Vitis x interspécifique cv. Bertille Seyve 3114</t>
  </si>
  <si>
    <t>Vitis x interspécifique cv. Bertille Seyve 3118</t>
  </si>
  <si>
    <t>Vitis x interspécifique cv. Bertille Seyve 3144</t>
  </si>
  <si>
    <t>Vitis x interspécifique cv. Bertille Seyve 3246</t>
  </si>
  <si>
    <t>Vitis x interspécifique cv. Bertille Seyve 3310</t>
  </si>
  <si>
    <t>Vitis x interspécifique cv. Bertille Seyve 3408</t>
  </si>
  <si>
    <t>Vitis x interspécifique cv. Bertille Seyve 3411</t>
  </si>
  <si>
    <t>Vitis x interspécifique cv. Bertille Seyve 3434</t>
  </si>
  <si>
    <t>Vitis x interspécifique cv. Bertille Seyve 3585</t>
  </si>
  <si>
    <t>Vitis x interspécifique cv. Bertille Seyve 3600</t>
  </si>
  <si>
    <t>Vitis x interspécifique cv. Bertille Seyve 4127</t>
  </si>
  <si>
    <t>Vitis x interspécifique cv. Bertille Seyve 413</t>
  </si>
  <si>
    <t>Vitis x interspécifique cv. Bertille Seyve 4176</t>
  </si>
  <si>
    <t>Vitis x interspécifique cv. Bertille Seyve 4201</t>
  </si>
  <si>
    <t>Vitis x interspécifique cv. Bertille Seyve 433</t>
  </si>
  <si>
    <t>Vitis x interspécifique cv. Bertille Seyve 450</t>
  </si>
  <si>
    <t>Vitis x interspécifique cv. Bertille Seyve 453</t>
  </si>
  <si>
    <t>Vitis x interspécifique cv. Bertille Seyve 460</t>
  </si>
  <si>
    <t>Vitis x interspécifique cv. Bertille Seyve 4825</t>
  </si>
  <si>
    <t>Vitis x interspécifique cv. Bertille Seyve 618</t>
  </si>
  <si>
    <t>Vitis x interspécifique cv. Bertille Seyve 6264</t>
  </si>
  <si>
    <t>Vitis x interspécifique cv. Bertille Seyve 6283</t>
  </si>
  <si>
    <t>Vitis x interspécifique cv. Bertille Seyve 822</t>
  </si>
  <si>
    <t>Vitis x interspécifique cv. Bertille Seyve 872</t>
  </si>
  <si>
    <t>Vitis x interspécifique cv. Bertille Seyve 893</t>
  </si>
  <si>
    <t>Vitis x interspécifique cv. Beta grape de Chaunac = Beta</t>
  </si>
  <si>
    <t>Vitis x interspécifique cv. Beyer 2</t>
  </si>
  <si>
    <t>Vitis x interspécifique cv. Black Queen</t>
  </si>
  <si>
    <t>Vitis x interspécifique cv. Blanche musquée = Galibert 256-73</t>
  </si>
  <si>
    <t>Vitis x interspécifique cv. Bogni 15</t>
  </si>
  <si>
    <t>Vitis x interspécifique cv. Bon Laurent = Kühlmann 267-1</t>
  </si>
  <si>
    <t>Vitis x interspécifique cv. Bon noir = Kühlmann 278-2</t>
  </si>
  <si>
    <t>Vitis x interspécifique cv. Bouchalès x 18315 S.V. n°30</t>
  </si>
  <si>
    <t>Vitis x interspécifique cv. Boujannoir = Galibert 6-1</t>
  </si>
  <si>
    <t>Vitis x interspécifique cv. Breider 19975</t>
  </si>
  <si>
    <t>Vitis x interspécifique cv. Brémont</t>
  </si>
  <si>
    <t>Vitis x interspécifique cv. Bronner = FR 250-75</t>
  </si>
  <si>
    <t>Vitis x interspécifique cv. Bronx seedless</t>
  </si>
  <si>
    <t>Vitis x interspécifique cv. Burdin 10010</t>
  </si>
  <si>
    <t>Vitis x interspécifique cv. Burdin 1582</t>
  </si>
  <si>
    <t>Vitis x interspécifique cv. Burdin 1585</t>
  </si>
  <si>
    <t>Vitis x interspécifique cv. Burdin 1605</t>
  </si>
  <si>
    <t>Vitis x interspécifique cv. Burdin 4077</t>
  </si>
  <si>
    <t>Vitis x interspécifique cv. Burdin 4502</t>
  </si>
  <si>
    <t>Vitis x interspécifique cv. Burdin 4503</t>
  </si>
  <si>
    <t>Vitis x interspécifique cv. Burdin 4560</t>
  </si>
  <si>
    <t>Vitis x interspécifique cv. Burdin 4582</t>
  </si>
  <si>
    <t>Vitis x interspécifique cv. Burdin 4601</t>
  </si>
  <si>
    <t>Vitis x interspécifique cv. Burdin 4650</t>
  </si>
  <si>
    <t>Vitis x interspécifique cv. Burdin 4655</t>
  </si>
  <si>
    <t>Vitis x interspécifique cv. Burdin 4672</t>
  </si>
  <si>
    <t>Vitis x interspécifique cv. Burdin 4687</t>
  </si>
  <si>
    <t>Vitis x interspécifique cv. Burdin 4695</t>
  </si>
  <si>
    <t>Vitis x interspécifique cv. Burdin 4716</t>
  </si>
  <si>
    <t>Vitis x interspécifique cv. Burdin 4795</t>
  </si>
  <si>
    <t>Vitis x interspécifique cv. Burdin 4855</t>
  </si>
  <si>
    <t>Vitis x interspécifique cv. Burdin 5201</t>
  </si>
  <si>
    <t>Vitis x interspécifique cv. Burdin 5400</t>
  </si>
  <si>
    <t>Vitis x interspécifique cv. Burdin 5406</t>
  </si>
  <si>
    <t>Vitis x interspécifique cv. Burdin 5440</t>
  </si>
  <si>
    <t>Vitis x interspécifique cv. Burdin 5535</t>
  </si>
  <si>
    <t>Vitis x interspécifique cv. Burdin 5539</t>
  </si>
  <si>
    <t>Vitis x interspécifique cv. Burdin 5540</t>
  </si>
  <si>
    <t>Vitis x interspécifique cv. Burdin 5580</t>
  </si>
  <si>
    <t>Vitis x interspécifique cv. Burdin 5581</t>
  </si>
  <si>
    <t>Vitis x interspécifique cv. Burdin 5620</t>
  </si>
  <si>
    <t>Vitis x interspécifique cv. Burdin 5833</t>
  </si>
  <si>
    <t>Vitis x interspécifique cv. Burdin 5894</t>
  </si>
  <si>
    <t>Vitis x interspécifique cv. Burdin 5957</t>
  </si>
  <si>
    <t>Vitis x interspécifique cv. Burdin 5960</t>
  </si>
  <si>
    <t>Vitis x interspécifique cv. Burdin 5963</t>
  </si>
  <si>
    <t>Vitis x interspécifique cv. Burdin 5984</t>
  </si>
  <si>
    <t>Vitis x interspécifique cv. Burdin 6004</t>
  </si>
  <si>
    <t>Vitis x interspécifique cv. Burdin 6055</t>
  </si>
  <si>
    <t>Vitis x interspécifique cv. Burdin 6154</t>
  </si>
  <si>
    <t>Vitis x interspécifique cv. Burdin 6189</t>
  </si>
  <si>
    <t>Vitis x interspécifique cv. Burdin 6205</t>
  </si>
  <si>
    <t>Vitis x interspécifique cv. Burdin 6316</t>
  </si>
  <si>
    <t>Vitis x interspécifique cv. Burdin 6422</t>
  </si>
  <si>
    <t>Vitis x interspécifique cv. Burdin 6541</t>
  </si>
  <si>
    <t>Vitis x interspécifique cv. Burdin 6621</t>
  </si>
  <si>
    <t>Vitis x interspécifique cv. Burdin 7037</t>
  </si>
  <si>
    <t>Vitis x interspécifique cv. Burdin 7044</t>
  </si>
  <si>
    <t>Vitis x interspécifique cv. Burdin 7061</t>
  </si>
  <si>
    <t>Vitis x interspécifique cv. Burdin 7187</t>
  </si>
  <si>
    <t>Vitis x interspécifique cv. Burdin 7194</t>
  </si>
  <si>
    <t>Vitis x interspécifique cv. Burdin 7200</t>
  </si>
  <si>
    <t>Vitis x interspécifique cv. Burdin 7206</t>
  </si>
  <si>
    <t>Vitis x interspécifique cv. Burdin 7215</t>
  </si>
  <si>
    <t>Vitis x interspécifique cv. Burdin 7216</t>
  </si>
  <si>
    <t>Vitis x interspécifique cv. Burdin 7334</t>
  </si>
  <si>
    <t>Vitis x interspécifique cv. Burdin 7352</t>
  </si>
  <si>
    <t>Vitis x interspécifique cv. Burdin 7353</t>
  </si>
  <si>
    <t>Vitis x interspécifique cv. Burdin 7357</t>
  </si>
  <si>
    <t>Vitis x interspécifique cv. Burdin 7358</t>
  </si>
  <si>
    <t>Vitis x interspécifique cv. Burdin 7360</t>
  </si>
  <si>
    <t>Vitis x interspécifique cv. Burdin 7365</t>
  </si>
  <si>
    <t>Vitis x interspécifique cv. Burdin 7368</t>
  </si>
  <si>
    <t>Vitis x interspécifique cv. Burdin 7369</t>
  </si>
  <si>
    <t>Vitis x interspécifique cv. Burdin 7371</t>
  </si>
  <si>
    <t>Vitis x interspécifique cv. Burdin 7374</t>
  </si>
  <si>
    <t>Vitis x interspécifique cv. Burdin 7375</t>
  </si>
  <si>
    <t>Vitis x interspécifique cv. Burdin 7380</t>
  </si>
  <si>
    <t>Vitis x interspécifique cv. Burdin 7405</t>
  </si>
  <si>
    <t>Vitis x interspécifique cv. Burdin 7468</t>
  </si>
  <si>
    <t>Vitis x interspécifique cv. Burdin 7510</t>
  </si>
  <si>
    <t>Vitis x interspécifique cv. Burdin 7515</t>
  </si>
  <si>
    <t>Vitis x interspécifique cv. Burdin 7582</t>
  </si>
  <si>
    <t>Vitis x interspécifique cv. Burdin 7595</t>
  </si>
  <si>
    <t>Vitis x interspécifique cv. Burdin 7618</t>
  </si>
  <si>
    <t>Vitis x interspécifique cv. Burdin 7638</t>
  </si>
  <si>
    <t>Vitis x interspécifique cv. Burdin 7648</t>
  </si>
  <si>
    <t>Vitis x interspécifique cv. Burdin 7696</t>
  </si>
  <si>
    <t>Vitis x interspécifique cv. Burdin 8649</t>
  </si>
  <si>
    <t>Vitis x interspécifique cv. Burdin 8796</t>
  </si>
  <si>
    <t>Vitis x interspécifique cv. Burdin 8811</t>
  </si>
  <si>
    <t>Vitis x interspécifique cv. Burdin 9010</t>
  </si>
  <si>
    <t>Vitis x interspécifique cv. C 26 Maclet</t>
  </si>
  <si>
    <t>Vitis x interspécifique cv. C 49 Maclet</t>
  </si>
  <si>
    <t>Vitis x interspécifique cv. C 69 Maclet</t>
  </si>
  <si>
    <t>Vitis x interspécifique cv. C 86 Maclet</t>
  </si>
  <si>
    <t>Vitis x interspécifique cv. C 98 Maclet</t>
  </si>
  <si>
    <t>Vitis x interspécifique cv. Cadamon 1</t>
  </si>
  <si>
    <t>Vitis x interspécifique cv. Cadamon 1 = Galibert 133-6</t>
  </si>
  <si>
    <t>Vitis x interspécifique cv. Cadamon 2 = Galibert 201-5</t>
  </si>
  <si>
    <t>Vitis x interspécifique cv. Cadillon doré = Galibert 261-13</t>
  </si>
  <si>
    <t>Vitis x interspécifique cv. Cadillon tardif = Galibert 261-12</t>
  </si>
  <si>
    <t>Vitis x interspécifique cv. Cadougnan blanc = Galibert 217-36</t>
  </si>
  <si>
    <t>Vitis x interspécifique cv. Cadougnan noir n° 2 = Galibert 217-33</t>
  </si>
  <si>
    <t>Vitis x interspécifique cv. Cadoulas n°1 = Galibert 207-86</t>
  </si>
  <si>
    <t>Vitis x interspécifique cv. Cadoulas n°2 = Galibert 114-14</t>
  </si>
  <si>
    <t>Vitis x interspécifique cv. Cadoulenc n°3 = Galibert 239-92</t>
  </si>
  <si>
    <t>Vitis x interspécifique cv. Cadoulenc 2</t>
  </si>
  <si>
    <t>Vitis x interspécifique cv. Caille 16</t>
  </si>
  <si>
    <t>Vitis x interspécifique cv. Caille 78</t>
  </si>
  <si>
    <t>Vitis x interspécifique cv. Calignon 2</t>
  </si>
  <si>
    <t>Vitis x interspécifique cv. Camirane blanche = Fourquier 16-45</t>
  </si>
  <si>
    <t>Vitis x interspécifique cv. Camirane rose = Fourquier 5-45</t>
  </si>
  <si>
    <t>Vitis x interspécifique cv. Candin</t>
  </si>
  <si>
    <t>Vitis x interspécifique cv. Carubis = Galibert 21-1</t>
  </si>
  <si>
    <t>Vitis x interspécifique cv. Cassady</t>
  </si>
  <si>
    <t>Vitis x interspécifique cv. Castel 120</t>
  </si>
  <si>
    <t>Vitis x interspécifique cv. Castel 121</t>
  </si>
  <si>
    <t>Vitis x interspécifique cv. Castel 12412</t>
  </si>
  <si>
    <t>Vitis x interspécifique cv. Castel 12827</t>
  </si>
  <si>
    <t>Vitis x interspécifique cv. Castel 12916</t>
  </si>
  <si>
    <t>Vitis x interspécifique cv. Castel 18311</t>
  </si>
  <si>
    <t>Vitis x interspécifique cv. Castel 1832</t>
  </si>
  <si>
    <t>Vitis x interspécifique cv. Castel 188-04</t>
  </si>
  <si>
    <t>Vitis x interspécifique cv. Castel 188-08</t>
  </si>
  <si>
    <t>Vitis x interspécifique cv. Castel 188-15</t>
  </si>
  <si>
    <t>Vitis x interspécifique cv. Castel 19637</t>
  </si>
  <si>
    <t>Vitis x interspécifique cv. Castel 20029</t>
  </si>
  <si>
    <t>Vitis x interspécifique cv. Castel 20031</t>
  </si>
  <si>
    <t>Vitis x interspécifique cv. Castel 20035</t>
  </si>
  <si>
    <t>Vitis x interspécifique cv. Castel 20410</t>
  </si>
  <si>
    <t>Vitis x interspécifique cv. Castel 20415</t>
  </si>
  <si>
    <t>Vitis x interspécifique cv. Castel 20418</t>
  </si>
  <si>
    <t>Vitis x interspécifique cv. Castel 215-1</t>
  </si>
  <si>
    <t>Vitis x interspécifique cv. Castel 227-1</t>
  </si>
  <si>
    <t>Vitis x interspécifique cv. Castel 3431</t>
  </si>
  <si>
    <t>Vitis x interspécifique cv. Castel 4337</t>
  </si>
  <si>
    <t>Vitis x interspécifique cv. Castel 4515</t>
  </si>
  <si>
    <t>Vitis x interspécifique cv. Castel 4639</t>
  </si>
  <si>
    <t>Vitis x interspécifique cv. Castel 6011</t>
  </si>
  <si>
    <t>Vitis x interspécifique cv. Castel 6021</t>
  </si>
  <si>
    <t>Vitis x interspécifique cv. Castel 6831</t>
  </si>
  <si>
    <t>Vitis x interspécifique cv. Castel 7229</t>
  </si>
  <si>
    <t>Vitis x interspécifique cv. Castel 7501</t>
  </si>
  <si>
    <t>Vitis x interspécifique cv. Castel 7605</t>
  </si>
  <si>
    <t>Vitis x interspécifique cv. Chambaudière 113</t>
  </si>
  <si>
    <t>Vitis x interspécifique cv. Chambaudière 1330</t>
  </si>
  <si>
    <t>Vitis x interspécifique cv. Chambaudière 1336</t>
  </si>
  <si>
    <t>Vitis x interspécifique cv. Chambaudière 1337</t>
  </si>
  <si>
    <t>Vitis x interspécifique cv. Chambaudière 1349</t>
  </si>
  <si>
    <t>Vitis x interspécifique cv. Chambaudière 1375</t>
  </si>
  <si>
    <t>Vitis x interspécifique cv. Chambaudière 1391</t>
  </si>
  <si>
    <t>Vitis x interspécifique cv. Chambaudière 426</t>
  </si>
  <si>
    <t>Vitis x interspécifique cv. Chambaudière 442</t>
  </si>
  <si>
    <t>Vitis x interspécifique cv. Chambaudière 540</t>
  </si>
  <si>
    <t>Vitis x interspécifique cv. Chambourcin = Joannès Seyve 26205</t>
  </si>
  <si>
    <t>Vitis x interspécifique cv. Chancellor = Seibel 7053</t>
  </si>
  <si>
    <t>Vitis x interspécifique cv. Chasselas Baco = Baco 7 A</t>
  </si>
  <si>
    <t>Vitis x interspécifique cv. Chazalon</t>
  </si>
  <si>
    <t>Vitis x interspécifique cv. Chelois = Seibel 10878</t>
  </si>
  <si>
    <t>Vitis x interspécifique cv. Chenivesse</t>
  </si>
  <si>
    <t>Vitis x interspécifique cv. Chevalier 3401</t>
  </si>
  <si>
    <t>Vitis x interspécifique cv. Chevalier 4002</t>
  </si>
  <si>
    <t>Vitis x interspécifique cv. cinerea x davidii</t>
  </si>
  <si>
    <t>Vitis x interspécifique cv. Claire Kühlmann = Kühlmann 477-1</t>
  </si>
  <si>
    <t>Vitis x interspécifique cv. Clairette dorée Ganzin</t>
  </si>
  <si>
    <t>Vitis x interspécifique cv. Clairette résistante</t>
  </si>
  <si>
    <t>Vitis x interspécifique cv. Clinton = Kilianstraube</t>
  </si>
  <si>
    <t>Vitis x interspécifique cv. Colobel = Seibel 8357</t>
  </si>
  <si>
    <t>Vitis x interspécifique cv. coriacea x cinerea</t>
  </si>
  <si>
    <t>Vitis x interspécifique cv. Cosmo 10</t>
  </si>
  <si>
    <t>Vitis x interspécifique cv. Cosmo 2</t>
  </si>
  <si>
    <t>Vitis x interspécifique cv. Couderc noir = Couderc 7120</t>
  </si>
  <si>
    <t>Vitis x interspécifique cv. Couderc 1</t>
  </si>
  <si>
    <t>Vitis x interspécifique cv. Couderc 10</t>
  </si>
  <si>
    <t>Vitis x interspécifique cv. Couderc 101</t>
  </si>
  <si>
    <t>Vitis x interspécifique cv. Couderc 102-5 ter</t>
  </si>
  <si>
    <t>Vitis x interspécifique cv. Couderc 106-46</t>
  </si>
  <si>
    <t>Vitis x interspécifique cv. Couderc 106-51</t>
  </si>
  <si>
    <t>Vitis x interspécifique cv. Couderc 109-4</t>
  </si>
  <si>
    <t>Vitis x interspécifique cv. Couderc 11</t>
  </si>
  <si>
    <t>Vitis x interspécifique cv. Couderc 117-3</t>
  </si>
  <si>
    <t>Vitis x interspécifique cv. Couderc 117-4</t>
  </si>
  <si>
    <t>Vitis x interspécifique cv. Couderc 119</t>
  </si>
  <si>
    <t>Vitis x interspécifique cv. Couderc 12</t>
  </si>
  <si>
    <t>Vitis x interspécifique cv. Couderc 1202</t>
  </si>
  <si>
    <t>Vitis x interspécifique cv. Couderc 124-12</t>
  </si>
  <si>
    <t>Vitis x interspécifique cv. Couderc 126-8</t>
  </si>
  <si>
    <t>Vitis x interspécifique cv. Couderc 128-29 = N 6-53</t>
  </si>
  <si>
    <t>Vitis x interspécifique cv. Couderc 13</t>
  </si>
  <si>
    <t>Vitis x interspécifique cv. Couderc 1305</t>
  </si>
  <si>
    <t>Vitis x interspécifique cv. Couderc 13-11</t>
  </si>
  <si>
    <t>Vitis x interspécifique cv. Couderc 132</t>
  </si>
  <si>
    <t>Vitis x interspécifique cv. Couderc 13-205 ou 132-5</t>
  </si>
  <si>
    <t>Vitis x interspécifique cv. Couderc 136-4</t>
  </si>
  <si>
    <t>Vitis x interspécifique cv. Couderc 14</t>
  </si>
  <si>
    <t>Vitis x interspécifique cv. Couderc 1401</t>
  </si>
  <si>
    <t>Vitis x interspécifique cv. Couderc 146-51</t>
  </si>
  <si>
    <t>Vitis x interspécifique cv. Couderc 15</t>
  </si>
  <si>
    <t>Vitis x interspécifique cv. Couderc 157-11</t>
  </si>
  <si>
    <t>Vitis x interspécifique cv. Couderc 157-21</t>
  </si>
  <si>
    <t>Vitis x interspécifique cv. Couderc 16</t>
  </si>
  <si>
    <t>Vitis x interspécifique cv. Couderc 1613</t>
  </si>
  <si>
    <t>Vitis x interspécifique cv. Couderc 1615</t>
  </si>
  <si>
    <t>Vitis x interspécifique cv. Couderc 1616 (Colmar 1984)</t>
  </si>
  <si>
    <t>Vitis x interspécifique cv. Couderc 1616 Davy (pubescent)</t>
  </si>
  <si>
    <t>Vitis x interspécifique cv. Couderc 1616 E</t>
  </si>
  <si>
    <t>Vitis x interspécifique cv. Couderc 162</t>
  </si>
  <si>
    <t>Vitis x interspécifique cv. Couderc 162-46</t>
  </si>
  <si>
    <t>Vitis x interspécifique cv. Couderc 162-5</t>
  </si>
  <si>
    <t>Vitis x interspécifique cv. Couderc 162-97</t>
  </si>
  <si>
    <t>Vitis x interspécifique cv. Couderc 17</t>
  </si>
  <si>
    <t>Vitis x interspécifique cv. Couderc 175</t>
  </si>
  <si>
    <t>Vitis x interspécifique cv. Couderc 18</t>
  </si>
  <si>
    <t>Vitis x interspécifique cv. Couderc 19 = 299-35</t>
  </si>
  <si>
    <t>Vitis x interspécifique cv. Couderc 197-94</t>
  </si>
  <si>
    <t>Vitis x interspécifique cv. Couderc 198-21</t>
  </si>
  <si>
    <t>Vitis x interspécifique cv. Couderc 198-89</t>
  </si>
  <si>
    <t>Vitis x interspécifique cv. Couderc 199-88</t>
  </si>
  <si>
    <t>Vitis x interspécifique cv. Couderc 2</t>
  </si>
  <si>
    <t>Vitis x interspécifique cv. Couderc 20</t>
  </si>
  <si>
    <t>Vitis x interspécifique cv. Couderc 201</t>
  </si>
  <si>
    <t>Vitis x interspécifique cv. Couderc 202-137</t>
  </si>
  <si>
    <t>Vitis x interspécifique cv. Couderc 203-143</t>
  </si>
  <si>
    <t>Vitis x interspécifique cv. Couderc 21</t>
  </si>
  <si>
    <t>Vitis x interspécifique cv. Couderc 2-10 = 2 Baronne</t>
  </si>
  <si>
    <t>Vitis x interspécifique cv. Couderc 216-2</t>
  </si>
  <si>
    <t>Vitis x interspécifique cv. Couderc 22</t>
  </si>
  <si>
    <t>Vitis x interspécifique cv. Couderc 226-58</t>
  </si>
  <si>
    <t>Vitis x interspécifique cv. Couderc 23</t>
  </si>
  <si>
    <t>Vitis x interspécifique cv. Couderc 235-120</t>
  </si>
  <si>
    <t>Vitis x interspécifique cv. Couderc 24</t>
  </si>
  <si>
    <t>Vitis x interspécifique cv. Couderc 241-123</t>
  </si>
  <si>
    <t>Vitis x interspécifique cv. Couderc 241-125</t>
  </si>
  <si>
    <t>Vitis x interspécifique cv. Couderc 246-123</t>
  </si>
  <si>
    <t>Vitis x interspécifique cv. Couderc 25</t>
  </si>
  <si>
    <t>Vitis x interspécifique cv. Couderc 251-150</t>
  </si>
  <si>
    <t>Vitis x interspécifique cv. Couderc 251-50</t>
  </si>
  <si>
    <t>Vitis x interspécifique cv. Couderc 252-14</t>
  </si>
  <si>
    <t>Vitis x interspécifique cv. Couderc 252-15</t>
  </si>
  <si>
    <t>Vitis x interspécifique cv. Couderc 26</t>
  </si>
  <si>
    <t>Vitis x interspécifique cv. Couderc 261-50</t>
  </si>
  <si>
    <t>Vitis x interspécifique cv. Couderc 2627-11</t>
  </si>
  <si>
    <t>Vitis x interspécifique cv. Couderc 267-27</t>
  </si>
  <si>
    <t>Vitis x interspécifique cv. Couderc 272-60</t>
  </si>
  <si>
    <t>Vitis x interspécifique cv. Couderc 28-112</t>
  </si>
  <si>
    <t>Vitis x interspécifique cv. Couderc 286-68</t>
  </si>
  <si>
    <t>Vitis x interspécifique cv. Couderc 299-17</t>
  </si>
  <si>
    <t>Vitis x interspécifique cv. Couderc 299-35</t>
  </si>
  <si>
    <t>Vitis x interspécifique cv. Couderc 3</t>
  </si>
  <si>
    <t>Vitis x interspécifique cv. Couderc 302-60</t>
  </si>
  <si>
    <t>Vitis x interspécifique cv. Couderc 3304</t>
  </si>
  <si>
    <t>Vitis x interspécifique cv. Couderc 3306</t>
  </si>
  <si>
    <t>Vitis x interspécifique cv. Couderc 3307</t>
  </si>
  <si>
    <t>Vitis x interspécifique cv. Couderc 3310</t>
  </si>
  <si>
    <t>Vitis x interspécifique cv. Couderc 343-14</t>
  </si>
  <si>
    <t>Vitis x interspécifique cv. Couderc 3601</t>
  </si>
  <si>
    <t>Vitis x interspécifique cv. Couderc 3905</t>
  </si>
  <si>
    <t>Vitis x interspécifique cv. Couderc 3907</t>
  </si>
  <si>
    <t>Vitis x interspécifique cv. Couderc 4</t>
  </si>
  <si>
    <t>Vitis x interspécifique cv. Couderc 404</t>
  </si>
  <si>
    <t>Vitis x interspécifique cv. Couderc 4306</t>
  </si>
  <si>
    <t>Vitis x interspécifique cv. Couderc 4308</t>
  </si>
  <si>
    <t>Vitis x interspécifique cv. Couderc 5</t>
  </si>
  <si>
    <t>Vitis x interspécifique cv. Couderc 501</t>
  </si>
  <si>
    <t>Vitis x interspécifique cv. Couderc 503</t>
  </si>
  <si>
    <t>Vitis x interspécifique cv. Couderc 504</t>
  </si>
  <si>
    <t>Vitis x interspécifique cv. Couderc 5407</t>
  </si>
  <si>
    <t>Vitis x interspécifique cv. Couderc 548-1</t>
  </si>
  <si>
    <t>Vitis x interspécifique cv. Couderc 554-5</t>
  </si>
  <si>
    <t>Vitis x interspécifique cv. Couderc 6</t>
  </si>
  <si>
    <t>Vitis x interspécifique cv. Couderc 601</t>
  </si>
  <si>
    <t>Vitis x interspécifique cv. Couderc 602</t>
  </si>
  <si>
    <t>Vitis x interspécifique cv. Couderc 603</t>
  </si>
  <si>
    <t>Vitis x interspécifique cv. Couderc 62-66</t>
  </si>
  <si>
    <t>Vitis x interspécifique cv. Couderc 633 H</t>
  </si>
  <si>
    <t>Vitis x interspécifique cv. Couderc 7</t>
  </si>
  <si>
    <t>Vitis x interspécifique cv. Couderc 71-03</t>
  </si>
  <si>
    <t>Vitis x interspécifique cv. Couderc 71-04</t>
  </si>
  <si>
    <t>Vitis x interspécifique cv. Couderc 7106</t>
  </si>
  <si>
    <t>Vitis x interspécifique cv. Couderc 7160</t>
  </si>
  <si>
    <t>Vitis x interspécifique cv. Couderc 71-61 = Contassot 2</t>
  </si>
  <si>
    <t>Vitis x interspécifique cv. Couderc 7301</t>
  </si>
  <si>
    <t>Vitis x interspécifique cv. Couderc 7417</t>
  </si>
  <si>
    <t>Vitis x interspécifique cv. Couderc 7502</t>
  </si>
  <si>
    <t>Vitis x interspécifique cv. Couderc 8</t>
  </si>
  <si>
    <t>Vitis x interspécifique cv. Couderc 81-2</t>
  </si>
  <si>
    <t>Vitis x interspécifique cv. Couderc 82-12</t>
  </si>
  <si>
    <t>Vitis x interspécifique cv. Couderc 8232</t>
  </si>
  <si>
    <t>Vitis x interspécifique cv. Couderc 84-10</t>
  </si>
  <si>
    <t>Vitis x interspécifique cv. Couderc 84-61</t>
  </si>
  <si>
    <t>Vitis x interspécifique cv. Couderc 85-113</t>
  </si>
  <si>
    <t>Vitis x interspécifique cv. Couderc 87-83</t>
  </si>
  <si>
    <t>Vitis x interspécifique cv. Couderc 89-23</t>
  </si>
  <si>
    <t>Vitis x interspécifique cv. Couderc 9</t>
  </si>
  <si>
    <t>Vitis x interspécifique cv. Couderc 901</t>
  </si>
  <si>
    <t>Vitis x interspécifique cv. Couderc 90-38</t>
  </si>
  <si>
    <t>Vitis x interspécifique cv. Couderc 904</t>
  </si>
  <si>
    <t>Vitis x interspécifique cv. Couderc 93-5</t>
  </si>
  <si>
    <t>Vitis x interspécifique cv. Couderc 96-32</t>
  </si>
  <si>
    <t>Vitis x interspécifique cv. Couderc 98-76</t>
  </si>
  <si>
    <t>Vitis x interspécifique cv. Cournon = Galibert 22-4</t>
  </si>
  <si>
    <t>Vitis x interspécifique cv. D Maclet</t>
  </si>
  <si>
    <t>Vitis x interspécifique cv. Dattier de Saint-Vallier = Seyve-Villard 20-365</t>
  </si>
  <si>
    <t>Vitis x interspécifique cv. davidii x ?</t>
  </si>
  <si>
    <t>Vitis x interspécifique cv. De Chaunac = Seibel 9549</t>
  </si>
  <si>
    <t>Vitis x interspécifique cv. Delaware rose</t>
  </si>
  <si>
    <t>Vitis x interspécifique cv. Directeur Grosjean = Kühlmann 536-3</t>
  </si>
  <si>
    <t>Vitis x interspécifique cv. Docteur Decker-rebe</t>
  </si>
  <si>
    <t>Vitis x interspécifique cv. Dog Ridge</t>
  </si>
  <si>
    <t>Vitis x interspécifique cv. Dorette</t>
  </si>
  <si>
    <t>Vitis x interspécifique cv. Douriou = Baco 37-16</t>
  </si>
  <si>
    <t>Vitis x interspécifique cv. Doux noir = Galibert 294-33</t>
  </si>
  <si>
    <t>Vitis x interspécifique cv. Dufour 11 F</t>
  </si>
  <si>
    <t>Vitis x interspécifique cv. E 31 Maclet</t>
  </si>
  <si>
    <t>Vitis x interspécifique cv. E 46 Maclet</t>
  </si>
  <si>
    <t>Vitis x interspécifique cv. Edda Mussolini = Pirovano 78</t>
  </si>
  <si>
    <t>Vitis x interspécifique cv. Einset seedless</t>
  </si>
  <si>
    <t>Vitis x interspécifique cv. Elisabeth</t>
  </si>
  <si>
    <t>Vitis x interspécifique cv. Embanc n°2 = Galibert 113-20</t>
  </si>
  <si>
    <t>Vitis x interspécifique cv. Emblanc n°1 = Galibert 113-18</t>
  </si>
  <si>
    <t>Vitis x interspécifique cv. Emblanc n°3 = Galibert 113-32</t>
  </si>
  <si>
    <t>Vitis x interspécifique cv. Emblanc n°4 = Galibert 128-13</t>
  </si>
  <si>
    <t>Vitis x interspécifique cv. Emblanc n°5 = Galibert 152-26</t>
  </si>
  <si>
    <t>Vitis x interspécifique cv. Emblanc n°6 = Galibert 153-11</t>
  </si>
  <si>
    <t>Vitis x interspécifique cv. Emblanc n°7 = Galibert 154-20</t>
  </si>
  <si>
    <t>Vitis x interspécifique cv. Emblanc n°8 = Galibert 155-9</t>
  </si>
  <si>
    <t>Vitis x interspécifique cv. Emblanc n°9 = Galibert 162-3</t>
  </si>
  <si>
    <t>Vitis x interspécifique cv. Emon 1-23</t>
  </si>
  <si>
    <t>Vitis x interspécifique cv. Emon 19-20</t>
  </si>
  <si>
    <t>Vitis x interspécifique cv. Emon 2</t>
  </si>
  <si>
    <t>Vitis x interspécifique cv. Emon 2-5</t>
  </si>
  <si>
    <t>Vitis x interspécifique cv. Emon 9</t>
  </si>
  <si>
    <t>Vitis x interspécifique cv. Ennoir n°1 = Galibert 114-10</t>
  </si>
  <si>
    <t>Vitis x interspécifique cv. Ennoir n°2 = Galibert 152-24</t>
  </si>
  <si>
    <t>Vitis x interspécifique cv. Ennoir n°3 = Galibert 152-27</t>
  </si>
  <si>
    <t>Vitis x interspécifique cv. Ennoir n°4 = Galibert 155-3</t>
  </si>
  <si>
    <t>Vitis x interspécifique cv. Ennoir n°5 = Galibert 155-11</t>
  </si>
  <si>
    <t>Vitis x interspécifique cv. Ennoir n°6 = Galibert 155-14</t>
  </si>
  <si>
    <t>Vitis x interspécifique cv. Ennoir n°7 = Galibert 162-4</t>
  </si>
  <si>
    <t>Vitis x interspécifique cv. Ennoir n°8 = Galibert 166-18</t>
  </si>
  <si>
    <t>Vitis x interspécifique cv. Ennoir n°9 = Galibert 171-24</t>
  </si>
  <si>
    <t>Vitis x interspécifique cv. Estellat = Baco 30-12</t>
  </si>
  <si>
    <t>Vitis x interspécifique cv. Etoile 1 = Kühlmann 237-1</t>
  </si>
  <si>
    <t>Vitis x interspécifique cv. Etoile 2 = Kühlmann 237-2</t>
  </si>
  <si>
    <t>Vitis x interspécifique cv. Evex 13-3</t>
  </si>
  <si>
    <t>Vitis x interspécifique cv. Evex 13-5</t>
  </si>
  <si>
    <t>Vitis x interspécifique cv. Excelsior Guilly</t>
  </si>
  <si>
    <t>Vitis x interspécifique cv. Excelsior (Ricketts)</t>
  </si>
  <si>
    <t>Vitis x interspécifique cv. Farato Grimaldi</t>
  </si>
  <si>
    <t>Vitis x interspécifique cv. Fauconneau 1</t>
  </si>
  <si>
    <t>Vitis x interspécifique cv. Fauconneau 2</t>
  </si>
  <si>
    <t>Vitis x interspécifique cv. Fercal</t>
  </si>
  <si>
    <t>Vitis x interspécifique cv. Ferdinand de Lesseps</t>
  </si>
  <si>
    <t>Vitis x interspécifique cv. Fin blanc 1</t>
  </si>
  <si>
    <t>Vitis x interspécifique cv. Fin noir = Kühlmann 275-2</t>
  </si>
  <si>
    <t>Vitis x interspécifique cv. Fin noir 1</t>
  </si>
  <si>
    <t>Vitis x interspécifique cv. Fin noir 2</t>
  </si>
  <si>
    <t>Vitis x interspécifique cv. Florental = Burdin 7705</t>
  </si>
  <si>
    <t>Vitis x interspécifique cv. Flot d'Or = Seibel 2653</t>
  </si>
  <si>
    <t>Vitis x interspécifique cv. Flot rouge = Seibel 1020</t>
  </si>
  <si>
    <t>Vitis x interspécifique cv. Fontan</t>
  </si>
  <si>
    <t>Vitis x interspécifique cv. Fredonia</t>
  </si>
  <si>
    <t>Vitis x interspécifique cv. G 1 = Grézot 1</t>
  </si>
  <si>
    <t>Vitis x interspécifique cv. Gaillard 157</t>
  </si>
  <si>
    <t>Vitis x interspécifique cv. Gaillard 194</t>
  </si>
  <si>
    <t>Vitis x interspécifique cv. Gaillard 2</t>
  </si>
  <si>
    <t>Vitis x interspécifique cv. Galibert 114-12</t>
  </si>
  <si>
    <t>Vitis x interspécifique cv. Galibert 114-25</t>
  </si>
  <si>
    <t>Vitis x interspécifique cv. Galibert 115-18</t>
  </si>
  <si>
    <t>Vitis x interspécifique cv. Galibert 115-28</t>
  </si>
  <si>
    <t>Vitis x interspécifique cv. Galibert 14-2</t>
  </si>
  <si>
    <t>Vitis x interspécifique cv. Galibert 14-3</t>
  </si>
  <si>
    <t>Vitis x interspécifique cv. Galibert 14-4</t>
  </si>
  <si>
    <t>Vitis x interspécifique cv. Galibert 14-5</t>
  </si>
  <si>
    <t>Vitis x interspécifique cv. Galibert 201 F</t>
  </si>
  <si>
    <t>Vitis x interspécifique cv. Galibert 201 H</t>
  </si>
  <si>
    <t>Vitis x interspécifique cv. Galibert 201-8 = Inconnu</t>
  </si>
  <si>
    <t>Vitis x interspécifique cv. Galibert 20-2</t>
  </si>
  <si>
    <t>Vitis x interspécifique cv. Galibert 21-2</t>
  </si>
  <si>
    <t>Vitis x interspécifique cv. Galibert 25-2</t>
  </si>
  <si>
    <t>Vitis x interspécifique cv. Galibert 309</t>
  </si>
  <si>
    <t>Vitis x interspécifique cv. Galibert 315</t>
  </si>
  <si>
    <t>Vitis x interspécifique cv. Galibert 35-3</t>
  </si>
  <si>
    <t>Vitis x interspécifique cv. Galibert 403</t>
  </si>
  <si>
    <t>Vitis x interspécifique cv. Galibert 404</t>
  </si>
  <si>
    <t>Vitis x interspécifique cv. Galibert 408</t>
  </si>
  <si>
    <t>Vitis x interspécifique cv. Galibert 413</t>
  </si>
  <si>
    <t>Vitis x interspécifique cv. Galibert 414</t>
  </si>
  <si>
    <t>Vitis x interspécifique cv. Galibert 420</t>
  </si>
  <si>
    <t>Vitis x interspécifique cv. Galibert 42-1</t>
  </si>
  <si>
    <t>Vitis x interspécifique cv. Galibert 42-2</t>
  </si>
  <si>
    <t>Vitis x interspécifique cv. Galibert 42-3</t>
  </si>
  <si>
    <t>Vitis x interspécifique cv. Galicante blanc n°1 = Galibert 238-95</t>
  </si>
  <si>
    <t>Vitis x interspécifique cv. Galicante noir n°1 = Galibert 239-96</t>
  </si>
  <si>
    <t>Vitis x interspécifique cv. Galicoul noir = Galibert 238-35</t>
  </si>
  <si>
    <t>Vitis x interspécifique cv. Galignon n°2 = Galibert 264-34</t>
  </si>
  <si>
    <t>Vitis x interspécifique cv. Gamay Couderc = Couderc 3103</t>
  </si>
  <si>
    <t>Vitis x interspécifique cv. Garnier 15-6</t>
  </si>
  <si>
    <t>Vitis x interspécifique cv. Garonnet = Seyve-Villard 18-283</t>
  </si>
  <si>
    <t>Vitis x interspécifique cv. Gaulois 1</t>
  </si>
  <si>
    <t>Vitis x interspécifique cv. Gaulois 2</t>
  </si>
  <si>
    <t>Vitis x interspécifique cv. Geisenheim 26</t>
  </si>
  <si>
    <t>Vitis x interspécifique cv. Geisenheim 97</t>
  </si>
  <si>
    <t>Vitis x interspécifique cv. GfGa-47-42</t>
  </si>
  <si>
    <t>Vitis x interspécifique cv. Gigantesque Millardet de Grasset</t>
  </si>
  <si>
    <t>Vitis x interspécifique cv. Glenora</t>
  </si>
  <si>
    <t>Vitis x interspécifique cv. Golden Muscat</t>
  </si>
  <si>
    <t>Vitis x interspécifique cv. Golia = 1-37 Pirovano</t>
  </si>
  <si>
    <t>Vitis x interspécifique cv. Gradian noir = Galibert 23-2</t>
  </si>
  <si>
    <t>Vitis x interspécifique cv. Grand Noir de Cadoule = Galibert 115-22</t>
  </si>
  <si>
    <t>Vitis x interspécifique cv. Gravesac</t>
  </si>
  <si>
    <t>Vitis x interspécifique cv. Grimaldi 24-27</t>
  </si>
  <si>
    <t>Vitis x interspécifique cv. Grimaldi 444</t>
  </si>
  <si>
    <t>Vitis x interspécifique cv. Gros Cadillon = Galibert 261-11</t>
  </si>
  <si>
    <t>Vitis x interspécifique cv. Guillaume 35</t>
  </si>
  <si>
    <t>Vitis x interspécifique cv. Guillaume 4</t>
  </si>
  <si>
    <t>Vitis x interspécifique cv. Guillaume 6</t>
  </si>
  <si>
    <t>Vitis x interspécifique cv. Harmony</t>
  </si>
  <si>
    <t>Vitis x interspécifique cv. Hartford Prolific</t>
  </si>
  <si>
    <t>Vitis x interspécifique cv. Helios</t>
  </si>
  <si>
    <t>Vitis x interspécifique cv. Herbemont</t>
  </si>
  <si>
    <t>Vitis x interspécifique cv. Himrod</t>
  </si>
  <si>
    <t>Vitis x interspécifique cv. Humbert 3</t>
  </si>
  <si>
    <t>Vitis x interspécifique cv. Hybride Azemar</t>
  </si>
  <si>
    <t>Vitis x interspécifique cv. Hybride Boiziau</t>
  </si>
  <si>
    <t>Vitis x interspécifique cv. Hybride d'Allen</t>
  </si>
  <si>
    <t>Vitis x interspécifique cv. Hybride Fournier</t>
  </si>
  <si>
    <t>Vitis x interspécifique cv. Hybride Franc</t>
  </si>
  <si>
    <t>Vitis x interspécifique cv. Hybride Lacoste</t>
  </si>
  <si>
    <t>Vitis x interspécifique cv. Hybride Pully 1</t>
  </si>
  <si>
    <t>Vitis x interspécifique cv. Hybride Pully 7</t>
  </si>
  <si>
    <t>Vitis x interspécifique cv. Hybride Trinquier</t>
  </si>
  <si>
    <t>Vitis x interspécifique cv. INRA-Mtp-3186-1-87</t>
  </si>
  <si>
    <t>Vitis x interspécifique cv. Institut = Kühlmann 482-2</t>
  </si>
  <si>
    <t>Vitis x interspécifique cv. Jacquez</t>
  </si>
  <si>
    <t>Vitis x interspécifique cv. Jacquez d'Aurelles 1</t>
  </si>
  <si>
    <t>Vitis x interspécifique cv. Joannès Seyve 11369</t>
  </si>
  <si>
    <t>Vitis x interspécifique cv. Joannès Seyve 12426</t>
  </si>
  <si>
    <t>Vitis x interspécifique cv. Joannès Seyve 12428</t>
  </si>
  <si>
    <t>Vitis x interspécifique cv. Joannès Seyve 12448</t>
  </si>
  <si>
    <t>Vitis x interspécifique cv. Joannès Seyve 12462</t>
  </si>
  <si>
    <t>Vitis x interspécifique cv. Joannès Seyve 13733</t>
  </si>
  <si>
    <t>Vitis x interspécifique cv. Joannès Seyve 13756</t>
  </si>
  <si>
    <t>Vitis x interspécifique cv. Joannès Seyve 14924</t>
  </si>
  <si>
    <t>Vitis x interspécifique cv. Joannès Seyve 14928</t>
  </si>
  <si>
    <t>Vitis x interspécifique cv. Joannès Seyve 14982</t>
  </si>
  <si>
    <t>Vitis x interspécifique cv. Joannès Seyve 15874</t>
  </si>
  <si>
    <t>Vitis x interspécifique cv. Joannès Seyve 15875</t>
  </si>
  <si>
    <t>Vitis x interspécifique cv. Joannès Seyve 16150</t>
  </si>
  <si>
    <t>Vitis x interspécifique cv. Joannès Seyve 19103</t>
  </si>
  <si>
    <t>Vitis x interspécifique cv. Joannès Seyve 23275</t>
  </si>
  <si>
    <t>Vitis x interspécifique cv. Joannès Seyve 23284</t>
  </si>
  <si>
    <t>Vitis x interspécifique cv. Joannès Seyve 23298</t>
  </si>
  <si>
    <t>Vitis x interspécifique cv. Joannès Seyve 23416</t>
  </si>
  <si>
    <t>Vitis x interspécifique cv. Joannès Seyve 23545</t>
  </si>
  <si>
    <t>Vitis x interspécifique cv. Joannès Seyve 24298</t>
  </si>
  <si>
    <t>Vitis x interspécifique cv. Joannès Seyve 24397</t>
  </si>
  <si>
    <t>Vitis x interspécifique cv. Joannès Seyve 24398</t>
  </si>
  <si>
    <t>Vitis x interspécifique cv. Joannès Seyve 24399</t>
  </si>
  <si>
    <t>Vitis x interspécifique cv. Joannès Seyve 24408</t>
  </si>
  <si>
    <t>Vitis x interspécifique cv. Joannès Seyve 24444</t>
  </si>
  <si>
    <t>Vitis x interspécifique cv. Joannès Seyve 24610</t>
  </si>
  <si>
    <t>Vitis x interspécifique cv. Joannès Seyve 24614</t>
  </si>
  <si>
    <t>Vitis x interspécifique cv. Joannès Seyve 24651</t>
  </si>
  <si>
    <t>Vitis x interspécifique cv. Joannès Seyve 24967</t>
  </si>
  <si>
    <t>Vitis x interspécifique cv. Joannès Seyve 25444</t>
  </si>
  <si>
    <t>Vitis x interspécifique cv. Joannès Seyve 25555</t>
  </si>
  <si>
    <t>Vitis x interspécifique cv. Joannès Seyve 25874</t>
  </si>
  <si>
    <t>Vitis x interspécifique cv. Joannès Seyve 26130</t>
  </si>
  <si>
    <t>Vitis x interspécifique cv. Joannès Seyve 26470</t>
  </si>
  <si>
    <t>Vitis x interspécifique cv. Joannès Seyve 26480</t>
  </si>
  <si>
    <t>Vitis x interspécifique cv. Joannès Seyve 26482</t>
  </si>
  <si>
    <t>Vitis x interspécifique cv. Joannès Seyve 26487</t>
  </si>
  <si>
    <t>Vitis x interspécifique cv. Joannès Seyve 26490</t>
  </si>
  <si>
    <t>Vitis x interspécifique cv. Joannès Seyve 26620</t>
  </si>
  <si>
    <t>Vitis x interspécifique cv. Joannès Seyve 26627</t>
  </si>
  <si>
    <t>Vitis x interspécifique cv. Joannès Seyve 26649</t>
  </si>
  <si>
    <t>Vitis x interspécifique cv. Joannès Seyve 26651</t>
  </si>
  <si>
    <t>Vitis x interspécifique cv. Joannès Seyve 26654</t>
  </si>
  <si>
    <t>Vitis x interspécifique cv. Joannès Seyve 26674</t>
  </si>
  <si>
    <t>Vitis x interspécifique cv. Joannès Seyve 26724</t>
  </si>
  <si>
    <t>Vitis x interspécifique cv. Joannès Seyve 26790</t>
  </si>
  <si>
    <t>Vitis x interspécifique cv. Joannès Seyve 26855</t>
  </si>
  <si>
    <t>Vitis x interspécifique cv. Joannès Seyve 26924</t>
  </si>
  <si>
    <t>Vitis x interspécifique cv. Joannès Seyve 27350</t>
  </si>
  <si>
    <t>Vitis x interspécifique cv. Joannès Seyve 30158</t>
  </si>
  <si>
    <t>Vitis x interspécifique cv. Joannès Seyve 30286</t>
  </si>
  <si>
    <t>Vitis x interspécifique cv. Joannès Seyve 30555</t>
  </si>
  <si>
    <t>Vitis x interspécifique cv. Joannès Seyve 30641</t>
  </si>
  <si>
    <t>Vitis x interspécifique cv. Joannès Seyve 30662</t>
  </si>
  <si>
    <t>Vitis x interspécifique cv. Joannès Seyve 31132</t>
  </si>
  <si>
    <t>Vitis x interspécifique cv. Joannès Seyve 31392</t>
  </si>
  <si>
    <t>Vitis x interspécifique cv. Joannès Seyve 4825</t>
  </si>
  <si>
    <t>Vitis x interspécifique cv. Joannès Seyve 5563</t>
  </si>
  <si>
    <t>Vitis x interspécifique cv. Joannès Seyve 6264</t>
  </si>
  <si>
    <t>Vitis x interspécifique cv. Joannès Seyve 9149</t>
  </si>
  <si>
    <t>Vitis x interspécifique cv. Johanniter</t>
  </si>
  <si>
    <t>Vitis x interspécifique cv. Joussely 1</t>
  </si>
  <si>
    <t>Vitis x interspécifique cv. Joussely 2</t>
  </si>
  <si>
    <t>Vitis x interspécifique cv. Jurie 1975</t>
  </si>
  <si>
    <t>Vitis x interspécifique cv. Kühlmann 702 A faux</t>
  </si>
  <si>
    <t>Vitis x interspécifique cv. La Céline = Baco 12-12</t>
  </si>
  <si>
    <t>Vitis x interspécifique cv. La Madone = Couderc 4101</t>
  </si>
  <si>
    <t>Vitis x interspécifique cv. labrusca x ?</t>
  </si>
  <si>
    <t>Vitis x interspécifique cv. labrusca x vinifera</t>
  </si>
  <si>
    <t>Vitis x interspécifique cv. Laffourcade 15 V</t>
  </si>
  <si>
    <t>Vitis x interspécifique cv. Laffourcade 19</t>
  </si>
  <si>
    <t>Vitis x interspécifique cv. Laffourcade 26</t>
  </si>
  <si>
    <t>Vitis x interspécifique cv. Laffourcade 6</t>
  </si>
  <si>
    <t>Vitis x interspécifique cv. Landal = Landot 244</t>
  </si>
  <si>
    <t>Vitis x interspécifique cv. Landot 1233</t>
  </si>
  <si>
    <t>Vitis x interspécifique cv. Landot 1674</t>
  </si>
  <si>
    <t>Vitis x interspécifique cv. Landot 1678</t>
  </si>
  <si>
    <t>Vitis x interspécifique cv. Landot 1680</t>
  </si>
  <si>
    <t>Vitis x interspécifique cv. Landot 204</t>
  </si>
  <si>
    <t>Vitis x interspécifique cv. Landot 206</t>
  </si>
  <si>
    <t>Vitis x interspécifique cv. Landot 2281</t>
  </si>
  <si>
    <t>Vitis x interspécifique cv. Landot 2282</t>
  </si>
  <si>
    <t>Vitis x interspécifique cv. Landot 2283</t>
  </si>
  <si>
    <t>Vitis x interspécifique cv. Landot 2291</t>
  </si>
  <si>
    <t>Vitis x interspécifique cv. Landot 234</t>
  </si>
  <si>
    <t>Vitis x interspécifique cv. Landot 2380</t>
  </si>
  <si>
    <t>Vitis x interspécifique cv. Landot 240</t>
  </si>
  <si>
    <t>Vitis x interspécifique cv. Landot 2517</t>
  </si>
  <si>
    <t>Vitis x interspécifique cv. Landot 301</t>
  </si>
  <si>
    <t>Vitis x interspécifique cv. Landot 304</t>
  </si>
  <si>
    <t>Vitis x interspécifique cv. Landot 3381</t>
  </si>
  <si>
    <t>Vitis x interspécifique cv. Landot 3474</t>
  </si>
  <si>
    <t>Vitis x interspécifique cv. Landot 3518</t>
  </si>
  <si>
    <t>Vitis x interspécifique cv. Landot 3568</t>
  </si>
  <si>
    <t>Vitis x interspécifique cv. Landot 3901</t>
  </si>
  <si>
    <t>Vitis x interspécifique cv. Landot 4239</t>
  </si>
  <si>
    <t>Vitis x interspécifique cv. Landot 4411</t>
  </si>
  <si>
    <t>Vitis x interspécifique cv. Landot 4465</t>
  </si>
  <si>
    <t>Vitis x interspécifique cv. Landot 4511</t>
  </si>
  <si>
    <t>Vitis x interspécifique cv. Landot 506</t>
  </si>
  <si>
    <t>Vitis x interspécifique cv. Landot 508</t>
  </si>
  <si>
    <t>Vitis x interspécifique cv. Landot 540</t>
  </si>
  <si>
    <t>Vitis x interspécifique cv. Landot 562</t>
  </si>
  <si>
    <t>Vitis x interspécifique cv. Landot 742</t>
  </si>
  <si>
    <t>Vitis x interspécifique cv. Landot 760</t>
  </si>
  <si>
    <t>Vitis x interspécifique cv. Landot 790</t>
  </si>
  <si>
    <t>Vitis x interspécifique cv. Laquenexy 155-2</t>
  </si>
  <si>
    <t>Vitis x interspécifique cv. Laquenexy 43-3</t>
  </si>
  <si>
    <t>Vitis x interspécifique cv. Laquenexy 44</t>
  </si>
  <si>
    <t>Vitis x interspécifique cv. Laquenexy 4-54</t>
  </si>
  <si>
    <t>Vitis x interspécifique cv. Laquenexy 4-56</t>
  </si>
  <si>
    <t>Vitis x interspécifique cv. Le Capéran = Baco 43-23</t>
  </si>
  <si>
    <t>Vitis x interspécifique cv. Le Cazalet = Baco 58-15</t>
  </si>
  <si>
    <t>Vitis x interspécifique cv. Le Colonel = Bertille Seyve 2667</t>
  </si>
  <si>
    <t>Vitis x interspécifique cv. Le Commandant = Bertille Seyve 2862</t>
  </si>
  <si>
    <t>Vitis x interspécifique cv. Le Fondard = Le Jurassien = Jurie 580</t>
  </si>
  <si>
    <t>Vitis x interspécifique cv. Le Général = Bertille Seyve 5563</t>
  </si>
  <si>
    <t>Vitis x interspécifique cv. Le Pourpre = Seibel 4646</t>
  </si>
  <si>
    <t>Vitis x interspécifique cv. Le Rubis = Seibel 5575</t>
  </si>
  <si>
    <t>Vitis x interspécifique cv. Le Subéreux = Seibel 6905</t>
  </si>
  <si>
    <t>Vitis x interspécifique cv. Léon Millot = Kühlmann 194-2</t>
  </si>
  <si>
    <t>Vitis x interspécifique cv. Llyod's number 33 = LN 33</t>
  </si>
  <si>
    <t>Vitis x interspécifique cv. Logan</t>
  </si>
  <si>
    <t>Vitis x interspécifique cv. Lucie Kühlmann = Kühlmann 149-3</t>
  </si>
  <si>
    <t>Vitis x interspécifique cv. Maclet C 103</t>
  </si>
  <si>
    <t>Vitis x interspécifique cv. Madame Castel = Castel 1028</t>
  </si>
  <si>
    <t>Vitis x interspécifique cv. Madame Lussan = Castel 19002</t>
  </si>
  <si>
    <t>Vitis x interspécifique cv. Mademoiselle Messiny = Kühlmann 193-5</t>
  </si>
  <si>
    <t>Vitis x interspécifique cv. Malègue S 3</t>
  </si>
  <si>
    <t>Vitis x interspécifique cv. Malègue 113</t>
  </si>
  <si>
    <t>Vitis x interspécifique cv. Malègue 1157-1</t>
  </si>
  <si>
    <t>Vitis x interspécifique cv. Malègue 1157-15</t>
  </si>
  <si>
    <t>Vitis x interspécifique cv. Malègue 148-4</t>
  </si>
  <si>
    <t>Vitis x interspécifique cv. Malègue 1495-1</t>
  </si>
  <si>
    <t>Vitis x interspécifique cv. Malègue 150-13</t>
  </si>
  <si>
    <t>Vitis x interspécifique cv. Malègue 150-15</t>
  </si>
  <si>
    <t>Vitis x interspécifique cv. Malègue 150-9</t>
  </si>
  <si>
    <t>Vitis x interspécifique cv. Malègue 1647-8</t>
  </si>
  <si>
    <t>Vitis x interspécifique cv. Malègue 1995-4</t>
  </si>
  <si>
    <t>Vitis x interspécifique cv. Malègue 2049-3</t>
  </si>
  <si>
    <t>Vitis x interspécifique cv. Malègue 2094-3</t>
  </si>
  <si>
    <t>Vitis x interspécifique cv. Malègue 2236-1</t>
  </si>
  <si>
    <t>Vitis x interspécifique cv. Malègue 2623-2</t>
  </si>
  <si>
    <t>Vitis x interspécifique cv. Malègue 2627-11</t>
  </si>
  <si>
    <t>Vitis x interspécifique cv. Malègue 44-46</t>
  </si>
  <si>
    <t>Vitis x interspécifique cv. Malègue 469-2</t>
  </si>
  <si>
    <t>Vitis x interspécifique cv. Malègue 474-5</t>
  </si>
  <si>
    <t>Vitis x interspécifique cv. Malègue 51-20</t>
  </si>
  <si>
    <t>Vitis x interspécifique cv. Malègue 57</t>
  </si>
  <si>
    <t>Vitis x interspécifique cv. Malègue 653-1</t>
  </si>
  <si>
    <t>Vitis x interspécifique cv. Malègue 71-7</t>
  </si>
  <si>
    <t>Vitis x interspécifique cv. Malègue 75</t>
  </si>
  <si>
    <t>Vitis x interspécifique cv. Malègue 829-6</t>
  </si>
  <si>
    <t>Vitis x interspécifique cv. Maréchal Foch = Kühlmann 188-2</t>
  </si>
  <si>
    <t>Vitis x interspécifique cv. Maréchal Joffre = Kühlmann 187-1</t>
  </si>
  <si>
    <t>Vitis x interspécifique cv. Maxatawnay</t>
  </si>
  <si>
    <t>Vitis x interspécifique cv. Merzling</t>
  </si>
  <si>
    <t>Vitis x interspécifique cv. Meynieu 3</t>
  </si>
  <si>
    <t>Vitis x interspécifique cv. Meynieu 6</t>
  </si>
  <si>
    <t>Vitis x interspécifique cv. Meynieu 7</t>
  </si>
  <si>
    <t>Vitis x interspécifique cv. Meynieu 8-5</t>
  </si>
  <si>
    <t>Vitis x interspécifique cv. Meynieu 8-6</t>
  </si>
  <si>
    <t>Vitis x interspécifique cv. Meynieu 9-48</t>
  </si>
  <si>
    <t>Vitis x interspécifique cv. Millardet = Kühlmann 193-2</t>
  </si>
  <si>
    <t>Vitis x interspécifique cv. Millardet de Grasset 143 A</t>
  </si>
  <si>
    <t>Vitis x interspécifique cv. Millardet et de Grasset 101</t>
  </si>
  <si>
    <t>Vitis x interspécifique cv. Millardet et de Grasset 101-1</t>
  </si>
  <si>
    <t>Vitis x interspécifique cv. Millardet et de Grasset 101-10</t>
  </si>
  <si>
    <t>Vitis x interspécifique cv. Millardet et de Grasset 101-11</t>
  </si>
  <si>
    <t>Vitis x interspécifique cv. Millardet et de Grasset 101-12</t>
  </si>
  <si>
    <t>Vitis x interspécifique cv. Millardet et de Grasset 101-14 faux (Carpentras)</t>
  </si>
  <si>
    <t>Vitis x interspécifique cv. Millardet et de Grasset 101-2</t>
  </si>
  <si>
    <t>Vitis x interspécifique cv. Millardet et de Grasset 101-9</t>
  </si>
  <si>
    <t>Vitis x interspécifique cv. Millardet et de Grasset 106-8</t>
  </si>
  <si>
    <t>Vitis x interspécifique cv. Millardet et de Grasset 108-16</t>
  </si>
  <si>
    <t>Vitis x interspécifique cv. Millardet et de Grasset 125-1</t>
  </si>
  <si>
    <t>Vitis x interspécifique cv. Millardet et de Grasset 125-2</t>
  </si>
  <si>
    <t>Vitis x interspécifique cv. Millardet et de Grasset 125-4</t>
  </si>
  <si>
    <t>Vitis x interspécifique cv. Millardet et de Grasset 143</t>
  </si>
  <si>
    <t>Vitis x interspécifique cv. Millardet et de Grasset 17-37</t>
  </si>
  <si>
    <t>Vitis x interspécifique cv. Millardet et de Grasset 199-16</t>
  </si>
  <si>
    <t>Vitis x interspécifique cv. Millardet et de Grasset 202-4</t>
  </si>
  <si>
    <t>Vitis x interspécifique cv. Millardet et de Grasset 212-7</t>
  </si>
  <si>
    <t>Vitis x interspécifique cv. Millardet et de Grasset 215-2</t>
  </si>
  <si>
    <t>Vitis x interspécifique cv. Millardet et de Grasset 219-7</t>
  </si>
  <si>
    <t>Vitis x interspécifique cv. Millardet et de Grasset 227-11-29</t>
  </si>
  <si>
    <t>Vitis x interspécifique cv. Millardet et de Grasset 227-55-29</t>
  </si>
  <si>
    <t>Vitis x interspécifique cv. Millardet et de Grasset 262</t>
  </si>
  <si>
    <t>Vitis x interspécifique cv. Millardet et de Grasset 301-14-152</t>
  </si>
  <si>
    <t>Vitis x interspécifique cv. Millardet et de Grasset 301-37-152</t>
  </si>
  <si>
    <t>Vitis x interspécifique cv. Millardet et de Grasset 301-4-153</t>
  </si>
  <si>
    <t>Vitis x interspécifique cv. Millardet et de Grasset 301-43-152</t>
  </si>
  <si>
    <t>Vitis x interspécifique cv. Millardet et de Grasset 33</t>
  </si>
  <si>
    <t>Vitis x interspécifique cv. Millardet et de Grasset 420 B</t>
  </si>
  <si>
    <t>Vitis x interspécifique cv. Millardet et de Grasset 420 C</t>
  </si>
  <si>
    <t>Vitis x interspécifique cv. Millardet et de Grasset 422 A</t>
  </si>
  <si>
    <t>Vitis x interspécifique cv. Millardet et de Grasset 422 B</t>
  </si>
  <si>
    <t>Vitis x interspécifique cv. Millardet 301</t>
  </si>
  <si>
    <t>Vitis x interspécifique cv. Millardet 374</t>
  </si>
  <si>
    <t>Vitis x interspécifique cv. Molines P.F.</t>
  </si>
  <si>
    <t>Vitis x interspécifique cv. Montoneri 23</t>
  </si>
  <si>
    <t>Vitis x interspécifique cv. Mounier 14-2</t>
  </si>
  <si>
    <t>Vitis x interspécifique cv. Mounier 155-7</t>
  </si>
  <si>
    <t>Vitis x interspécifique cv. Mounier 19-3</t>
  </si>
  <si>
    <t>Vitis x interspécifique cv. Musc Delecta = Seibel 16281</t>
  </si>
  <si>
    <t>Vitis x interspécifique cv. Muscadille = Galibert 265-35</t>
  </si>
  <si>
    <t>Vitis x interspécifique cv. Muscadoule = Galibert 255-10</t>
  </si>
  <si>
    <t>Vitis x interspécifique cv. Muscat Bailey A</t>
  </si>
  <si>
    <t>Vitis x interspécifique cv. Muscat blanc = Meynieu 9-68</t>
  </si>
  <si>
    <t>Vitis x interspécifique cv. Muscat de Saint-Christol = Galibert 255-43</t>
  </si>
  <si>
    <t>Vitis x interspécifique cv. Muscat de Saint-Vallier = Seyve-Villard 20-473</t>
  </si>
  <si>
    <t>Vitis x interspécifique cv. Muscat Sélection 2 Gaillard</t>
  </si>
  <si>
    <t>Vitis x interspécifique cv. Muscolive = Galibert 15-2</t>
  </si>
  <si>
    <t>Vitis x interspécifique cv. Néo Muscat</t>
  </si>
  <si>
    <t>Vitis x interspécifique cv. Neo Muscat x Gros Sémillon</t>
  </si>
  <si>
    <t>Vitis x interspécifique cv. Néron = Kühlmann 296-1</t>
  </si>
  <si>
    <t>Vitis x interspécifique cv. Niabell</t>
  </si>
  <si>
    <t>Vitis x interspécifique cv. Niagara</t>
  </si>
  <si>
    <t>Vitis x interspécifique cv. Noah</t>
  </si>
  <si>
    <t>Vitis x interspécifique cv. Nouveau Bayard = Couderc 132-11</t>
  </si>
  <si>
    <t>Vitis x interspécifique cv. Oberlin noir = Oberlin 595</t>
  </si>
  <si>
    <t>Vitis x interspécifique cv. Oberlin 604</t>
  </si>
  <si>
    <t>Vitis x interspécifique cv. Oberlin 605</t>
  </si>
  <si>
    <t>Vitis x interspécifique cv. Oberlin 701</t>
  </si>
  <si>
    <t>Vitis x interspécifique cv. Oberlin 702 A</t>
  </si>
  <si>
    <t>Vitis x interspécifique cv. Oberlin 716</t>
  </si>
  <si>
    <t>Vitis x interspécifique cv. Oberlin 782</t>
  </si>
  <si>
    <t>Vitis x interspécifique cv. Oeillade de Conzieu = Landot 2832</t>
  </si>
  <si>
    <t>Vitis x interspécifique cv. Orion</t>
  </si>
  <si>
    <t>Vitis x interspécifique cv. Othello</t>
  </si>
  <si>
    <t>Vitis x interspécifique cv. Othello gris</t>
  </si>
  <si>
    <t>Vitis x interspécifique cv. Paulistinha</t>
  </si>
  <si>
    <t>Vitis x interspécifique cv. Paulsen 1043</t>
  </si>
  <si>
    <t>Vitis x interspécifique cv. Paulsen 1045</t>
  </si>
  <si>
    <t>Vitis x interspécifique cv. Paulsen 1119</t>
  </si>
  <si>
    <t>Vitis x interspécifique cv. Paulsen 1120</t>
  </si>
  <si>
    <t>Vitis x interspécifique cv. Paulsen 1321</t>
  </si>
  <si>
    <t>Vitis x interspécifique cv. Paulsen 1323</t>
  </si>
  <si>
    <t>Vitis x interspécifique cv. Paulsen 1381</t>
  </si>
  <si>
    <t>Vitis x interspécifique cv. Paulsen 1742</t>
  </si>
  <si>
    <t>Vitis x interspécifique cv. Paulsen 2 A</t>
  </si>
  <si>
    <t>Vitis x interspécifique cv. Paulsen 764</t>
  </si>
  <si>
    <t>Vitis x interspécifique cv. Paulsen 770</t>
  </si>
  <si>
    <t>Vitis x interspécifique cv. Paulsen 771</t>
  </si>
  <si>
    <t>Vitis x interspécifique cv. Paulsen 775</t>
  </si>
  <si>
    <t>Vitis x interspécifique cv. Paulsen 779</t>
  </si>
  <si>
    <t>Vitis x interspécifique cv. Paulsen 781</t>
  </si>
  <si>
    <t>Vitis x interspécifique cv. Paulsen 782</t>
  </si>
  <si>
    <t>Vitis x interspécifique cv. Paulsen 8302</t>
  </si>
  <si>
    <t>Vitis x interspécifique cv. Paulsen 8734</t>
  </si>
  <si>
    <t>Vitis x interspécifique cv. Peage 5-10 = Roy Chevrier 5-10</t>
  </si>
  <si>
    <t>Vitis x interspécifique cv. Perbos 137</t>
  </si>
  <si>
    <t>Vitis x interspécifique cv. Perbos 151</t>
  </si>
  <si>
    <t>Vitis x interspécifique cv. Perbos 159</t>
  </si>
  <si>
    <t>Vitis x interspécifique cv. Perbos 174</t>
  </si>
  <si>
    <t>Vitis x interspécifique cv. Perbos 180</t>
  </si>
  <si>
    <t>Vitis x interspécifique cv. Perbos 205</t>
  </si>
  <si>
    <t>Vitis x interspécifique cv. Perbos 210</t>
  </si>
  <si>
    <t>Vitis x interspécifique cv. Perbos 215</t>
  </si>
  <si>
    <t>Vitis x interspécifique cv. Perbos 226</t>
  </si>
  <si>
    <t>Vitis x interspécifique cv. Perbos 228</t>
  </si>
  <si>
    <t>Vitis x interspécifique cv. Perbos 48</t>
  </si>
  <si>
    <t>Vitis x interspécifique cv. Perbos 81</t>
  </si>
  <si>
    <t>Vitis x interspécifique cv. Perbos 82</t>
  </si>
  <si>
    <t>Vitis x interspécifique cv. Perdin</t>
  </si>
  <si>
    <t>Vitis x interspécifique cv. Perkins</t>
  </si>
  <si>
    <t>Vitis x interspécifique cv. Perle de Cadoule = Galibert 255-99</t>
  </si>
  <si>
    <t>Vitis x interspécifique cv. Perle noire = Seyve-Villard 20-347</t>
  </si>
  <si>
    <t>Vitis x interspécifique cv. Perraton 34</t>
  </si>
  <si>
    <t>Vitis x interspécifique cv. Perraton 36</t>
  </si>
  <si>
    <t>Vitis x interspécifique cv. Phénix</t>
  </si>
  <si>
    <t>Vitis x interspécifique cv. Phoenix</t>
  </si>
  <si>
    <t>Vitis x interspécifique cv. piasezkii x ?</t>
  </si>
  <si>
    <t>Vitis x interspécifique cv. piasezkii x romanetii</t>
  </si>
  <si>
    <t>Vitis x interspécifique cv. Picadoul = Galibert 221-31</t>
  </si>
  <si>
    <t>Vitis x interspécifique cv. Pierrelle = Seyve-Villard 20-366</t>
  </si>
  <si>
    <t>Vitis x interspécifique cv. Pignan noir = Galibert 23-1</t>
  </si>
  <si>
    <t>Vitis x interspécifique cv. Pignoletta</t>
  </si>
  <si>
    <t>Vitis x interspécifique cv. Pinard = Kühlmann 191-2</t>
  </si>
  <si>
    <t>Vitis x interspécifique cv. Pirobella</t>
  </si>
  <si>
    <t>Vitis x interspécifique cv. Pirovano 146</t>
  </si>
  <si>
    <t>Vitis x interspécifique cv. Pirovano 29</t>
  </si>
  <si>
    <t>Vitis x interspécifique cv. Pirovano 34</t>
  </si>
  <si>
    <t>Vitis x interspécifique cv. Pirovano 40</t>
  </si>
  <si>
    <t>Vitis x interspécifique cv. Pirovano 41</t>
  </si>
  <si>
    <t>Vitis x interspécifique cv. Pirovano 48</t>
  </si>
  <si>
    <t>Vitis x interspécifique cv. Pirovano 539 a</t>
  </si>
  <si>
    <t>Vitis x interspécifique cv. Pirovano 541</t>
  </si>
  <si>
    <t>Vitis x interspécifique cv. Pirovano 6</t>
  </si>
  <si>
    <t>Vitis x interspécifique cv. Plantet = Seibel 5455</t>
  </si>
  <si>
    <t>Vitis x interspécifique cv. Pocklington</t>
  </si>
  <si>
    <t>Vitis x interspécifique cv. Poilu = Kühlmann 252-3</t>
  </si>
  <si>
    <t>Vitis x interspécifique cv. Pougette musquée = Galibert 256-28</t>
  </si>
  <si>
    <t>Vitis x interspécifique cv. Précoce de Colmar = Kühlmann 277-2</t>
  </si>
  <si>
    <t>Vitis x interspécifique cv. Précoce Prady = Couderc 124-20</t>
  </si>
  <si>
    <t>Vitis x interspécifique cv. Précoce Prady = Couderc 126-21</t>
  </si>
  <si>
    <t>Vitis x interspécifique cv. Precursore</t>
  </si>
  <si>
    <t>Vitis x interspécifique cv. Primus = Pirovano 7</t>
  </si>
  <si>
    <t>Vitis x interspécifique cv. Prince noir Meynieu 1</t>
  </si>
  <si>
    <t>Vitis x interspécifique cv. Prosperi 11-71</t>
  </si>
  <si>
    <t>Vitis x interspécifique cv. Prosperi 11-72</t>
  </si>
  <si>
    <t>Vitis x interspécifique cv. Prosperi 15-99</t>
  </si>
  <si>
    <t>Vitis x interspécifique cv. Prosperi 16-107</t>
  </si>
  <si>
    <t>Vitis x interspécifique cv. Prosperi 16-108</t>
  </si>
  <si>
    <t>Vitis x interspécifique cv. Prosperi 16-109</t>
  </si>
  <si>
    <t>Vitis x interspécifique cv. Prosperi 5-32</t>
  </si>
  <si>
    <t>Vitis x interspécifique cv. Ranciaut blanc = Galibert 53-1</t>
  </si>
  <si>
    <t>Vitis x interspécifique cv. Ranciaut noir = Galibert 63-1</t>
  </si>
  <si>
    <t>Vitis x interspécifique cv. Ravat blanc = Ravat 6</t>
  </si>
  <si>
    <t>Vitis x interspécifique cv. Ravat 13</t>
  </si>
  <si>
    <t>Vitis x interspécifique cv. Ravat 143</t>
  </si>
  <si>
    <t>Vitis x interspécifique cv. Ravat 15</t>
  </si>
  <si>
    <t>Vitis x interspécifique cv. Ravat 16</t>
  </si>
  <si>
    <t>Vitis x interspécifique cv. Ravat 18</t>
  </si>
  <si>
    <t>Vitis x interspécifique cv. Ravat 19</t>
  </si>
  <si>
    <t>Vitis x interspécifique cv. Ravat 253</t>
  </si>
  <si>
    <t>Vitis x interspécifique cv. Ravat 262</t>
  </si>
  <si>
    <t>Vitis x interspécifique cv. Ravat 327</t>
  </si>
  <si>
    <t>Vitis x interspécifique cv. Ravat 34</t>
  </si>
  <si>
    <t>Vitis x interspécifique cv. Ravat 36</t>
  </si>
  <si>
    <t>Vitis x interspécifique cv. Ravat 507</t>
  </si>
  <si>
    <t>Vitis x interspécifique cv. Ravat 51</t>
  </si>
  <si>
    <t>Vitis x interspécifique cv. Ravat 8</t>
  </si>
  <si>
    <t>Vitis x interspécifique cv. Ravat 9</t>
  </si>
  <si>
    <t>Vitis x interspécifique cv. Ravaz 1</t>
  </si>
  <si>
    <t>Vitis x interspécifique cv. Ravaz 2</t>
  </si>
  <si>
    <t>Vitis x interspécifique cv. Rayon d'Or = Seibel 4986</t>
  </si>
  <si>
    <t>Vitis x interspécifique cv. RC 51</t>
  </si>
  <si>
    <t>Vitis x interspécifique cv. Rebecca</t>
  </si>
  <si>
    <t>Vitis x interspécifique cv. Regent</t>
  </si>
  <si>
    <t>Vitis x interspécifique cv. Rességuier sélection Birolleau 1 = RSB 1</t>
  </si>
  <si>
    <t>Vitis x interspécifique cv. Richter 31</t>
  </si>
  <si>
    <t>Vitis x interspécifique cv. Richter 57</t>
  </si>
  <si>
    <t>Vitis x interspécifique cv. Riparia Rupestris de Massannes glabre</t>
  </si>
  <si>
    <t>Vitis x interspécifique cv. riparia x berlandieri</t>
  </si>
  <si>
    <t>Vitis x interspécifique cv. riparia x rupestris</t>
  </si>
  <si>
    <t>Vitis x interspécifique cv. riparia x rupestris x candicans</t>
  </si>
  <si>
    <t>Vitis x interspécifique cv. riparia x vinifera</t>
  </si>
  <si>
    <t>Vitis x interspécifique cv. Riparia-Rupestris de Dracé</t>
  </si>
  <si>
    <t>Vitis x interspécifique cv. Riparia-Rupestris de Massannes pubescent</t>
  </si>
  <si>
    <t>Vitis x interspécifique cv. Riparia-Rupestris de Samadet</t>
  </si>
  <si>
    <t>Vitis x interspécifique cv. Riparia-Rupestris de Savènes</t>
  </si>
  <si>
    <t>Vitis x interspécifique cv. Riparia-Rupestris de Vauchretien</t>
  </si>
  <si>
    <t>Vitis x interspécifique cv. Riparia-Rupestris Schwarzmann</t>
  </si>
  <si>
    <t>Vitis x interspécifique cv. Robur</t>
  </si>
  <si>
    <t>Vitis x interspécifique cv. Roi des noirs = Seibel 4643</t>
  </si>
  <si>
    <t>Vitis x interspécifique cv. romanetii x ?</t>
  </si>
  <si>
    <t>Vitis x interspécifique cv. Rondo</t>
  </si>
  <si>
    <t>Vitis x interspécifique cv. Rosambre</t>
  </si>
  <si>
    <t>Vitis x interspécifique cv. Rosette = Seibel 1000</t>
  </si>
  <si>
    <t>Vitis x interspécifique cv. Rouby 3</t>
  </si>
  <si>
    <t>Vitis x interspécifique cv. Rouby 9</t>
  </si>
  <si>
    <t>Vitis x interspécifique cv. Roucaneuf = Seyve-Villard 12-309</t>
  </si>
  <si>
    <t>Vitis x interspécifique cv. Rougeon = Seibel 5898</t>
  </si>
  <si>
    <t>Vitis x interspécifique cv. Royalty</t>
  </si>
  <si>
    <t>Vitis x interspécifique cv. Rubilande = Seibel 11803</t>
  </si>
  <si>
    <t>Vitis x interspécifique cv. Rubino = Pirovano 192a</t>
  </si>
  <si>
    <t>Vitis x interspécifique cv. Rubiscan</t>
  </si>
  <si>
    <t>Vitis x interspécifique cv. Rudelin 101-6</t>
  </si>
  <si>
    <t>Vitis x interspécifique cv. Rudelin 101-9</t>
  </si>
  <si>
    <t>Vitis x interspécifique cv. Rudelin 102-1</t>
  </si>
  <si>
    <t>Vitis x interspécifique cv. Rudelin 102-4</t>
  </si>
  <si>
    <t>Vitis x interspécifique cv. Rudelin 102-8</t>
  </si>
  <si>
    <t>Vitis x interspécifique cv. Rudelin 102-9</t>
  </si>
  <si>
    <t>Vitis x interspécifique cv. Rudelin 103-1</t>
  </si>
  <si>
    <t>Vitis x interspécifique cv. Rudelin 103-2</t>
  </si>
  <si>
    <t>Vitis x interspécifique cv. Rudelin 103-6</t>
  </si>
  <si>
    <t>Vitis x interspécifique cv. Rudelin 103-8</t>
  </si>
  <si>
    <t>Vitis x interspécifique cv. Rudelin 104-4</t>
  </si>
  <si>
    <t>Vitis x interspécifique cv. Rudelin 104-8</t>
  </si>
  <si>
    <t>Vitis x interspécifique cv. Rudelin 105-6</t>
  </si>
  <si>
    <t>Vitis x interspécifique cv. Rudelin 106-1</t>
  </si>
  <si>
    <t>Vitis x interspécifique cv. Rudelin 106-4</t>
  </si>
  <si>
    <t>Vitis x interspécifique cv. Rudelin 108-4</t>
  </si>
  <si>
    <t>Vitis x interspécifique cv. Rudelin 109-3</t>
  </si>
  <si>
    <t>Vitis x interspécifique cv. Rudelin 109-7</t>
  </si>
  <si>
    <t>Vitis x interspécifique cv. Rudelin 111-2</t>
  </si>
  <si>
    <t>Vitis x interspécifique cv. Rudelin 111-3</t>
  </si>
  <si>
    <t>Vitis x interspécifique cv. Rudelin 111-4</t>
  </si>
  <si>
    <t>Vitis x interspécifique cv. Rudelin 111-8</t>
  </si>
  <si>
    <t>Vitis x interspécifique cv. Rudelin 122-9</t>
  </si>
  <si>
    <t>Vitis x interspécifique cv. Rudelin 125-8</t>
  </si>
  <si>
    <t>Vitis x interspécifique cv. Rudelin 126-4</t>
  </si>
  <si>
    <t>Vitis x interspécifique cv. Rudelin 126-6</t>
  </si>
  <si>
    <t>Vitis x interspécifique cv. Rudelin 130-8</t>
  </si>
  <si>
    <t>Vitis x interspécifique cv. Rudelin 131-7</t>
  </si>
  <si>
    <t>Vitis x interspécifique cv. Rudelin 132-2</t>
  </si>
  <si>
    <t>Vitis x interspécifique cv. Rudelin 17-4</t>
  </si>
  <si>
    <t>Vitis x interspécifique cv. Rudelin 17-5</t>
  </si>
  <si>
    <t>Vitis x interspécifique cv. Rudelin 18-1</t>
  </si>
  <si>
    <t>Vitis x interspécifique cv. Rudelin 3</t>
  </si>
  <si>
    <t>Vitis x interspécifique cv. Rudelin 312-1</t>
  </si>
  <si>
    <t>Vitis x interspécifique cv. Rudelin 314-3</t>
  </si>
  <si>
    <t>Vitis x interspécifique cv. Rudelin 315-1</t>
  </si>
  <si>
    <t>Vitis x interspécifique cv. Rudelin 316-5</t>
  </si>
  <si>
    <t>Vitis x interspécifique cv. Rudelin 37-3</t>
  </si>
  <si>
    <t>Vitis x interspécifique cv. Rudelin 38-6</t>
  </si>
  <si>
    <t>Vitis x interspécifique cv. Rudelin 5-41</t>
  </si>
  <si>
    <t>Vitis x interspécifique cv. Rudelin 58</t>
  </si>
  <si>
    <t>Vitis x interspécifique cv. Rudelin 610-6</t>
  </si>
  <si>
    <t>Vitis x interspécifique cv. Rudelin 611-1</t>
  </si>
  <si>
    <t>Vitis x interspécifique cv. Rudelin 613-3</t>
  </si>
  <si>
    <t>Vitis x interspécifique cv. Rudelin 6-96</t>
  </si>
  <si>
    <t>Vitis x interspécifique cv. Ruggeri 131</t>
  </si>
  <si>
    <t>Vitis x interspécifique cv. Ruggeri 188</t>
  </si>
  <si>
    <t>Vitis x interspécifique cv. Ruggeri 193</t>
  </si>
  <si>
    <t>Vitis x interspécifique cv. Ruggeri 205</t>
  </si>
  <si>
    <t>Vitis x interspécifique cv. Ruggeri 225</t>
  </si>
  <si>
    <t>Vitis x interspécifique cv. Ruggeri 240</t>
  </si>
  <si>
    <t>Vitis x interspécifique cv. Ruggeri 300</t>
  </si>
  <si>
    <t>Vitis x interspécifique cv. Ruggeri 322</t>
  </si>
  <si>
    <t>Vitis x interspécifique cv. Ruggeri 325</t>
  </si>
  <si>
    <t>Vitis x interspécifique cv. Ruggeri 333</t>
  </si>
  <si>
    <t>Vitis x interspécifique cv. Ruggeri 42</t>
  </si>
  <si>
    <t>Vitis x interspécifique cv. Ruggeri 55</t>
  </si>
  <si>
    <t>Vitis x interspécifique cv. rupestris x aestivalis</t>
  </si>
  <si>
    <t>Vitis x interspécifique cv. rupestris x aestivalis x cordifolia</t>
  </si>
  <si>
    <t>Vitis x interspécifique cv. rupestris x berlandieri</t>
  </si>
  <si>
    <t>Vitis x interspécifique cv. rupestris x candicans</t>
  </si>
  <si>
    <t>Vitis x interspécifique cv. rupestris x cordifolia</t>
  </si>
  <si>
    <t>Vitis x interspécifique cv. rupestris x vinifera</t>
  </si>
  <si>
    <t>Vitis x interspécifique cv. Sabrilong = Long 35</t>
  </si>
  <si>
    <t>Vitis x interspécifique cv. Saint-Sauveur d'Alsace = Kühlmann 65-1</t>
  </si>
  <si>
    <t>Vitis x interspécifique cv. Saint-Victor = Galibert 15-3</t>
  </si>
  <si>
    <t>Vitis x interspécifique cv. Saint-Vincent</t>
  </si>
  <si>
    <t>Vitis x interspécifique cv. Salt Creek</t>
  </si>
  <si>
    <t>Vitis x interspécifique cv. Salzmann 6-43</t>
  </si>
  <si>
    <t>Vitis x interspécifique cv. Sanson</t>
  </si>
  <si>
    <t>Vitis x interspécifique cv. Saubrians = Galibert 36-2</t>
  </si>
  <si>
    <t>Vitis x interspécifique cv. Seibel  6131</t>
  </si>
  <si>
    <t>Vitis x interspécifique cv. Seibel 1</t>
  </si>
  <si>
    <t>Vitis x interspécifique cv. Seibel 10010</t>
  </si>
  <si>
    <t>Vitis x interspécifique cv. Seibel 10020</t>
  </si>
  <si>
    <t>Vitis x interspécifique cv. Seibel 10027</t>
  </si>
  <si>
    <t>Vitis x interspécifique cv. Seibel 10033</t>
  </si>
  <si>
    <t>Vitis x interspécifique cv. Seibel 10034</t>
  </si>
  <si>
    <t>Vitis x interspécifique cv. Seibel 1004</t>
  </si>
  <si>
    <t>Vitis x interspécifique cv. Seibel 10046</t>
  </si>
  <si>
    <t>Vitis x interspécifique cv. Seibel 1007</t>
  </si>
  <si>
    <t>Vitis x interspécifique cv. Seibel 10076</t>
  </si>
  <si>
    <t>Vitis x interspécifique cv. Seibel 10078</t>
  </si>
  <si>
    <t>Vitis x interspécifique cv. Seibel 10096</t>
  </si>
  <si>
    <t>Vitis x interspécifique cv. Seibel 10114</t>
  </si>
  <si>
    <t>Vitis x interspécifique cv. Seibel 10123</t>
  </si>
  <si>
    <t>Vitis x interspécifique cv. Seibel 1013</t>
  </si>
  <si>
    <t>Vitis x interspécifique cv. Seibel 10136/2</t>
  </si>
  <si>
    <t>Vitis x interspécifique cv. Seibel 1014</t>
  </si>
  <si>
    <t>Vitis x interspécifique cv. Seibel 10146</t>
  </si>
  <si>
    <t>Vitis x interspécifique cv. Seibel 1015</t>
  </si>
  <si>
    <t>Vitis x interspécifique cv. Seibel 10172/2</t>
  </si>
  <si>
    <t>Vitis x interspécifique cv. Seibel 10186</t>
  </si>
  <si>
    <t>Vitis x interspécifique cv. Seibel 10208</t>
  </si>
  <si>
    <t>Vitis x interspécifique cv. Seibel 10215</t>
  </si>
  <si>
    <t>Vitis x interspécifique cv. Seibel 10217</t>
  </si>
  <si>
    <t>Vitis x interspécifique cv. Seibel 10230</t>
  </si>
  <si>
    <t>Vitis x interspécifique cv. Seibel 1025</t>
  </si>
  <si>
    <t>Vitis x interspécifique cv. Seibel 10259/1</t>
  </si>
  <si>
    <t>Vitis x interspécifique cv. Seibel 10267</t>
  </si>
  <si>
    <t>Vitis x interspécifique cv. Seibel 10292</t>
  </si>
  <si>
    <t>Vitis x interspécifique cv. Seibel 10295</t>
  </si>
  <si>
    <t>Vitis x interspécifique cv. Seibel 10417</t>
  </si>
  <si>
    <t>Vitis x interspécifique cv. Seibel 10420</t>
  </si>
  <si>
    <t>Vitis x interspécifique cv. Seibel 107</t>
  </si>
  <si>
    <t>Vitis x interspécifique cv. Seibel 1070</t>
  </si>
  <si>
    <t>Vitis x interspécifique cv. Seibel 10720</t>
  </si>
  <si>
    <t>Vitis x interspécifique cv. Seibel 1077</t>
  </si>
  <si>
    <t>Vitis x interspécifique cv. Seibel 10790</t>
  </si>
  <si>
    <t>Vitis x interspécifique cv. Seibel 10793</t>
  </si>
  <si>
    <t>Vitis x interspécifique cv. Seibel 10796</t>
  </si>
  <si>
    <t>Vitis x interspécifique cv. Seibel 10801</t>
  </si>
  <si>
    <t>Vitis x interspécifique cv. Seibel 10809</t>
  </si>
  <si>
    <t>Vitis x interspécifique cv. Seibel 1082</t>
  </si>
  <si>
    <t>Vitis x interspécifique cv. Seibel 10855</t>
  </si>
  <si>
    <t>Vitis x interspécifique cv. Seibel 10868</t>
  </si>
  <si>
    <t>Vitis x interspécifique cv. Seibel 10884/6</t>
  </si>
  <si>
    <t>Vitis x interspécifique cv. Seibel 110</t>
  </si>
  <si>
    <t>Vitis x interspécifique cv. Seibel 11020</t>
  </si>
  <si>
    <t>Vitis x interspécifique cv. Seibel 11023</t>
  </si>
  <si>
    <t>Vitis x interspécifique cv. Seibel 11027</t>
  </si>
  <si>
    <t>Vitis x interspécifique cv. Seibel 112</t>
  </si>
  <si>
    <t>Vitis x interspécifique cv. Seibel 11254/16</t>
  </si>
  <si>
    <t>Vitis x interspécifique cv. Seibel 11257</t>
  </si>
  <si>
    <t>Vitis x interspécifique cv. Seibel 11259</t>
  </si>
  <si>
    <t>Vitis x interspécifique cv. Seibel 11272</t>
  </si>
  <si>
    <t>Vitis x interspécifique cv. Seibel 11283</t>
  </si>
  <si>
    <t>Vitis x interspécifique cv. Seibel 11318</t>
  </si>
  <si>
    <t>Vitis x interspécifique cv. Seibel 11342</t>
  </si>
  <si>
    <t>Vitis x interspécifique cv. Seibel 114</t>
  </si>
  <si>
    <t>Vitis x interspécifique cv. Seibel 11404</t>
  </si>
  <si>
    <t>Vitis x interspécifique cv. Seibel 11431</t>
  </si>
  <si>
    <t>Vitis x interspécifique cv. Seibel 11437</t>
  </si>
  <si>
    <t>Vitis x interspécifique cv. Seibel 11486</t>
  </si>
  <si>
    <t>Vitis x interspécifique cv. Seibel 11493</t>
  </si>
  <si>
    <t>Vitis x interspécifique cv. Seibel 11670</t>
  </si>
  <si>
    <t>Vitis x interspécifique cv. Seibel 11697</t>
  </si>
  <si>
    <t>Vitis x interspécifique cv. Seibel 11701</t>
  </si>
  <si>
    <t>Vitis x interspécifique cv. Seibel 11705</t>
  </si>
  <si>
    <t>Vitis x interspécifique cv. Seibel 11729</t>
  </si>
  <si>
    <t>Vitis x interspécifique cv. Seibel 11780</t>
  </si>
  <si>
    <t>Vitis x interspécifique cv. Seibel 11815</t>
  </si>
  <si>
    <t>Vitis x interspécifique cv. Seibel 11846</t>
  </si>
  <si>
    <t>Vitis x interspécifique cv. Seibel 11875</t>
  </si>
  <si>
    <t>Vitis x interspécifique cv. Seibel 11906</t>
  </si>
  <si>
    <t>Vitis x interspécifique cv. Seibel 11929</t>
  </si>
  <si>
    <t>Vitis x interspécifique cv. Seibel 120</t>
  </si>
  <si>
    <t>Vitis x interspécifique cv. Seibel 12084</t>
  </si>
  <si>
    <t>Vitis x interspécifique cv. Seibel 12242</t>
  </si>
  <si>
    <t>Vitis x interspécifique cv. Seibel 12315</t>
  </si>
  <si>
    <t>Vitis x interspécifique cv. Seibel 12393</t>
  </si>
  <si>
    <t>Vitis x interspécifique cv. Seibel 12583</t>
  </si>
  <si>
    <t>Vitis x interspécifique cv. Seibel 126</t>
  </si>
  <si>
    <t>Vitis x interspécifique cv. Seibel 128</t>
  </si>
  <si>
    <t>Vitis x interspécifique cv. Seibel 13047</t>
  </si>
  <si>
    <t>Vitis x interspécifique cv. Seibel 13053</t>
  </si>
  <si>
    <t>Vitis x interspécifique cv. Seibel 13394</t>
  </si>
  <si>
    <t>Vitis x interspécifique cv. Seibel 13663</t>
  </si>
  <si>
    <t>Vitis x interspécifique cv. Seibel 13664</t>
  </si>
  <si>
    <t>Vitis x interspécifique cv. Seibel 13666</t>
  </si>
  <si>
    <t>Vitis x interspécifique cv. Seibel 13669</t>
  </si>
  <si>
    <t>Vitis x interspécifique cv. Seibel 13680</t>
  </si>
  <si>
    <t>Vitis x interspécifique cv. Seibel 13682</t>
  </si>
  <si>
    <t>Vitis x interspécifique cv. Seibel 13693</t>
  </si>
  <si>
    <t>Vitis x interspécifique cv. Seibel 13694</t>
  </si>
  <si>
    <t>Vitis x interspécifique cv. Seibel 13695</t>
  </si>
  <si>
    <t>Vitis x interspécifique cv. Seibel 13698</t>
  </si>
  <si>
    <t>Vitis x interspécifique cv. Seibel 13770</t>
  </si>
  <si>
    <t>Vitis x interspécifique cv. Seibel 138</t>
  </si>
  <si>
    <t>Vitis x interspécifique cv. Seibel 13846</t>
  </si>
  <si>
    <t>Vitis x interspécifique cv. Seibel 14</t>
  </si>
  <si>
    <t>Vitis x interspécifique cv. Seibel 14114</t>
  </si>
  <si>
    <t>Vitis x interspécifique cv. Seibel 14117</t>
  </si>
  <si>
    <t>Vitis x interspécifique cv. Seibel 14164</t>
  </si>
  <si>
    <t>Vitis x interspécifique cv. Seibel 14189</t>
  </si>
  <si>
    <t>Vitis x interspécifique cv. Seibel 14266</t>
  </si>
  <si>
    <t>Vitis x interspécifique cv. Seibel 14326</t>
  </si>
  <si>
    <t>Vitis x interspécifique cv. Seibel 14327</t>
  </si>
  <si>
    <t>Vitis x interspécifique cv. Seibel 14378</t>
  </si>
  <si>
    <t>Vitis x interspécifique cv. Seibel 14404</t>
  </si>
  <si>
    <t>Vitis x interspécifique cv. Seibel 14417</t>
  </si>
  <si>
    <t>Vitis x interspécifique cv. Seibel 14419</t>
  </si>
  <si>
    <t>Vitis x interspécifique cv. Seibel 14472</t>
  </si>
  <si>
    <t>Vitis x interspécifique cv. Seibel 14483</t>
  </si>
  <si>
    <t>Vitis x interspécifique cv. Seibel 14514</t>
  </si>
  <si>
    <t>Vitis x interspécifique cv. Seibel 14526</t>
  </si>
  <si>
    <t>Vitis x interspécifique cv. Seibel 14572</t>
  </si>
  <si>
    <t>Vitis x interspécifique cv. Seibel 14576</t>
  </si>
  <si>
    <t>Vitis x interspécifique cv. Seibel 14638</t>
  </si>
  <si>
    <t>Vitis x interspécifique cv. Seibel 14639</t>
  </si>
  <si>
    <t>Vitis x interspécifique cv. Seibel 14654</t>
  </si>
  <si>
    <t>Vitis x interspécifique cv. Seibel 14655</t>
  </si>
  <si>
    <t>Vitis x interspécifique cv. Seibel 14657</t>
  </si>
  <si>
    <t>Vitis x interspécifique cv. Seibel 14660</t>
  </si>
  <si>
    <t>Vitis x interspécifique cv. Seibel 14662</t>
  </si>
  <si>
    <t>Vitis x interspécifique cv. Seibel 14664</t>
  </si>
  <si>
    <t>Vitis x interspécifique cv. Seibel 14665</t>
  </si>
  <si>
    <t>Vitis x interspécifique cv. Seibel 14676</t>
  </si>
  <si>
    <t>Vitis x interspécifique cv. Seibel 14709</t>
  </si>
  <si>
    <t>Vitis x interspécifique cv. Seibel 14747</t>
  </si>
  <si>
    <t>Vitis x interspécifique cv. Seibel 14866</t>
  </si>
  <si>
    <t>Vitis x interspécifique cv. Seibel 14911</t>
  </si>
  <si>
    <t>Vitis x interspécifique cv. Seibel 14937</t>
  </si>
  <si>
    <t>Vitis x interspécifique cv. Seibel 14994</t>
  </si>
  <si>
    <t>Vitis x interspécifique cv. Seibel 14995</t>
  </si>
  <si>
    <t>Vitis x interspécifique cv. Seibel 150</t>
  </si>
  <si>
    <t>Vitis x interspécifique cv. Seibel 15024</t>
  </si>
  <si>
    <t>Vitis x interspécifique cv. Seibel 15027</t>
  </si>
  <si>
    <t>Vitis x interspécifique cv. Seibel 15051</t>
  </si>
  <si>
    <t>Vitis x interspécifique cv. Seibel 15062</t>
  </si>
  <si>
    <t>Vitis x interspécifique cv. Seibel 15074</t>
  </si>
  <si>
    <t>Vitis x interspécifique cv. Seibel 15170</t>
  </si>
  <si>
    <t>Vitis x interspécifique cv. Seibel 15245</t>
  </si>
  <si>
    <t>Vitis x interspécifique cv. Seibel 156</t>
  </si>
  <si>
    <t>Vitis x interspécifique cv. Seibel 1588</t>
  </si>
  <si>
    <t>Vitis x interspécifique cv. Seibel 15964</t>
  </si>
  <si>
    <t>Vitis x interspécifique cv. Seibel 16092</t>
  </si>
  <si>
    <t>Vitis x interspécifique cv. Seibel 16137</t>
  </si>
  <si>
    <t>Vitis x interspécifique cv. Seibel 16147</t>
  </si>
  <si>
    <t>Vitis x interspécifique cv. Seibel 16161</t>
  </si>
  <si>
    <t>Vitis x interspécifique cv. Seibel 16191</t>
  </si>
  <si>
    <t>Vitis x interspécifique cv. Seibel 16196</t>
  </si>
  <si>
    <t>Vitis x interspécifique cv. Seibel 16199</t>
  </si>
  <si>
    <t>Vitis x interspécifique cv. Seibel 16273</t>
  </si>
  <si>
    <t>Vitis x interspécifique cv. Seibel 181</t>
  </si>
  <si>
    <t>Vitis x interspécifique cv. Seibel 182</t>
  </si>
  <si>
    <t>Vitis x interspécifique cv. Seibel 2</t>
  </si>
  <si>
    <t>Vitis x interspécifique cv. Seibel 200</t>
  </si>
  <si>
    <t>Vitis x interspécifique cv. Seibel 2003</t>
  </si>
  <si>
    <t>Vitis x interspécifique cv. Seibel 2006</t>
  </si>
  <si>
    <t>Vitis x interspécifique cv. Seibel 2010</t>
  </si>
  <si>
    <t>Vitis x interspécifique cv. Seibel 2029</t>
  </si>
  <si>
    <t>Vitis x interspécifique cv. Seibel 2044</t>
  </si>
  <si>
    <t>Vitis x interspécifique cv. Seibel 206</t>
  </si>
  <si>
    <t>Vitis x interspécifique cv. Seibel 209</t>
  </si>
  <si>
    <t>Vitis x interspécifique cv. Seibel 210</t>
  </si>
  <si>
    <t>Vitis x interspécifique cv. Seibel 2120</t>
  </si>
  <si>
    <t>Vitis x interspécifique cv. Seibel 2453</t>
  </si>
  <si>
    <t>Vitis x interspécifique cv. Seibel 25</t>
  </si>
  <si>
    <t>Vitis x interspécifique cv. Seibel 2509</t>
  </si>
  <si>
    <t>Vitis x interspécifique cv. Seibel 2524</t>
  </si>
  <si>
    <t>Vitis x interspécifique cv. Seibel 2525</t>
  </si>
  <si>
    <t>Vitis x interspécifique cv. Seibel 2573</t>
  </si>
  <si>
    <t>Vitis x interspécifique cv. Seibel 2576</t>
  </si>
  <si>
    <t>Vitis x interspécifique cv. Seibel 2578</t>
  </si>
  <si>
    <t>Vitis x interspécifique cv. Seibel 2582</t>
  </si>
  <si>
    <t>Vitis x interspécifique cv. Seibel 2591</t>
  </si>
  <si>
    <t>Vitis x interspécifique cv. Seibel 2605</t>
  </si>
  <si>
    <t>Vitis x interspécifique cv. Seibel 2632</t>
  </si>
  <si>
    <t>Vitis x interspécifique cv. Seibel 2655</t>
  </si>
  <si>
    <t>Vitis x interspécifique cv. Seibel 2660</t>
  </si>
  <si>
    <t>Vitis x interspécifique cv. Seibel 2666</t>
  </si>
  <si>
    <t>Vitis x interspécifique cv. Seibel 2686</t>
  </si>
  <si>
    <t>Vitis x interspécifique cv. Seibel 270</t>
  </si>
  <si>
    <t>Vitis x interspécifique cv. Seibel 2838</t>
  </si>
  <si>
    <t>Vitis x interspécifique cv. Seibel 2859</t>
  </si>
  <si>
    <t>Vitis x interspécifique cv. Seibel 29</t>
  </si>
  <si>
    <t>Vitis x interspécifique cv. Seibel 3021</t>
  </si>
  <si>
    <t>Vitis x interspécifique cv. Seibel 36</t>
  </si>
  <si>
    <t>Vitis x interspécifique cv. Seibel 38</t>
  </si>
  <si>
    <t>Vitis x interspécifique cv. Seibel 4</t>
  </si>
  <si>
    <t>Vitis x interspécifique cv. Seibel 405</t>
  </si>
  <si>
    <t>Vitis x interspécifique cv. Seibel 41</t>
  </si>
  <si>
    <t>Vitis x interspécifique cv. Seibel 4111</t>
  </si>
  <si>
    <t>Vitis x interspécifique cv. Seibel 4121</t>
  </si>
  <si>
    <t>Vitis x interspécifique cv. Seibel 4132</t>
  </si>
  <si>
    <t>Vitis x interspécifique cv. Seibel 4464</t>
  </si>
  <si>
    <t>Vitis x interspécifique cv. Seibel 4499</t>
  </si>
  <si>
    <t>Vitis x interspécifique cv. Seibel 4504</t>
  </si>
  <si>
    <t>Vitis x interspécifique cv. Seibel 4559</t>
  </si>
  <si>
    <t>Vitis x interspécifique cv. Seibel 4589</t>
  </si>
  <si>
    <t>Vitis x interspécifique cv. Seibel 4603</t>
  </si>
  <si>
    <t>Vitis x interspécifique cv. Seibel 4605</t>
  </si>
  <si>
    <t>Vitis x interspécifique cv. Seibel 4614</t>
  </si>
  <si>
    <t>Vitis x interspécifique cv. Seibel 4615</t>
  </si>
  <si>
    <t>Vitis x interspécifique cv. Seibel 4629</t>
  </si>
  <si>
    <t>Vitis x interspécifique cv. Seibel 4633</t>
  </si>
  <si>
    <t>Vitis x interspécifique cv. Seibel 4636</t>
  </si>
  <si>
    <t>Vitis x interspécifique cv. Seibel 4638</t>
  </si>
  <si>
    <t>Vitis x interspécifique cv. Seibel 4644</t>
  </si>
  <si>
    <t>Vitis x interspécifique cv. Seibel 4648</t>
  </si>
  <si>
    <t>Vitis x interspécifique cv. Seibel 4669</t>
  </si>
  <si>
    <t>Vitis x interspécifique cv. Seibel 4672</t>
  </si>
  <si>
    <t>Vitis x interspécifique cv. Seibel 4677</t>
  </si>
  <si>
    <t>Vitis x interspécifique cv. Seibel 4681</t>
  </si>
  <si>
    <t>Vitis x interspécifique cv. Seibel 4697</t>
  </si>
  <si>
    <t>Vitis x interspécifique cv. Seibel 47</t>
  </si>
  <si>
    <t>Vitis x interspécifique cv. Seibel 4706</t>
  </si>
  <si>
    <t>Vitis x interspécifique cv. Seibel 4707</t>
  </si>
  <si>
    <t>Vitis x interspécifique cv. Seibel 4709</t>
  </si>
  <si>
    <t>Vitis x interspécifique cv. Seibel 4725</t>
  </si>
  <si>
    <t>Vitis x interspécifique cv. Seibel 4762</t>
  </si>
  <si>
    <t>Vitis x interspécifique cv. Seibel 4877 = 21 de Gléon</t>
  </si>
  <si>
    <t>Vitis x interspécifique cv. Seibel 491</t>
  </si>
  <si>
    <t>Vitis x interspécifique cv. Seibel 4955</t>
  </si>
  <si>
    <t>Vitis x interspécifique cv. Seibel 4964</t>
  </si>
  <si>
    <t>Vitis x interspécifique cv. Seibel 4982</t>
  </si>
  <si>
    <t>Vitis x interspécifique cv. Seibel 4987</t>
  </si>
  <si>
    <t>Vitis x interspécifique cv. Seibel 4989</t>
  </si>
  <si>
    <t>Vitis x interspécifique cv. Seibel 499</t>
  </si>
  <si>
    <t>Vitis x interspécifique cv. Seibel 4990</t>
  </si>
  <si>
    <t>Vitis x interspécifique cv. Seibel 4991</t>
  </si>
  <si>
    <t>Vitis x interspécifique cv. Seibel 4995</t>
  </si>
  <si>
    <t>Vitis x interspécifique cv. Seibel 5001</t>
  </si>
  <si>
    <t>Vitis x interspécifique cv. Seibel 5024</t>
  </si>
  <si>
    <t>Vitis x interspécifique cv. Seibel 5030</t>
  </si>
  <si>
    <t>Vitis x interspécifique cv. Seibel 5033</t>
  </si>
  <si>
    <t>Vitis x interspécifique cv. Seibel 5049</t>
  </si>
  <si>
    <t>Vitis x interspécifique cv. Seibel 5054</t>
  </si>
  <si>
    <t>Vitis x interspécifique cv. Seibel 5056</t>
  </si>
  <si>
    <t>Vitis x interspécifique cv. Seibel 5061</t>
  </si>
  <si>
    <t>Vitis x interspécifique cv. Seibel 5110</t>
  </si>
  <si>
    <t>Vitis x interspécifique cv. Seibel 5118</t>
  </si>
  <si>
    <t>Vitis x interspécifique cv. Seibel 5123</t>
  </si>
  <si>
    <t>Vitis x interspécifique cv. Seibel 5124</t>
  </si>
  <si>
    <t>Vitis x interspécifique cv. Seibel 5135</t>
  </si>
  <si>
    <t>Vitis x interspécifique cv. Seibel 5136</t>
  </si>
  <si>
    <t>Vitis x interspécifique cv. Seibel 5145</t>
  </si>
  <si>
    <t>Vitis x interspécifique cv. Seibel 5149</t>
  </si>
  <si>
    <t>Vitis x interspécifique cv. Seibel 5163</t>
  </si>
  <si>
    <t>Vitis x interspécifique cv. Seibel 5170</t>
  </si>
  <si>
    <t>Vitis x interspécifique cv. Seibel 5178</t>
  </si>
  <si>
    <t>Vitis x interspécifique cv. Seibel 5181</t>
  </si>
  <si>
    <t>Vitis x interspécifique cv. Seibel 5182</t>
  </si>
  <si>
    <t>Vitis x interspécifique cv. Seibel 5188</t>
  </si>
  <si>
    <t>Vitis x interspécifique cv. Seibel 5191</t>
  </si>
  <si>
    <t>Vitis x interspécifique cv. Seibel 5195</t>
  </si>
  <si>
    <t>Vitis x interspécifique cv. Seibel 5202</t>
  </si>
  <si>
    <t>Vitis x interspécifique cv. Seibel 5204</t>
  </si>
  <si>
    <t>Vitis x interspécifique cv. Seibel 5205</t>
  </si>
  <si>
    <t>Vitis x interspécifique cv. Seibel 5213</t>
  </si>
  <si>
    <t>Vitis x interspécifique cv. Seibel 5225</t>
  </si>
  <si>
    <t>Vitis x interspécifique cv. Seibel 5231</t>
  </si>
  <si>
    <t>Vitis x interspécifique cv. Seibel 5241</t>
  </si>
  <si>
    <t>Vitis x interspécifique cv. Seibel 5257</t>
  </si>
  <si>
    <t>Vitis x interspécifique cv. Seibel 5259</t>
  </si>
  <si>
    <t>Vitis x interspécifique cv. Seibel 5272</t>
  </si>
  <si>
    <t>Vitis x interspécifique cv. Seibel 5274</t>
  </si>
  <si>
    <t>Vitis x interspécifique cv. Seibel 5275</t>
  </si>
  <si>
    <t>Vitis x interspécifique cv. Seibel 5292</t>
  </si>
  <si>
    <t>Vitis x interspécifique cv. Seibel 5296</t>
  </si>
  <si>
    <t>Vitis x interspécifique cv. Seibel 5299</t>
  </si>
  <si>
    <t>Vitis x interspécifique cv. Seibel 5302</t>
  </si>
  <si>
    <t>Vitis x interspécifique cv. Seibel 5308</t>
  </si>
  <si>
    <t>Vitis x interspécifique cv. Seibel 5310</t>
  </si>
  <si>
    <t>Vitis x interspécifique cv. Seibel 5313</t>
  </si>
  <si>
    <t>Vitis x interspécifique cv. Seibel 5316</t>
  </si>
  <si>
    <t>Vitis x interspécifique cv. Seibel 5319</t>
  </si>
  <si>
    <t>Vitis x interspécifique cv. Seibel 5322</t>
  </si>
  <si>
    <t>Vitis x interspécifique cv. Seibel 5326</t>
  </si>
  <si>
    <t>Vitis x interspécifique cv. Seibel 5329</t>
  </si>
  <si>
    <t>Vitis x interspécifique cv. Seibel 5335</t>
  </si>
  <si>
    <t>Vitis x interspécifique cv. Seibel 5339</t>
  </si>
  <si>
    <t>Vitis x interspécifique cv. Seibel 5351</t>
  </si>
  <si>
    <t>Vitis x interspécifique cv. Seibel 5356</t>
  </si>
  <si>
    <t>Vitis x interspécifique cv. Seibel 5362</t>
  </si>
  <si>
    <t>Vitis x interspécifique cv. Seibel 5371</t>
  </si>
  <si>
    <t>Vitis x interspécifique cv. Seibel 5391</t>
  </si>
  <si>
    <t>Vitis x interspécifique cv. Seibel 54</t>
  </si>
  <si>
    <t>Vitis x interspécifique cv. Seibel 5405</t>
  </si>
  <si>
    <t>Vitis x interspécifique cv. Seibel 5408</t>
  </si>
  <si>
    <t>Vitis x interspécifique cv. Seibel 5409</t>
  </si>
  <si>
    <t>Vitis x interspécifique cv. Seibel 5410</t>
  </si>
  <si>
    <t>Vitis x interspécifique cv. Seibel 5412</t>
  </si>
  <si>
    <t>Vitis x interspécifique cv. Seibel 5431</t>
  </si>
  <si>
    <t>Vitis x interspécifique cv. Seibel 5437</t>
  </si>
  <si>
    <t>Vitis x interspécifique cv. Seibel 5450</t>
  </si>
  <si>
    <t>Vitis x interspécifique cv. Seibel 5466</t>
  </si>
  <si>
    <t>Vitis x interspécifique cv. Seibel 5474</t>
  </si>
  <si>
    <t>Vitis x interspécifique cv. Seibel 5484</t>
  </si>
  <si>
    <t>Vitis x interspécifique cv. Seibel 5485</t>
  </si>
  <si>
    <t>Vitis x interspécifique cv. Seibel 5486</t>
  </si>
  <si>
    <t>Vitis x interspécifique cv. Seibel 5487</t>
  </si>
  <si>
    <t>Vitis x interspécifique cv. Seibel 5504</t>
  </si>
  <si>
    <t>Vitis x interspécifique cv. Seibel 5539</t>
  </si>
  <si>
    <t>Vitis x interspécifique cv. Seibel 5551</t>
  </si>
  <si>
    <t>Vitis x interspécifique cv. Seibel 5560</t>
  </si>
  <si>
    <t>Vitis x interspécifique cv. Seibel 5561</t>
  </si>
  <si>
    <t>Vitis x interspécifique cv. Seibel 5574</t>
  </si>
  <si>
    <t>Vitis x interspécifique cv. Seibel 5580</t>
  </si>
  <si>
    <t>Vitis x interspécifique cv. Seibel 5586</t>
  </si>
  <si>
    <t>Vitis x interspécifique cv. Seibel 5593</t>
  </si>
  <si>
    <t>Vitis x interspécifique cv. Seibel 5624</t>
  </si>
  <si>
    <t>Vitis x interspécifique cv. Seibel 5632</t>
  </si>
  <si>
    <t>Vitis x interspécifique cv. Seibel 5652</t>
  </si>
  <si>
    <t>Vitis x interspécifique cv. Seibel 5653</t>
  </si>
  <si>
    <t>Vitis x interspécifique cv. Seibel 5656</t>
  </si>
  <si>
    <t>Vitis x interspécifique cv. Seibel 5658</t>
  </si>
  <si>
    <t>Vitis x interspécifique cv. Seibel 5663</t>
  </si>
  <si>
    <t>Vitis x interspécifique cv. Seibel 5683</t>
  </si>
  <si>
    <t>Vitis x interspécifique cv. Seibel 5689</t>
  </si>
  <si>
    <t>Vitis x interspécifique cv. Seibel 5717</t>
  </si>
  <si>
    <t>Vitis x interspécifique cv. Seibel 5744</t>
  </si>
  <si>
    <t>Vitis x interspécifique cv. Seibel 5757</t>
  </si>
  <si>
    <t>Vitis x interspécifique cv. Seibel 5763</t>
  </si>
  <si>
    <t>Vitis x interspécifique cv. Seibel 5773</t>
  </si>
  <si>
    <t>Vitis x interspécifique cv. Seibel 5775</t>
  </si>
  <si>
    <t>Vitis x interspécifique cv. Seibel 5778</t>
  </si>
  <si>
    <t>Vitis x interspécifique cv. Seibel 5785</t>
  </si>
  <si>
    <t>Vitis x interspécifique cv. Seibel 5810</t>
  </si>
  <si>
    <t>Vitis x interspécifique cv. Seibel 5813</t>
  </si>
  <si>
    <t>Vitis x interspécifique cv. Seibel 5815</t>
  </si>
  <si>
    <t>Vitis x interspécifique cv. Seibel 5819</t>
  </si>
  <si>
    <t>Vitis x interspécifique cv. Seibel 5820</t>
  </si>
  <si>
    <t>Vitis x interspécifique cv. Seibel 5826</t>
  </si>
  <si>
    <t>Vitis x interspécifique cv. Seibel 5839</t>
  </si>
  <si>
    <t>Vitis x interspécifique cv. Seibel 5854</t>
  </si>
  <si>
    <t>Vitis x interspécifique cv. Seibel 5860</t>
  </si>
  <si>
    <t>Vitis x interspécifique cv. Seibel 5883</t>
  </si>
  <si>
    <t>Vitis x interspécifique cv. Seibel 5889</t>
  </si>
  <si>
    <t>Vitis x interspécifique cv. Seibel 5890</t>
  </si>
  <si>
    <t>Vitis x interspécifique cv. Seibel 5891</t>
  </si>
  <si>
    <t>Vitis x interspécifique cv. Seibel 5897</t>
  </si>
  <si>
    <t>Vitis x interspécifique cv. Seibel 5900</t>
  </si>
  <si>
    <t>Vitis x interspécifique cv. Seibel 5903</t>
  </si>
  <si>
    <t>Vitis x interspécifique cv. Seibel 5907</t>
  </si>
  <si>
    <t>Vitis x interspécifique cv. Seibel 5908</t>
  </si>
  <si>
    <t>Vitis x interspécifique cv. Seibel 5912</t>
  </si>
  <si>
    <t>Vitis x interspécifique cv. Seibel 5915</t>
  </si>
  <si>
    <t>Vitis x interspécifique cv. Seibel 5916</t>
  </si>
  <si>
    <t>Vitis x interspécifique cv. Seibel 5917</t>
  </si>
  <si>
    <t>Vitis x interspécifique cv. Seibel 5937</t>
  </si>
  <si>
    <t>Vitis x interspécifique cv. Seibel 5946</t>
  </si>
  <si>
    <t>Vitis x interspécifique cv. Seibel 5952</t>
  </si>
  <si>
    <t>Vitis x interspécifique cv. Seibel 5966</t>
  </si>
  <si>
    <t>Vitis x interspécifique cv. Seibel 5979</t>
  </si>
  <si>
    <t>Vitis x interspécifique cv. Seibel 600</t>
  </si>
  <si>
    <t>Vitis x interspécifique cv. Seibel 6003</t>
  </si>
  <si>
    <t>Vitis x interspécifique cv. Seibel 6004</t>
  </si>
  <si>
    <t>Vitis x interspécifique cv. Seibel 6010</t>
  </si>
  <si>
    <t>Vitis x interspécifique cv. Seibel 6011</t>
  </si>
  <si>
    <t>Vitis x interspécifique cv. Seibel 6013</t>
  </si>
  <si>
    <t>Vitis x interspécifique cv. Seibel 6022</t>
  </si>
  <si>
    <t>Vitis x interspécifique cv. Seibel 6027</t>
  </si>
  <si>
    <t>Vitis x interspécifique cv. Seibel 6029</t>
  </si>
  <si>
    <t>Vitis x interspécifique cv. Seibel 6036</t>
  </si>
  <si>
    <t>Vitis x interspécifique cv. Seibel 6042</t>
  </si>
  <si>
    <t>Vitis x interspécifique cv. Seibel 6045</t>
  </si>
  <si>
    <t>Vitis x interspécifique cv. Seibel 6062</t>
  </si>
  <si>
    <t>Vitis x interspécifique cv. Seibel 6064</t>
  </si>
  <si>
    <t>Vitis x interspécifique cv. Seibel 6080</t>
  </si>
  <si>
    <t>Vitis x interspécifique cv. Seibel 6086</t>
  </si>
  <si>
    <t>Vitis x interspécifique cv. Seibel 6088</t>
  </si>
  <si>
    <t>Vitis x interspécifique cv. Seibel 6090</t>
  </si>
  <si>
    <t>Vitis x interspécifique cv. Seibel 6092</t>
  </si>
  <si>
    <t>Vitis x interspécifique cv. Seibel 6093</t>
  </si>
  <si>
    <t>Vitis x interspécifique cv. Seibel 6094</t>
  </si>
  <si>
    <t>Vitis x interspécifique cv. Seibel 6096</t>
  </si>
  <si>
    <t>Vitis x interspécifique cv. Seibel 6102</t>
  </si>
  <si>
    <t>Vitis x interspécifique cv. Seibel 6106</t>
  </si>
  <si>
    <t>Vitis x interspécifique cv. Seibel 6111</t>
  </si>
  <si>
    <t>Vitis x interspécifique cv. Seibel 6115</t>
  </si>
  <si>
    <t>Vitis x interspécifique cv. Seibel 6126</t>
  </si>
  <si>
    <t>Vitis x interspécifique cv. Seibel 6132</t>
  </si>
  <si>
    <t>Vitis x interspécifique cv. Seibel 6143</t>
  </si>
  <si>
    <t>Vitis x interspécifique cv. Seibel 6151</t>
  </si>
  <si>
    <t>Vitis x interspécifique cv. Seibel 6155</t>
  </si>
  <si>
    <t>Vitis x interspécifique cv. Seibel 6158</t>
  </si>
  <si>
    <t>Vitis x interspécifique cv. Seibel 6165</t>
  </si>
  <si>
    <t>Vitis x interspécifique cv. Seibel 6168</t>
  </si>
  <si>
    <t>Vitis x interspécifique cv. Seibel 6170</t>
  </si>
  <si>
    <t>Vitis x interspécifique cv. Seibel 6179</t>
  </si>
  <si>
    <t>Vitis x interspécifique cv. Seibel 6186</t>
  </si>
  <si>
    <t>Vitis x interspécifique cv. Seibel 6209</t>
  </si>
  <si>
    <t>Vitis x interspécifique cv. Seibel 6213</t>
  </si>
  <si>
    <t>Vitis x interspécifique cv. Seibel 6214</t>
  </si>
  <si>
    <t>Vitis x interspécifique cv. Seibel 6229</t>
  </si>
  <si>
    <t>Vitis x interspécifique cv. Seibel 6233</t>
  </si>
  <si>
    <t>Vitis x interspécifique cv. Seibel 6269</t>
  </si>
  <si>
    <t>Vitis x interspécifique cv. Seibel 6278</t>
  </si>
  <si>
    <t>Vitis x interspécifique cv. Seibel 6288</t>
  </si>
  <si>
    <t>Vitis x interspécifique cv. Seibel 6289</t>
  </si>
  <si>
    <t>Vitis x interspécifique cv. Seibel 6293</t>
  </si>
  <si>
    <t>Vitis x interspécifique cv. Seibel 63</t>
  </si>
  <si>
    <t>Vitis x interspécifique cv. Seibel 6318</t>
  </si>
  <si>
    <t>Vitis x interspécifique cv. Seibel 6339</t>
  </si>
  <si>
    <t>Vitis x interspécifique cv. Seibel 6350</t>
  </si>
  <si>
    <t>Vitis x interspécifique cv. Seibel 6403</t>
  </si>
  <si>
    <t>Vitis x interspécifique cv. Seibel 6419</t>
  </si>
  <si>
    <t>Vitis x interspécifique cv. Seibel 6423</t>
  </si>
  <si>
    <t>Vitis x interspécifique cv. Seibel 6425</t>
  </si>
  <si>
    <t>Vitis x interspécifique cv. Seibel 6426</t>
  </si>
  <si>
    <t>Vitis x interspécifique cv. Seibel 6439</t>
  </si>
  <si>
    <t>Vitis x interspécifique cv. Seibel 6455</t>
  </si>
  <si>
    <t>Vitis x interspécifique cv. Seibel 6460</t>
  </si>
  <si>
    <t>Vitis x interspécifique cv. Seibel 6468</t>
  </si>
  <si>
    <t>Vitis x interspécifique cv. Seibel 6478</t>
  </si>
  <si>
    <t>Vitis x interspécifique cv. Seibel 6484</t>
  </si>
  <si>
    <t>Vitis x interspécifique cv. Seibel 6488</t>
  </si>
  <si>
    <t>Vitis x interspécifique cv. Seibel 6491</t>
  </si>
  <si>
    <t>Vitis x interspécifique cv. Seibel 6496</t>
  </si>
  <si>
    <t>Vitis x interspécifique cv. Seibel 6500</t>
  </si>
  <si>
    <t>Vitis x interspécifique cv. Seibel 6572</t>
  </si>
  <si>
    <t>Vitis x interspécifique cv. Seibel 6578</t>
  </si>
  <si>
    <t>Vitis x interspécifique cv. Seibel 6605</t>
  </si>
  <si>
    <t>Vitis x interspécifique cv. Seibel 6606</t>
  </si>
  <si>
    <t>Vitis x interspécifique cv. Seibel 6623</t>
  </si>
  <si>
    <t>Vitis x interspécifique cv. Seibel 670</t>
  </si>
  <si>
    <t>Vitis x interspécifique cv. Seibel 6702</t>
  </si>
  <si>
    <t>Vitis x interspécifique cv. Seibel 6711</t>
  </si>
  <si>
    <t>Vitis x interspécifique cv. Seibel 6717</t>
  </si>
  <si>
    <t>Vitis x interspécifique cv. Seibel 6720</t>
  </si>
  <si>
    <t>Vitis x interspécifique cv. Seibel 6732</t>
  </si>
  <si>
    <t>Vitis x interspécifique cv. Seibel 6733</t>
  </si>
  <si>
    <t>Vitis x interspécifique cv. Seibel 6735</t>
  </si>
  <si>
    <t>Vitis x interspécifique cv. Seibel 6738</t>
  </si>
  <si>
    <t>Vitis x interspécifique cv. Seibel 6739</t>
  </si>
  <si>
    <t>Vitis x interspécifique cv. Seibel 6740</t>
  </si>
  <si>
    <t>Vitis x interspécifique cv. Seibel 6746</t>
  </si>
  <si>
    <t>Vitis x interspécifique cv. Seibel 6751</t>
  </si>
  <si>
    <t>Vitis x interspécifique cv. Seibel 6758</t>
  </si>
  <si>
    <t>Vitis x interspécifique cv. Seibel 6778</t>
  </si>
  <si>
    <t>Vitis x interspécifique cv. Seibel 6779</t>
  </si>
  <si>
    <t>Vitis x interspécifique cv. Seibel 6780</t>
  </si>
  <si>
    <t>Vitis x interspécifique cv. Seibel 6824</t>
  </si>
  <si>
    <t>Vitis x interspécifique cv. Seibel 6830</t>
  </si>
  <si>
    <t>Vitis x interspécifique cv. Seibel 6862</t>
  </si>
  <si>
    <t>Vitis x interspécifique cv. Seibel 6876</t>
  </si>
  <si>
    <t>Vitis x interspécifique cv. Seibel 6906</t>
  </si>
  <si>
    <t>Vitis x interspécifique cv. Seibel 6968</t>
  </si>
  <si>
    <t>Vitis x interspécifique cv. Seibel 6976</t>
  </si>
  <si>
    <t>Vitis x interspécifique cv. Seibel 6980</t>
  </si>
  <si>
    <t>Vitis x interspécifique cv. Seibel 70</t>
  </si>
  <si>
    <t>Vitis x interspécifique cv. Seibel 7000</t>
  </si>
  <si>
    <t>Vitis x interspécifique cv. Seibel 7001</t>
  </si>
  <si>
    <t>Vitis x interspécifique cv. Seibel 7005</t>
  </si>
  <si>
    <t>Vitis x interspécifique cv. Seibel 7011</t>
  </si>
  <si>
    <t>Vitis x interspécifique cv. Seibel 7016</t>
  </si>
  <si>
    <t>Vitis x interspécifique cv. Seibel 7022</t>
  </si>
  <si>
    <t>Vitis x interspécifique cv. Seibel 7033</t>
  </si>
  <si>
    <t>Vitis x interspécifique cv. Seibel 7036</t>
  </si>
  <si>
    <t>Vitis x interspécifique cv. Seibel 7042</t>
  </si>
  <si>
    <t>Vitis x interspécifique cv. Seibel 7044</t>
  </si>
  <si>
    <t>Vitis x interspécifique cv. Seibel 7046</t>
  </si>
  <si>
    <t>Vitis x interspécifique cv. Seibel 7047</t>
  </si>
  <si>
    <t>Vitis x interspécifique cv. Seibel 7052</t>
  </si>
  <si>
    <t>Vitis x interspécifique cv. Seibel 7056</t>
  </si>
  <si>
    <t>Vitis x interspécifique cv. Seibel 7071</t>
  </si>
  <si>
    <t>Vitis x interspécifique cv. Seibel 7080</t>
  </si>
  <si>
    <t>Vitis x interspécifique cv. Seibel 7082</t>
  </si>
  <si>
    <t>Vitis x interspécifique cv. Seibel 7085</t>
  </si>
  <si>
    <t>Vitis x interspécifique cv. Seibel 7090</t>
  </si>
  <si>
    <t>Vitis x interspécifique cv. Seibel 7093</t>
  </si>
  <si>
    <t>Vitis x interspécifique cv. Seibel 7099</t>
  </si>
  <si>
    <t>Vitis x interspécifique cv. Seibel 71</t>
  </si>
  <si>
    <t>Vitis x interspécifique cv. Seibel 7100</t>
  </si>
  <si>
    <t>Vitis x interspécifique cv. Seibel 7122 faux</t>
  </si>
  <si>
    <t>Vitis x interspécifique cv. Seibel 7123</t>
  </si>
  <si>
    <t>Vitis x interspécifique cv. Seibel 7130</t>
  </si>
  <si>
    <t>Vitis x interspécifique cv. Seibel 7135</t>
  </si>
  <si>
    <t>Vitis x interspécifique cv. Seibel 7136</t>
  </si>
  <si>
    <t>Vitis x interspécifique cv. Seibel 7140</t>
  </si>
  <si>
    <t>Vitis x interspécifique cv. Seibel 7144</t>
  </si>
  <si>
    <t>Vitis x interspécifique cv. Seibel 7145</t>
  </si>
  <si>
    <t>Vitis x interspécifique cv. Seibel 7157</t>
  </si>
  <si>
    <t>Vitis x interspécifique cv. Seibel 7162</t>
  </si>
  <si>
    <t>Vitis x interspécifique cv. Seibel 7181</t>
  </si>
  <si>
    <t>Vitis x interspécifique cv. Seibel 720</t>
  </si>
  <si>
    <t>Vitis x interspécifique cv. Seibel 7226</t>
  </si>
  <si>
    <t>Vitis x interspécifique cv. Seibel 7228</t>
  </si>
  <si>
    <t>Vitis x interspécifique cv. Seibel 7229</t>
  </si>
  <si>
    <t>Vitis x interspécifique cv. Seibel 7291</t>
  </si>
  <si>
    <t>Vitis x interspécifique cv. Seibel 7303</t>
  </si>
  <si>
    <t>Vitis x interspécifique cv. Seibel 7311</t>
  </si>
  <si>
    <t>Vitis x interspécifique cv. Seibel 7312</t>
  </si>
  <si>
    <t>Vitis x interspécifique cv. Seibel 7315</t>
  </si>
  <si>
    <t>Vitis x interspécifique cv. Seibel 7319</t>
  </si>
  <si>
    <t>Vitis x interspécifique cv. Seibel 7324</t>
  </si>
  <si>
    <t>Vitis x interspécifique cv. Seibel 7332</t>
  </si>
  <si>
    <t>Vitis x interspécifique cv. Seibel 7338</t>
  </si>
  <si>
    <t>Vitis x interspécifique cv. Seibel 7347</t>
  </si>
  <si>
    <t>Vitis x interspécifique cv. Seibel 7349</t>
  </si>
  <si>
    <t>Vitis x interspécifique cv. Seibel 7369</t>
  </si>
  <si>
    <t>Vitis x interspécifique cv. Seibel 7374</t>
  </si>
  <si>
    <t>Vitis x interspécifique cv. Seibel 7380</t>
  </si>
  <si>
    <t>Vitis x interspécifique cv. Seibel 7381</t>
  </si>
  <si>
    <t>Vitis x interspécifique cv. Seibel 7511</t>
  </si>
  <si>
    <t>Vitis x interspécifique cv. Seibel 7523</t>
  </si>
  <si>
    <t>Vitis x interspécifique cv. Seibel 7524</t>
  </si>
  <si>
    <t>Vitis x interspécifique cv. Seibel 753</t>
  </si>
  <si>
    <t>Vitis x interspécifique cv. Seibel 7530</t>
  </si>
  <si>
    <t>Vitis x interspécifique cv. Seibel 7545</t>
  </si>
  <si>
    <t>Vitis x interspécifique cv. Seibel 7566</t>
  </si>
  <si>
    <t>Vitis x interspécifique cv. Seibel 7568</t>
  </si>
  <si>
    <t>Vitis x interspécifique cv. Seibel 7574</t>
  </si>
  <si>
    <t>Vitis x interspécifique cv. Seibel 7584</t>
  </si>
  <si>
    <t>Vitis x interspécifique cv. Seibel 7587</t>
  </si>
  <si>
    <t>Vitis x interspécifique cv. Seibel 7598</t>
  </si>
  <si>
    <t>Vitis x interspécifique cv. Seibel 7603</t>
  </si>
  <si>
    <t>Vitis x interspécifique cv. Seibel 7606</t>
  </si>
  <si>
    <t>Vitis x interspécifique cv. Seibel 7608</t>
  </si>
  <si>
    <t>Vitis x interspécifique cv. Seibel 7609</t>
  </si>
  <si>
    <t>Vitis x interspécifique cv. Seibel 7617</t>
  </si>
  <si>
    <t>Vitis x interspécifique cv. Seibel 7620</t>
  </si>
  <si>
    <t>Vitis x interspécifique cv. Seibel 7622</t>
  </si>
  <si>
    <t>Vitis x interspécifique cv. Seibel 7632</t>
  </si>
  <si>
    <t>Vitis x interspécifique cv. Seibel 7635</t>
  </si>
  <si>
    <t>Vitis x interspécifique cv. Seibel 7668</t>
  </si>
  <si>
    <t>Vitis x interspécifique cv. Seibel 7672</t>
  </si>
  <si>
    <t>Vitis x interspécifique cv. Seibel 7673</t>
  </si>
  <si>
    <t>Vitis x interspécifique cv. Seibel 7721</t>
  </si>
  <si>
    <t>Vitis x interspécifique cv. Seibel 7787</t>
  </si>
  <si>
    <t>Vitis x interspécifique cv. Seibel 7791</t>
  </si>
  <si>
    <t>Vitis x interspécifique cv. Seibel 78</t>
  </si>
  <si>
    <t>Vitis x interspécifique cv. Seibel 7808</t>
  </si>
  <si>
    <t>Vitis x interspécifique cv. Seibel 782</t>
  </si>
  <si>
    <t>Vitis x interspécifique cv. Seibel 7822</t>
  </si>
  <si>
    <t>Vitis x interspécifique cv. Seibel 7828</t>
  </si>
  <si>
    <t>Vitis x interspécifique cv. Seibel 7833</t>
  </si>
  <si>
    <t>Vitis x interspécifique cv. Seibel 7871</t>
  </si>
  <si>
    <t>Vitis x interspécifique cv. Seibel 7882</t>
  </si>
  <si>
    <t>Vitis x interspécifique cv. Seibel 7892</t>
  </si>
  <si>
    <t>Vitis x interspécifique cv. Seibel 7905</t>
  </si>
  <si>
    <t>Vitis x interspécifique cv. Seibel 7963</t>
  </si>
  <si>
    <t>Vitis x interspécifique cv. Seibel 7984</t>
  </si>
  <si>
    <t>Vitis x interspécifique cv. Seibel 8</t>
  </si>
  <si>
    <t>Vitis x interspécifique cv. Seibel 8101</t>
  </si>
  <si>
    <t>Vitis x interspécifique cv. Seibel 8116</t>
  </si>
  <si>
    <t>Vitis x interspécifique cv. Seibel 8120</t>
  </si>
  <si>
    <t>Vitis x interspécifique cv. Seibel 8134</t>
  </si>
  <si>
    <t>Vitis x interspécifique cv. Seibel 82</t>
  </si>
  <si>
    <t>Vitis x interspécifique cv. Seibel 8203</t>
  </si>
  <si>
    <t>Vitis x interspécifique cv. Seibel 8206</t>
  </si>
  <si>
    <t>Vitis x interspécifique cv. Seibel 8209</t>
  </si>
  <si>
    <t>Vitis x interspécifique cv. Seibel 8213</t>
  </si>
  <si>
    <t>Vitis x interspécifique cv. Seibel 8214</t>
  </si>
  <si>
    <t>Vitis x interspécifique cv. Seibel 8216</t>
  </si>
  <si>
    <t>Vitis x interspécifique cv. Seibel 8217</t>
  </si>
  <si>
    <t>Vitis x interspécifique cv. Seibel 8218</t>
  </si>
  <si>
    <t>Vitis x interspécifique cv. Seibel 8219</t>
  </si>
  <si>
    <t>Vitis x interspécifique cv. Seibel 8220</t>
  </si>
  <si>
    <t>Vitis x interspécifique cv. Seibel 8223</t>
  </si>
  <si>
    <t>Vitis x interspécifique cv. Seibel 8224</t>
  </si>
  <si>
    <t>Vitis x interspécifique cv. Seibel 8225</t>
  </si>
  <si>
    <t>Vitis x interspécifique cv. Seibel 8229</t>
  </si>
  <si>
    <t>Vitis x interspécifique cv. Seibel 8231</t>
  </si>
  <si>
    <t>Vitis x interspécifique cv. Seibel 8238</t>
  </si>
  <si>
    <t>Vitis x interspécifique cv. Seibel 8239</t>
  </si>
  <si>
    <t>Vitis x interspécifique cv. Seibel 8243</t>
  </si>
  <si>
    <t>Vitis x interspécifique cv. Seibel 8259</t>
  </si>
  <si>
    <t>Vitis x interspécifique cv. Seibel 8265</t>
  </si>
  <si>
    <t>Vitis x interspécifique cv. Seibel 8336</t>
  </si>
  <si>
    <t>Vitis x interspécifique cv. Seibel 8337</t>
  </si>
  <si>
    <t>Vitis x interspécifique cv. Seibel 8343</t>
  </si>
  <si>
    <t>Vitis x interspécifique cv. Seibel 8355</t>
  </si>
  <si>
    <t>Vitis x interspécifique cv. Seibel 8361</t>
  </si>
  <si>
    <t>Vitis x interspécifique cv. Seibel 8365</t>
  </si>
  <si>
    <t>Vitis x interspécifique cv. Seibel 8376</t>
  </si>
  <si>
    <t>Vitis x interspécifique cv. Seibel 8380</t>
  </si>
  <si>
    <t>Vitis x interspécifique cv. Seibel 8382</t>
  </si>
  <si>
    <t>Vitis x interspécifique cv. Seibel 8390</t>
  </si>
  <si>
    <t>Vitis x interspécifique cv. Seibel 8392</t>
  </si>
  <si>
    <t>Vitis x interspécifique cv. Seibel 8397</t>
  </si>
  <si>
    <t>Vitis x interspécifique cv. Seibel 8402</t>
  </si>
  <si>
    <t>Vitis x interspécifique cv. Seibel 8407</t>
  </si>
  <si>
    <t>Vitis x interspécifique cv. Seibel 8418</t>
  </si>
  <si>
    <t>Vitis x interspécifique cv. Seibel 8447</t>
  </si>
  <si>
    <t>Vitis x interspécifique cv. Seibel 85</t>
  </si>
  <si>
    <t>Vitis x interspécifique cv. Seibel 8515</t>
  </si>
  <si>
    <t>Vitis x interspécifique cv. Seibel 8541</t>
  </si>
  <si>
    <t>Vitis x interspécifique cv. Seibel 8602</t>
  </si>
  <si>
    <t>Vitis x interspécifique cv. Seibel 8611</t>
  </si>
  <si>
    <t>Vitis x interspécifique cv. Seibel 8616</t>
  </si>
  <si>
    <t>Vitis x interspécifique cv. Seibel 8620</t>
  </si>
  <si>
    <t>Vitis x interspécifique cv. Seibel 8647</t>
  </si>
  <si>
    <t>Vitis x interspécifique cv. Seibel 867</t>
  </si>
  <si>
    <t>Vitis x interspécifique cv. Seibel 8675</t>
  </si>
  <si>
    <t>Vitis x interspécifique cv. Seibel 8678</t>
  </si>
  <si>
    <t>Vitis x interspécifique cv. Seibel 87</t>
  </si>
  <si>
    <t>Vitis x interspécifique cv. Seibel 8704</t>
  </si>
  <si>
    <t>Vitis x interspécifique cv. Seibel 8710</t>
  </si>
  <si>
    <t>Vitis x interspécifique cv. Seibel 8712</t>
  </si>
  <si>
    <t>Vitis x interspécifique cv. Seibel 8713</t>
  </si>
  <si>
    <t>Vitis x interspécifique cv. Seibel 8716</t>
  </si>
  <si>
    <t>Vitis x interspécifique cv. Seibel 8717</t>
  </si>
  <si>
    <t>Vitis x interspécifique cv. Seibel 8718</t>
  </si>
  <si>
    <t>Vitis x interspécifique cv. Seibel 8719</t>
  </si>
  <si>
    <t>Vitis x interspécifique cv. Seibel 8724</t>
  </si>
  <si>
    <t>Vitis x interspécifique cv. Seibel 8731</t>
  </si>
  <si>
    <t>Vitis x interspécifique cv. Seibel 8744</t>
  </si>
  <si>
    <t>Vitis x interspécifique cv. Seibel 8748</t>
  </si>
  <si>
    <t>Vitis x interspécifique cv. Seibel 8753</t>
  </si>
  <si>
    <t>Vitis x interspécifique cv. Seibel 8764</t>
  </si>
  <si>
    <t>Vitis x interspécifique cv. Seibel 877</t>
  </si>
  <si>
    <t>Vitis x interspécifique cv. Seibel 8786</t>
  </si>
  <si>
    <t>Vitis x interspécifique cv. Seibel 880</t>
  </si>
  <si>
    <t>Vitis x interspécifique cv. Seibel 8818</t>
  </si>
  <si>
    <t>Vitis x interspécifique cv. Seibel 8820</t>
  </si>
  <si>
    <t>Vitis x interspécifique cv. Seibel 8824</t>
  </si>
  <si>
    <t>Vitis x interspécifique cv. Seibel 8831</t>
  </si>
  <si>
    <t>Vitis x interspécifique cv. Seibel 8902</t>
  </si>
  <si>
    <t>Vitis x interspécifique cv. Seibel 8906</t>
  </si>
  <si>
    <t>Vitis x interspécifique cv. Seibel 8907</t>
  </si>
  <si>
    <t>Vitis x interspécifique cv. Seibel 8916</t>
  </si>
  <si>
    <t>Vitis x interspécifique cv. Seibel 8917</t>
  </si>
  <si>
    <t>Vitis x interspécifique cv. Seibel 8943</t>
  </si>
  <si>
    <t>Vitis x interspécifique cv. Seibel 8954</t>
  </si>
  <si>
    <t>Vitis x interspécifique cv. Seibel 8974</t>
  </si>
  <si>
    <t>Vitis x interspécifique cv. Seibel 9008</t>
  </si>
  <si>
    <t>Vitis x interspécifique cv. Seibel 9045</t>
  </si>
  <si>
    <t>Vitis x interspécifique cv. Seibel 9095</t>
  </si>
  <si>
    <t>Vitis x interspécifique cv. Seibel 9110</t>
  </si>
  <si>
    <t>Vitis x interspécifique cv. Seibel 9116</t>
  </si>
  <si>
    <t>Vitis x interspécifique cv. Seibel 9123</t>
  </si>
  <si>
    <t>Vitis x interspécifique cv. Seibel 9175</t>
  </si>
  <si>
    <t>Vitis x interspécifique cv. Seibel 9246</t>
  </si>
  <si>
    <t>Vitis x interspécifique cv. Seibel 9249</t>
  </si>
  <si>
    <t>Vitis x interspécifique cv. Seibel 9413</t>
  </si>
  <si>
    <t>Vitis x interspécifique cv. Seibel 9458</t>
  </si>
  <si>
    <t>Vitis x interspécifique cv. Seibel 9569</t>
  </si>
  <si>
    <t>Vitis x interspécifique cv. Seibel 9780</t>
  </si>
  <si>
    <t>Vitis x interspécifique cv. Seibel 9872</t>
  </si>
  <si>
    <t>Vitis x interspécifique cv. Seibel 9875/8</t>
  </si>
  <si>
    <t>Vitis x interspécifique cv. Seibel 9932</t>
  </si>
  <si>
    <t>Vitis x interspécifique cv. Seinoir = Seibel 8745</t>
  </si>
  <si>
    <t>Vitis x interspécifique cv. Semis de 41 B (Malleu)</t>
  </si>
  <si>
    <t>Vitis x interspécifique cv. Seyval = Seyve-Villard 5-276</t>
  </si>
  <si>
    <t>Vitis x interspécifique cv. Seyve Villard 23-23</t>
  </si>
  <si>
    <t>Vitis x interspécifique cv. Seyve-Villard 10-271</t>
  </si>
  <si>
    <t>Vitis x interspécifique cv. Seyve-Villard 10-300</t>
  </si>
  <si>
    <t>Vitis x interspécifique cv. Seyve-Villard 10-319</t>
  </si>
  <si>
    <t>Vitis x interspécifique cv. Seyve-Villard 10-347</t>
  </si>
  <si>
    <t>Vitis x interspécifique cv. Seyve-Villard 11-318</t>
  </si>
  <si>
    <t>Vitis x interspécifique cv. Seyve-Villard 12-129</t>
  </si>
  <si>
    <t>Vitis x interspécifique cv. Seyve-Villard 12-132</t>
  </si>
  <si>
    <t>Vitis x interspécifique cv. Seyve-Villard 12-259</t>
  </si>
  <si>
    <t>Vitis x interspécifique cv. Seyve-Villard 12-267</t>
  </si>
  <si>
    <t>Vitis x interspécifique cv. Seyve-Villard 12-286</t>
  </si>
  <si>
    <t>Vitis x interspécifique cv. Seyve-Villard 12-303</t>
  </si>
  <si>
    <t>Vitis x interspécifique cv. Seyve-Villard 12-308</t>
  </si>
  <si>
    <t>Vitis x interspécifique cv. Seyve-Villard 12-327</t>
  </si>
  <si>
    <t>Vitis x interspécifique cv. Seyve-Villard 12-328</t>
  </si>
  <si>
    <t>Vitis x interspécifique cv. Seyve-Villard 12-331</t>
  </si>
  <si>
    <t>Vitis x interspécifique cv. Seyve-Villard 12-347</t>
  </si>
  <si>
    <t>Vitis x interspécifique cv. Seyve-Villard 12-358</t>
  </si>
  <si>
    <t>Vitis x interspécifique cv. Seyve-Villard 12-364</t>
  </si>
  <si>
    <t>Vitis x interspécifique cv. Seyve-Villard 12-390</t>
  </si>
  <si>
    <t>Vitis x interspécifique cv. Seyve-Villard 12-391</t>
  </si>
  <si>
    <t>Vitis x interspécifique cv. Seyve-Villard 12-395</t>
  </si>
  <si>
    <t>Vitis x interspécifique cv. Seyve-Villard 12-397</t>
  </si>
  <si>
    <t>Vitis x interspécifique cv. Seyve-Villard 12-401</t>
  </si>
  <si>
    <t>Vitis x interspécifique cv. Seyve-Villard 12-413</t>
  </si>
  <si>
    <t>Vitis x interspécifique cv. Seyve-Villard 12-417</t>
  </si>
  <si>
    <t>Vitis x interspécifique cv. Seyve-Villard 12-426</t>
  </si>
  <si>
    <t>Vitis x interspécifique cv. Seyve-Villard 12-474</t>
  </si>
  <si>
    <t>Vitis x interspécifique cv. Seyve-Villard 12-481</t>
  </si>
  <si>
    <t>Vitis x interspécifique cv. Seyve-Villard 12-622</t>
  </si>
  <si>
    <t>Vitis x interspécifique cv. Seyve-Villard 12-734</t>
  </si>
  <si>
    <t>Vitis x interspécifique cv. Seyve-Villard 12-789</t>
  </si>
  <si>
    <t>Vitis x interspécifique cv. Seyve-Villard 13-359</t>
  </si>
  <si>
    <t>Vitis x interspécifique cv. Seyve-Villard 14-270</t>
  </si>
  <si>
    <t>Vitis x interspécifique cv. Seyve-Villard 14-281</t>
  </si>
  <si>
    <t>Vitis x interspécifique cv. Seyve-Villard 14-287</t>
  </si>
  <si>
    <t>Vitis x interspécifique cv. Seyve-Villard 14-472</t>
  </si>
  <si>
    <t>Vitis x interspécifique cv. Seyve-Villard 15-151</t>
  </si>
  <si>
    <t>Vitis x interspécifique cv. Seyve-Villard 15-174</t>
  </si>
  <si>
    <t>Vitis x interspécifique cv. Seyve-Villard 15-403</t>
  </si>
  <si>
    <t>Vitis x interspécifique cv. Seyve-Villard 15-505</t>
  </si>
  <si>
    <t>Vitis x interspécifique cv. Seyve-Villard 16-207</t>
  </si>
  <si>
    <t>Vitis x interspécifique cv. Seyve-Villard 1-72</t>
  </si>
  <si>
    <t>Vitis x interspécifique cv. Seyve-Villard 18-118</t>
  </si>
  <si>
    <t>Vitis x interspécifique cv. Seyve-Villard 18-304</t>
  </si>
  <si>
    <t>Vitis x interspécifique cv. Seyve-Villard 18-307</t>
  </si>
  <si>
    <t>Vitis x interspécifique cv. Seyve-Villard 18-402</t>
  </si>
  <si>
    <t>Vitis x interspécifique cv. Seyve-Villard 18-422</t>
  </si>
  <si>
    <t>Vitis x interspécifique cv. Seyve-Villard 18-425</t>
  </si>
  <si>
    <t>Vitis x interspécifique cv. Seyve-Villard 19-159</t>
  </si>
  <si>
    <t>Vitis x interspécifique cv. Seyve-Villard 19-228</t>
  </si>
  <si>
    <t>Vitis x interspécifique cv. Seyve-Villard 19-233</t>
  </si>
  <si>
    <t>Vitis x interspécifique cv. Seyve-Villard 19-275</t>
  </si>
  <si>
    <t>Vitis x interspécifique cv. Seyve-Villard 19-409</t>
  </si>
  <si>
    <t>Vitis x interspécifique cv. Seyve-Villard 19-410</t>
  </si>
  <si>
    <t>Vitis x interspécifique cv. Seyve-Villard 19-421</t>
  </si>
  <si>
    <t>Vitis x interspécifique cv. Seyve-Villard 19-439</t>
  </si>
  <si>
    <t>Vitis x interspécifique cv. Seyve-Villard 22-130</t>
  </si>
  <si>
    <t>Vitis x interspécifique cv. Seyve-Villard 22-140</t>
  </si>
  <si>
    <t>Vitis x interspécifique cv. Seyve-Villard 22-228</t>
  </si>
  <si>
    <t>Vitis x interspécifique cv. Seyve-Villard 22-25</t>
  </si>
  <si>
    <t>Vitis x interspécifique cv. Seyve-Villard 23-10</t>
  </si>
  <si>
    <t>Vitis x interspécifique cv. Seyve-Villard 23-118</t>
  </si>
  <si>
    <t>Vitis x interspécifique cv. Seyve-Villard 23120</t>
  </si>
  <si>
    <t>Vitis x interspécifique cv. Seyve-Villard 23-18</t>
  </si>
  <si>
    <t>Vitis x interspécifique cv. Seyve-Villard 23-251</t>
  </si>
  <si>
    <t>Vitis x interspécifique cv. Seyve-Villard 23-286</t>
  </si>
  <si>
    <t>Vitis x interspécifique cv. Seyve-Villard 23-296</t>
  </si>
  <si>
    <t>Vitis x interspécifique cv. Seyve-Villard 23-314</t>
  </si>
  <si>
    <t>Vitis x interspécifique cv. Seyve-Villard 23-346</t>
  </si>
  <si>
    <t>Vitis x interspécifique cv. Seyve-Villard 23-350</t>
  </si>
  <si>
    <t>Vitis x interspécifique cv. Seyve-Villard 23-353</t>
  </si>
  <si>
    <t>Vitis x interspécifique cv. Seyve-Villard 23-356</t>
  </si>
  <si>
    <t>Vitis x interspécifique cv. Seyve-Villard 23-359</t>
  </si>
  <si>
    <t>Vitis x interspécifique cv. Seyve-Villard 23-36</t>
  </si>
  <si>
    <t>Vitis x interspécifique cv. Seyve-Villard 23-369</t>
  </si>
  <si>
    <t>Vitis x interspécifique cv. Seyve-Villard 23-400</t>
  </si>
  <si>
    <t>Vitis x interspécifique cv. Seyve-Villard 23-421</t>
  </si>
  <si>
    <t>Vitis x interspécifique cv. Seyve-Villard 23-501</t>
  </si>
  <si>
    <t>Vitis x interspécifique cv. Seyve-Villard 23-502</t>
  </si>
  <si>
    <t>Vitis x interspécifique cv. Seyve-Villard 23-504</t>
  </si>
  <si>
    <t>Vitis x interspécifique cv. Seyve-Villard 23-510</t>
  </si>
  <si>
    <t>Vitis x interspécifique cv. Seyve-Villard 23-512</t>
  </si>
  <si>
    <t>Vitis x interspécifique cv. Seyve-Villard 23-519</t>
  </si>
  <si>
    <t>Vitis x interspécifique cv. Seyve-Villard 23-545</t>
  </si>
  <si>
    <t>Vitis x interspécifique cv. Seyve-Villard 23-564</t>
  </si>
  <si>
    <t>Vitis x interspécifique cv. Seyve-Villard 23-841</t>
  </si>
  <si>
    <t>Vitis x interspécifique cv. Seyve-Villard 23-898</t>
  </si>
  <si>
    <t>Vitis x interspécifique cv. Seyve-Villard 24-280</t>
  </si>
  <si>
    <t>Vitis x interspécifique cv. Seyve-Villard 24-282</t>
  </si>
  <si>
    <t>Vitis x interspécifique cv. Seyve-Villard 24-397</t>
  </si>
  <si>
    <t>Vitis x interspécifique cv. Seyve-Villard 24-418</t>
  </si>
  <si>
    <t>Vitis x interspécifique cv. Seyve-Villard 24-520</t>
  </si>
  <si>
    <t>Vitis x interspécifique cv. Seyve-Villard 24-531</t>
  </si>
  <si>
    <t>Vitis x interspécifique cv. Seyve-Villard 24-535</t>
  </si>
  <si>
    <t>Vitis x interspécifique cv. Seyve-Villard 24-614</t>
  </si>
  <si>
    <t>Vitis x interspécifique cv. Seyve-Villard 26-166</t>
  </si>
  <si>
    <t>Vitis x interspécifique cv. Seyve-Villard 26-205</t>
  </si>
  <si>
    <t>Vitis x interspécifique cv. Seyve-Villard 26-482</t>
  </si>
  <si>
    <t>Vitis x interspécifique cv. Seyve-Villard 26-490</t>
  </si>
  <si>
    <t>Vitis x interspécifique cv. Seyve-Villard 26-924</t>
  </si>
  <si>
    <t>Vitis x interspécifique cv. Seyve-Villard 27-236</t>
  </si>
  <si>
    <t>Vitis x interspécifique cv. Seyve-Villard 27-350</t>
  </si>
  <si>
    <t>Vitis x interspécifique cv. Seyve-Villard 27-531</t>
  </si>
  <si>
    <t>Vitis x interspécifique cv. Seyve-Villard 27-91</t>
  </si>
  <si>
    <t>Vitis x interspécifique cv. Seyve-Villard 28-415</t>
  </si>
  <si>
    <t>Vitis x interspécifique cv. Seyve-Villard 28-497</t>
  </si>
  <si>
    <t>Vitis x interspécifique cv. Seyve-Villard 28-527</t>
  </si>
  <si>
    <t>Vitis x interspécifique cv. Seyve-Villard 28-86</t>
  </si>
  <si>
    <t>Vitis x interspécifique cv. Seyve-Villard 29-399</t>
  </si>
  <si>
    <t>Vitis x interspécifique cv. Seyve-Villard 30-5</t>
  </si>
  <si>
    <t>Vitis x interspécifique cv. Seyve-Villard 30-56</t>
  </si>
  <si>
    <t>Vitis x interspécifique cv. Seyve-Villard 31-358</t>
  </si>
  <si>
    <t>Vitis x interspécifique cv. Seyve-Villard 3-160</t>
  </si>
  <si>
    <t>Vitis x interspécifique cv. Seyve-Villard 33-412</t>
  </si>
  <si>
    <t>Vitis x interspécifique cv. Seyve-Villard 34-211</t>
  </si>
  <si>
    <t>Vitis x interspécifique cv. Seyve-Villard 34-273</t>
  </si>
  <si>
    <t>Vitis x interspécifique cv. Seyve-Villard 36-152</t>
  </si>
  <si>
    <t>Vitis x interspécifique cv. Seyve-Villard 39-229</t>
  </si>
  <si>
    <t>Vitis x interspécifique cv. Seyve-Villard 39-522</t>
  </si>
  <si>
    <t>Vitis x interspécifique cv. Seyve-Villard 39-639</t>
  </si>
  <si>
    <t>Vitis x interspécifique cv. Seyve-Villard 41-471</t>
  </si>
  <si>
    <t>Vitis x interspécifique cv. Seyve-Villard 43-438</t>
  </si>
  <si>
    <t>Vitis x interspécifique cv. Seyve-Villard 45-440</t>
  </si>
  <si>
    <t>Vitis x interspécifique cv. Seyve-Villard 46-215</t>
  </si>
  <si>
    <t>Vitis x interspécifique cv. Seyve-Villard 46-434</t>
  </si>
  <si>
    <t>Vitis x interspécifique cv. Seyve-Villard 5-247</t>
  </si>
  <si>
    <t>Vitis x interspécifique cv. Seyve-Villard 7-111</t>
  </si>
  <si>
    <t>Vitis x interspécifique cv. Seyve-Villard 7-135</t>
  </si>
  <si>
    <t>Vitis x interspécifique cv. Seyve-Villard 7-216</t>
  </si>
  <si>
    <t>Vitis x interspécifique cv. Seyve-Villard 7-235</t>
  </si>
  <si>
    <t>Vitis x interspécifique cv. Siegfried rèbe</t>
  </si>
  <si>
    <t>Vitis x interspécifique cv. Sioux</t>
  </si>
  <si>
    <t>Vitis x interspécifique cv. Sirius</t>
  </si>
  <si>
    <t>Vitis x interspécifique cv. Solaris</t>
  </si>
  <si>
    <t>Vitis x interspécifique cv. Solonis</t>
  </si>
  <si>
    <t>Vitis x interspécifique cv. Solonis x Goldriesling</t>
  </si>
  <si>
    <t>Vitis x interspécifique cv. Sori = 353 Geisenheim</t>
  </si>
  <si>
    <t>Vitis x interspécifique cv. SO4 = Sélection Oppenheim 4</t>
  </si>
  <si>
    <t>Vitis x interspécifique cv. Staufer</t>
  </si>
  <si>
    <t>Vitis x interspécifique cv. Sulima</t>
  </si>
  <si>
    <t>Vitis x interspécifique cv. Super 99 Richter</t>
  </si>
  <si>
    <t>Vitis x interspécifique cv. Superbe</t>
  </si>
  <si>
    <t>Vitis x interspécifique cv. Surfin blanc</t>
  </si>
  <si>
    <t>Vitis x interspécifique cv. Sylvestre Warre</t>
  </si>
  <si>
    <t>Vitis x interspécifique cv. Takao</t>
  </si>
  <si>
    <t>Vitis x interspécifique cv. Tank = Couderc 4401</t>
  </si>
  <si>
    <t>Vitis x interspécifique cv. Téhère doré = Tissier Ravat 578</t>
  </si>
  <si>
    <t>Vitis x interspécifique cv. Teleki 10 A</t>
  </si>
  <si>
    <t>Vitis x interspécifique cv. Teresa Pirovano = Pirovano 192</t>
  </si>
  <si>
    <t>Vitis x interspécifique cv. Termidoro = Pirovano 33</t>
  </si>
  <si>
    <t>Vitis x interspécifique cv. Terzi 1</t>
  </si>
  <si>
    <t>Vitis x interspécifique cv. Terzi 108-6</t>
  </si>
  <si>
    <t>Vitis x interspécifique cv. Terzi 111-4</t>
  </si>
  <si>
    <t>Vitis x interspécifique cv. Terzi 1-6</t>
  </si>
  <si>
    <t>Vitis x interspécifique cv. Terzi 6-26</t>
  </si>
  <si>
    <t>Vitis x interspécifique cv. Terzi 6-6</t>
  </si>
  <si>
    <t>Vitis x interspécifique cv. Terzi 72-6</t>
  </si>
  <si>
    <t>Vitis x interspécifique cv. Terzi 78-13</t>
  </si>
  <si>
    <t>Vitis x interspécifique cv. Tinctarel n° 2 = Galibert 182-15</t>
  </si>
  <si>
    <t>Vitis x interspécifique cv. Tinctarel N°1 = Galibert 182-14</t>
  </si>
  <si>
    <t>Vitis x interspécifique cv. Tôtmur = Baco 2-16</t>
  </si>
  <si>
    <t>Vitis x interspécifique cv. Tréblanc</t>
  </si>
  <si>
    <t>Vitis x interspécifique cv. Triomphe d'Alsace = Kühlmann 319-3</t>
  </si>
  <si>
    <t>Vitis x interspécifique cv. Union Village</t>
  </si>
  <si>
    <t>Vitis x interspécifique cv. Uvade blanche n° 1 = Galibert 221-32</t>
  </si>
  <si>
    <t>Vitis x interspécifique cv. Uvade blanche n° 3 = Galibert 223-61</t>
  </si>
  <si>
    <t>Vitis x interspécifique cv. Uvade blanche n°2 = Galibert 223-59</t>
  </si>
  <si>
    <t>Vitis x interspécifique cv. Uvade blanche n°4 = Galibert 223-77</t>
  </si>
  <si>
    <t>Vitis x interspécifique cv. Uvanère</t>
  </si>
  <si>
    <t>Vitis x interspécifique cv. Uvette blanche n°1 = Galibert 239-41</t>
  </si>
  <si>
    <t>Vitis x interspécifique cv. Uvette blanche n°2 = Galibert 239-44</t>
  </si>
  <si>
    <t>Vitis x interspécifique cv. Uvette dorée n°1 = Galibert 230-91</t>
  </si>
  <si>
    <t>Vitis x interspécifique cv. Uvette dorée n°2 = Galibert 238-70</t>
  </si>
  <si>
    <t>Vitis x interspécifique cv. Uvine</t>
  </si>
  <si>
    <t>Vitis x interspécifique cv. V 15</t>
  </si>
  <si>
    <t>Vitis x interspécifique cv. Valérien = Seyve-Villard 23-410</t>
  </si>
  <si>
    <t>Vitis x interspécifique cv. Varousset = Seyve-Villard 23-657</t>
  </si>
  <si>
    <t>Vitis x interspécifique cv. Venango</t>
  </si>
  <si>
    <t>Vitis x interspécifique cv. Vialla</t>
  </si>
  <si>
    <t>Vitis x interspécifique cv. Victoire = Kühlmann 272-1</t>
  </si>
  <si>
    <t>Vitis x interspécifique cv. Vidal 254</t>
  </si>
  <si>
    <t>Vitis x interspécifique cv. Vidal 256</t>
  </si>
  <si>
    <t>Vitis x interspécifique cv. Vidal 286</t>
  </si>
  <si>
    <t>Vitis x interspécifique cv. Villard blanc = Seyve-Villard 12-375</t>
  </si>
  <si>
    <t>Vitis x interspécifique cv. Villard noir = Seyve-Villard 18-315</t>
  </si>
  <si>
    <t>Vitis x interspécifique cv. vinifera x aestivalis</t>
  </si>
  <si>
    <t>Vitis x interspécifique cv. vinifera x aestivalis x labrusca</t>
  </si>
  <si>
    <t>Vitis x interspécifique cv. vinifera x berlandieri</t>
  </si>
  <si>
    <t>Vitis x interspécifique cv. vinifera x californica</t>
  </si>
  <si>
    <t>Vitis x interspécifique cv. Vosgien</t>
  </si>
  <si>
    <t>Vitis x interspécifique cv. Wilhelma 1</t>
  </si>
  <si>
    <t>Vitis x interspécifique cv. Wilson grape = Kühlmann 252-1</t>
  </si>
  <si>
    <t>Vitis x interspécifique cv. 10-11</t>
  </si>
  <si>
    <t>Vitis x interspécifique cv. 101-14 MGT = Millardet et de Grasset 101-14</t>
  </si>
  <si>
    <t>Vitis x interspécifique cv. 102 EM</t>
  </si>
  <si>
    <t>Vitis x interspécifique cv. 10-5</t>
  </si>
  <si>
    <t>Vitis x interspécifique cv. 110 R = Richter 110</t>
  </si>
  <si>
    <t>Vitis x interspécifique cv. 1103 Pa = Paulsen 1103</t>
  </si>
  <si>
    <t>Vitis x interspécifique cv. 125 AA = Kober 125 AA</t>
  </si>
  <si>
    <t>Vitis x interspécifique cv. 136 EM</t>
  </si>
  <si>
    <t>Vitis x interspécifique cv. 140 Ru = Ruggeri 140</t>
  </si>
  <si>
    <t>Vitis x interspécifique cv. 142 EM</t>
  </si>
  <si>
    <t>Vitis x interspécifique cv. 1447 Pa = Paulsen 1447</t>
  </si>
  <si>
    <t>Vitis x interspécifique cv. 161-49 C = Couderc 161-49</t>
  </si>
  <si>
    <t>Vitis x interspécifique cv. 1616 C = Couderc 1616</t>
  </si>
  <si>
    <t>Vitis x interspécifique cv. 196-17 Cl = Castel 196-17</t>
  </si>
  <si>
    <t>Vitis x interspécifique cv. 216-3 Cl = Castel 216-3</t>
  </si>
  <si>
    <t>Vitis x interspécifique cv. 33 EM</t>
  </si>
  <si>
    <t>Vitis x interspécifique cv. 3309 C = Couderc 3309</t>
  </si>
  <si>
    <t>Vitis x interspécifique cv. 333 EM = 333 Ecole de Montpellier</t>
  </si>
  <si>
    <t>Vitis x interspécifique cv. 34 EM = 34 Ecole de Montpellier</t>
  </si>
  <si>
    <t>Vitis x interspécifique cv. 4010 Cl = Castel 4010</t>
  </si>
  <si>
    <t>Vitis x interspécifique cv. 41 B = Millardet et de Grasset 41 B</t>
  </si>
  <si>
    <t>Vitis x interspécifique cv. 420 A = Millardet et de Grasset 420 A</t>
  </si>
  <si>
    <t>Vitis x interspécifique cv. 420 Foex</t>
  </si>
  <si>
    <t>Vitis x interspécifique cv. 44-53 Ma = Malègue 44-53</t>
  </si>
  <si>
    <t>Vitis x interspécifique cv. 45 EM</t>
  </si>
  <si>
    <t>Vitis x interspécifique cv. 5 BB = Téléki sélection Kober 5 BB</t>
  </si>
  <si>
    <t>Vitis x interspécifique cv. 5 BB Evin</t>
  </si>
  <si>
    <t>Vitis x interspécifique cv. 5 BB Grimaud</t>
  </si>
  <si>
    <t>Vitis x interspécifique cv. 5 BB Tramier 2</t>
  </si>
  <si>
    <t>Vitis x interspécifique cv. 5 BB Trilobé</t>
  </si>
  <si>
    <t>Vitis x interspécifique cv. 5 C = Téléki 5 C</t>
  </si>
  <si>
    <t>Vitis x interspécifique cv. 503 Barr</t>
  </si>
  <si>
    <t>Vitis x interspécifique cv. 59 B</t>
  </si>
  <si>
    <t>Vitis x interspécifique cv. 6-23</t>
  </si>
  <si>
    <t>Vitis x interspécifique cv. 7-13</t>
  </si>
  <si>
    <t>Vitis x interspécifique cv. 7-16</t>
  </si>
  <si>
    <t>Vitis x interspécifique cv. 8 B = Téléki B</t>
  </si>
  <si>
    <t>Vitis x interspécifique cv. 8 B clone A</t>
  </si>
  <si>
    <t>Vitis x interspécifique cv. 8 B Faux</t>
  </si>
  <si>
    <t>Vitis x interspécifique cv. 8 B Femelle</t>
  </si>
  <si>
    <t>Vitis x interspécifique cv. 8 B Ferrari</t>
  </si>
  <si>
    <t>Vitis x interspécifique cv. 8-5</t>
  </si>
  <si>
    <t>Vitis x interspécifique cv. 99 R = Richter 99</t>
  </si>
  <si>
    <t>Vitis yanshanensis J.X.Chen</t>
  </si>
  <si>
    <t>Zea L.</t>
  </si>
  <si>
    <t>Zea mays L.</t>
  </si>
  <si>
    <t>Zinnia elegans</t>
  </si>
  <si>
    <t>Montego</t>
  </si>
  <si>
    <t>Aviso</t>
  </si>
  <si>
    <t>Prot_Yield</t>
  </si>
  <si>
    <t>Oil_Yield</t>
  </si>
  <si>
    <t>CROP</t>
  </si>
  <si>
    <t>Crop</t>
  </si>
  <si>
    <t>Seed_Impurities</t>
  </si>
  <si>
    <t>Glucosinolates</t>
  </si>
  <si>
    <t>PLANTDENS</t>
  </si>
  <si>
    <t>Plant_Density</t>
  </si>
  <si>
    <t xml:space="preserve">Number of viable plants counted per surface unit. </t>
  </si>
  <si>
    <t>Plant nb.m-²</t>
  </si>
  <si>
    <t>Count the number of plants on linear sections defined in each sowing line at the exception of the border lines.  PLANTDENS = (Total nb of plants counted) / (Ls x Nc x E). Where Ls = length of a linear section in m (1 m or more when plant density is variable within a plot),                                                                                                                    Nc = nb of sowing lines chosen for plant counting, E = inter-line spacing.</t>
  </si>
  <si>
    <t>REGSTAND</t>
  </si>
  <si>
    <t>Regularity_Stand</t>
  </si>
  <si>
    <t>Scoring of the regularity of the plant stand.</t>
  </si>
  <si>
    <t>Note</t>
  </si>
  <si>
    <t>Visual notations (scale 0 - 9). 0 = NA, 1 = high irregular, 3 = irregular, 5 = moderately regular, 7 = regular, 9 = perfectly regular.</t>
  </si>
  <si>
    <t>PLOTHARVEST</t>
  </si>
  <si>
    <t>Plot_Harvest_Weight</t>
  </si>
  <si>
    <t>Weight (kg) of raw materials harvested by plot.</t>
  </si>
  <si>
    <t xml:space="preserve">A measurement of the amount (in kg) of raw material that was harvested per plot as determined by on-board weighing on the harvester. </t>
  </si>
  <si>
    <t>HI</t>
  </si>
  <si>
    <t>Harvest_Index</t>
  </si>
  <si>
    <t>Proportion of seed biomass respect to the total plant biomass (including shoot and root).</t>
  </si>
  <si>
    <t>Collect plants over 1 m2, separate the plants into 3 fractions as follows: shoots + pods, seeds and roots. Samples are dried at 70°C for 48 hrs and then immediately weighted to get the dry weight of each fraction.                                                                                                        HI = (Seed DW / Total DW ) x 100</t>
  </si>
  <si>
    <t>NHI</t>
  </si>
  <si>
    <t>Nitrogen_Harvest_Index</t>
  </si>
  <si>
    <t>Proportion of N accumulated in seed to N accumulated in the total plant (including shoot and root).</t>
  </si>
  <si>
    <t>Samples from HI assay are analysed for N_%DW in the different fractions.                                                                                                                               NHI = (N_%DW_Seed / N_%DW_Plant) x 100</t>
  </si>
  <si>
    <t>Oil yield per ha.</t>
  </si>
  <si>
    <t>q.ha-1</t>
  </si>
  <si>
    <t xml:space="preserve"> OY = (O x SY) </t>
  </si>
  <si>
    <t>PLOTSURF</t>
  </si>
  <si>
    <t>Plot_Surface</t>
  </si>
  <si>
    <t>Surface of the elementary experimental plot.</t>
  </si>
  <si>
    <t>Surface is determined by the experimental design.                                                              PLOTSURF = L x N x E. Where L = length of the sowing line, N = Nb of sowing lines, E = inter-line spacing.</t>
  </si>
  <si>
    <t>PODSHAT</t>
  </si>
  <si>
    <t>Pod_shattering</t>
  </si>
  <si>
    <t>Scoring of pods open just before harvest.</t>
  </si>
  <si>
    <t>Visual notations (scale 0 - 9). 0 = NA, 1 = high PODSHAT &gt; 90%, 3 = 60-90%, 5 = 30-60%, 7 = 10-30%, 9 = &lt; 10%.</t>
  </si>
  <si>
    <t>Protein yield per ha.</t>
  </si>
  <si>
    <t xml:space="preserve"> PrY = (Pr x SY) </t>
  </si>
  <si>
    <t>Seed_Nb_Surface</t>
  </si>
  <si>
    <t>Number of seeds per square meter.</t>
  </si>
  <si>
    <t>Seed nb.m-²</t>
  </si>
  <si>
    <t xml:space="preserve"> SN = (SY / TSW) x 10000</t>
  </si>
  <si>
    <t xml:space="preserve">Seed_Yield_q/ha  </t>
  </si>
  <si>
    <t>Weight (q) of seeds that was harvested per ha calculated with moisture and impurity contents at 0% each.</t>
  </si>
  <si>
    <t xml:space="preserve"> SY = (PLOTHARVEST / PLOTSURF) x (((100 - SEEDH2O_HARV or LAB)/100) x ((100 - SEEDIMPUR)/100)) x 100</t>
  </si>
  <si>
    <t>SYNORM</t>
  </si>
  <si>
    <t xml:space="preserve">Seed_Yield_Normalized_q/ha  </t>
  </si>
  <si>
    <t>Weight (q) of seeds that was harvested per ha with moisture and impurity contents standardized with commercial values at 9% (SEEDH2ONorm) and 2% (SEEDIMPURNorm) respectively.</t>
  </si>
  <si>
    <t xml:space="preserve"> SYNORM = (PLOTHARVEST / PLOTSURF) x (((100 - SEEDH2O_HARV or LAB)/(100 - SEEDH2ONorm)) x ((100 - SEEDIMPUR)/(100 - SEEDIMPURNorm))) x 100</t>
  </si>
  <si>
    <t>1000_Seed_Weight</t>
  </si>
  <si>
    <t>Determination of the weight of 1000 well-developed mature and dry seeds after harvest.</t>
  </si>
  <si>
    <t>Plant_Size</t>
  </si>
  <si>
    <t>Height of plants in an experimental plot.</t>
  </si>
  <si>
    <t xml:space="preserve">Height is measured from ground to the top of the plants using a dipstick graduated in cm.                                                              </t>
  </si>
  <si>
    <t>GRWSTG_C1</t>
  </si>
  <si>
    <t>Growth_Stage_C1</t>
  </si>
  <si>
    <t>Bolting date when the first inter-node appears, corresponds to growth stage C1 (CETIOM) or 31 (BBCH scale).</t>
  </si>
  <si>
    <t>Nb of calendar days from the 1st of January (+ or - if stage occurs in December).</t>
  </si>
  <si>
    <t xml:space="preserve">Visual notations of the day when growth stage is reached by 50% of the plants in a given plot. </t>
  </si>
  <si>
    <t>GRWSTG_F1</t>
  </si>
  <si>
    <t>Growth_Stage_F1</t>
  </si>
  <si>
    <t>First flowers are open, corresponds to growth stage F1 (CETIOM) or 60 (BBCH scale).</t>
  </si>
  <si>
    <t>Nb of calendar days from the 1st of January.</t>
  </si>
  <si>
    <t>GRWSTG_F2</t>
  </si>
  <si>
    <t>Growth_Stage_F2</t>
  </si>
  <si>
    <t>10% of the flowers are open on the main inflorescence, elongation of the main inflorescence. Corresponds to growth stage F2 (CETIOM) or 61 (BBCH scale).</t>
  </si>
  <si>
    <t>GRWSTG_FLO</t>
  </si>
  <si>
    <t>Growth_Stage_Flowering</t>
  </si>
  <si>
    <t>Additional flowering stages according to the BBCH scale (62-65).</t>
  </si>
  <si>
    <t xml:space="preserve">When GRWSTG_F1 or GWRSTG_F2 are not observed, it is possible to note additional stages according to the BBCH scale such as : 62 = 20% of flowers are open on the main inflorescence, 63 = 30% of flowers are open on the main inflorescence, 64 = 40% of flowers are open on the main inflorescence, 65 = 50% of flowers are open on the main inflorescence (full flowering). Visual notations of the day when growth stage is reached by 50% of the plants in a given plot. </t>
  </si>
  <si>
    <t>GRWSTG_ENDFLO</t>
  </si>
  <si>
    <t>Growth_Stage_End_Flowering</t>
  </si>
  <si>
    <t>End of flowering on the main inflorescence, corresponds to growth stage 69 (BBCH scale).</t>
  </si>
  <si>
    <t>GRWSTG_G1</t>
  </si>
  <si>
    <t>Growth_Stage_G1</t>
  </si>
  <si>
    <t>10% of the pods have reached their final size, flowering of secondary inflorescences. Corresponds to growth stage G1 (CETIOM) or 71 (BBCH scale).</t>
  </si>
  <si>
    <t>GRWSTG_G4</t>
  </si>
  <si>
    <t>Growth_Stage_G4</t>
  </si>
  <si>
    <t>30% of the pods have reached their final size, flowering of secondary inflorescences. Corresponds to growth stage G4 (CETIOM) or 73 (BBCH scale).</t>
  </si>
  <si>
    <t>GRWSTG_PODDEV</t>
  </si>
  <si>
    <t>Growth_Stage_Pod_Development</t>
  </si>
  <si>
    <t>Additional stages for pod development according to the BBCH scale (72-79).</t>
  </si>
  <si>
    <t xml:space="preserve">When GRWSTG_G1 or GWRSTG_G4 are not observed, it is possible to note additional stages according to the BBCH scale such as : 72 = 20% of the pods have reached their final size, 74 = 40%, 75 = 50%, 76 = 60%, 77 = 70%, 78 = 80%, 79 = almost all pods. Visual notations of the day when growth stage is reached by 50% of the plants in a given plot. </t>
  </si>
  <si>
    <t>GRWSTG_G5</t>
  </si>
  <si>
    <t>Growth_Stage_G5</t>
  </si>
  <si>
    <t>10% of the seeds have reached maturity, seeds are brown and hard. Corresponds to growth stage G5 (CETIOM) or 81 (BBCH scale).</t>
  </si>
  <si>
    <t>GRWSTG_PODMATURITY</t>
  </si>
  <si>
    <t>Growth_Stage_Pod_Maturity</t>
  </si>
  <si>
    <t>Additional stages for pod maturity according to the BBCH scale (82-99).</t>
  </si>
  <si>
    <t xml:space="preserve">When GRWSTG_G5 is not observed, it is possible to note additional stages according to the BBCH scale such as : 82 = 20% of the pods have reached maturity and seeds are brown and hard, 83 = 30%, 84 = 40%, 85 = 50%, 86 = 60%, 87 = 70%, 88 = 80%, 89 = pod maturity is complete. Visual notations of the day when growth stage is reached by 50% of the plants in a given plot. </t>
  </si>
  <si>
    <t>EMERG</t>
  </si>
  <si>
    <t>Plant_Emergence</t>
  </si>
  <si>
    <t xml:space="preserve">Percentage of seeds that emerge. </t>
  </si>
  <si>
    <t>Plant counting on a line.                                                                                     EMERG = (Number of plants obtained / Number of seeds sown) x 100</t>
  </si>
  <si>
    <t>ERUCIC</t>
  </si>
  <si>
    <t>Erucic_Acid</t>
  </si>
  <si>
    <t>Content of erucic acid in seeds determined by NIRS.</t>
  </si>
  <si>
    <t>% total fatty acids</t>
  </si>
  <si>
    <t>NIRS assay. XXX calibration.</t>
  </si>
  <si>
    <t>PALMITIC</t>
  </si>
  <si>
    <t xml:space="preserve">Palmitic_Acid </t>
  </si>
  <si>
    <t>Content of palmitic acid in seeds determined by NIRS.</t>
  </si>
  <si>
    <t>STEARIC</t>
  </si>
  <si>
    <t>Stearic_Acid</t>
  </si>
  <si>
    <t>Content of stearic acid in seeds determined by NIRS.</t>
  </si>
  <si>
    <t>OLEIC</t>
  </si>
  <si>
    <t xml:space="preserve">Oleic_Acid </t>
  </si>
  <si>
    <t>Content of oleic acid in seeds determined by NIRS.</t>
  </si>
  <si>
    <t>LINOLEIC</t>
  </si>
  <si>
    <t xml:space="preserve">Linoleic_Acid </t>
  </si>
  <si>
    <t>Content of linoleic acid in seedsdetermined by NIRS.</t>
  </si>
  <si>
    <t>LINOLENIC</t>
  </si>
  <si>
    <t xml:space="preserve">Linolenic_Acid </t>
  </si>
  <si>
    <t>Content of linolenic acid in seeds determined by NIRS.</t>
  </si>
  <si>
    <t>Oil_%</t>
  </si>
  <si>
    <t>Content of oil in seeds determined by NIRS.</t>
  </si>
  <si>
    <t>% of Seed Dry Weight</t>
  </si>
  <si>
    <t>Pr</t>
  </si>
  <si>
    <t>Protein_%</t>
  </si>
  <si>
    <t>Content of proteins in seeds determined by NIRS.</t>
  </si>
  <si>
    <t>GLS</t>
  </si>
  <si>
    <t>Content of glucosinolates in seeds determined by NIRS.</t>
  </si>
  <si>
    <t>μmol.g-1MS</t>
  </si>
  <si>
    <t>SEEDH2O_NIRS</t>
  </si>
  <si>
    <t>Seed_Moisture_NIRS</t>
  </si>
  <si>
    <t>Moisture content in a sample of seeds determined by NIRS.</t>
  </si>
  <si>
    <t>PRMEAL</t>
  </si>
  <si>
    <t>Protein_Meal_%</t>
  </si>
  <si>
    <t>Content of proteins in the meal determined by NIRS.</t>
  </si>
  <si>
    <t>SEEDH2O_HARV</t>
  </si>
  <si>
    <t>Seed_Moisture_Harvest</t>
  </si>
  <si>
    <t>Moisture content in a sample of seeds determined by humiditer.</t>
  </si>
  <si>
    <t>Humidimeter. Rapeseed calibration.</t>
  </si>
  <si>
    <t>SEEDH2O_LAB</t>
  </si>
  <si>
    <t>Seed_Moisture_Lab</t>
  </si>
  <si>
    <t>Moisture content in a sample of cleaned seeds determined by weighing.</t>
  </si>
  <si>
    <t xml:space="preserve">Differential weighing. A sample of around 5 grammes of cleaned dry mature seeds is weighted before and after drying at 103°C for  15 hours in order to determine the fresh weight (FWg) and the dry weight (DWg) respectively.                                             SEEDH2O_LAB = ((FWg – DWg) / FWg) x 100 </t>
  </si>
  <si>
    <t>SEEDIMPUR</t>
  </si>
  <si>
    <t>Percentage of impurities in a sample of seeds determined by weighing.</t>
  </si>
  <si>
    <t xml:space="preserve">Differential weighing. A sample of around 200 grammes of dry mature seeds is weighted before and after cleaning using a column in order to determine the gross weight (GWg) and the net weight (NWg) respectively.                                                                         SEEDIMPUR = ((GWg – NWg) / GWg) x 100 </t>
  </si>
  <si>
    <t>BIOTIC</t>
  </si>
  <si>
    <t>Biotic_Stress</t>
  </si>
  <si>
    <t>Biotic attack during the crop cycle.</t>
  </si>
  <si>
    <t>Comment about all relevant biotic stresses.</t>
  </si>
  <si>
    <t xml:space="preserve">Visual observations. </t>
  </si>
  <si>
    <t>Crop problems during the cycle.</t>
  </si>
  <si>
    <t>Comment about all relevant pbs during the cycle.</t>
  </si>
  <si>
    <t>CLIMATIC</t>
  </si>
  <si>
    <t>Climatic_Stress</t>
  </si>
  <si>
    <t>Climatic incidents during the crop cycle</t>
  </si>
  <si>
    <t>Comment about all relevant abiotic stresses.</t>
  </si>
  <si>
    <t>LODGING</t>
  </si>
  <si>
    <t>Plant_Lodging</t>
  </si>
  <si>
    <t>Scoring of the plant lodging of the plot.</t>
  </si>
  <si>
    <t>Visual notation is attributed to the plants for each plot, taking into account the surface and the intensity of lodging   
 LODGING  =  0 : NA                                                                                                            1 : No lodging                                                                                                                       2 : Culture leaning, without impact                                                                     5 : Average loding, low impact                                                                                    7 : High lodging, serious impact                                                                              9 : Total lodging, compromised harvest</t>
  </si>
  <si>
    <t>The seed sample for SEEDH2O_LAB determination is used for seed counting (NBSEED_sample) using a precision counter.                                                                            TSW = (SEEDH2O_LAB / NBSEED_sample) x 1000</t>
  </si>
  <si>
    <t>PLANTSIZE</t>
  </si>
  <si>
    <t>PLANTDENS_value</t>
  </si>
  <si>
    <t>PLANTDENS_date</t>
  </si>
  <si>
    <t>REGSTAND_value</t>
  </si>
  <si>
    <t>REGSTAND_date</t>
  </si>
  <si>
    <t>PLOTHARVEST_value</t>
  </si>
  <si>
    <t>PLOTHARVEST_date</t>
  </si>
  <si>
    <t>HI_value</t>
  </si>
  <si>
    <t>HI_date</t>
  </si>
  <si>
    <t>NHI_value</t>
  </si>
  <si>
    <t>NHI_date</t>
  </si>
  <si>
    <t>PLOTSURF_value</t>
  </si>
  <si>
    <t>PLOTSURF_date</t>
  </si>
  <si>
    <t>PODSHAT_value</t>
  </si>
  <si>
    <t>PODSHAT_date</t>
  </si>
  <si>
    <t>SY-date</t>
  </si>
  <si>
    <t>SYNORM_value</t>
  </si>
  <si>
    <t>SYNORM_date</t>
  </si>
  <si>
    <t>PLANTSIZE_value</t>
  </si>
  <si>
    <t>PLANTSIZE_date</t>
  </si>
  <si>
    <t>GRWSTG_C1_date</t>
  </si>
  <si>
    <t>GRWSTG_C1_value</t>
  </si>
  <si>
    <t>GRWSTG_F1_value</t>
  </si>
  <si>
    <t>GRWSTG_F1_date</t>
  </si>
  <si>
    <t>GRWSTG_F2_value</t>
  </si>
  <si>
    <t>GRWSTG_F2_date</t>
  </si>
  <si>
    <t>GRWSTG_FLO_value</t>
  </si>
  <si>
    <t>GRWSTG_FLO_date</t>
  </si>
  <si>
    <t>GRWSTG_ENDFLO_value</t>
  </si>
  <si>
    <t>GRWSTG_ENDFLO_date</t>
  </si>
  <si>
    <t>GRWSTG_G1_value</t>
  </si>
  <si>
    <t>GRWSTG_G1_date</t>
  </si>
  <si>
    <t>GRWSTG_G4_value</t>
  </si>
  <si>
    <t>GRWSTG_G4_date</t>
  </si>
  <si>
    <t>GRWSTG_PODDEV_value</t>
  </si>
  <si>
    <t>GRWSTG_PODDEV_date</t>
  </si>
  <si>
    <t>GRWSTG_G5_date</t>
  </si>
  <si>
    <t>GRWSTG_G5_value</t>
  </si>
  <si>
    <t>GRWSTG_PODMATURITY_value</t>
  </si>
  <si>
    <t>GRWSTG_PODMATURITY_date</t>
  </si>
  <si>
    <t>EMERG_value</t>
  </si>
  <si>
    <t>EMERG_date</t>
  </si>
  <si>
    <t>ERUCIC_value</t>
  </si>
  <si>
    <t>ERUCIC_date</t>
  </si>
  <si>
    <t>PALMITIC_value</t>
  </si>
  <si>
    <t>PALMITIC-date</t>
  </si>
  <si>
    <t>STEARIC_value</t>
  </si>
  <si>
    <t>STEARIC_date</t>
  </si>
  <si>
    <t>OLEIC_value</t>
  </si>
  <si>
    <t>OLEIC_date</t>
  </si>
  <si>
    <t>LINOLEIC_value</t>
  </si>
  <si>
    <t>LINOLEIC_date</t>
  </si>
  <si>
    <t>LINOLENIC_value</t>
  </si>
  <si>
    <t>LINOLENIC_date</t>
  </si>
  <si>
    <t>Pr_value</t>
  </si>
  <si>
    <t>Pr_date</t>
  </si>
  <si>
    <t>GLS_value</t>
  </si>
  <si>
    <t>GLS_date</t>
  </si>
  <si>
    <t>SEEDH2O_NIRS_value</t>
  </si>
  <si>
    <t>SEEDH2O_NIRS_date</t>
  </si>
  <si>
    <t>PRMEAL_value</t>
  </si>
  <si>
    <t>PRMEAL_date</t>
  </si>
  <si>
    <t>SEEDH2O_HARV_value</t>
  </si>
  <si>
    <t>SEEDH2O_HARV_date</t>
  </si>
  <si>
    <t>SEEDH2O_LAB_value</t>
  </si>
  <si>
    <t>SEEDH2O_LAB_date</t>
  </si>
  <si>
    <t>SEEDIMPUR_value</t>
  </si>
  <si>
    <t>SEEDIMPUR_date</t>
  </si>
  <si>
    <t>LODGING_value</t>
  </si>
  <si>
    <t>LODGING_date</t>
  </si>
  <si>
    <t>rep</t>
  </si>
  <si>
    <t>répétition</t>
  </si>
  <si>
    <r>
      <rPr>
        <b/>
        <sz val="10"/>
        <rFont val="Arial"/>
        <family val="2"/>
      </rPr>
      <t>N % DUMAS Spérial Ferti</t>
    </r>
    <r>
      <rPr>
        <sz val="10"/>
        <rFont val="Arial"/>
        <family val="2"/>
      </rPr>
      <t xml:space="preserve"> = pourcentage d'azote dans la plante (résultat laboratoire)</t>
    </r>
  </si>
  <si>
    <r>
      <rPr>
        <b/>
        <sz val="10"/>
        <rFont val="Arial"/>
        <family val="2"/>
      </rPr>
      <t>MS</t>
    </r>
    <r>
      <rPr>
        <sz val="10"/>
        <rFont val="Arial"/>
        <family val="2"/>
      </rPr>
      <t xml:space="preserve"> = matière séche du prélèvement en grammes</t>
    </r>
  </si>
  <si>
    <r>
      <rPr>
        <b/>
        <sz val="10"/>
        <rFont val="Arial"/>
        <family val="2"/>
      </rPr>
      <t>MF</t>
    </r>
    <r>
      <rPr>
        <sz val="10"/>
        <rFont val="Arial"/>
        <family val="2"/>
      </rPr>
      <t xml:space="preserve"> = matière fraiche du prélèvement en grammes</t>
    </r>
  </si>
  <si>
    <r>
      <rPr>
        <b/>
        <sz val="10"/>
        <rFont val="Arial"/>
        <family val="2"/>
      </rPr>
      <t>Nbr</t>
    </r>
    <r>
      <rPr>
        <sz val="10"/>
        <rFont val="Arial"/>
        <family val="2"/>
      </rPr>
      <t xml:space="preserve"> = nombre de plantes du prélèvement</t>
    </r>
  </si>
  <si>
    <t>et les analyses par SAS pour l'échantillon 1/5</t>
  </si>
  <si>
    <t xml:space="preserve">A partir des INN3, une distinction est faite entre les feuilles et le tiges pour les pesées </t>
  </si>
  <si>
    <r>
      <rPr>
        <b/>
        <sz val="10"/>
        <rFont val="Arial"/>
        <family val="2"/>
      </rPr>
      <t>Stade</t>
    </r>
    <r>
      <rPr>
        <sz val="10"/>
        <rFont val="Arial"/>
        <family val="2"/>
      </rPr>
      <t xml:space="preserve"> = stade moyen de la parcelle</t>
    </r>
  </si>
  <si>
    <r>
      <rPr>
        <b/>
        <sz val="10"/>
        <rFont val="Arial"/>
        <family val="2"/>
      </rPr>
      <t>Date</t>
    </r>
    <r>
      <rPr>
        <sz val="10"/>
        <rFont val="Arial"/>
        <family val="2"/>
      </rPr>
      <t xml:space="preserve"> = date de prélèvement</t>
    </r>
  </si>
  <si>
    <r>
      <rPr>
        <b/>
        <sz val="10"/>
        <rFont val="Arial"/>
        <family val="2"/>
      </rPr>
      <t>Manip</t>
    </r>
    <r>
      <rPr>
        <sz val="10"/>
        <rFont val="Arial"/>
        <family val="2"/>
      </rPr>
      <t xml:space="preserve"> = quelle INN</t>
    </r>
  </si>
  <si>
    <t>De "Parcelle" à "Genotype" = données générales sur l'essai</t>
  </si>
  <si>
    <t>INN3</t>
  </si>
  <si>
    <t>INN2</t>
  </si>
  <si>
    <t>INN1</t>
  </si>
  <si>
    <t>Tiges</t>
  </si>
  <si>
    <t>Feuilles</t>
  </si>
  <si>
    <t>MS Tige (g)</t>
  </si>
  <si>
    <t>MS Feuilles (g)</t>
  </si>
  <si>
    <t>MF Tige (g)</t>
  </si>
  <si>
    <t>MF Feuilles (g)</t>
  </si>
  <si>
    <t>Nbr</t>
  </si>
  <si>
    <t>MF (g)</t>
  </si>
  <si>
    <t>Stade</t>
  </si>
  <si>
    <t>Genotype</t>
  </si>
  <si>
    <t>Modalite</t>
  </si>
  <si>
    <t>Manip</t>
  </si>
  <si>
    <t>N % DUMAS Spécial Ferti</t>
  </si>
  <si>
    <t>1/5</t>
  </si>
  <si>
    <t>4/5</t>
  </si>
  <si>
    <t>Action</t>
  </si>
  <si>
    <t>Produits</t>
  </si>
  <si>
    <t>Cibles</t>
  </si>
  <si>
    <t>Détails</t>
  </si>
  <si>
    <t>Meteo_data</t>
  </si>
  <si>
    <t>Soil_data</t>
  </si>
  <si>
    <t>INN_data</t>
  </si>
  <si>
    <t>Parcellaire_data</t>
  </si>
  <si>
    <t>ITK_data</t>
  </si>
  <si>
    <t>Excel</t>
  </si>
  <si>
    <t>See tab</t>
  </si>
  <si>
    <t>% Humidité</t>
  </si>
  <si>
    <t>MS Aér (g)</t>
  </si>
  <si>
    <t>MF Aér</t>
  </si>
  <si>
    <t>MS (g)</t>
  </si>
  <si>
    <r>
      <rPr>
        <b/>
        <sz val="10"/>
        <rFont val="Arial"/>
        <family val="2"/>
      </rPr>
      <t>INN</t>
    </r>
    <r>
      <rPr>
        <sz val="10"/>
        <rFont val="Arial"/>
        <family val="2"/>
      </rPr>
      <t xml:space="preserve"> = (Qté N tot / MS (1/5) (g)) / %Ncritique</t>
    </r>
  </si>
  <si>
    <t>MS Totale (t)</t>
  </si>
  <si>
    <t>%N critique</t>
  </si>
  <si>
    <t>Total</t>
  </si>
  <si>
    <t>Qté N Total</t>
  </si>
  <si>
    <t>% Azote MS (1/5)</t>
  </si>
  <si>
    <t>INN</t>
  </si>
  <si>
    <t>Nesi</t>
  </si>
  <si>
    <t>Nathalie</t>
  </si>
  <si>
    <t>nathalie.nesi@rennes.inra.fr</t>
  </si>
  <si>
    <t>IGEPP</t>
  </si>
  <si>
    <t>AM014</t>
  </si>
  <si>
    <t>AM015</t>
  </si>
  <si>
    <t>AM016</t>
  </si>
  <si>
    <t>AM018</t>
  </si>
  <si>
    <t>AM019</t>
  </si>
  <si>
    <t>AM020</t>
  </si>
  <si>
    <t>AM022</t>
  </si>
  <si>
    <t>AM027</t>
  </si>
  <si>
    <t>AM028</t>
  </si>
  <si>
    <t>AM030</t>
  </si>
  <si>
    <t>AM032</t>
  </si>
  <si>
    <t>AM034</t>
  </si>
  <si>
    <t>AM037</t>
  </si>
  <si>
    <t>AM038</t>
  </si>
  <si>
    <t>AM040</t>
  </si>
  <si>
    <t>AM046</t>
  </si>
  <si>
    <t>AM048</t>
  </si>
  <si>
    <t>AM050</t>
  </si>
  <si>
    <t>AM052</t>
  </si>
  <si>
    <t>AM053</t>
  </si>
  <si>
    <t>AM055</t>
  </si>
  <si>
    <t>AM056</t>
  </si>
  <si>
    <t>AM057</t>
  </si>
  <si>
    <t>AM059</t>
  </si>
  <si>
    <t>AM060</t>
  </si>
  <si>
    <t>AM061</t>
  </si>
  <si>
    <t>AM062</t>
  </si>
  <si>
    <t>AM067</t>
  </si>
  <si>
    <t>AM068</t>
  </si>
  <si>
    <t>AM069</t>
  </si>
  <si>
    <t>AM073</t>
  </si>
  <si>
    <t>AM074</t>
  </si>
  <si>
    <t>AM078</t>
  </si>
  <si>
    <t>AM080</t>
  </si>
  <si>
    <t>AM082</t>
  </si>
  <si>
    <t>AM084</t>
  </si>
  <si>
    <t>AM086</t>
  </si>
  <si>
    <t>AM087</t>
  </si>
  <si>
    <t>AM088</t>
  </si>
  <si>
    <t>AM090</t>
  </si>
  <si>
    <t>AM091</t>
  </si>
  <si>
    <t>AM092</t>
  </si>
  <si>
    <t>AM093</t>
  </si>
  <si>
    <t>AM094</t>
  </si>
  <si>
    <t>AM096</t>
  </si>
  <si>
    <t>AM098</t>
  </si>
  <si>
    <t>AM101</t>
  </si>
  <si>
    <t>AM106</t>
  </si>
  <si>
    <t>AM107</t>
  </si>
  <si>
    <t>AM109</t>
  </si>
  <si>
    <t>AM111</t>
  </si>
  <si>
    <t>AM120</t>
  </si>
  <si>
    <t>AM125</t>
  </si>
  <si>
    <t>AM127</t>
  </si>
  <si>
    <t>AM129</t>
  </si>
  <si>
    <t>AM130</t>
  </si>
  <si>
    <t>AM131</t>
  </si>
  <si>
    <t>AM133</t>
  </si>
  <si>
    <t>AM138</t>
  </si>
  <si>
    <t>AM139</t>
  </si>
  <si>
    <t>AM143</t>
  </si>
  <si>
    <t>AM146</t>
  </si>
  <si>
    <t>AM147</t>
  </si>
  <si>
    <t>AM148</t>
  </si>
  <si>
    <t>AM156</t>
  </si>
  <si>
    <t>AM158</t>
  </si>
  <si>
    <t>AM161</t>
  </si>
  <si>
    <t>AM167</t>
  </si>
  <si>
    <t>AM168</t>
  </si>
  <si>
    <t>AM169</t>
  </si>
  <si>
    <t>AM170</t>
  </si>
  <si>
    <t>AM171</t>
  </si>
  <si>
    <t>AM174</t>
  </si>
  <si>
    <t>AM183</t>
  </si>
  <si>
    <t>AM185</t>
  </si>
  <si>
    <t>AM189</t>
  </si>
  <si>
    <t>AM195</t>
  </si>
  <si>
    <t>AM197</t>
  </si>
  <si>
    <t>LABOUR</t>
  </si>
  <si>
    <t>GENERGY</t>
  </si>
  <si>
    <t>JOAO</t>
  </si>
  <si>
    <t>B</t>
  </si>
  <si>
    <t>Vide</t>
  </si>
  <si>
    <t>G-066</t>
  </si>
  <si>
    <t>G-069</t>
  </si>
  <si>
    <t>G-002</t>
  </si>
  <si>
    <t>G-006</t>
  </si>
  <si>
    <t>G-096</t>
  </si>
  <si>
    <t>G-084</t>
  </si>
  <si>
    <t>G-009</t>
  </si>
  <si>
    <t>G-108</t>
  </si>
  <si>
    <t>G-060</t>
  </si>
  <si>
    <t>G-063</t>
  </si>
  <si>
    <t>G-001</t>
  </si>
  <si>
    <t>G-051</t>
  </si>
  <si>
    <t>G-054</t>
  </si>
  <si>
    <t>G-021</t>
  </si>
  <si>
    <t>G-087</t>
  </si>
  <si>
    <t>G-093</t>
  </si>
  <si>
    <t>G-033</t>
  </si>
  <si>
    <t>G-036</t>
  </si>
  <si>
    <t>G-075</t>
  </si>
  <si>
    <t>G-045</t>
  </si>
  <si>
    <t>G-039</t>
  </si>
  <si>
    <t>G-015</t>
  </si>
  <si>
    <t>G-105</t>
  </si>
  <si>
    <t>G-057</t>
  </si>
  <si>
    <t>G-099</t>
  </si>
  <si>
    <t>G-018</t>
  </si>
  <si>
    <t>G-117</t>
  </si>
  <si>
    <t>G-081</t>
  </si>
  <si>
    <t>G-090</t>
  </si>
  <si>
    <t>G-114</t>
  </si>
  <si>
    <t>G-012</t>
  </si>
  <si>
    <t>G-027</t>
  </si>
  <si>
    <t>G-042</t>
  </si>
  <si>
    <t>G-030</t>
  </si>
  <si>
    <t>G-102</t>
  </si>
  <si>
    <t>G-003</t>
  </si>
  <si>
    <t>G-072</t>
  </si>
  <si>
    <t>G-111</t>
  </si>
  <si>
    <t>G-078</t>
  </si>
  <si>
    <t>G-024</t>
  </si>
  <si>
    <t>G-048</t>
  </si>
  <si>
    <t>AM017</t>
  </si>
  <si>
    <t>AM035</t>
  </si>
  <si>
    <t>AM042</t>
  </si>
  <si>
    <t>AM066</t>
  </si>
  <si>
    <t>AM083</t>
  </si>
  <si>
    <t>AM089</t>
  </si>
  <si>
    <t>AM123</t>
  </si>
  <si>
    <t>AM141</t>
  </si>
  <si>
    <t>AM145</t>
  </si>
  <si>
    <t>AM165</t>
  </si>
  <si>
    <t>AM186</t>
  </si>
  <si>
    <t>AM193</t>
  </si>
  <si>
    <t>AM198</t>
  </si>
  <si>
    <t>AM031</t>
  </si>
  <si>
    <t>AM033</t>
  </si>
  <si>
    <t>AM036</t>
  </si>
  <si>
    <t>AM039</t>
  </si>
  <si>
    <t>AM045</t>
  </si>
  <si>
    <t>AM049</t>
  </si>
  <si>
    <t>AM058</t>
  </si>
  <si>
    <t>AM063</t>
  </si>
  <si>
    <t>AM064</t>
  </si>
  <si>
    <t>AM070</t>
  </si>
  <si>
    <t>AM071</t>
  </si>
  <si>
    <t>AM076</t>
  </si>
  <si>
    <t>AM085</t>
  </si>
  <si>
    <t>AM100</t>
  </si>
  <si>
    <t>AM124</t>
  </si>
  <si>
    <t>AM137</t>
  </si>
  <si>
    <t>AM140</t>
  </si>
  <si>
    <t>AM144</t>
  </si>
  <si>
    <t>AM149</t>
  </si>
  <si>
    <t>AM164</t>
  </si>
  <si>
    <t>AM166</t>
  </si>
  <si>
    <t>AM172</t>
  </si>
  <si>
    <t>AM173</t>
  </si>
  <si>
    <t>AM188</t>
  </si>
  <si>
    <t>G-004</t>
  </si>
  <si>
    <t>G-005</t>
  </si>
  <si>
    <t>G-007</t>
  </si>
  <si>
    <t>G-008</t>
  </si>
  <si>
    <t>G-010</t>
  </si>
  <si>
    <t>G-011</t>
  </si>
  <si>
    <t>G-013</t>
  </si>
  <si>
    <t>G-014</t>
  </si>
  <si>
    <t>G-016</t>
  </si>
  <si>
    <t>G-017</t>
  </si>
  <si>
    <t>G-019</t>
  </si>
  <si>
    <t>G-020</t>
  </si>
  <si>
    <t>G-022</t>
  </si>
  <si>
    <t>G-023</t>
  </si>
  <si>
    <t>G-025</t>
  </si>
  <si>
    <t>G-026</t>
  </si>
  <si>
    <t>G-028</t>
  </si>
  <si>
    <t>G-029</t>
  </si>
  <si>
    <t>G-031</t>
  </si>
  <si>
    <t>G-032</t>
  </si>
  <si>
    <t>G-034</t>
  </si>
  <si>
    <t>G-035</t>
  </si>
  <si>
    <t>G-037</t>
  </si>
  <si>
    <t>G-038</t>
  </si>
  <si>
    <t>G-040</t>
  </si>
  <si>
    <t>G-041</t>
  </si>
  <si>
    <t>G-043</t>
  </si>
  <si>
    <t>G-044</t>
  </si>
  <si>
    <t>G-046</t>
  </si>
  <si>
    <t>G-047</t>
  </si>
  <si>
    <t>G-049</t>
  </si>
  <si>
    <t>G-050</t>
  </si>
  <si>
    <t>G-052</t>
  </si>
  <si>
    <t>G-053</t>
  </si>
  <si>
    <t>G-055</t>
  </si>
  <si>
    <t>G-056</t>
  </si>
  <si>
    <t>G-058</t>
  </si>
  <si>
    <t>G-059</t>
  </si>
  <si>
    <t>G-061</t>
  </si>
  <si>
    <t>G-062</t>
  </si>
  <si>
    <t>G-064</t>
  </si>
  <si>
    <t>G-065</t>
  </si>
  <si>
    <t>G-067</t>
  </si>
  <si>
    <t>G-068</t>
  </si>
  <si>
    <t>G-070</t>
  </si>
  <si>
    <t>G-071</t>
  </si>
  <si>
    <t>G-073</t>
  </si>
  <si>
    <t>G-074</t>
  </si>
  <si>
    <t>G-076</t>
  </si>
  <si>
    <t>G-077</t>
  </si>
  <si>
    <t>G-079</t>
  </si>
  <si>
    <t>G-080</t>
  </si>
  <si>
    <t>G-082</t>
  </si>
  <si>
    <t>G-083</t>
  </si>
  <si>
    <t>G-085</t>
  </si>
  <si>
    <t>G-086</t>
  </si>
  <si>
    <t>G-088</t>
  </si>
  <si>
    <t>G-089</t>
  </si>
  <si>
    <t>G-091</t>
  </si>
  <si>
    <t>G-092</t>
  </si>
  <si>
    <t>G-094</t>
  </si>
  <si>
    <t>G-095</t>
  </si>
  <si>
    <t>G-097</t>
  </si>
  <si>
    <t>G-098</t>
  </si>
  <si>
    <t>G-100</t>
  </si>
  <si>
    <t>G-101</t>
  </si>
  <si>
    <t>G-103</t>
  </si>
  <si>
    <t>G-104</t>
  </si>
  <si>
    <t>G-106</t>
  </si>
  <si>
    <t>G-107</t>
  </si>
  <si>
    <t>G-109</t>
  </si>
  <si>
    <t>G-110</t>
  </si>
  <si>
    <t>G-112</t>
  </si>
  <si>
    <t>G-113</t>
  </si>
  <si>
    <t>G-115</t>
  </si>
  <si>
    <t>G-116</t>
  </si>
  <si>
    <t>B2</t>
  </si>
  <si>
    <t>B3</t>
  </si>
  <si>
    <t>NA</t>
  </si>
  <si>
    <t xml:space="preserve">Deux échantillons différents sont identifiés : 1/5 des plantes et 4/5 des plantes </t>
  </si>
  <si>
    <t>G-001: Aviso</t>
  </si>
  <si>
    <t>G-002: Montego</t>
  </si>
  <si>
    <t>G-125: Tenor</t>
  </si>
  <si>
    <t>G-126:Express</t>
  </si>
  <si>
    <t>AM_LR12</t>
  </si>
  <si>
    <t>AM12LR</t>
  </si>
  <si>
    <t>block</t>
  </si>
  <si>
    <t>Tenor</t>
  </si>
  <si>
    <t>Express</t>
  </si>
  <si>
    <t>Tensio sur placette vide N1 ou N2</t>
  </si>
  <si>
    <t xml:space="preserve"> </t>
  </si>
  <si>
    <t>TOTAL</t>
  </si>
  <si>
    <t>Montégo</t>
  </si>
  <si>
    <t>batteries</t>
  </si>
  <si>
    <t>tensionics</t>
  </si>
  <si>
    <t>B4</t>
  </si>
  <si>
    <t>PREPA SOL</t>
  </si>
  <si>
    <t>ENGRAIS</t>
  </si>
  <si>
    <t>DECHAUMAGE</t>
  </si>
  <si>
    <t>SEMIS</t>
  </si>
  <si>
    <t>PULVERISATION</t>
  </si>
  <si>
    <t>EPANDAGE</t>
  </si>
  <si>
    <t>TRACAGE</t>
  </si>
  <si>
    <t>BROYAGE</t>
  </si>
  <si>
    <t>BROYAGE ALLEES</t>
  </si>
  <si>
    <t>RECOLTE</t>
  </si>
  <si>
    <t>04-17/07/2012</t>
  </si>
  <si>
    <t>4 Q/HA</t>
  </si>
  <si>
    <t>novall</t>
  </si>
  <si>
    <t>2,50L/ha</t>
  </si>
  <si>
    <t xml:space="preserve">MESUROL PRO </t>
  </si>
  <si>
    <t>1,92 kg/ha</t>
  </si>
  <si>
    <t>DURSBAN</t>
  </si>
  <si>
    <t>18,09 kg/ha</t>
  </si>
  <si>
    <t>KARATE XPRESS</t>
  </si>
  <si>
    <t>0,09 kg/ha</t>
  </si>
  <si>
    <t>Vectobac</t>
  </si>
  <si>
    <t>0,97 L/ha</t>
  </si>
  <si>
    <t>3 kg/ha</t>
  </si>
  <si>
    <t>Mavrik Flo</t>
  </si>
  <si>
    <t>0,19 L/ha</t>
  </si>
  <si>
    <t>Pictor Pro</t>
  </si>
  <si>
    <t>0,39 L/ha</t>
  </si>
  <si>
    <t>2,14 L/ha</t>
  </si>
  <si>
    <t>N1 liquide</t>
  </si>
  <si>
    <t>126,56 L/ha</t>
  </si>
  <si>
    <t>Engrais sulpotasse</t>
  </si>
  <si>
    <t>1,27 Q/ha</t>
  </si>
  <si>
    <t>67,84 L/ha</t>
  </si>
  <si>
    <t>KARATE ZEON</t>
  </si>
  <si>
    <t>0,08 L/ha</t>
  </si>
  <si>
    <t>0,2 L/ha</t>
  </si>
  <si>
    <t>0,5 L/ha</t>
  </si>
  <si>
    <t>0,7 L/ha</t>
  </si>
  <si>
    <t>2,18 L/ha</t>
  </si>
  <si>
    <t>14/09/2011</t>
  </si>
  <si>
    <t>17/07/2012</t>
  </si>
  <si>
    <t>2011-2012</t>
  </si>
  <si>
    <t>Fertilisation limitante (0 kg N/ha)</t>
  </si>
  <si>
    <t>Fertilisation optimale (80 kg N/ha)</t>
  </si>
  <si>
    <t>split-plot</t>
  </si>
  <si>
    <t>Le Rheu</t>
  </si>
  <si>
    <t>48_x0003_8031.7700N</t>
  </si>
  <si>
    <t>1_x0003_46059.7600O</t>
  </si>
  <si>
    <t>FRA_35_LR</t>
  </si>
  <si>
    <t>Round up MAX</t>
  </si>
  <si>
    <t>Round up flash plus</t>
  </si>
  <si>
    <t>Year</t>
  </si>
  <si>
    <t>LR12</t>
  </si>
  <si>
    <t>n-3</t>
  </si>
  <si>
    <t>Wheat</t>
  </si>
  <si>
    <t>n-2</t>
  </si>
  <si>
    <t>Tritical</t>
  </si>
  <si>
    <t>n-1</t>
  </si>
  <si>
    <t>Winter barley*</t>
  </si>
  <si>
    <t>n</t>
  </si>
  <si>
    <t>LR12 trial</t>
  </si>
  <si>
    <t>*, crop in n-1 were grown under low N inputs (input N = 60 kg/ha)</t>
  </si>
  <si>
    <t>Sol argileux et profond (80cm)</t>
  </si>
  <si>
    <t>Limon</t>
  </si>
  <si>
    <t>sable</t>
  </si>
  <si>
    <t>argile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</si>
</sst>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6">
    <numFmt numFmtId="43" formatCode="_-* #,##0.00\ _€_-;\-* #,##0.00\ _€_-;_-* &quot;-&quot;??\ _€_-;_-@_-"/>
    <numFmt numFmtId="164" formatCode="dd/mm/yy"/>
    <numFmt numFmtId="165" formatCode="d/mm/yyyy;@"/>
    <numFmt numFmtId="166" formatCode="0.0000"/>
    <numFmt numFmtId="167" formatCode="0.000"/>
    <numFmt numFmtId="168" formatCode="dd/mm/yy;@"/>
  </numFmts>
  <fonts count="74">
    <font>
      <sz val="9"/>
      <name val="Geneva"/>
      <family val="2"/>
      <charset val="1"/>
    </font>
    <font>
      <sz val="11"/>
      <color theme="1"/>
      <name val="Calibri"/>
      <family val="2"/>
      <scheme val="minor"/>
    </font>
    <font>
      <u/>
      <sz val="10"/>
      <color indexed="12"/>
      <name val="Arial"/>
      <family val="2"/>
      <charset val="1"/>
    </font>
    <font>
      <u/>
      <sz val="11"/>
      <color indexed="12"/>
      <name val="Calibri"/>
      <family val="2"/>
      <charset val="1"/>
    </font>
    <font>
      <sz val="10"/>
      <name val="Arial"/>
      <family val="2"/>
      <charset val="1"/>
    </font>
    <font>
      <sz val="11"/>
      <color indexed="8"/>
      <name val="Calibri"/>
      <family val="2"/>
      <charset val="1"/>
    </font>
    <font>
      <sz val="11"/>
      <color indexed="8"/>
      <name val="Calibri"/>
      <family val="2"/>
      <charset val="238"/>
    </font>
    <font>
      <b/>
      <sz val="8"/>
      <name val="Arial"/>
      <family val="2"/>
      <charset val="1"/>
    </font>
    <font>
      <b/>
      <sz val="10"/>
      <name val="Arial"/>
      <family val="2"/>
      <charset val="1"/>
    </font>
    <font>
      <b/>
      <sz val="10"/>
      <color indexed="10"/>
      <name val="Arial"/>
      <family val="2"/>
      <charset val="1"/>
    </font>
    <font>
      <b/>
      <sz val="10"/>
      <color indexed="12"/>
      <name val="Arial"/>
      <family val="2"/>
      <charset val="1"/>
    </font>
    <font>
      <sz val="10"/>
      <color indexed="40"/>
      <name val="Arial"/>
      <family val="2"/>
      <charset val="1"/>
    </font>
    <font>
      <sz val="10"/>
      <color indexed="49"/>
      <name val="Arial"/>
      <family val="2"/>
      <charset val="1"/>
    </font>
    <font>
      <b/>
      <sz val="10"/>
      <color indexed="8"/>
      <name val="Arial"/>
      <family val="2"/>
      <charset val="1"/>
    </font>
    <font>
      <b/>
      <sz val="9"/>
      <name val="Geneva"/>
      <family val="2"/>
      <charset val="1"/>
    </font>
    <font>
      <b/>
      <sz val="9"/>
      <color indexed="10"/>
      <name val="Geneva"/>
      <family val="2"/>
      <charset val="1"/>
    </font>
    <font>
      <sz val="10"/>
      <color indexed="12"/>
      <name val="Arial"/>
      <family val="2"/>
      <charset val="1"/>
    </font>
    <font>
      <sz val="10"/>
      <color indexed="8"/>
      <name val="Arial"/>
      <family val="2"/>
      <charset val="1"/>
    </font>
    <font>
      <b/>
      <sz val="9"/>
      <color indexed="8"/>
      <name val="Tahoma"/>
      <family val="2"/>
      <charset val="1"/>
    </font>
    <font>
      <sz val="9"/>
      <color indexed="8"/>
      <name val="Tahoma"/>
      <family val="2"/>
      <charset val="1"/>
    </font>
    <font>
      <i/>
      <u/>
      <sz val="10"/>
      <name val="Arial"/>
      <family val="2"/>
      <charset val="1"/>
    </font>
    <font>
      <i/>
      <sz val="10"/>
      <name val="Arial"/>
      <family val="2"/>
      <charset val="1"/>
    </font>
    <font>
      <sz val="10"/>
      <color indexed="16"/>
      <name val="Arial"/>
      <family val="2"/>
      <charset val="1"/>
    </font>
    <font>
      <sz val="9"/>
      <name val="Geneva"/>
      <family val="2"/>
    </font>
    <font>
      <sz val="10"/>
      <color indexed="8"/>
      <name val="Arial"/>
      <family val="2"/>
    </font>
    <font>
      <sz val="9"/>
      <name val="Arial"/>
      <family val="2"/>
      <charset val="1"/>
    </font>
    <font>
      <sz val="10"/>
      <name val="Arial"/>
      <family val="2"/>
    </font>
    <font>
      <sz val="9"/>
      <name val="Arial"/>
      <family val="2"/>
    </font>
    <font>
      <sz val="10"/>
      <color indexed="56"/>
      <name val="Arial"/>
      <family val="2"/>
      <charset val="1"/>
    </font>
    <font>
      <sz val="9"/>
      <name val="Geneva"/>
      <family val="2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indexed="62"/>
      <name val="Geneva"/>
      <family val="2"/>
    </font>
    <font>
      <b/>
      <sz val="9"/>
      <name val="Geneva"/>
      <family val="2"/>
    </font>
    <font>
      <sz val="9"/>
      <name val="Geneva"/>
      <family val="2"/>
      <charset val="238"/>
    </font>
    <font>
      <b/>
      <sz val="10"/>
      <color indexed="10"/>
      <name val="Arial"/>
      <family val="2"/>
    </font>
    <font>
      <b/>
      <sz val="10"/>
      <color indexed="8"/>
      <name val="Arial"/>
      <family val="2"/>
    </font>
    <font>
      <b/>
      <sz val="9"/>
      <color indexed="10"/>
      <name val="Geneva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10"/>
      <name val="Calibri"/>
      <family val="2"/>
    </font>
    <font>
      <b/>
      <sz val="11"/>
      <color indexed="52"/>
      <name val="Calibri"/>
      <family val="2"/>
    </font>
    <font>
      <sz val="11"/>
      <color indexed="52"/>
      <name val="Calibri"/>
      <family val="2"/>
    </font>
    <font>
      <sz val="11"/>
      <color indexed="62"/>
      <name val="Calibri"/>
      <family val="2"/>
    </font>
    <font>
      <sz val="11"/>
      <color indexed="20"/>
      <name val="Calibri"/>
      <family val="2"/>
    </font>
    <font>
      <sz val="11"/>
      <color indexed="60"/>
      <name val="Calibri"/>
      <family val="2"/>
    </font>
    <font>
      <sz val="10"/>
      <name val="Tahoma"/>
      <family val="2"/>
    </font>
    <font>
      <sz val="11"/>
      <color indexed="17"/>
      <name val="Calibri"/>
      <family val="2"/>
    </font>
    <font>
      <b/>
      <sz val="11"/>
      <color indexed="63"/>
      <name val="Calibri"/>
      <family val="2"/>
    </font>
    <font>
      <i/>
      <sz val="11"/>
      <color indexed="23"/>
      <name val="Calibri"/>
      <family val="2"/>
    </font>
    <font>
      <b/>
      <sz val="18"/>
      <color indexed="56"/>
      <name val="Cambria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b/>
      <sz val="11"/>
      <color indexed="8"/>
      <name val="Calibri"/>
      <family val="2"/>
    </font>
    <font>
      <b/>
      <sz val="11"/>
      <color indexed="9"/>
      <name val="Calibri"/>
      <family val="2"/>
    </font>
    <font>
      <b/>
      <sz val="10"/>
      <name val="Arial"/>
      <family val="2"/>
    </font>
    <font>
      <b/>
      <sz val="12"/>
      <name val="Arial"/>
      <family val="2"/>
    </font>
    <font>
      <b/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name val="Geneva"/>
    </font>
    <font>
      <u/>
      <sz val="10"/>
      <color indexed="12"/>
      <name val="Arial"/>
      <family val="2"/>
    </font>
    <font>
      <sz val="8"/>
      <color indexed="8"/>
      <name val="Calibri"/>
      <family val="2"/>
      <charset val="1"/>
    </font>
    <font>
      <sz val="12"/>
      <name val="Times New Roman"/>
      <family val="1"/>
    </font>
    <font>
      <sz val="11"/>
      <color rgb="FF000000"/>
      <name val="Calibri"/>
      <family val="2"/>
    </font>
    <font>
      <sz val="10"/>
      <color indexed="8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9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</fonts>
  <fills count="39">
    <fill>
      <patternFill patternType="none"/>
    </fill>
    <fill>
      <patternFill patternType="gray125"/>
    </fill>
    <fill>
      <patternFill patternType="solid">
        <fgColor indexed="43"/>
        <bgColor indexed="42"/>
      </patternFill>
    </fill>
    <fill>
      <patternFill patternType="solid">
        <fgColor indexed="47"/>
        <bgColor indexed="22"/>
      </patternFill>
    </fill>
    <fill>
      <patternFill patternType="solid">
        <fgColor indexed="27"/>
        <bgColor indexed="41"/>
      </patternFill>
    </fill>
    <fill>
      <patternFill patternType="solid">
        <fgColor indexed="9"/>
        <bgColor indexed="27"/>
      </patternFill>
    </fill>
    <fill>
      <patternFill patternType="solid">
        <fgColor indexed="26"/>
        <bgColor indexed="47"/>
      </patternFill>
    </fill>
    <fill>
      <patternFill patternType="solid">
        <fgColor indexed="22"/>
        <bgColor indexed="47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indexed="45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6"/>
        <bgColor indexed="64"/>
      </patternFill>
    </fill>
    <fill>
      <patternFill patternType="solid">
        <fgColor theme="0" tint="-0.14999847407452621"/>
        <bgColor indexed="64"/>
      </patternFill>
    </fill>
  </fills>
  <borders count="65">
    <border>
      <left/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thin">
        <color indexed="63"/>
      </left>
      <right/>
      <top style="thin">
        <color indexed="63"/>
      </top>
      <bottom style="thin">
        <color indexed="6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medium">
        <color indexed="63"/>
      </left>
      <right/>
      <top/>
      <bottom/>
      <diagonal/>
    </border>
    <border>
      <left style="medium">
        <color indexed="63"/>
      </left>
      <right style="thin">
        <color indexed="63"/>
      </right>
      <top style="thin">
        <color indexed="8"/>
      </top>
      <bottom/>
      <diagonal/>
    </border>
    <border>
      <left style="medium">
        <color indexed="63"/>
      </left>
      <right style="thin">
        <color indexed="63"/>
      </right>
      <top style="thin">
        <color indexed="63"/>
      </top>
      <bottom/>
      <diagonal/>
    </border>
    <border>
      <left style="hair">
        <color indexed="63"/>
      </left>
      <right style="hair">
        <color indexed="63"/>
      </right>
      <top style="hair">
        <color indexed="63"/>
      </top>
      <bottom style="hair">
        <color indexed="63"/>
      </bottom>
      <diagonal/>
    </border>
    <border>
      <left style="hair">
        <color indexed="8"/>
      </left>
      <right style="hair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medium">
        <color indexed="63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medium">
        <color indexed="8"/>
      </bottom>
      <diagonal/>
    </border>
    <border>
      <left style="hair">
        <color indexed="63"/>
      </left>
      <right/>
      <top style="hair">
        <color indexed="63"/>
      </top>
      <bottom style="hair">
        <color indexed="63"/>
      </bottom>
      <diagonal/>
    </border>
    <border>
      <left style="thin">
        <color indexed="63"/>
      </left>
      <right style="thin">
        <color indexed="63"/>
      </right>
      <top/>
      <bottom style="thin">
        <color indexed="63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/>
      <diagonal/>
    </border>
    <border>
      <left style="hair">
        <color indexed="8"/>
      </left>
      <right style="hair">
        <color indexed="8"/>
      </right>
      <top style="hair">
        <color indexed="8"/>
      </top>
      <bottom/>
      <diagonal/>
    </border>
    <border>
      <left style="hair">
        <color indexed="63"/>
      </left>
      <right style="hair">
        <color indexed="63"/>
      </right>
      <top/>
      <bottom style="hair">
        <color indexed="63"/>
      </bottom>
      <diagonal/>
    </border>
    <border>
      <left style="hair">
        <color indexed="8"/>
      </left>
      <right style="hair">
        <color indexed="8"/>
      </right>
      <top/>
      <bottom style="hair">
        <color indexed="8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double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/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double">
        <color rgb="FF000000"/>
      </right>
      <top style="thin">
        <color rgb="FF000000"/>
      </top>
      <bottom/>
      <diagonal/>
    </border>
    <border>
      <left style="double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double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double">
        <color rgb="FF000000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09">
    <xf numFmtId="0" fontId="0" fillId="0" borderId="0"/>
    <xf numFmtId="0" fontId="2" fillId="0" borderId="0" applyNumberFormat="0" applyFill="0" applyBorder="0" applyProtection="0"/>
    <xf numFmtId="0" fontId="2" fillId="0" borderId="0" applyNumberFormat="0" applyFill="0" applyBorder="0" applyProtection="0"/>
    <xf numFmtId="0" fontId="3" fillId="0" borderId="0" applyNumberFormat="0" applyFill="0" applyBorder="0" applyProtection="0"/>
    <xf numFmtId="0" fontId="2" fillId="0" borderId="0" applyNumberFormat="0" applyFill="0" applyBorder="0" applyProtection="0"/>
    <xf numFmtId="0" fontId="4" fillId="0" borderId="0"/>
    <xf numFmtId="0" fontId="29" fillId="0" borderId="0"/>
    <xf numFmtId="0" fontId="5" fillId="0" borderId="0"/>
    <xf numFmtId="0" fontId="5" fillId="0" borderId="0"/>
    <xf numFmtId="0" fontId="4" fillId="0" borderId="0"/>
    <xf numFmtId="0" fontId="5" fillId="0" borderId="0"/>
    <xf numFmtId="0" fontId="6" fillId="0" borderId="0"/>
    <xf numFmtId="0" fontId="26" fillId="0" borderId="0" applyNumberFormat="0" applyFont="0" applyFill="0" applyBorder="0" applyAlignment="0" applyProtection="0"/>
    <xf numFmtId="0" fontId="23" fillId="0" borderId="0"/>
    <xf numFmtId="0" fontId="41" fillId="8" borderId="0" applyNumberFormat="0" applyBorder="0" applyAlignment="0" applyProtection="0"/>
    <xf numFmtId="0" fontId="41" fillId="8" borderId="0" applyNumberFormat="0" applyBorder="0" applyAlignment="0" applyProtection="0"/>
    <xf numFmtId="0" fontId="41" fillId="9" borderId="0" applyNumberFormat="0" applyBorder="0" applyAlignment="0" applyProtection="0"/>
    <xf numFmtId="0" fontId="41" fillId="9" borderId="0" applyNumberFormat="0" applyBorder="0" applyAlignment="0" applyProtection="0"/>
    <xf numFmtId="0" fontId="41" fillId="10" borderId="0" applyNumberFormat="0" applyBorder="0" applyAlignment="0" applyProtection="0"/>
    <xf numFmtId="0" fontId="41" fillId="10" borderId="0" applyNumberFormat="0" applyBorder="0" applyAlignment="0" applyProtection="0"/>
    <xf numFmtId="0" fontId="41" fillId="11" borderId="0" applyNumberFormat="0" applyBorder="0" applyAlignment="0" applyProtection="0"/>
    <xf numFmtId="0" fontId="41" fillId="11" borderId="0" applyNumberFormat="0" applyBorder="0" applyAlignment="0" applyProtection="0"/>
    <xf numFmtId="0" fontId="41" fillId="12" borderId="0" applyNumberFormat="0" applyBorder="0" applyAlignment="0" applyProtection="0"/>
    <xf numFmtId="0" fontId="41" fillId="12" borderId="0" applyNumberFormat="0" applyBorder="0" applyAlignment="0" applyProtection="0"/>
    <xf numFmtId="0" fontId="41" fillId="13" borderId="0" applyNumberFormat="0" applyBorder="0" applyAlignment="0" applyProtection="0"/>
    <xf numFmtId="0" fontId="41" fillId="13" borderId="0" applyNumberFormat="0" applyBorder="0" applyAlignment="0" applyProtection="0"/>
    <xf numFmtId="0" fontId="41" fillId="14" borderId="0" applyNumberFormat="0" applyBorder="0" applyAlignment="0" applyProtection="0"/>
    <xf numFmtId="0" fontId="41" fillId="14" borderId="0" applyNumberFormat="0" applyBorder="0" applyAlignment="0" applyProtection="0"/>
    <xf numFmtId="0" fontId="41" fillId="15" borderId="0" applyNumberFormat="0" applyBorder="0" applyAlignment="0" applyProtection="0"/>
    <xf numFmtId="0" fontId="41" fillId="15" borderId="0" applyNumberFormat="0" applyBorder="0" applyAlignment="0" applyProtection="0"/>
    <xf numFmtId="0" fontId="41" fillId="16" borderId="0" applyNumberFormat="0" applyBorder="0" applyAlignment="0" applyProtection="0"/>
    <xf numFmtId="0" fontId="41" fillId="16" borderId="0" applyNumberFormat="0" applyBorder="0" applyAlignment="0" applyProtection="0"/>
    <xf numFmtId="0" fontId="41" fillId="11" borderId="0" applyNumberFormat="0" applyBorder="0" applyAlignment="0" applyProtection="0"/>
    <xf numFmtId="0" fontId="41" fillId="11" borderId="0" applyNumberFormat="0" applyBorder="0" applyAlignment="0" applyProtection="0"/>
    <xf numFmtId="0" fontId="41" fillId="14" borderId="0" applyNumberFormat="0" applyBorder="0" applyAlignment="0" applyProtection="0"/>
    <xf numFmtId="0" fontId="41" fillId="14" borderId="0" applyNumberFormat="0" applyBorder="0" applyAlignment="0" applyProtection="0"/>
    <xf numFmtId="0" fontId="41" fillId="17" borderId="0" applyNumberFormat="0" applyBorder="0" applyAlignment="0" applyProtection="0"/>
    <xf numFmtId="0" fontId="41" fillId="17" borderId="0" applyNumberFormat="0" applyBorder="0" applyAlignment="0" applyProtection="0"/>
    <xf numFmtId="0" fontId="42" fillId="18" borderId="0" applyNumberFormat="0" applyBorder="0" applyAlignment="0" applyProtection="0"/>
    <xf numFmtId="0" fontId="42" fillId="18" borderId="0" applyNumberFormat="0" applyBorder="0" applyAlignment="0" applyProtection="0"/>
    <xf numFmtId="0" fontId="42" fillId="15" borderId="0" applyNumberFormat="0" applyBorder="0" applyAlignment="0" applyProtection="0"/>
    <xf numFmtId="0" fontId="42" fillId="15" borderId="0" applyNumberFormat="0" applyBorder="0" applyAlignment="0" applyProtection="0"/>
    <xf numFmtId="0" fontId="42" fillId="16" borderId="0" applyNumberFormat="0" applyBorder="0" applyAlignment="0" applyProtection="0"/>
    <xf numFmtId="0" fontId="42" fillId="16" borderId="0" applyNumberFormat="0" applyBorder="0" applyAlignment="0" applyProtection="0"/>
    <xf numFmtId="0" fontId="42" fillId="19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0" borderId="0" applyNumberFormat="0" applyBorder="0" applyAlignment="0" applyProtection="0"/>
    <xf numFmtId="0" fontId="42" fillId="21" borderId="0" applyNumberFormat="0" applyBorder="0" applyAlignment="0" applyProtection="0"/>
    <xf numFmtId="0" fontId="42" fillId="21" borderId="0" applyNumberFormat="0" applyBorder="0" applyAlignment="0" applyProtection="0"/>
    <xf numFmtId="0" fontId="42" fillId="22" borderId="0" applyNumberFormat="0" applyBorder="0" applyAlignment="0" applyProtection="0"/>
    <xf numFmtId="0" fontId="42" fillId="22" borderId="0" applyNumberFormat="0" applyBorder="0" applyAlignment="0" applyProtection="0"/>
    <xf numFmtId="0" fontId="42" fillId="23" borderId="0" applyNumberFormat="0" applyBorder="0" applyAlignment="0" applyProtection="0"/>
    <xf numFmtId="0" fontId="42" fillId="23" borderId="0" applyNumberFormat="0" applyBorder="0" applyAlignment="0" applyProtection="0"/>
    <xf numFmtId="0" fontId="42" fillId="24" borderId="0" applyNumberFormat="0" applyBorder="0" applyAlignment="0" applyProtection="0"/>
    <xf numFmtId="0" fontId="42" fillId="24" borderId="0" applyNumberFormat="0" applyBorder="0" applyAlignment="0" applyProtection="0"/>
    <xf numFmtId="0" fontId="42" fillId="19" borderId="0" applyNumberFormat="0" applyBorder="0" applyAlignment="0" applyProtection="0"/>
    <xf numFmtId="0" fontId="42" fillId="19" borderId="0" applyNumberFormat="0" applyBorder="0" applyAlignment="0" applyProtection="0"/>
    <xf numFmtId="0" fontId="42" fillId="20" borderId="0" applyNumberFormat="0" applyBorder="0" applyAlignment="0" applyProtection="0"/>
    <xf numFmtId="0" fontId="42" fillId="20" borderId="0" applyNumberFormat="0" applyBorder="0" applyAlignment="0" applyProtection="0"/>
    <xf numFmtId="0" fontId="42" fillId="25" borderId="0" applyNumberFormat="0" applyBorder="0" applyAlignment="0" applyProtection="0"/>
    <xf numFmtId="0" fontId="42" fillId="25" borderId="0" applyNumberFormat="0" applyBorder="0" applyAlignment="0" applyProtection="0"/>
    <xf numFmtId="0" fontId="43" fillId="0" borderId="0" applyNumberFormat="0" applyFill="0" applyBorder="0" applyAlignment="0" applyProtection="0"/>
    <xf numFmtId="0" fontId="43" fillId="0" borderId="0" applyNumberFormat="0" applyFill="0" applyBorder="0" applyAlignment="0" applyProtection="0"/>
    <xf numFmtId="0" fontId="44" fillId="26" borderId="22" applyNumberFormat="0" applyAlignment="0" applyProtection="0"/>
    <xf numFmtId="0" fontId="44" fillId="26" borderId="22" applyNumberFormat="0" applyAlignment="0" applyProtection="0"/>
    <xf numFmtId="0" fontId="45" fillId="0" borderId="23" applyNumberFormat="0" applyFill="0" applyAlignment="0" applyProtection="0"/>
    <xf numFmtId="0" fontId="45" fillId="0" borderId="23" applyNumberFormat="0" applyFill="0" applyAlignment="0" applyProtection="0"/>
    <xf numFmtId="0" fontId="41" fillId="27" borderId="24" applyNumberFormat="0" applyFont="0" applyAlignment="0" applyProtection="0"/>
    <xf numFmtId="0" fontId="26" fillId="27" borderId="24" applyNumberFormat="0" applyFont="0" applyAlignment="0" applyProtection="0"/>
    <xf numFmtId="0" fontId="46" fillId="13" borderId="22" applyNumberFormat="0" applyAlignment="0" applyProtection="0"/>
    <xf numFmtId="0" fontId="46" fillId="13" borderId="22" applyNumberFormat="0" applyAlignment="0" applyProtection="0"/>
    <xf numFmtId="0" fontId="47" fillId="9" borderId="0" applyNumberFormat="0" applyBorder="0" applyAlignment="0" applyProtection="0"/>
    <xf numFmtId="0" fontId="47" fillId="9" borderId="0" applyNumberFormat="0" applyBorder="0" applyAlignment="0" applyProtection="0"/>
    <xf numFmtId="43" fontId="26" fillId="0" borderId="0" applyFont="0" applyFill="0" applyBorder="0" applyAlignment="0" applyProtection="0"/>
    <xf numFmtId="0" fontId="48" fillId="28" borderId="0" applyNumberFormat="0" applyBorder="0" applyAlignment="0" applyProtection="0"/>
    <xf numFmtId="0" fontId="48" fillId="28" borderId="0" applyNumberFormat="0" applyBorder="0" applyAlignment="0" applyProtection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/>
    <xf numFmtId="0" fontId="26" fillId="0" borderId="0" applyNumberFormat="0" applyFont="0" applyFill="0" applyBorder="0" applyAlignment="0" applyProtection="0"/>
    <xf numFmtId="0" fontId="49" fillId="0" borderId="0"/>
    <xf numFmtId="0" fontId="26" fillId="0" borderId="0"/>
    <xf numFmtId="0" fontId="26" fillId="0" borderId="0"/>
    <xf numFmtId="0" fontId="1" fillId="0" borderId="0"/>
    <xf numFmtId="0" fontId="1" fillId="0" borderId="0"/>
    <xf numFmtId="0" fontId="50" fillId="10" borderId="0" applyNumberFormat="0" applyBorder="0" applyAlignment="0" applyProtection="0"/>
    <xf numFmtId="0" fontId="50" fillId="10" borderId="0" applyNumberFormat="0" applyBorder="0" applyAlignment="0" applyProtection="0"/>
    <xf numFmtId="0" fontId="51" fillId="26" borderId="5" applyNumberFormat="0" applyAlignment="0" applyProtection="0"/>
    <xf numFmtId="0" fontId="51" fillId="26" borderId="5" applyNumberFormat="0" applyAlignment="0" applyProtection="0"/>
    <xf numFmtId="0" fontId="52" fillId="0" borderId="0" applyNumberFormat="0" applyFill="0" applyBorder="0" applyAlignment="0" applyProtection="0"/>
    <xf numFmtId="0" fontId="52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3" fillId="0" borderId="0" applyNumberFormat="0" applyFill="0" applyBorder="0" applyAlignment="0" applyProtection="0"/>
    <xf numFmtId="0" fontId="54" fillId="0" borderId="25" applyNumberFormat="0" applyFill="0" applyAlignment="0" applyProtection="0"/>
    <xf numFmtId="0" fontId="54" fillId="0" borderId="25" applyNumberFormat="0" applyFill="0" applyAlignment="0" applyProtection="0"/>
    <xf numFmtId="0" fontId="55" fillId="0" borderId="26" applyNumberFormat="0" applyFill="0" applyAlignment="0" applyProtection="0"/>
    <xf numFmtId="0" fontId="55" fillId="0" borderId="26" applyNumberFormat="0" applyFill="0" applyAlignment="0" applyProtection="0"/>
    <xf numFmtId="0" fontId="56" fillId="0" borderId="27" applyNumberFormat="0" applyFill="0" applyAlignment="0" applyProtection="0"/>
    <xf numFmtId="0" fontId="56" fillId="0" borderId="27" applyNumberFormat="0" applyFill="0" applyAlignment="0" applyProtection="0"/>
    <xf numFmtId="0" fontId="56" fillId="0" borderId="0" applyNumberFormat="0" applyFill="0" applyBorder="0" applyAlignment="0" applyProtection="0"/>
    <xf numFmtId="0" fontId="56" fillId="0" borderId="0" applyNumberFormat="0" applyFill="0" applyBorder="0" applyAlignment="0" applyProtection="0"/>
    <xf numFmtId="0" fontId="57" fillId="0" borderId="28" applyNumberFormat="0" applyFill="0" applyAlignment="0" applyProtection="0"/>
    <xf numFmtId="0" fontId="57" fillId="0" borderId="28" applyNumberFormat="0" applyFill="0" applyAlignment="0" applyProtection="0"/>
    <xf numFmtId="0" fontId="58" fillId="29" borderId="29" applyNumberFormat="0" applyAlignment="0" applyProtection="0"/>
    <xf numFmtId="0" fontId="58" fillId="29" borderId="29" applyNumberFormat="0" applyAlignment="0" applyProtection="0"/>
    <xf numFmtId="0" fontId="24" fillId="0" borderId="0"/>
  </cellStyleXfs>
  <cellXfs count="350">
    <xf numFmtId="0" fontId="0" fillId="0" borderId="0" xfId="0"/>
    <xf numFmtId="0" fontId="4" fillId="0" borderId="0" xfId="0" applyFont="1" applyAlignment="1">
      <alignment horizontal="left"/>
    </xf>
    <xf numFmtId="0" fontId="7" fillId="0" borderId="0" xfId="6" applyFont="1" applyAlignment="1">
      <alignment horizontal="left"/>
    </xf>
    <xf numFmtId="164" fontId="7" fillId="0" borderId="0" xfId="6" applyNumberFormat="1" applyFont="1" applyAlignment="1">
      <alignment horizontal="left"/>
    </xf>
    <xf numFmtId="0" fontId="8" fillId="0" borderId="0" xfId="6" applyFont="1" applyAlignment="1">
      <alignment horizontal="left"/>
    </xf>
    <xf numFmtId="0" fontId="4" fillId="0" borderId="0" xfId="9" applyFont="1" applyAlignment="1">
      <alignment horizontal="left"/>
    </xf>
    <xf numFmtId="164" fontId="8" fillId="0" borderId="0" xfId="6" applyNumberFormat="1" applyFont="1" applyAlignment="1">
      <alignment horizontal="left"/>
    </xf>
    <xf numFmtId="0" fontId="4" fillId="0" borderId="0" xfId="6" applyFont="1" applyAlignment="1">
      <alignment horizontal="left"/>
    </xf>
    <xf numFmtId="0" fontId="4" fillId="0" borderId="0" xfId="9" applyFont="1" applyBorder="1" applyAlignment="1">
      <alignment horizontal="left"/>
    </xf>
    <xf numFmtId="0" fontId="12" fillId="0" borderId="0" xfId="9" applyFont="1" applyBorder="1" applyAlignment="1">
      <alignment horizontal="left"/>
    </xf>
    <xf numFmtId="0" fontId="8" fillId="0" borderId="0" xfId="9" applyFont="1" applyAlignment="1">
      <alignment horizontal="left"/>
    </xf>
    <xf numFmtId="0" fontId="10" fillId="0" borderId="0" xfId="9" applyFont="1" applyAlignment="1">
      <alignment horizontal="left"/>
    </xf>
    <xf numFmtId="0" fontId="9" fillId="0" borderId="0" xfId="9" applyFont="1" applyFill="1" applyAlignment="1">
      <alignment horizontal="left"/>
    </xf>
    <xf numFmtId="0" fontId="8" fillId="2" borderId="1" xfId="9" applyFont="1" applyFill="1" applyBorder="1" applyAlignment="1">
      <alignment horizontal="left"/>
    </xf>
    <xf numFmtId="0" fontId="9" fillId="2" borderId="1" xfId="0" applyFont="1" applyFill="1" applyBorder="1" applyAlignment="1">
      <alignment horizontal="left"/>
    </xf>
    <xf numFmtId="0" fontId="13" fillId="2" borderId="1" xfId="0" applyFont="1" applyFill="1" applyBorder="1" applyAlignment="1">
      <alignment horizontal="left"/>
    </xf>
    <xf numFmtId="49" fontId="13" fillId="2" borderId="1" xfId="0" applyNumberFormat="1" applyFont="1" applyFill="1" applyBorder="1" applyAlignment="1">
      <alignment horizontal="left"/>
    </xf>
    <xf numFmtId="0" fontId="10" fillId="2" borderId="1" xfId="0" applyFont="1" applyFill="1" applyBorder="1" applyAlignment="1">
      <alignment horizontal="left"/>
    </xf>
    <xf numFmtId="0" fontId="8" fillId="0" borderId="1" xfId="9" applyFont="1" applyFill="1" applyBorder="1" applyAlignment="1">
      <alignment horizontal="left" vertical="center" wrapText="1"/>
    </xf>
    <xf numFmtId="0" fontId="4" fillId="0" borderId="5" xfId="0" applyFont="1" applyBorder="1" applyAlignment="1">
      <alignment horizontal="left" vertical="center" wrapText="1"/>
    </xf>
    <xf numFmtId="0" fontId="4" fillId="0" borderId="1" xfId="9" applyFont="1" applyFill="1" applyBorder="1" applyAlignment="1">
      <alignment horizontal="left" vertical="center" wrapText="1"/>
    </xf>
    <xf numFmtId="0" fontId="4" fillId="0" borderId="1" xfId="5" applyFont="1" applyFill="1" applyBorder="1" applyAlignment="1">
      <alignment horizontal="center" vertical="center" wrapText="1"/>
    </xf>
    <xf numFmtId="0" fontId="4" fillId="0" borderId="6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 wrapText="1"/>
    </xf>
    <xf numFmtId="0" fontId="4" fillId="0" borderId="1" xfId="5" applyFont="1" applyBorder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0" fontId="8" fillId="0" borderId="1" xfId="9" applyFont="1" applyBorder="1" applyAlignment="1">
      <alignment horizontal="left" vertical="center" wrapText="1"/>
    </xf>
    <xf numFmtId="0" fontId="4" fillId="0" borderId="1" xfId="0" applyFont="1" applyFill="1" applyBorder="1" applyAlignment="1" applyProtection="1">
      <alignment horizontal="left" vertical="center" wrapText="1"/>
      <protection locked="0"/>
    </xf>
    <xf numFmtId="49" fontId="4" fillId="0" borderId="1" xfId="0" applyNumberFormat="1" applyFont="1" applyFill="1" applyBorder="1" applyAlignment="1">
      <alignment horizontal="left" vertical="center" wrapText="1"/>
    </xf>
    <xf numFmtId="0" fontId="4" fillId="0" borderId="7" xfId="0" applyFont="1" applyFill="1" applyBorder="1" applyAlignment="1" applyProtection="1">
      <alignment horizontal="left" vertical="center" wrapText="1"/>
      <protection locked="0"/>
    </xf>
    <xf numFmtId="0" fontId="4" fillId="0" borderId="1" xfId="0" applyFont="1" applyFill="1" applyBorder="1" applyAlignment="1">
      <alignment horizontal="left" vertical="center" wrapText="1"/>
    </xf>
    <xf numFmtId="0" fontId="4" fillId="0" borderId="1" xfId="9" applyFont="1" applyFill="1" applyBorder="1" applyAlignment="1">
      <alignment horizontal="center" vertical="center" wrapText="1"/>
    </xf>
    <xf numFmtId="0" fontId="4" fillId="0" borderId="1" xfId="9" applyFont="1" applyBorder="1" applyAlignment="1">
      <alignment horizontal="left" vertical="center" wrapText="1"/>
    </xf>
    <xf numFmtId="0" fontId="4" fillId="0" borderId="7" xfId="9" applyFont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0" borderId="0" xfId="0" applyFont="1" applyAlignment="1">
      <alignment horizontal="left" vertical="center"/>
    </xf>
    <xf numFmtId="0" fontId="8" fillId="0" borderId="0" xfId="0" applyFont="1" applyBorder="1" applyAlignment="1">
      <alignment horizontal="left" vertical="center" wrapText="1"/>
    </xf>
    <xf numFmtId="0" fontId="4" fillId="0" borderId="0" xfId="9" applyFont="1" applyBorder="1" applyAlignment="1">
      <alignment horizontal="left" vertical="center" wrapText="1"/>
    </xf>
    <xf numFmtId="0" fontId="4" fillId="0" borderId="0" xfId="9" applyFont="1" applyBorder="1" applyAlignment="1">
      <alignment horizontal="left" wrapText="1"/>
    </xf>
    <xf numFmtId="0" fontId="4" fillId="0" borderId="8" xfId="0" applyFont="1" applyBorder="1" applyAlignment="1">
      <alignment horizontal="left"/>
    </xf>
    <xf numFmtId="0" fontId="4" fillId="0" borderId="0" xfId="0" applyFont="1" applyBorder="1" applyAlignment="1">
      <alignment horizontal="left"/>
    </xf>
    <xf numFmtId="0" fontId="9" fillId="0" borderId="8" xfId="0" applyFont="1" applyBorder="1" applyAlignment="1">
      <alignment horizontal="left" vertical="center"/>
    </xf>
    <xf numFmtId="0" fontId="8" fillId="0" borderId="0" xfId="0" applyFont="1" applyBorder="1" applyAlignment="1">
      <alignment horizontal="left" vertical="center"/>
    </xf>
    <xf numFmtId="0" fontId="4" fillId="0" borderId="0" xfId="0" applyFont="1" applyBorder="1" applyAlignment="1">
      <alignment horizontal="left" vertical="center"/>
    </xf>
    <xf numFmtId="0" fontId="4" fillId="0" borderId="9" xfId="0" applyFont="1" applyBorder="1" applyAlignment="1">
      <alignment horizontal="left" vertical="center"/>
    </xf>
    <xf numFmtId="0" fontId="4" fillId="2" borderId="1" xfId="9" applyFont="1" applyFill="1" applyBorder="1" applyAlignment="1">
      <alignment horizontal="left"/>
    </xf>
    <xf numFmtId="0" fontId="14" fillId="2" borderId="1" xfId="0" applyFont="1" applyFill="1" applyBorder="1" applyAlignment="1">
      <alignment horizontal="left"/>
    </xf>
    <xf numFmtId="0" fontId="15" fillId="2" borderId="1" xfId="0" applyFont="1" applyFill="1" applyBorder="1" applyAlignment="1">
      <alignment horizontal="left"/>
    </xf>
    <xf numFmtId="0" fontId="8" fillId="0" borderId="2" xfId="9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center" vertical="center" wrapText="1"/>
    </xf>
    <xf numFmtId="0" fontId="13" fillId="0" borderId="2" xfId="9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0" fontId="4" fillId="0" borderId="1" xfId="9" applyFont="1" applyBorder="1" applyAlignment="1">
      <alignment horizontal="left" vertical="center"/>
    </xf>
    <xf numFmtId="0" fontId="4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left" wrapText="1"/>
    </xf>
    <xf numFmtId="0" fontId="4" fillId="0" borderId="0" xfId="9" applyFont="1" applyBorder="1" applyAlignment="1">
      <alignment horizontal="left" vertical="center"/>
    </xf>
    <xf numFmtId="0" fontId="9" fillId="0" borderId="0" xfId="9" applyFont="1" applyFill="1" applyBorder="1" applyAlignment="1">
      <alignment horizontal="left"/>
    </xf>
    <xf numFmtId="0" fontId="9" fillId="2" borderId="1" xfId="9" applyFont="1" applyFill="1" applyBorder="1" applyAlignment="1">
      <alignment horizontal="left"/>
    </xf>
    <xf numFmtId="0" fontId="13" fillId="2" borderId="1" xfId="9" applyFont="1" applyFill="1" applyBorder="1" applyAlignment="1">
      <alignment horizontal="left"/>
    </xf>
    <xf numFmtId="0" fontId="16" fillId="0" borderId="1" xfId="9" applyFont="1" applyBorder="1" applyAlignment="1">
      <alignment horizontal="left" vertical="center" wrapText="1"/>
    </xf>
    <xf numFmtId="0" fontId="4" fillId="0" borderId="1" xfId="9" applyFont="1" applyBorder="1" applyAlignment="1">
      <alignment horizontal="left"/>
    </xf>
    <xf numFmtId="0" fontId="4" fillId="0" borderId="0" xfId="0" applyFont="1" applyFill="1" applyBorder="1" applyAlignment="1">
      <alignment horizontal="left" vertical="center" wrapText="1"/>
    </xf>
    <xf numFmtId="0" fontId="17" fillId="0" borderId="0" xfId="0" applyFont="1" applyAlignment="1">
      <alignment horizontal="left"/>
    </xf>
    <xf numFmtId="0" fontId="8" fillId="0" borderId="0" xfId="9" applyFont="1" applyBorder="1" applyAlignment="1">
      <alignment horizontal="left" vertical="center" wrapText="1"/>
    </xf>
    <xf numFmtId="0" fontId="9" fillId="0" borderId="0" xfId="9" applyFont="1" applyBorder="1" applyAlignment="1">
      <alignment horizontal="left" vertical="center" wrapText="1"/>
    </xf>
    <xf numFmtId="0" fontId="8" fillId="0" borderId="0" xfId="9" applyFont="1" applyBorder="1" applyAlignment="1">
      <alignment horizontal="left" vertical="center"/>
    </xf>
    <xf numFmtId="0" fontId="8" fillId="0" borderId="0" xfId="9" applyFont="1" applyFill="1" applyBorder="1" applyAlignment="1">
      <alignment horizontal="left" vertical="center"/>
    </xf>
    <xf numFmtId="0" fontId="9" fillId="2" borderId="1" xfId="0" applyFont="1" applyFill="1" applyBorder="1" applyAlignment="1" applyProtection="1">
      <alignment horizontal="left"/>
    </xf>
    <xf numFmtId="0" fontId="13" fillId="2" borderId="1" xfId="0" applyFont="1" applyFill="1" applyBorder="1" applyAlignment="1" applyProtection="1">
      <alignment horizontal="left"/>
    </xf>
    <xf numFmtId="0" fontId="13" fillId="2" borderId="7" xfId="0" applyFont="1" applyFill="1" applyBorder="1" applyAlignment="1" applyProtection="1">
      <alignment horizontal="left"/>
    </xf>
    <xf numFmtId="0" fontId="4" fillId="0" borderId="5" xfId="0" applyFont="1" applyBorder="1" applyAlignment="1">
      <alignment horizontal="left" wrapText="1"/>
    </xf>
    <xf numFmtId="0" fontId="8" fillId="0" borderId="6" xfId="0" applyFont="1" applyBorder="1" applyAlignment="1">
      <alignment horizontal="left" vertical="center" wrapText="1"/>
    </xf>
    <xf numFmtId="0" fontId="4" fillId="0" borderId="1" xfId="0" applyFont="1" applyFill="1" applyBorder="1" applyAlignment="1" applyProtection="1">
      <alignment horizontal="left"/>
      <protection locked="0"/>
    </xf>
    <xf numFmtId="0" fontId="4" fillId="0" borderId="1" xfId="0" applyFont="1" applyBorder="1" applyAlignment="1" applyProtection="1">
      <alignment horizontal="left"/>
      <protection locked="0"/>
    </xf>
    <xf numFmtId="0" fontId="2" fillId="0" borderId="7" xfId="1" applyNumberFormat="1" applyFont="1" applyFill="1" applyBorder="1" applyAlignment="1" applyProtection="1">
      <alignment horizontal="left" vertical="center" wrapText="1"/>
    </xf>
    <xf numFmtId="0" fontId="9" fillId="2" borderId="1" xfId="10" applyFont="1" applyFill="1" applyBorder="1" applyAlignment="1">
      <alignment horizontal="left"/>
    </xf>
    <xf numFmtId="0" fontId="8" fillId="2" borderId="1" xfId="10" applyFont="1" applyFill="1" applyBorder="1" applyAlignment="1">
      <alignment horizontal="left"/>
    </xf>
    <xf numFmtId="0" fontId="4" fillId="0" borderId="1" xfId="10" applyFont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wrapText="1"/>
    </xf>
    <xf numFmtId="0" fontId="4" fillId="0" borderId="8" xfId="0" applyFont="1" applyBorder="1" applyAlignment="1">
      <alignment horizontal="left" vertical="center"/>
    </xf>
    <xf numFmtId="0" fontId="4" fillId="0" borderId="10" xfId="0" applyFont="1" applyBorder="1" applyAlignment="1">
      <alignment horizontal="left" vertical="center"/>
    </xf>
    <xf numFmtId="0" fontId="8" fillId="0" borderId="8" xfId="0" applyFont="1" applyBorder="1" applyAlignment="1">
      <alignment horizontal="left" vertical="center"/>
    </xf>
    <xf numFmtId="0" fontId="4" fillId="0" borderId="1" xfId="0" applyFont="1" applyFill="1" applyBorder="1" applyAlignment="1">
      <alignment horizontal="left"/>
    </xf>
    <xf numFmtId="49" fontId="9" fillId="2" borderId="1" xfId="0" applyNumberFormat="1" applyFont="1" applyFill="1" applyBorder="1" applyAlignment="1" applyProtection="1">
      <alignment horizontal="left"/>
    </xf>
    <xf numFmtId="49" fontId="13" fillId="2" borderId="1" xfId="0" applyNumberFormat="1" applyFont="1" applyFill="1" applyBorder="1" applyAlignment="1" applyProtection="1">
      <alignment horizontal="left"/>
    </xf>
    <xf numFmtId="0" fontId="10" fillId="2" borderId="1" xfId="0" applyFont="1" applyFill="1" applyBorder="1" applyAlignment="1" applyProtection="1">
      <alignment horizontal="left"/>
      <protection locked="0"/>
    </xf>
    <xf numFmtId="0" fontId="13" fillId="2" borderId="6" xfId="0" applyFont="1" applyFill="1" applyBorder="1" applyAlignment="1">
      <alignment horizontal="left"/>
    </xf>
    <xf numFmtId="49" fontId="20" fillId="0" borderId="1" xfId="0" applyNumberFormat="1" applyFont="1" applyFill="1" applyBorder="1" applyAlignment="1" applyProtection="1">
      <alignment horizontal="left" vertical="center" wrapText="1"/>
    </xf>
    <xf numFmtId="49" fontId="20" fillId="0" borderId="1" xfId="0" applyNumberFormat="1" applyFont="1" applyFill="1" applyBorder="1" applyAlignment="1" applyProtection="1">
      <alignment horizontal="left" wrapText="1"/>
    </xf>
    <xf numFmtId="0" fontId="4" fillId="0" borderId="0" xfId="0" applyFont="1" applyFill="1" applyBorder="1" applyAlignment="1">
      <alignment horizontal="left"/>
    </xf>
    <xf numFmtId="0" fontId="20" fillId="0" borderId="1" xfId="9" applyFont="1" applyFill="1" applyBorder="1" applyAlignment="1">
      <alignment horizontal="left" vertical="center" wrapText="1"/>
    </xf>
    <xf numFmtId="0" fontId="4" fillId="0" borderId="7" xfId="0" applyFont="1" applyBorder="1" applyAlignment="1">
      <alignment horizontal="left"/>
    </xf>
    <xf numFmtId="0" fontId="8" fillId="0" borderId="0" xfId="0" applyFont="1"/>
    <xf numFmtId="0" fontId="0" fillId="2" borderId="1" xfId="0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8" fillId="0" borderId="1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4" fillId="0" borderId="3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8" fillId="0" borderId="1" xfId="0" applyFont="1" applyBorder="1" applyAlignment="1">
      <alignment horizontal="center" vertical="center"/>
    </xf>
    <xf numFmtId="0" fontId="4" fillId="0" borderId="0" xfId="0" applyFont="1" applyBorder="1" applyAlignment="1">
      <alignment horizontal="center" vertical="center" wrapText="1"/>
    </xf>
    <xf numFmtId="0" fontId="2" fillId="0" borderId="1" xfId="3" applyNumberFormat="1" applyFont="1" applyFill="1" applyBorder="1" applyAlignment="1" applyProtection="1">
      <alignment horizontal="center" vertical="center" wrapText="1"/>
    </xf>
    <xf numFmtId="14" fontId="4" fillId="0" borderId="1" xfId="0" applyNumberFormat="1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 wrapText="1"/>
    </xf>
    <xf numFmtId="0" fontId="8" fillId="0" borderId="0" xfId="0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 vertical="center" wrapText="1"/>
    </xf>
    <xf numFmtId="0" fontId="0" fillId="0" borderId="0" xfId="0" applyBorder="1" applyAlignment="1">
      <alignment horizontal="center" vertical="center"/>
    </xf>
    <xf numFmtId="0" fontId="15" fillId="2" borderId="1" xfId="0" applyFont="1" applyFill="1" applyBorder="1"/>
    <xf numFmtId="0" fontId="4" fillId="0" borderId="1" xfId="0" applyFont="1" applyFill="1" applyBorder="1" applyAlignment="1" applyProtection="1">
      <alignment horizontal="center"/>
      <protection locked="0"/>
    </xf>
    <xf numFmtId="0" fontId="22" fillId="3" borderId="11" xfId="0" applyFont="1" applyFill="1" applyBorder="1" applyAlignment="1">
      <alignment vertical="center"/>
    </xf>
    <xf numFmtId="0" fontId="0" fillId="0" borderId="12" xfId="0" applyFill="1" applyBorder="1"/>
    <xf numFmtId="0" fontId="17" fillId="4" borderId="12" xfId="0" applyFont="1" applyFill="1" applyBorder="1"/>
    <xf numFmtId="0" fontId="9" fillId="3" borderId="13" xfId="0" applyFont="1" applyFill="1" applyBorder="1" applyAlignment="1">
      <alignment horizontal="center" vertical="center"/>
    </xf>
    <xf numFmtId="0" fontId="13" fillId="0" borderId="14" xfId="9" applyFont="1" applyFill="1" applyBorder="1" applyAlignment="1">
      <alignment horizontal="center"/>
    </xf>
    <xf numFmtId="0" fontId="10" fillId="4" borderId="14" xfId="0" applyFont="1" applyFill="1" applyBorder="1" applyAlignment="1">
      <alignment horizontal="center"/>
    </xf>
    <xf numFmtId="0" fontId="17" fillId="3" borderId="15" xfId="0" applyFont="1" applyFill="1" applyBorder="1" applyAlignment="1">
      <alignment vertical="center"/>
    </xf>
    <xf numFmtId="0" fontId="0" fillId="0" borderId="12" xfId="0" applyBorder="1"/>
    <xf numFmtId="0" fontId="9" fillId="3" borderId="1" xfId="0" applyFont="1" applyFill="1" applyBorder="1" applyAlignment="1">
      <alignment horizontal="center" vertical="center"/>
    </xf>
    <xf numFmtId="0" fontId="8" fillId="0" borderId="1" xfId="0" applyFont="1" applyBorder="1"/>
    <xf numFmtId="0" fontId="8" fillId="0" borderId="1" xfId="0" applyFont="1" applyFill="1" applyBorder="1"/>
    <xf numFmtId="0" fontId="13" fillId="0" borderId="1" xfId="9" applyFont="1" applyFill="1" applyBorder="1" applyAlignment="1">
      <alignment horizontal="center"/>
    </xf>
    <xf numFmtId="0" fontId="17" fillId="3" borderId="11" xfId="0" applyFont="1" applyFill="1" applyBorder="1" applyAlignment="1">
      <alignment vertical="center"/>
    </xf>
    <xf numFmtId="0" fontId="13" fillId="0" borderId="14" xfId="9" applyFont="1" applyBorder="1" applyAlignment="1">
      <alignment horizontal="center" vertical="center"/>
    </xf>
    <xf numFmtId="0" fontId="17" fillId="3" borderId="16" xfId="0" applyFont="1" applyFill="1" applyBorder="1" applyAlignment="1">
      <alignment vertical="center"/>
    </xf>
    <xf numFmtId="0" fontId="4" fillId="0" borderId="0" xfId="0" applyFont="1" applyAlignment="1" applyProtection="1">
      <protection locked="0"/>
    </xf>
    <xf numFmtId="0" fontId="8" fillId="0" borderId="0" xfId="0" applyFont="1" applyAlignment="1" applyProtection="1"/>
    <xf numFmtId="0" fontId="4" fillId="5" borderId="11" xfId="0" applyFont="1" applyFill="1" applyBorder="1" applyAlignment="1">
      <alignment vertical="center"/>
    </xf>
    <xf numFmtId="0" fontId="4" fillId="0" borderId="0" xfId="0" applyFont="1" applyProtection="1">
      <protection locked="0"/>
    </xf>
    <xf numFmtId="0" fontId="8" fillId="5" borderId="13" xfId="0" applyFont="1" applyFill="1" applyBorder="1" applyAlignment="1">
      <alignment horizontal="center" vertical="center"/>
    </xf>
    <xf numFmtId="0" fontId="8" fillId="0" borderId="0" xfId="0" applyFont="1" applyProtection="1"/>
    <xf numFmtId="0" fontId="23" fillId="3" borderId="16" xfId="0" applyFont="1" applyFill="1" applyBorder="1" applyAlignment="1">
      <alignment vertical="center"/>
    </xf>
    <xf numFmtId="0" fontId="4" fillId="5" borderId="16" xfId="0" applyFont="1" applyFill="1" applyBorder="1" applyAlignment="1">
      <alignment vertical="center"/>
    </xf>
    <xf numFmtId="0" fontId="24" fillId="3" borderId="11" xfId="0" applyFont="1" applyFill="1" applyBorder="1" applyAlignment="1">
      <alignment vertical="center"/>
    </xf>
    <xf numFmtId="0" fontId="24" fillId="0" borderId="12" xfId="0" applyFont="1" applyFill="1" applyBorder="1"/>
    <xf numFmtId="0" fontId="25" fillId="0" borderId="0" xfId="0" applyFont="1" applyAlignment="1">
      <alignment horizontal="right"/>
    </xf>
    <xf numFmtId="0" fontId="25" fillId="0" borderId="0" xfId="0" applyFont="1"/>
    <xf numFmtId="0" fontId="26" fillId="0" borderId="0" xfId="0" applyFont="1" applyAlignment="1" applyProtection="1">
      <protection locked="0"/>
    </xf>
    <xf numFmtId="0" fontId="25" fillId="0" borderId="0" xfId="0" applyFont="1" applyFill="1"/>
    <xf numFmtId="0" fontId="27" fillId="0" borderId="0" xfId="0" applyFont="1"/>
    <xf numFmtId="0" fontId="22" fillId="6" borderId="12" xfId="5" applyFont="1" applyFill="1" applyBorder="1"/>
    <xf numFmtId="0" fontId="28" fillId="0" borderId="12" xfId="5" applyFont="1" applyFill="1" applyBorder="1"/>
    <xf numFmtId="0" fontId="4" fillId="0" borderId="12" xfId="5" applyBorder="1"/>
    <xf numFmtId="0" fontId="4" fillId="0" borderId="0" xfId="5"/>
    <xf numFmtId="0" fontId="9" fillId="6" borderId="1" xfId="5" applyFont="1" applyFill="1" applyBorder="1"/>
    <xf numFmtId="0" fontId="8" fillId="0" borderId="1" xfId="5" applyFont="1" applyFill="1" applyBorder="1"/>
    <xf numFmtId="0" fontId="8" fillId="0" borderId="1" xfId="5" applyFont="1" applyBorder="1"/>
    <xf numFmtId="0" fontId="0" fillId="7" borderId="12" xfId="0" applyFill="1" applyBorder="1"/>
    <xf numFmtId="0" fontId="15" fillId="7" borderId="1" xfId="0" applyFont="1" applyFill="1" applyBorder="1"/>
    <xf numFmtId="0" fontId="14" fillId="0" borderId="0" xfId="0" applyFont="1"/>
    <xf numFmtId="0" fontId="0" fillId="0" borderId="0" xfId="0" applyFont="1"/>
    <xf numFmtId="0" fontId="23" fillId="0" borderId="0" xfId="0" applyFont="1"/>
    <xf numFmtId="165" fontId="25" fillId="0" borderId="0" xfId="0" applyNumberFormat="1" applyFont="1" applyAlignment="1">
      <alignment horizontal="right"/>
    </xf>
    <xf numFmtId="0" fontId="17" fillId="3" borderId="0" xfId="0" applyFont="1" applyFill="1" applyBorder="1" applyAlignment="1">
      <alignment vertical="center"/>
    </xf>
    <xf numFmtId="0" fontId="9" fillId="3" borderId="0" xfId="0" applyFont="1" applyFill="1" applyBorder="1" applyAlignment="1">
      <alignment horizontal="center" vertical="center"/>
    </xf>
    <xf numFmtId="0" fontId="9" fillId="3" borderId="18" xfId="0" applyFont="1" applyFill="1" applyBorder="1" applyAlignment="1">
      <alignment horizontal="center" vertical="center"/>
    </xf>
    <xf numFmtId="0" fontId="13" fillId="0" borderId="2" xfId="9" applyFont="1" applyFill="1" applyBorder="1" applyAlignment="1">
      <alignment horizontal="center" vertical="center"/>
    </xf>
    <xf numFmtId="0" fontId="13" fillId="0" borderId="2" xfId="9" applyFont="1" applyFill="1" applyBorder="1" applyAlignment="1">
      <alignment horizontal="center" vertical="center" wrapText="1"/>
    </xf>
    <xf numFmtId="0" fontId="13" fillId="0" borderId="14" xfId="9" applyFont="1" applyFill="1" applyBorder="1" applyAlignment="1">
      <alignment horizontal="center" vertical="center"/>
    </xf>
    <xf numFmtId="0" fontId="17" fillId="3" borderId="17" xfId="0" applyFont="1" applyFill="1" applyBorder="1" applyAlignment="1">
      <alignment horizontal="center" vertical="center"/>
    </xf>
    <xf numFmtId="0" fontId="0" fillId="0" borderId="17" xfId="0" applyFill="1" applyBorder="1" applyAlignment="1">
      <alignment horizontal="center" vertical="center"/>
    </xf>
    <xf numFmtId="0" fontId="0" fillId="0" borderId="17" xfId="0" applyFill="1" applyBorder="1" applyAlignment="1">
      <alignment horizontal="center" vertical="center" wrapText="1"/>
    </xf>
    <xf numFmtId="0" fontId="32" fillId="0" borderId="17" xfId="0" applyFont="1" applyFill="1" applyBorder="1" applyAlignment="1">
      <alignment horizontal="center" vertical="center" wrapText="1"/>
    </xf>
    <xf numFmtId="0" fontId="0" fillId="0" borderId="12" xfId="0" applyFill="1" applyBorder="1" applyAlignment="1">
      <alignment horizontal="center" vertical="center"/>
    </xf>
    <xf numFmtId="165" fontId="0" fillId="0" borderId="12" xfId="0" applyNumberFormat="1" applyFill="1" applyBorder="1" applyAlignment="1">
      <alignment horizontal="center" vertical="center"/>
    </xf>
    <xf numFmtId="0" fontId="0" fillId="0" borderId="17" xfId="6" applyFont="1" applyBorder="1" applyAlignment="1">
      <alignment horizontal="center" vertical="center" wrapText="1"/>
    </xf>
    <xf numFmtId="0" fontId="26" fillId="3" borderId="18" xfId="0" applyFont="1" applyFill="1" applyBorder="1" applyAlignment="1">
      <alignment horizontal="center" vertical="center"/>
    </xf>
    <xf numFmtId="0" fontId="26" fillId="0" borderId="2" xfId="9" applyFont="1" applyFill="1" applyBorder="1" applyAlignment="1">
      <alignment horizontal="center" vertical="center"/>
    </xf>
    <xf numFmtId="0" fontId="26" fillId="0" borderId="2" xfId="9" applyFont="1" applyFill="1" applyBorder="1" applyAlignment="1">
      <alignment horizontal="center" vertical="center" wrapText="1"/>
    </xf>
    <xf numFmtId="0" fontId="26" fillId="0" borderId="14" xfId="9" applyFont="1" applyFill="1" applyBorder="1" applyAlignment="1">
      <alignment horizontal="center" vertical="center"/>
    </xf>
    <xf numFmtId="0" fontId="4" fillId="3" borderId="17" xfId="0" applyFont="1" applyFill="1" applyBorder="1" applyAlignment="1">
      <alignment horizontal="center" vertical="center"/>
    </xf>
    <xf numFmtId="0" fontId="0" fillId="0" borderId="17" xfId="0" applyFont="1" applyFill="1" applyBorder="1" applyAlignment="1">
      <alignment horizontal="center" vertical="center"/>
    </xf>
    <xf numFmtId="0" fontId="0" fillId="0" borderId="17" xfId="0" applyFont="1" applyFill="1" applyBorder="1" applyAlignment="1">
      <alignment horizontal="center" vertical="center" wrapText="1"/>
    </xf>
    <xf numFmtId="0" fontId="33" fillId="0" borderId="17" xfId="0" applyFont="1" applyFill="1" applyBorder="1" applyAlignment="1">
      <alignment horizontal="center" vertical="center" wrapText="1"/>
    </xf>
    <xf numFmtId="0" fontId="0" fillId="0" borderId="12" xfId="0" applyFont="1" applyFill="1" applyBorder="1" applyAlignment="1">
      <alignment horizontal="center" vertical="center"/>
    </xf>
    <xf numFmtId="0" fontId="0" fillId="0" borderId="19" xfId="0" applyFill="1" applyBorder="1" applyAlignment="1">
      <alignment horizontal="center" vertical="center"/>
    </xf>
    <xf numFmtId="0" fontId="17" fillId="3" borderId="20" xfId="0" applyFont="1" applyFill="1" applyBorder="1" applyAlignment="1">
      <alignment vertical="center"/>
    </xf>
    <xf numFmtId="0" fontId="0" fillId="0" borderId="21" xfId="0" applyFill="1" applyBorder="1"/>
    <xf numFmtId="0" fontId="0" fillId="0" borderId="0" xfId="0" applyFill="1" applyBorder="1"/>
    <xf numFmtId="49" fontId="0" fillId="0" borderId="0" xfId="0" applyNumberFormat="1" applyFont="1"/>
    <xf numFmtId="0" fontId="35" fillId="0" borderId="0" xfId="0" applyFont="1"/>
    <xf numFmtId="0" fontId="36" fillId="0" borderId="0" xfId="0" applyFont="1"/>
    <xf numFmtId="0" fontId="37" fillId="0" borderId="0" xfId="0" applyFont="1"/>
    <xf numFmtId="0" fontId="9" fillId="0" borderId="0" xfId="0" applyFont="1"/>
    <xf numFmtId="0" fontId="38" fillId="0" borderId="0" xfId="0" applyFont="1"/>
    <xf numFmtId="0" fontId="39" fillId="0" borderId="0" xfId="0" applyFont="1" applyAlignment="1"/>
    <xf numFmtId="0" fontId="36" fillId="0" borderId="0" xfId="0" applyFont="1" applyAlignment="1"/>
    <xf numFmtId="0" fontId="38" fillId="0" borderId="0" xfId="0" applyFont="1" applyAlignment="1"/>
    <xf numFmtId="0" fontId="0" fillId="0" borderId="0" xfId="0" applyFont="1" applyProtection="1">
      <protection locked="0"/>
    </xf>
    <xf numFmtId="0" fontId="2" fillId="0" borderId="0" xfId="1" applyNumberFormat="1" applyFill="1" applyBorder="1" applyAlignment="1" applyProtection="1">
      <protection locked="0"/>
    </xf>
    <xf numFmtId="0" fontId="0" fillId="0" borderId="0" xfId="0" applyFont="1" applyAlignment="1">
      <alignment wrapText="1"/>
    </xf>
    <xf numFmtId="0" fontId="26" fillId="0" borderId="0" xfId="0" applyFont="1" applyAlignment="1">
      <alignment wrapText="1"/>
    </xf>
    <xf numFmtId="0" fontId="26" fillId="0" borderId="0" xfId="0" applyFont="1" applyFill="1" applyAlignment="1">
      <alignment wrapText="1"/>
    </xf>
    <xf numFmtId="0" fontId="0" fillId="0" borderId="0" xfId="0" applyAlignment="1">
      <alignment wrapText="1"/>
    </xf>
    <xf numFmtId="0" fontId="40" fillId="0" borderId="0" xfId="0" applyFont="1"/>
    <xf numFmtId="14" fontId="0" fillId="0" borderId="0" xfId="0" applyNumberFormat="1"/>
    <xf numFmtId="0" fontId="23" fillId="0" borderId="0" xfId="13"/>
    <xf numFmtId="0" fontId="1" fillId="0" borderId="0" xfId="87"/>
    <xf numFmtId="0" fontId="1" fillId="0" borderId="0" xfId="87" applyAlignment="1">
      <alignment horizontal="center"/>
    </xf>
    <xf numFmtId="0" fontId="26" fillId="0" borderId="0" xfId="77"/>
    <xf numFmtId="0" fontId="26" fillId="0" borderId="0" xfId="77" applyFont="1"/>
    <xf numFmtId="0" fontId="59" fillId="0" borderId="0" xfId="77" applyFont="1"/>
    <xf numFmtId="0" fontId="13" fillId="33" borderId="14" xfId="9" applyFont="1" applyFill="1" applyBorder="1" applyAlignment="1">
      <alignment horizontal="center"/>
    </xf>
    <xf numFmtId="0" fontId="64" fillId="0" borderId="0" xfId="1" applyNumberFormat="1" applyFont="1" applyFill="1" applyBorder="1" applyAlignment="1" applyProtection="1">
      <protection locked="0"/>
    </xf>
    <xf numFmtId="0" fontId="23" fillId="0" borderId="0" xfId="0" applyFont="1" applyAlignment="1">
      <alignment wrapText="1"/>
    </xf>
    <xf numFmtId="0" fontId="65" fillId="0" borderId="1" xfId="0" applyFont="1" applyBorder="1"/>
    <xf numFmtId="0" fontId="67" fillId="0" borderId="0" xfId="0" applyFont="1"/>
    <xf numFmtId="0" fontId="26" fillId="0" borderId="0" xfId="82" applyNumberFormat="1" applyFont="1" applyFill="1" applyBorder="1" applyAlignment="1"/>
    <xf numFmtId="0" fontId="61" fillId="32" borderId="17" xfId="13" applyFont="1" applyFill="1" applyBorder="1" applyAlignment="1">
      <alignment horizontal="center" vertical="center"/>
    </xf>
    <xf numFmtId="0" fontId="23" fillId="0" borderId="0" xfId="13" applyAlignment="1">
      <alignment vertical="center"/>
    </xf>
    <xf numFmtId="14" fontId="62" fillId="30" borderId="17" xfId="13" applyNumberFormat="1" applyFont="1" applyFill="1" applyBorder="1" applyAlignment="1">
      <alignment horizontal="center" vertical="center"/>
    </xf>
    <xf numFmtId="14" fontId="62" fillId="0" borderId="17" xfId="13" applyNumberFormat="1" applyFont="1" applyBorder="1" applyAlignment="1">
      <alignment horizontal="center" vertical="center"/>
    </xf>
    <xf numFmtId="0" fontId="62" fillId="0" borderId="17" xfId="13" applyFont="1" applyBorder="1" applyAlignment="1">
      <alignment horizontal="center" vertical="center"/>
    </xf>
    <xf numFmtId="0" fontId="62" fillId="0" borderId="17" xfId="13" applyFont="1" applyBorder="1" applyAlignment="1">
      <alignment horizontal="center" vertical="center" wrapText="1"/>
    </xf>
    <xf numFmtId="0" fontId="62" fillId="0" borderId="17" xfId="13" applyFont="1" applyFill="1" applyBorder="1" applyAlignment="1">
      <alignment horizontal="center" vertical="center"/>
    </xf>
    <xf numFmtId="0" fontId="23" fillId="0" borderId="0" xfId="13" applyAlignment="1">
      <alignment horizontal="center" vertical="center"/>
    </xf>
    <xf numFmtId="14" fontId="62" fillId="0" borderId="17" xfId="13" applyNumberFormat="1" applyFont="1" applyBorder="1" applyAlignment="1">
      <alignment horizontal="center" vertical="center" wrapText="1"/>
    </xf>
    <xf numFmtId="0" fontId="62" fillId="0" borderId="17" xfId="13" applyFont="1" applyFill="1" applyBorder="1" applyAlignment="1">
      <alignment horizontal="center" vertical="center" wrapText="1"/>
    </xf>
    <xf numFmtId="0" fontId="25" fillId="0" borderId="0" xfId="0" applyNumberFormat="1" applyFont="1" applyAlignment="1">
      <alignment horizontal="right"/>
    </xf>
    <xf numFmtId="0" fontId="26" fillId="0" borderId="0" xfId="0" applyNumberFormat="1" applyFont="1" applyAlignment="1" applyProtection="1">
      <protection locked="0"/>
    </xf>
    <xf numFmtId="0" fontId="23" fillId="0" borderId="17" xfId="13" applyBorder="1" applyAlignment="1">
      <alignment horizontal="center" vertical="center"/>
    </xf>
    <xf numFmtId="0" fontId="23" fillId="0" borderId="17" xfId="13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Fill="1" applyAlignment="1">
      <alignment horizontal="center"/>
    </xf>
    <xf numFmtId="2" fontId="25" fillId="0" borderId="0" xfId="0" applyNumberFormat="1" applyFont="1" applyAlignment="1">
      <alignment horizontal="right"/>
    </xf>
    <xf numFmtId="165" fontId="26" fillId="0" borderId="0" xfId="0" applyNumberFormat="1" applyFont="1" applyAlignment="1" applyProtection="1">
      <protection locked="0"/>
    </xf>
    <xf numFmtId="14" fontId="25" fillId="0" borderId="0" xfId="0" applyNumberFormat="1" applyFont="1" applyAlignment="1">
      <alignment horizontal="right"/>
    </xf>
    <xf numFmtId="14" fontId="26" fillId="0" borderId="0" xfId="0" applyNumberFormat="1" applyFont="1" applyAlignment="1" applyProtection="1">
      <alignment horizontal="right"/>
      <protection locked="0"/>
    </xf>
    <xf numFmtId="0" fontId="24" fillId="4" borderId="12" xfId="0" applyNumberFormat="1" applyFont="1" applyFill="1" applyBorder="1"/>
    <xf numFmtId="0" fontId="24" fillId="4" borderId="12" xfId="0" applyFont="1" applyFill="1" applyBorder="1"/>
    <xf numFmtId="0" fontId="26" fillId="0" borderId="0" xfId="0" applyFont="1"/>
    <xf numFmtId="0" fontId="26" fillId="0" borderId="12" xfId="0" applyNumberFormat="1" applyFont="1" applyFill="1" applyBorder="1"/>
    <xf numFmtId="0" fontId="69" fillId="0" borderId="0" xfId="0" applyFont="1" applyAlignment="1">
      <alignment horizontal="left"/>
    </xf>
    <xf numFmtId="0" fontId="26" fillId="0" borderId="0" xfId="77" applyAlignment="1">
      <alignment horizontal="center" vertical="center"/>
    </xf>
    <xf numFmtId="0" fontId="59" fillId="32" borderId="37" xfId="77" applyFont="1" applyFill="1" applyBorder="1" applyAlignment="1">
      <alignment horizontal="center" vertical="center"/>
    </xf>
    <xf numFmtId="0" fontId="59" fillId="32" borderId="42" xfId="77" applyFont="1" applyFill="1" applyBorder="1" applyAlignment="1">
      <alignment horizontal="center" vertical="center"/>
    </xf>
    <xf numFmtId="0" fontId="59" fillId="32" borderId="43" xfId="77" applyFont="1" applyFill="1" applyBorder="1" applyAlignment="1">
      <alignment horizontal="center" vertical="center"/>
    </xf>
    <xf numFmtId="0" fontId="59" fillId="32" borderId="41" xfId="77" applyFont="1" applyFill="1" applyBorder="1" applyAlignment="1">
      <alignment horizontal="center" vertical="center"/>
    </xf>
    <xf numFmtId="0" fontId="59" fillId="32" borderId="30" xfId="77" applyFont="1" applyFill="1" applyBorder="1" applyAlignment="1">
      <alignment horizontal="center" vertical="center"/>
    </xf>
    <xf numFmtId="0" fontId="59" fillId="32" borderId="35" xfId="77" applyFont="1" applyFill="1" applyBorder="1" applyAlignment="1">
      <alignment horizontal="center" vertical="center"/>
    </xf>
    <xf numFmtId="0" fontId="59" fillId="32" borderId="34" xfId="77" applyFont="1" applyFill="1" applyBorder="1" applyAlignment="1">
      <alignment horizontal="center" vertical="center"/>
    </xf>
    <xf numFmtId="0" fontId="59" fillId="31" borderId="34" xfId="77" applyFont="1" applyFill="1" applyBorder="1" applyAlignment="1">
      <alignment horizontal="center" vertical="center"/>
    </xf>
    <xf numFmtId="0" fontId="33" fillId="0" borderId="17" xfId="7" applyFont="1" applyFill="1" applyBorder="1" applyAlignment="1">
      <alignment horizontal="center" vertical="center" wrapText="1"/>
    </xf>
    <xf numFmtId="2" fontId="26" fillId="0" borderId="17" xfId="77" applyNumberFormat="1" applyFill="1" applyBorder="1" applyAlignment="1">
      <alignment horizontal="center" vertical="center"/>
    </xf>
    <xf numFmtId="0" fontId="0" fillId="34" borderId="17" xfId="0" applyFill="1" applyBorder="1" applyAlignment="1">
      <alignment horizontal="center"/>
    </xf>
    <xf numFmtId="0" fontId="0" fillId="0" borderId="17" xfId="0" applyBorder="1"/>
    <xf numFmtId="0" fontId="0" fillId="0" borderId="32" xfId="0" applyBorder="1"/>
    <xf numFmtId="0" fontId="0" fillId="0" borderId="52" xfId="0" applyBorder="1"/>
    <xf numFmtId="0" fontId="0" fillId="0" borderId="53" xfId="0" applyBorder="1"/>
    <xf numFmtId="0" fontId="0" fillId="0" borderId="34" xfId="0" applyBorder="1"/>
    <xf numFmtId="0" fontId="0" fillId="0" borderId="33" xfId="0" applyBorder="1"/>
    <xf numFmtId="0" fontId="0" fillId="34" borderId="32" xfId="0" applyFill="1" applyBorder="1" applyAlignment="1">
      <alignment horizontal="center"/>
    </xf>
    <xf numFmtId="49" fontId="5" fillId="35" borderId="52" xfId="7" applyNumberFormat="1" applyFill="1" applyBorder="1" applyAlignment="1">
      <alignment horizontal="center"/>
    </xf>
    <xf numFmtId="0" fontId="0" fillId="34" borderId="53" xfId="0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Fill="1"/>
    <xf numFmtId="0" fontId="0" fillId="35" borderId="52" xfId="0" applyFill="1" applyBorder="1"/>
    <xf numFmtId="0" fontId="0" fillId="0" borderId="45" xfId="0" applyBorder="1"/>
    <xf numFmtId="0" fontId="0" fillId="0" borderId="54" xfId="0" applyBorder="1"/>
    <xf numFmtId="0" fontId="0" fillId="0" borderId="46" xfId="0" applyBorder="1"/>
    <xf numFmtId="0" fontId="0" fillId="36" borderId="47" xfId="0" applyFill="1" applyBorder="1"/>
    <xf numFmtId="0" fontId="0" fillId="36" borderId="17" xfId="0" applyFill="1" applyBorder="1"/>
    <xf numFmtId="0" fontId="0" fillId="0" borderId="48" xfId="0" applyBorder="1"/>
    <xf numFmtId="0" fontId="0" fillId="37" borderId="47" xfId="0" applyFill="1" applyBorder="1"/>
    <xf numFmtId="0" fontId="0" fillId="37" borderId="17" xfId="0" applyFill="1" applyBorder="1"/>
    <xf numFmtId="0" fontId="0" fillId="0" borderId="47" xfId="0" applyBorder="1"/>
    <xf numFmtId="0" fontId="0" fillId="35" borderId="47" xfId="0" applyFill="1" applyBorder="1"/>
    <xf numFmtId="0" fontId="0" fillId="35" borderId="17" xfId="0" applyFill="1" applyBorder="1"/>
    <xf numFmtId="0" fontId="0" fillId="0" borderId="17" xfId="0" applyFill="1" applyBorder="1"/>
    <xf numFmtId="0" fontId="0" fillId="0" borderId="48" xfId="0" applyFill="1" applyBorder="1"/>
    <xf numFmtId="0" fontId="0" fillId="0" borderId="49" xfId="0" applyBorder="1"/>
    <xf numFmtId="0" fontId="0" fillId="0" borderId="51" xfId="0" applyBorder="1"/>
    <xf numFmtId="0" fontId="0" fillId="0" borderId="50" xfId="0" applyBorder="1"/>
    <xf numFmtId="2" fontId="26" fillId="0" borderId="0" xfId="0" applyNumberFormat="1" applyFont="1" applyAlignment="1" applyProtection="1">
      <protection locked="0"/>
    </xf>
    <xf numFmtId="0" fontId="33" fillId="38" borderId="17" xfId="77" applyFont="1" applyFill="1" applyBorder="1" applyAlignment="1">
      <alignment horizontal="center" vertical="center"/>
    </xf>
    <xf numFmtId="2" fontId="33" fillId="0" borderId="17" xfId="0" applyNumberFormat="1" applyFont="1" applyFill="1" applyBorder="1" applyAlignment="1">
      <alignment horizontal="center" vertical="center" wrapText="1"/>
    </xf>
    <xf numFmtId="0" fontId="33" fillId="38" borderId="17" xfId="0" applyFont="1" applyFill="1" applyBorder="1" applyAlignment="1">
      <alignment horizontal="center" vertical="center"/>
    </xf>
    <xf numFmtId="2" fontId="33" fillId="38" borderId="17" xfId="0" applyNumberFormat="1" applyFont="1" applyFill="1" applyBorder="1" applyAlignment="1">
      <alignment horizontal="center" vertical="center" wrapText="1"/>
    </xf>
    <xf numFmtId="0" fontId="26" fillId="0" borderId="17" xfId="77" applyFill="1" applyBorder="1" applyAlignment="1">
      <alignment horizontal="center" vertical="center"/>
    </xf>
    <xf numFmtId="166" fontId="23" fillId="0" borderId="17" xfId="13" applyNumberFormat="1" applyFill="1" applyBorder="1" applyAlignment="1">
      <alignment horizontal="center" vertical="center"/>
    </xf>
    <xf numFmtId="0" fontId="23" fillId="0" borderId="17" xfId="13" applyFill="1" applyBorder="1"/>
    <xf numFmtId="0" fontId="26" fillId="0" borderId="17" xfId="77" applyNumberFormat="1" applyFill="1" applyBorder="1" applyAlignment="1">
      <alignment horizontal="center" vertical="center"/>
    </xf>
    <xf numFmtId="0" fontId="33" fillId="38" borderId="17" xfId="0" applyFont="1" applyFill="1" applyBorder="1" applyAlignment="1">
      <alignment horizontal="center" vertical="center" wrapText="1"/>
    </xf>
    <xf numFmtId="0" fontId="33" fillId="0" borderId="17" xfId="0" applyFont="1" applyFill="1" applyBorder="1" applyAlignment="1">
      <alignment horizontal="center" vertical="center"/>
    </xf>
    <xf numFmtId="167" fontId="33" fillId="38" borderId="33" xfId="0" applyNumberFormat="1" applyFont="1" applyFill="1" applyBorder="1" applyAlignment="1">
      <alignment horizontal="center" vertical="center" wrapText="1"/>
    </xf>
    <xf numFmtId="167" fontId="33" fillId="38" borderId="17" xfId="0" applyNumberFormat="1" applyFont="1" applyFill="1" applyBorder="1" applyAlignment="1">
      <alignment horizontal="center" vertical="center" wrapText="1"/>
    </xf>
    <xf numFmtId="167" fontId="33" fillId="0" borderId="17" xfId="0" applyNumberFormat="1" applyFont="1" applyFill="1" applyBorder="1" applyAlignment="1">
      <alignment horizontal="center" vertical="center" wrapText="1"/>
    </xf>
    <xf numFmtId="167" fontId="33" fillId="38" borderId="17" xfId="0" applyNumberFormat="1" applyFont="1" applyFill="1" applyBorder="1" applyAlignment="1">
      <alignment horizontal="center" vertical="center"/>
    </xf>
    <xf numFmtId="167" fontId="33" fillId="38" borderId="51" xfId="0" applyNumberFormat="1" applyFont="1" applyFill="1" applyBorder="1" applyAlignment="1">
      <alignment horizontal="center" vertical="center" wrapText="1"/>
    </xf>
    <xf numFmtId="167" fontId="33" fillId="0" borderId="33" xfId="0" applyNumberFormat="1" applyFont="1" applyFill="1" applyBorder="1" applyAlignment="1">
      <alignment horizontal="center" vertical="center" wrapText="1"/>
    </xf>
    <xf numFmtId="168" fontId="33" fillId="38" borderId="17" xfId="0" applyNumberFormat="1" applyFont="1" applyFill="1" applyBorder="1" applyAlignment="1">
      <alignment horizontal="center" vertical="center"/>
    </xf>
    <xf numFmtId="0" fontId="33" fillId="38" borderId="17" xfId="7" applyFont="1" applyFill="1" applyBorder="1" applyAlignment="1">
      <alignment horizontal="center" vertical="center" wrapText="1"/>
    </xf>
    <xf numFmtId="0" fontId="26" fillId="38" borderId="17" xfId="77" applyFont="1" applyFill="1" applyBorder="1" applyAlignment="1">
      <alignment horizontal="center" vertical="center"/>
    </xf>
    <xf numFmtId="0" fontId="26" fillId="38" borderId="17" xfId="77" applyFill="1" applyBorder="1" applyAlignment="1">
      <alignment horizontal="center" vertical="center"/>
    </xf>
    <xf numFmtId="167" fontId="70" fillId="38" borderId="17" xfId="0" applyNumberFormat="1" applyFont="1" applyFill="1" applyBorder="1" applyAlignment="1">
      <alignment horizontal="center" vertical="center"/>
    </xf>
    <xf numFmtId="167" fontId="26" fillId="38" borderId="17" xfId="77" applyNumberFormat="1" applyFill="1" applyBorder="1" applyAlignment="1">
      <alignment horizontal="center" vertical="center"/>
    </xf>
    <xf numFmtId="2" fontId="26" fillId="38" borderId="17" xfId="77" applyNumberFormat="1" applyFill="1" applyBorder="1" applyAlignment="1">
      <alignment horizontal="center" vertical="center"/>
    </xf>
    <xf numFmtId="166" fontId="23" fillId="38" borderId="17" xfId="13" applyNumberFormat="1" applyFill="1" applyBorder="1" applyAlignment="1">
      <alignment horizontal="center" vertical="center"/>
    </xf>
    <xf numFmtId="0" fontId="23" fillId="38" borderId="17" xfId="13" applyFill="1" applyBorder="1"/>
    <xf numFmtId="0" fontId="26" fillId="38" borderId="17" xfId="77" applyNumberFormat="1" applyFill="1" applyBorder="1" applyAlignment="1">
      <alignment horizontal="center" vertical="center"/>
    </xf>
    <xf numFmtId="168" fontId="33" fillId="0" borderId="17" xfId="0" applyNumberFormat="1" applyFont="1" applyFill="1" applyBorder="1" applyAlignment="1">
      <alignment horizontal="center" vertical="center"/>
    </xf>
    <xf numFmtId="167" fontId="33" fillId="0" borderId="17" xfId="0" applyNumberFormat="1" applyFont="1" applyFill="1" applyBorder="1" applyAlignment="1">
      <alignment horizontal="center" vertical="center"/>
    </xf>
    <xf numFmtId="167" fontId="26" fillId="0" borderId="17" xfId="77" applyNumberFormat="1" applyFill="1" applyBorder="1" applyAlignment="1">
      <alignment horizontal="center" vertical="center"/>
    </xf>
    <xf numFmtId="14" fontId="33" fillId="38" borderId="17" xfId="0" applyNumberFormat="1" applyFont="1" applyFill="1" applyBorder="1" applyAlignment="1">
      <alignment horizontal="center" vertical="center"/>
    </xf>
    <xf numFmtId="2" fontId="33" fillId="38" borderId="17" xfId="7" applyNumberFormat="1" applyFont="1" applyFill="1" applyBorder="1" applyAlignment="1">
      <alignment horizontal="center" vertical="center" wrapText="1"/>
    </xf>
    <xf numFmtId="0" fontId="68" fillId="38" borderId="17" xfId="108" applyFont="1" applyFill="1" applyBorder="1" applyAlignment="1">
      <alignment horizontal="center" vertical="center"/>
    </xf>
    <xf numFmtId="0" fontId="59" fillId="32" borderId="55" xfId="77" applyFont="1" applyFill="1" applyBorder="1" applyAlignment="1">
      <alignment horizontal="center" vertical="center"/>
    </xf>
    <xf numFmtId="0" fontId="26" fillId="38" borderId="32" xfId="77" applyFill="1" applyBorder="1" applyAlignment="1">
      <alignment horizontal="center" vertical="center"/>
    </xf>
    <xf numFmtId="0" fontId="26" fillId="0" borderId="32" xfId="77" applyFill="1" applyBorder="1" applyAlignment="1">
      <alignment horizontal="center" vertical="center"/>
    </xf>
    <xf numFmtId="1" fontId="33" fillId="38" borderId="53" xfId="0" applyNumberFormat="1" applyFont="1" applyFill="1" applyBorder="1" applyAlignment="1">
      <alignment horizontal="center" vertical="center"/>
    </xf>
    <xf numFmtId="1" fontId="71" fillId="0" borderId="53" xfId="0" applyNumberFormat="1" applyFont="1" applyFill="1" applyBorder="1" applyAlignment="1">
      <alignment horizontal="center" vertical="center"/>
    </xf>
    <xf numFmtId="1" fontId="33" fillId="0" borderId="53" xfId="0" applyNumberFormat="1" applyFont="1" applyFill="1" applyBorder="1" applyAlignment="1">
      <alignment horizontal="center" vertical="center"/>
    </xf>
    <xf numFmtId="0" fontId="26" fillId="38" borderId="56" xfId="77" applyFill="1" applyBorder="1" applyAlignment="1">
      <alignment horizontal="center" vertical="center"/>
    </xf>
    <xf numFmtId="0" fontId="26" fillId="38" borderId="57" xfId="77" applyFill="1" applyBorder="1" applyAlignment="1">
      <alignment horizontal="center" vertical="center"/>
    </xf>
    <xf numFmtId="0" fontId="26" fillId="0" borderId="56" xfId="77" applyFill="1" applyBorder="1" applyAlignment="1">
      <alignment horizontal="center" vertical="center"/>
    </xf>
    <xf numFmtId="0" fontId="26" fillId="0" borderId="57" xfId="77" applyFill="1" applyBorder="1" applyAlignment="1">
      <alignment horizontal="center" vertical="center"/>
    </xf>
    <xf numFmtId="167" fontId="33" fillId="38" borderId="51" xfId="0" applyNumberFormat="1" applyFont="1" applyFill="1" applyBorder="1" applyAlignment="1">
      <alignment horizontal="center" vertical="center"/>
    </xf>
    <xf numFmtId="167" fontId="33" fillId="38" borderId="44" xfId="0" applyNumberFormat="1" applyFont="1" applyFill="1" applyBorder="1" applyAlignment="1">
      <alignment horizontal="center" vertical="center" wrapText="1"/>
    </xf>
    <xf numFmtId="167" fontId="33" fillId="38" borderId="33" xfId="0" applyNumberFormat="1" applyFont="1" applyFill="1" applyBorder="1" applyAlignment="1">
      <alignment horizontal="center" vertical="center"/>
    </xf>
    <xf numFmtId="0" fontId="66" fillId="0" borderId="0" xfId="0" applyFont="1" applyFill="1"/>
    <xf numFmtId="0" fontId="72" fillId="0" borderId="58" xfId="6" applyFont="1" applyBorder="1" applyAlignment="1">
      <alignment horizontal="center"/>
    </xf>
    <xf numFmtId="0" fontId="72" fillId="0" borderId="59" xfId="6" applyFont="1" applyBorder="1" applyAlignment="1">
      <alignment horizontal="center"/>
    </xf>
    <xf numFmtId="0" fontId="72" fillId="0" borderId="60" xfId="6" applyFont="1" applyBorder="1" applyAlignment="1">
      <alignment horizontal="center"/>
    </xf>
    <xf numFmtId="0" fontId="73" fillId="0" borderId="0" xfId="6" applyFont="1" applyAlignment="1">
      <alignment horizontal="center"/>
    </xf>
    <xf numFmtId="0" fontId="73" fillId="0" borderId="59" xfId="6" applyFont="1" applyBorder="1" applyAlignment="1">
      <alignment horizontal="center"/>
    </xf>
    <xf numFmtId="0" fontId="73" fillId="0" borderId="0" xfId="6" applyFont="1" applyAlignment="1">
      <alignment horizontal="left"/>
    </xf>
    <xf numFmtId="0" fontId="72" fillId="0" borderId="0" xfId="6" applyFont="1" applyAlignment="1">
      <alignment horizontal="center"/>
    </xf>
    <xf numFmtId="0" fontId="34" fillId="0" borderId="17" xfId="87" applyFont="1" applyBorder="1" applyAlignment="1">
      <alignment horizontal="center"/>
    </xf>
    <xf numFmtId="9" fontId="1" fillId="0" borderId="17" xfId="87" applyNumberFormat="1" applyBorder="1" applyAlignment="1">
      <alignment horizontal="center"/>
    </xf>
    <xf numFmtId="0" fontId="4" fillId="0" borderId="1" xfId="0" applyFont="1" applyFill="1" applyBorder="1" applyAlignment="1" applyProtection="1">
      <alignment horizontal="left" vertical="center" wrapText="1"/>
      <protection locked="0"/>
    </xf>
    <xf numFmtId="0" fontId="8" fillId="0" borderId="0" xfId="9" applyFont="1" applyBorder="1" applyAlignment="1">
      <alignment horizontal="left"/>
    </xf>
    <xf numFmtId="0" fontId="8" fillId="0" borderId="1" xfId="9" applyFont="1" applyBorder="1" applyAlignment="1">
      <alignment horizontal="left" vertical="center"/>
    </xf>
    <xf numFmtId="0" fontId="9" fillId="0" borderId="2" xfId="9" applyFont="1" applyBorder="1" applyAlignment="1">
      <alignment horizontal="left"/>
    </xf>
    <xf numFmtId="0" fontId="8" fillId="0" borderId="3" xfId="9" applyFont="1" applyBorder="1" applyAlignment="1">
      <alignment horizontal="left"/>
    </xf>
    <xf numFmtId="0" fontId="10" fillId="0" borderId="4" xfId="9" applyFont="1" applyBorder="1" applyAlignment="1">
      <alignment horizontal="left"/>
    </xf>
    <xf numFmtId="0" fontId="13" fillId="0" borderId="1" xfId="9" applyFont="1" applyBorder="1" applyAlignment="1">
      <alignment horizontal="left" vertical="center" wrapText="1"/>
    </xf>
    <xf numFmtId="0" fontId="8" fillId="0" borderId="1" xfId="9" applyFont="1" applyFill="1" applyBorder="1" applyAlignment="1">
      <alignment horizontal="left" vertical="center" wrapText="1"/>
    </xf>
    <xf numFmtId="0" fontId="4" fillId="0" borderId="1" xfId="9" applyFont="1" applyFill="1" applyBorder="1" applyAlignment="1">
      <alignment horizontal="left" vertical="center" wrapText="1"/>
    </xf>
    <xf numFmtId="0" fontId="34" fillId="0" borderId="61" xfId="87" applyFont="1" applyBorder="1" applyAlignment="1">
      <alignment horizontal="center" vertical="center"/>
    </xf>
    <xf numFmtId="0" fontId="34" fillId="0" borderId="62" xfId="87" applyFont="1" applyBorder="1" applyAlignment="1">
      <alignment horizontal="center" vertical="center"/>
    </xf>
    <xf numFmtId="0" fontId="34" fillId="0" borderId="63" xfId="87" applyFont="1" applyBorder="1" applyAlignment="1">
      <alignment horizontal="center" vertical="center"/>
    </xf>
    <xf numFmtId="0" fontId="34" fillId="0" borderId="64" xfId="87" applyFont="1" applyBorder="1" applyAlignment="1">
      <alignment horizontal="center" vertical="center"/>
    </xf>
    <xf numFmtId="49" fontId="60" fillId="30" borderId="31" xfId="77" applyNumberFormat="1" applyFont="1" applyFill="1" applyBorder="1" applyAlignment="1">
      <alignment horizontal="center" vertical="center"/>
    </xf>
    <xf numFmtId="49" fontId="60" fillId="30" borderId="38" xfId="77" applyNumberFormat="1" applyFont="1" applyFill="1" applyBorder="1" applyAlignment="1">
      <alignment horizontal="center" vertical="center"/>
    </xf>
    <xf numFmtId="49" fontId="60" fillId="30" borderId="40" xfId="77" applyNumberFormat="1" applyFont="1" applyFill="1" applyBorder="1" applyAlignment="1">
      <alignment horizontal="center" vertical="center"/>
    </xf>
    <xf numFmtId="0" fontId="63" fillId="30" borderId="36" xfId="13" applyFont="1" applyFill="1" applyBorder="1" applyAlignment="1">
      <alignment horizontal="center" vertical="center"/>
    </xf>
    <xf numFmtId="0" fontId="63" fillId="30" borderId="39" xfId="13" applyFont="1" applyFill="1" applyBorder="1" applyAlignment="1">
      <alignment horizontal="center" vertical="center"/>
    </xf>
    <xf numFmtId="0" fontId="34" fillId="30" borderId="17" xfId="13" applyFont="1" applyFill="1" applyBorder="1" applyAlignment="1">
      <alignment horizontal="center" vertical="center"/>
    </xf>
    <xf numFmtId="0" fontId="34" fillId="30" borderId="32" xfId="13" applyFont="1" applyFill="1" applyBorder="1" applyAlignment="1">
      <alignment horizontal="center" vertical="center"/>
    </xf>
  </cellXfs>
  <cellStyles count="109">
    <cellStyle name="20 % - Accent1 2" xfId="14"/>
    <cellStyle name="20 % - Accent1 3" xfId="15"/>
    <cellStyle name="20 % - Accent2 2" xfId="16"/>
    <cellStyle name="20 % - Accent2 3" xfId="17"/>
    <cellStyle name="20 % - Accent3 2" xfId="18"/>
    <cellStyle name="20 % - Accent3 3" xfId="19"/>
    <cellStyle name="20 % - Accent4 2" xfId="20"/>
    <cellStyle name="20 % - Accent4 3" xfId="21"/>
    <cellStyle name="20 % - Accent5 2" xfId="22"/>
    <cellStyle name="20 % - Accent5 3" xfId="23"/>
    <cellStyle name="20 % - Accent6 2" xfId="24"/>
    <cellStyle name="20 % - Accent6 3" xfId="25"/>
    <cellStyle name="40 % - Accent1 2" xfId="26"/>
    <cellStyle name="40 % - Accent1 3" xfId="27"/>
    <cellStyle name="40 % - Accent2 2" xfId="28"/>
    <cellStyle name="40 % - Accent2 3" xfId="29"/>
    <cellStyle name="40 % - Accent3 2" xfId="30"/>
    <cellStyle name="40 % - Accent3 3" xfId="31"/>
    <cellStyle name="40 % - Accent4 2" xfId="32"/>
    <cellStyle name="40 % - Accent4 3" xfId="33"/>
    <cellStyle name="40 % - Accent5 2" xfId="34"/>
    <cellStyle name="40 % - Accent5 3" xfId="35"/>
    <cellStyle name="40 % - Accent6 2" xfId="36"/>
    <cellStyle name="40 % - Accent6 3" xfId="37"/>
    <cellStyle name="60 % - Accent1 2" xfId="38"/>
    <cellStyle name="60 % - Accent1 3" xfId="39"/>
    <cellStyle name="60 % - Accent2 2" xfId="40"/>
    <cellStyle name="60 % - Accent2 3" xfId="41"/>
    <cellStyle name="60 % - Accent3 2" xfId="42"/>
    <cellStyle name="60 % - Accent3 3" xfId="43"/>
    <cellStyle name="60 % - Accent4 2" xfId="44"/>
    <cellStyle name="60 % - Accent4 3" xfId="45"/>
    <cellStyle name="60 % - Accent5 2" xfId="46"/>
    <cellStyle name="60 % - Accent5 3" xfId="47"/>
    <cellStyle name="60 % - Accent6 2" xfId="48"/>
    <cellStyle name="60 % - Accent6 3" xfId="49"/>
    <cellStyle name="Accent1 2" xfId="50"/>
    <cellStyle name="Accent1 3" xfId="51"/>
    <cellStyle name="Accent2 2" xfId="52"/>
    <cellStyle name="Accent2 3" xfId="53"/>
    <cellStyle name="Accent3 2" xfId="54"/>
    <cellStyle name="Accent3 3" xfId="55"/>
    <cellStyle name="Accent4 2" xfId="56"/>
    <cellStyle name="Accent4 3" xfId="57"/>
    <cellStyle name="Accent5 2" xfId="58"/>
    <cellStyle name="Accent5 3" xfId="59"/>
    <cellStyle name="Accent6 2" xfId="60"/>
    <cellStyle name="Accent6 3" xfId="61"/>
    <cellStyle name="Avertissement 2" xfId="62"/>
    <cellStyle name="Avertissement 3" xfId="63"/>
    <cellStyle name="Calcul 2" xfId="64"/>
    <cellStyle name="Calcul 3" xfId="65"/>
    <cellStyle name="Cellule liée 2" xfId="66"/>
    <cellStyle name="Cellule liée 3" xfId="67"/>
    <cellStyle name="Commentaire 2" xfId="68"/>
    <cellStyle name="Commentaire 3" xfId="69"/>
    <cellStyle name="Entrée 2" xfId="70"/>
    <cellStyle name="Entrée 3" xfId="71"/>
    <cellStyle name="Insatisfaisant 2" xfId="72"/>
    <cellStyle name="Insatisfaisant 3" xfId="73"/>
    <cellStyle name="Lien hypertexte" xfId="1" builtinId="8"/>
    <cellStyle name="Lien hypertexte 2" xfId="2"/>
    <cellStyle name="Lien hypertexte 3" xfId="3"/>
    <cellStyle name="Lien hypertexte 4" xfId="4"/>
    <cellStyle name="Milliers 2" xfId="74"/>
    <cellStyle name="Neutre 2" xfId="75"/>
    <cellStyle name="Neutre 3" xfId="76"/>
    <cellStyle name="Normal" xfId="0" builtinId="0"/>
    <cellStyle name="Normal 10" xfId="5"/>
    <cellStyle name="Normal 2" xfId="6"/>
    <cellStyle name="Normal 2 2" xfId="77"/>
    <cellStyle name="Normal 2 2 2" xfId="78"/>
    <cellStyle name="Normal 2 2 3" xfId="79"/>
    <cellStyle name="Normal 2 2 3 2" xfId="80"/>
    <cellStyle name="Normal 2 2 4" xfId="81"/>
    <cellStyle name="Normal 2 3" xfId="82"/>
    <cellStyle name="Normal 3" xfId="7"/>
    <cellStyle name="Normal 3 2" xfId="8"/>
    <cellStyle name="Normal 3 3" xfId="83"/>
    <cellStyle name="Normal 4" xfId="9"/>
    <cellStyle name="Normal 4 2" xfId="84"/>
    <cellStyle name="Normal 4 3" xfId="85"/>
    <cellStyle name="Normal 5" xfId="10"/>
    <cellStyle name="Normal 6" xfId="13"/>
    <cellStyle name="Normal 7" xfId="12"/>
    <cellStyle name="Normal 8" xfId="86"/>
    <cellStyle name="Normal 8 2" xfId="87"/>
    <cellStyle name="Normal_Feuil1" xfId="108"/>
    <cellStyle name="Normalny 2" xfId="11"/>
    <cellStyle name="Satisfaisant 2" xfId="88"/>
    <cellStyle name="Satisfaisant 3" xfId="89"/>
    <cellStyle name="Sortie 2" xfId="90"/>
    <cellStyle name="Sortie 3" xfId="91"/>
    <cellStyle name="Texte explicatif 2" xfId="92"/>
    <cellStyle name="Texte explicatif 3" xfId="93"/>
    <cellStyle name="Titre 2" xfId="94"/>
    <cellStyle name="Titre 3" xfId="95"/>
    <cellStyle name="Titre 1 2" xfId="96"/>
    <cellStyle name="Titre 1 3" xfId="97"/>
    <cellStyle name="Titre 2 2" xfId="98"/>
    <cellStyle name="Titre 2 3" xfId="99"/>
    <cellStyle name="Titre 3 2" xfId="100"/>
    <cellStyle name="Titre 3 3" xfId="101"/>
    <cellStyle name="Titre 4 2" xfId="102"/>
    <cellStyle name="Titre 4 3" xfId="103"/>
    <cellStyle name="Total 2" xfId="104"/>
    <cellStyle name="Total 3" xfId="105"/>
    <cellStyle name="Vérification 2" xfId="106"/>
    <cellStyle name="Vérification 3" xfId="107"/>
  </cellStyles>
  <dxfs count="10">
    <dxf>
      <fill>
        <patternFill>
          <bgColor rgb="FFFFC000"/>
        </patternFill>
      </fill>
    </dxf>
    <dxf>
      <fill>
        <patternFill>
          <bgColor theme="6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3300"/>
        </patternFill>
      </fill>
    </dxf>
    <dxf>
      <fill>
        <patternFill>
          <bgColor rgb="FF00B0F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C00000"/>
      <rgbColor rgb="00008000"/>
      <rgbColor rgb="00000080"/>
      <rgbColor rgb="00808000"/>
      <rgbColor rgb="00800080"/>
      <rgbColor rgb="00008080"/>
      <rgbColor rgb="00FAC090"/>
      <rgbColor rgb="00808080"/>
      <rgbColor rgb="009999FF"/>
      <rgbColor rgb="00993366"/>
      <rgbColor rgb="00FCD5B5"/>
      <rgbColor rgb="00DCE6F2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00B0F0"/>
      <rgbColor rgb="0099CC00"/>
      <rgbColor rgb="00FFCC00"/>
      <rgbColor rgb="00FF9900"/>
      <rgbColor rgb="00FF6600"/>
      <rgbColor rgb="00666699"/>
      <rgbColor rgb="00969696"/>
      <rgbColor rgb="0017375E"/>
      <rgbColor rgb="00339966"/>
      <rgbColor rgb="00003300"/>
      <rgbColor rgb="00333300"/>
      <rgbColor rgb="00993300"/>
      <rgbColor rgb="00993366"/>
      <rgbColor rgb="00333399"/>
      <rgbColor rgb="001A1A1A"/>
    </indexed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2</xdr:col>
      <xdr:colOff>320622</xdr:colOff>
      <xdr:row>47</xdr:row>
      <xdr:rowOff>71241</xdr:rowOff>
    </xdr:to>
    <xdr:grpSp>
      <xdr:nvGrpSpPr>
        <xdr:cNvPr id="6" name="Groupe 5"/>
        <xdr:cNvGrpSpPr/>
      </xdr:nvGrpSpPr>
      <xdr:grpSpPr>
        <a:xfrm>
          <a:off x="0" y="0"/>
          <a:ext cx="2800271" cy="7840807"/>
          <a:chOff x="0" y="0"/>
          <a:chExt cx="2800271" cy="7840807"/>
        </a:xfrm>
      </xdr:grpSpPr>
      <xdr:pic>
        <xdr:nvPicPr>
          <xdr:cNvPr id="4" name="Image 3"/>
          <xdr:cNvPicPr>
            <a:picLocks noChangeAspect="1" noChangeArrowheads="1"/>
          </xdr:cNvPicPr>
        </xdr:nvPicPr>
        <xdr:blipFill>
          <a:blip xmlns:r="http://schemas.openxmlformats.org/officeDocument/2006/relationships" r:embed="rId1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0" y="23616"/>
            <a:ext cx="1742760" cy="7817191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  <xdr:pic>
        <xdr:nvPicPr>
          <xdr:cNvPr id="5" name="Image 4"/>
          <xdr:cNvPicPr>
            <a:picLocks noChangeAspect="1" noChangeArrowheads="1"/>
          </xdr:cNvPicPr>
        </xdr:nvPicPr>
        <xdr:blipFill>
          <a:blip xmlns:r="http://schemas.openxmlformats.org/officeDocument/2006/relationships" r:embed="rId2">
            <a:extLst>
              <a:ext uri="{28A0092B-C50C-407E-A947-70E740481C1C}">
                <a14:useLocalDpi xmlns:a14="http://schemas.microsoft.com/office/drawing/2010/main" val="0"/>
              </a:ext>
            </a:extLst>
          </a:blip>
          <a:srcRect/>
          <a:stretch>
            <a:fillRect/>
          </a:stretch>
        </xdr:blipFill>
        <xdr:spPr bwMode="auto">
          <a:xfrm>
            <a:off x="1723946" y="0"/>
            <a:ext cx="1076325" cy="7836241"/>
          </a:xfrm>
          <a:prstGeom prst="rect">
            <a:avLst/>
          </a:prstGeom>
          <a:noFill/>
          <a:extLst>
            <a:ext uri="{909E8E84-426E-40DD-AFC4-6F175D3DCCD1}">
              <a14:hiddenFill xmlns:a14="http://schemas.microsoft.com/office/drawing/2010/main">
                <a:solidFill>
                  <a:srgbClr val="FFFFFF"/>
                </a:solidFill>
              </a14:hiddenFill>
            </a:ext>
          </a:extLst>
        </xdr:spPr>
      </xdr:pic>
    </xdr:grp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106028</xdr:colOff>
      <xdr:row>7</xdr:row>
      <xdr:rowOff>6787</xdr:rowOff>
    </xdr:from>
    <xdr:ext cx="405432" cy="774251"/>
    <xdr:sp macro="" textlink="">
      <xdr:nvSpPr>
        <xdr:cNvPr id="16" name="ZoneTexte 15"/>
        <xdr:cNvSpPr txBox="1"/>
      </xdr:nvSpPr>
      <xdr:spPr>
        <a:xfrm rot="16200000">
          <a:off x="340718" y="1400872"/>
          <a:ext cx="774251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fr-FR" sz="2000"/>
            <a:t>Rep</a:t>
          </a:r>
          <a:r>
            <a:rPr lang="fr-FR" sz="2000" baseline="0"/>
            <a:t> </a:t>
          </a:r>
          <a:r>
            <a:rPr lang="fr-FR" sz="2000"/>
            <a:t>2</a:t>
          </a:r>
        </a:p>
      </xdr:txBody>
    </xdr:sp>
    <xdr:clientData/>
  </xdr:oneCellAnchor>
  <xdr:oneCellAnchor>
    <xdr:from>
      <xdr:col>1</xdr:col>
      <xdr:colOff>92693</xdr:colOff>
      <xdr:row>0</xdr:row>
      <xdr:rowOff>65155</xdr:rowOff>
    </xdr:from>
    <xdr:ext cx="405432" cy="774251"/>
    <xdr:sp macro="" textlink="">
      <xdr:nvSpPr>
        <xdr:cNvPr id="17" name="ZoneTexte 16"/>
        <xdr:cNvSpPr txBox="1"/>
      </xdr:nvSpPr>
      <xdr:spPr>
        <a:xfrm rot="16200000">
          <a:off x="327383" y="249565"/>
          <a:ext cx="774251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fr-FR" sz="2000"/>
            <a:t>Rep</a:t>
          </a:r>
          <a:r>
            <a:rPr lang="fr-FR" sz="2000" baseline="0"/>
            <a:t> </a:t>
          </a:r>
          <a:r>
            <a:rPr lang="fr-FR" sz="2000"/>
            <a:t>1</a:t>
          </a:r>
        </a:p>
      </xdr:txBody>
    </xdr:sp>
    <xdr:clientData/>
  </xdr:oneCellAnchor>
  <xdr:oneCellAnchor>
    <xdr:from>
      <xdr:col>0</xdr:col>
      <xdr:colOff>14009</xdr:colOff>
      <xdr:row>10</xdr:row>
      <xdr:rowOff>148764</xdr:rowOff>
    </xdr:from>
    <xdr:ext cx="480196" cy="405432"/>
    <xdr:sp macro="" textlink="">
      <xdr:nvSpPr>
        <xdr:cNvPr id="18" name="ZoneTexte 17"/>
        <xdr:cNvSpPr txBox="1"/>
      </xdr:nvSpPr>
      <xdr:spPr>
        <a:xfrm>
          <a:off x="14009" y="1891839"/>
          <a:ext cx="48019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fr-FR" sz="2000"/>
            <a:t>N2</a:t>
          </a:r>
        </a:p>
      </xdr:txBody>
    </xdr:sp>
    <xdr:clientData/>
  </xdr:oneCellAnchor>
  <xdr:oneCellAnchor>
    <xdr:from>
      <xdr:col>0</xdr:col>
      <xdr:colOff>0</xdr:colOff>
      <xdr:row>22</xdr:row>
      <xdr:rowOff>183501</xdr:rowOff>
    </xdr:from>
    <xdr:ext cx="480196" cy="405432"/>
    <xdr:sp macro="" textlink="">
      <xdr:nvSpPr>
        <xdr:cNvPr id="19" name="ZoneTexte 18"/>
        <xdr:cNvSpPr txBox="1"/>
      </xdr:nvSpPr>
      <xdr:spPr>
        <a:xfrm>
          <a:off x="0" y="3983976"/>
          <a:ext cx="48019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fr-FR" sz="2000"/>
            <a:t>N2</a:t>
          </a:r>
        </a:p>
      </xdr:txBody>
    </xdr:sp>
    <xdr:clientData/>
  </xdr:oneCellAnchor>
  <xdr:oneCellAnchor>
    <xdr:from>
      <xdr:col>71</xdr:col>
      <xdr:colOff>276224</xdr:colOff>
      <xdr:row>3</xdr:row>
      <xdr:rowOff>101137</xdr:rowOff>
    </xdr:from>
    <xdr:ext cx="480196" cy="405432"/>
    <xdr:sp macro="" textlink="">
      <xdr:nvSpPr>
        <xdr:cNvPr id="20" name="ZoneTexte 19"/>
        <xdr:cNvSpPr txBox="1"/>
      </xdr:nvSpPr>
      <xdr:spPr>
        <a:xfrm>
          <a:off x="20012024" y="596437"/>
          <a:ext cx="48019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fr-FR" sz="2000"/>
            <a:t>N2</a:t>
          </a:r>
        </a:p>
      </xdr:txBody>
    </xdr:sp>
    <xdr:clientData/>
  </xdr:oneCellAnchor>
  <xdr:oneCellAnchor>
    <xdr:from>
      <xdr:col>71</xdr:col>
      <xdr:colOff>277904</xdr:colOff>
      <xdr:row>16</xdr:row>
      <xdr:rowOff>10370</xdr:rowOff>
    </xdr:from>
    <xdr:ext cx="480196" cy="405432"/>
    <xdr:sp macro="" textlink="">
      <xdr:nvSpPr>
        <xdr:cNvPr id="21" name="ZoneTexte 20"/>
        <xdr:cNvSpPr txBox="1"/>
      </xdr:nvSpPr>
      <xdr:spPr>
        <a:xfrm>
          <a:off x="20013704" y="2772620"/>
          <a:ext cx="48019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fr-FR" sz="2000"/>
            <a:t>N2</a:t>
          </a:r>
        </a:p>
      </xdr:txBody>
    </xdr:sp>
    <xdr:clientData/>
  </xdr:oneCellAnchor>
  <xdr:oneCellAnchor>
    <xdr:from>
      <xdr:col>71</xdr:col>
      <xdr:colOff>296956</xdr:colOff>
      <xdr:row>21</xdr:row>
      <xdr:rowOff>153245</xdr:rowOff>
    </xdr:from>
    <xdr:ext cx="480196" cy="405432"/>
    <xdr:sp macro="" textlink="">
      <xdr:nvSpPr>
        <xdr:cNvPr id="22" name="ZoneTexte 21"/>
        <xdr:cNvSpPr txBox="1"/>
      </xdr:nvSpPr>
      <xdr:spPr>
        <a:xfrm>
          <a:off x="20032756" y="3782270"/>
          <a:ext cx="48019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fr-FR" sz="2000"/>
            <a:t>N1</a:t>
          </a:r>
        </a:p>
      </xdr:txBody>
    </xdr:sp>
    <xdr:clientData/>
  </xdr:oneCellAnchor>
  <xdr:oneCellAnchor>
    <xdr:from>
      <xdr:col>71</xdr:col>
      <xdr:colOff>289110</xdr:colOff>
      <xdr:row>9</xdr:row>
      <xdr:rowOff>122989</xdr:rowOff>
    </xdr:from>
    <xdr:ext cx="480196" cy="405432"/>
    <xdr:sp macro="" textlink="">
      <xdr:nvSpPr>
        <xdr:cNvPr id="23" name="ZoneTexte 22"/>
        <xdr:cNvSpPr txBox="1"/>
      </xdr:nvSpPr>
      <xdr:spPr>
        <a:xfrm>
          <a:off x="20024910" y="1666039"/>
          <a:ext cx="48019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fr-FR" sz="2000"/>
            <a:t>N1</a:t>
          </a:r>
        </a:p>
      </xdr:txBody>
    </xdr:sp>
    <xdr:clientData/>
  </xdr:oneCellAnchor>
  <xdr:oneCellAnchor>
    <xdr:from>
      <xdr:col>0</xdr:col>
      <xdr:colOff>0</xdr:colOff>
      <xdr:row>5</xdr:row>
      <xdr:rowOff>2126</xdr:rowOff>
    </xdr:from>
    <xdr:ext cx="480196" cy="405432"/>
    <xdr:sp macro="" textlink="">
      <xdr:nvSpPr>
        <xdr:cNvPr id="24" name="ZoneTexte 23"/>
        <xdr:cNvSpPr txBox="1"/>
      </xdr:nvSpPr>
      <xdr:spPr>
        <a:xfrm>
          <a:off x="0" y="840326"/>
          <a:ext cx="48019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fr-FR" sz="2000"/>
            <a:t>N1</a:t>
          </a:r>
        </a:p>
      </xdr:txBody>
    </xdr:sp>
    <xdr:clientData/>
  </xdr:oneCellAnchor>
  <xdr:oneCellAnchor>
    <xdr:from>
      <xdr:col>0</xdr:col>
      <xdr:colOff>4484</xdr:colOff>
      <xdr:row>16</xdr:row>
      <xdr:rowOff>161650</xdr:rowOff>
    </xdr:from>
    <xdr:ext cx="480196" cy="405432"/>
    <xdr:sp macro="" textlink="">
      <xdr:nvSpPr>
        <xdr:cNvPr id="25" name="ZoneTexte 24"/>
        <xdr:cNvSpPr txBox="1"/>
      </xdr:nvSpPr>
      <xdr:spPr>
        <a:xfrm>
          <a:off x="4484" y="2923900"/>
          <a:ext cx="480196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fr-FR" sz="2000"/>
            <a:t>N1</a:t>
          </a:r>
        </a:p>
      </xdr:txBody>
    </xdr:sp>
    <xdr:clientData/>
  </xdr:oneCellAnchor>
  <xdr:oneCellAnchor>
    <xdr:from>
      <xdr:col>1</xdr:col>
      <xdr:colOff>90211</xdr:colOff>
      <xdr:row>13</xdr:row>
      <xdr:rowOff>8470</xdr:rowOff>
    </xdr:from>
    <xdr:ext cx="405432" cy="774251"/>
    <xdr:sp macro="" textlink="">
      <xdr:nvSpPr>
        <xdr:cNvPr id="26" name="ZoneTexte 25"/>
        <xdr:cNvSpPr txBox="1"/>
      </xdr:nvSpPr>
      <xdr:spPr>
        <a:xfrm rot="16200000">
          <a:off x="324901" y="2450305"/>
          <a:ext cx="774251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fr-FR" sz="2000"/>
            <a:t>Rep</a:t>
          </a:r>
          <a:r>
            <a:rPr lang="fr-FR" sz="2000" baseline="0"/>
            <a:t> 3</a:t>
          </a:r>
          <a:endParaRPr lang="fr-FR" sz="2000"/>
        </a:p>
      </xdr:txBody>
    </xdr:sp>
    <xdr:clientData/>
  </xdr:oneCellAnchor>
  <xdr:oneCellAnchor>
    <xdr:from>
      <xdr:col>1</xdr:col>
      <xdr:colOff>88140</xdr:colOff>
      <xdr:row>19</xdr:row>
      <xdr:rowOff>12247</xdr:rowOff>
    </xdr:from>
    <xdr:ext cx="405432" cy="774251"/>
    <xdr:sp macro="" textlink="">
      <xdr:nvSpPr>
        <xdr:cNvPr id="27" name="ZoneTexte 26"/>
        <xdr:cNvSpPr txBox="1"/>
      </xdr:nvSpPr>
      <xdr:spPr>
        <a:xfrm rot="16200000">
          <a:off x="322830" y="3492307"/>
          <a:ext cx="774251" cy="405432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wrap="none" rtlCol="0" anchor="t">
          <a:spAutoFit/>
        </a:bodyPr>
        <a:lstStyle/>
        <a:p>
          <a:r>
            <a:rPr lang="fr-FR" sz="2000"/>
            <a:t>Rep</a:t>
          </a:r>
          <a:r>
            <a:rPr lang="fr-FR" sz="2000" baseline="0"/>
            <a:t> 4</a:t>
          </a:r>
          <a:endParaRPr lang="fr-FR" sz="2000"/>
        </a:p>
      </xdr:txBody>
    </xdr:sp>
    <xdr:clientData/>
  </xdr:oneCellAnchor>
</xdr:wsDr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hyperlink" Target="http://urgi.versailles.inra.fr/Species/Wheat/Sequence-Repository" TargetMode="External"/><Relationship Id="rId1" Type="http://schemas.openxmlformats.org/officeDocument/2006/relationships/hyperlink" Target="mailto:jacques.dupond@email.com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mailto:nathalie.nesi@rennes.inra.fr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Feuil1"/>
  <dimension ref="A1:IV95"/>
  <sheetViews>
    <sheetView topLeftCell="A49" zoomScale="90" zoomScaleNormal="90" workbookViewId="0">
      <selection activeCell="C76" sqref="C76"/>
    </sheetView>
  </sheetViews>
  <sheetFormatPr baseColWidth="10" defaultRowHeight="12.75"/>
  <cols>
    <col min="1" max="1" width="31.140625" style="1" customWidth="1"/>
    <col min="2" max="2" width="28.42578125" style="1" customWidth="1"/>
    <col min="3" max="3" width="35" style="1" customWidth="1"/>
    <col min="4" max="4" width="36.28515625" style="1" customWidth="1"/>
    <col min="5" max="5" width="31" style="1" customWidth="1"/>
    <col min="6" max="6" width="26.5703125" style="1" customWidth="1"/>
    <col min="7" max="7" width="24.85546875" style="1" customWidth="1"/>
    <col min="8" max="8" width="37.7109375" style="1" customWidth="1"/>
    <col min="9" max="9" width="21.140625" style="1" customWidth="1"/>
    <col min="10" max="10" width="19" style="1" customWidth="1"/>
    <col min="11" max="11" width="18" style="1" customWidth="1"/>
    <col min="12" max="12" width="20.7109375" style="1" customWidth="1"/>
    <col min="13" max="13" width="23.85546875" style="1" customWidth="1"/>
    <col min="14" max="14" width="27.7109375" style="1" customWidth="1"/>
    <col min="15" max="15" width="28" style="1" customWidth="1"/>
    <col min="16" max="16" width="15.28515625" style="1" customWidth="1"/>
    <col min="17" max="17" width="17.42578125" style="1" customWidth="1"/>
    <col min="18" max="18" width="26.42578125" style="1" customWidth="1"/>
    <col min="19" max="19" width="15.5703125" style="1" customWidth="1"/>
    <col min="20" max="20" width="13.5703125" style="1" customWidth="1"/>
    <col min="21" max="21" width="15.85546875" style="1" customWidth="1"/>
    <col min="22" max="23" width="12.5703125" style="1" customWidth="1"/>
    <col min="24" max="24" width="11.42578125" style="1"/>
    <col min="25" max="25" width="12.5703125" style="1" customWidth="1"/>
    <col min="26" max="16384" width="11.42578125" style="1"/>
  </cols>
  <sheetData>
    <row r="1" spans="1:256">
      <c r="A1" s="2" t="s">
        <v>0</v>
      </c>
      <c r="B1" s="3" t="s">
        <v>1</v>
      </c>
      <c r="C1" s="4"/>
      <c r="D1" s="5"/>
      <c r="E1" s="5"/>
      <c r="F1" s="5"/>
      <c r="G1" s="5"/>
      <c r="H1" s="5"/>
      <c r="I1" s="5"/>
      <c r="J1" s="5"/>
      <c r="K1" s="5"/>
      <c r="L1" s="5"/>
      <c r="M1"/>
      <c r="N1"/>
      <c r="O1"/>
      <c r="P1"/>
      <c r="Q1"/>
      <c r="R1"/>
      <c r="S1"/>
      <c r="T1"/>
      <c r="U1"/>
      <c r="V1"/>
      <c r="W1"/>
      <c r="X1"/>
      <c r="Y1"/>
      <c r="Z1"/>
      <c r="AA1"/>
      <c r="AB1"/>
      <c r="AC1"/>
      <c r="AD1"/>
      <c r="AE1"/>
      <c r="AF1"/>
      <c r="AG1"/>
      <c r="AH1"/>
      <c r="AI1"/>
      <c r="AJ1"/>
      <c r="AK1"/>
      <c r="AL1"/>
      <c r="AM1"/>
      <c r="AN1"/>
      <c r="AO1"/>
      <c r="AP1"/>
      <c r="AQ1"/>
      <c r="AR1"/>
      <c r="AS1"/>
      <c r="AT1"/>
      <c r="AU1"/>
      <c r="AV1"/>
      <c r="AW1"/>
      <c r="AX1"/>
      <c r="AY1"/>
      <c r="AZ1"/>
      <c r="BA1"/>
      <c r="BB1"/>
      <c r="BC1"/>
      <c r="BD1"/>
      <c r="BE1"/>
      <c r="BF1"/>
      <c r="BG1"/>
      <c r="BH1"/>
      <c r="BI1"/>
      <c r="BJ1"/>
      <c r="BK1"/>
      <c r="BL1"/>
      <c r="BM1"/>
      <c r="BN1"/>
      <c r="BO1"/>
      <c r="BP1"/>
      <c r="BQ1"/>
      <c r="BR1"/>
      <c r="BS1"/>
      <c r="BT1"/>
      <c r="BU1"/>
      <c r="BV1"/>
      <c r="BW1"/>
      <c r="BX1"/>
      <c r="BY1"/>
      <c r="BZ1"/>
      <c r="CA1"/>
      <c r="CB1"/>
      <c r="CC1"/>
      <c r="CD1"/>
      <c r="CE1"/>
      <c r="CF1"/>
      <c r="CG1"/>
      <c r="CH1"/>
      <c r="CI1"/>
      <c r="CJ1"/>
      <c r="CK1"/>
      <c r="CL1"/>
      <c r="CM1"/>
      <c r="CN1"/>
      <c r="CO1"/>
      <c r="CP1"/>
      <c r="CQ1"/>
      <c r="CR1"/>
      <c r="CS1"/>
      <c r="CT1"/>
      <c r="CU1"/>
      <c r="CV1"/>
      <c r="CW1"/>
      <c r="CX1"/>
      <c r="CY1"/>
      <c r="CZ1"/>
      <c r="DA1"/>
      <c r="DB1"/>
      <c r="DC1"/>
      <c r="DD1"/>
      <c r="DE1"/>
      <c r="DF1"/>
      <c r="DG1"/>
      <c r="DH1"/>
      <c r="DI1"/>
      <c r="DJ1"/>
      <c r="DK1"/>
      <c r="DL1"/>
      <c r="DM1"/>
      <c r="DN1"/>
      <c r="DO1"/>
      <c r="DP1"/>
      <c r="DQ1"/>
      <c r="DR1"/>
      <c r="DS1"/>
      <c r="DT1"/>
      <c r="DU1"/>
      <c r="DV1"/>
      <c r="DW1"/>
      <c r="DX1"/>
      <c r="DY1"/>
      <c r="DZ1"/>
      <c r="EA1"/>
      <c r="EB1"/>
      <c r="EC1"/>
      <c r="ED1"/>
      <c r="EE1"/>
      <c r="EF1"/>
      <c r="EG1"/>
      <c r="EH1"/>
      <c r="EI1"/>
      <c r="EJ1"/>
      <c r="EK1"/>
      <c r="EL1"/>
      <c r="EM1"/>
      <c r="EN1"/>
      <c r="EO1"/>
      <c r="EP1"/>
      <c r="EQ1"/>
      <c r="ER1"/>
      <c r="ES1"/>
      <c r="ET1"/>
      <c r="EU1"/>
      <c r="EV1"/>
      <c r="EW1"/>
      <c r="EX1"/>
      <c r="EY1"/>
      <c r="EZ1"/>
      <c r="FA1"/>
      <c r="FB1"/>
      <c r="FC1"/>
      <c r="FD1"/>
      <c r="FE1"/>
      <c r="FF1"/>
      <c r="FG1"/>
      <c r="FH1"/>
      <c r="FI1"/>
      <c r="FJ1"/>
      <c r="FK1"/>
      <c r="FL1"/>
      <c r="FM1"/>
      <c r="FN1"/>
      <c r="FO1"/>
      <c r="FP1"/>
      <c r="FQ1"/>
      <c r="FR1"/>
      <c r="FS1"/>
      <c r="FT1"/>
      <c r="FU1"/>
      <c r="FV1"/>
      <c r="FW1"/>
      <c r="FX1"/>
      <c r="FY1"/>
      <c r="FZ1"/>
      <c r="GA1"/>
      <c r="GB1"/>
      <c r="GC1"/>
      <c r="GD1"/>
      <c r="GE1"/>
      <c r="GF1"/>
      <c r="GG1"/>
      <c r="GH1"/>
      <c r="GI1"/>
      <c r="GJ1"/>
      <c r="GK1"/>
      <c r="GL1"/>
      <c r="GM1"/>
      <c r="GN1"/>
      <c r="GO1"/>
      <c r="GP1"/>
      <c r="GQ1"/>
      <c r="GR1"/>
      <c r="GS1"/>
      <c r="GT1"/>
      <c r="GU1"/>
      <c r="GV1"/>
      <c r="GW1"/>
      <c r="GX1"/>
      <c r="GY1"/>
      <c r="GZ1"/>
      <c r="HA1"/>
      <c r="HB1"/>
      <c r="HC1"/>
      <c r="HD1"/>
      <c r="HE1"/>
      <c r="HF1"/>
      <c r="HG1"/>
      <c r="HH1"/>
      <c r="HI1"/>
      <c r="HJ1"/>
      <c r="HK1"/>
      <c r="HL1"/>
      <c r="HM1"/>
      <c r="HN1"/>
      <c r="HO1"/>
      <c r="HP1"/>
      <c r="HQ1"/>
      <c r="HR1"/>
      <c r="HS1"/>
      <c r="HT1"/>
      <c r="HU1"/>
      <c r="HV1"/>
      <c r="HW1"/>
      <c r="HX1"/>
      <c r="HY1"/>
      <c r="HZ1"/>
      <c r="IA1"/>
      <c r="IB1"/>
      <c r="IC1"/>
      <c r="ID1"/>
      <c r="IE1"/>
      <c r="IF1"/>
      <c r="IG1"/>
      <c r="IH1"/>
      <c r="II1"/>
      <c r="IJ1"/>
      <c r="IK1"/>
      <c r="IL1"/>
      <c r="IM1"/>
      <c r="IN1"/>
      <c r="IO1"/>
      <c r="IP1"/>
      <c r="IQ1"/>
      <c r="IR1"/>
      <c r="IS1"/>
      <c r="IT1"/>
      <c r="IU1"/>
      <c r="IV1"/>
    </row>
    <row r="2" spans="1:256">
      <c r="A2" s="2" t="s">
        <v>2</v>
      </c>
      <c r="B2" s="3"/>
      <c r="C2" s="4"/>
      <c r="D2" s="5"/>
      <c r="E2" s="5"/>
      <c r="F2" s="5"/>
      <c r="G2" s="5"/>
      <c r="H2" s="5"/>
      <c r="I2" s="5"/>
      <c r="J2" s="5"/>
      <c r="K2" s="5"/>
      <c r="L2" s="5"/>
      <c r="M2"/>
      <c r="N2"/>
      <c r="O2"/>
      <c r="P2"/>
      <c r="Q2"/>
      <c r="R2"/>
      <c r="S2"/>
      <c r="T2"/>
      <c r="U2"/>
      <c r="V2"/>
      <c r="W2"/>
      <c r="X2"/>
      <c r="Y2"/>
      <c r="Z2"/>
      <c r="AA2"/>
      <c r="AB2"/>
      <c r="AC2"/>
      <c r="AD2"/>
      <c r="AE2"/>
      <c r="AF2"/>
      <c r="AG2"/>
      <c r="AH2"/>
      <c r="AI2"/>
      <c r="AJ2"/>
      <c r="AK2"/>
      <c r="AL2"/>
      <c r="AM2"/>
      <c r="AN2"/>
      <c r="AO2"/>
      <c r="AP2"/>
      <c r="AQ2"/>
      <c r="AR2"/>
      <c r="AS2"/>
      <c r="AT2"/>
      <c r="AU2"/>
      <c r="AV2"/>
      <c r="AW2"/>
      <c r="AX2"/>
      <c r="AY2"/>
      <c r="AZ2"/>
      <c r="BA2"/>
      <c r="BB2"/>
      <c r="BC2"/>
      <c r="BD2"/>
      <c r="BE2"/>
      <c r="BF2"/>
      <c r="BG2"/>
      <c r="BH2"/>
      <c r="BI2"/>
      <c r="BJ2"/>
      <c r="BK2"/>
      <c r="BL2"/>
      <c r="BM2"/>
      <c r="BN2"/>
      <c r="BO2"/>
      <c r="BP2"/>
      <c r="BQ2"/>
      <c r="BR2"/>
      <c r="BS2"/>
      <c r="BT2"/>
      <c r="BU2"/>
      <c r="BV2"/>
      <c r="BW2"/>
      <c r="BX2"/>
      <c r="BY2"/>
      <c r="BZ2"/>
      <c r="CA2"/>
      <c r="CB2"/>
      <c r="CC2"/>
      <c r="CD2"/>
      <c r="CE2"/>
      <c r="CF2"/>
      <c r="CG2"/>
      <c r="CH2"/>
      <c r="CI2"/>
      <c r="CJ2"/>
      <c r="CK2"/>
      <c r="CL2"/>
      <c r="CM2"/>
      <c r="CN2"/>
      <c r="CO2"/>
      <c r="CP2"/>
      <c r="CQ2"/>
      <c r="CR2"/>
      <c r="CS2"/>
      <c r="CT2"/>
      <c r="CU2"/>
      <c r="CV2"/>
      <c r="CW2"/>
      <c r="CX2"/>
      <c r="CY2"/>
      <c r="CZ2"/>
      <c r="DA2"/>
      <c r="DB2"/>
      <c r="DC2"/>
      <c r="DD2"/>
      <c r="DE2"/>
      <c r="DF2"/>
      <c r="DG2"/>
      <c r="DH2"/>
      <c r="DI2"/>
      <c r="DJ2"/>
      <c r="DK2"/>
      <c r="DL2"/>
      <c r="DM2"/>
      <c r="DN2"/>
      <c r="DO2"/>
      <c r="DP2"/>
      <c r="DQ2"/>
      <c r="DR2"/>
      <c r="DS2"/>
      <c r="DT2"/>
      <c r="DU2"/>
      <c r="DV2"/>
      <c r="DW2"/>
      <c r="DX2"/>
      <c r="DY2"/>
      <c r="DZ2"/>
      <c r="EA2"/>
      <c r="EB2"/>
      <c r="EC2"/>
      <c r="ED2"/>
      <c r="EE2"/>
      <c r="EF2"/>
      <c r="EG2"/>
      <c r="EH2"/>
      <c r="EI2"/>
      <c r="EJ2"/>
      <c r="EK2"/>
      <c r="EL2"/>
      <c r="EM2"/>
      <c r="EN2"/>
      <c r="EO2"/>
      <c r="EP2"/>
      <c r="EQ2"/>
      <c r="ER2"/>
      <c r="ES2"/>
      <c r="ET2"/>
      <c r="EU2"/>
      <c r="EV2"/>
      <c r="EW2"/>
      <c r="EX2"/>
      <c r="EY2"/>
      <c r="EZ2"/>
      <c r="FA2"/>
      <c r="FB2"/>
      <c r="FC2"/>
      <c r="FD2"/>
      <c r="FE2"/>
      <c r="FF2"/>
      <c r="FG2"/>
      <c r="FH2"/>
      <c r="FI2"/>
      <c r="FJ2"/>
      <c r="FK2"/>
      <c r="FL2"/>
      <c r="FM2"/>
      <c r="FN2"/>
      <c r="FO2"/>
      <c r="FP2"/>
      <c r="FQ2"/>
      <c r="FR2"/>
      <c r="FS2"/>
      <c r="FT2"/>
      <c r="FU2"/>
      <c r="FV2"/>
      <c r="FW2"/>
      <c r="FX2"/>
      <c r="FY2"/>
      <c r="FZ2"/>
      <c r="GA2"/>
      <c r="GB2"/>
      <c r="GC2"/>
      <c r="GD2"/>
      <c r="GE2"/>
      <c r="GF2"/>
      <c r="GG2"/>
      <c r="GH2"/>
      <c r="GI2"/>
      <c r="GJ2"/>
      <c r="GK2"/>
      <c r="GL2"/>
      <c r="GM2"/>
      <c r="GN2"/>
      <c r="GO2"/>
      <c r="GP2"/>
      <c r="GQ2"/>
      <c r="GR2"/>
      <c r="GS2"/>
      <c r="GT2"/>
      <c r="GU2"/>
      <c r="GV2"/>
      <c r="GW2"/>
      <c r="GX2"/>
      <c r="GY2"/>
      <c r="GZ2"/>
      <c r="HA2"/>
      <c r="HB2"/>
      <c r="HC2"/>
      <c r="HD2"/>
      <c r="HE2"/>
      <c r="HF2"/>
      <c r="HG2"/>
      <c r="HH2"/>
      <c r="HI2"/>
      <c r="HJ2"/>
      <c r="HK2"/>
      <c r="HL2"/>
      <c r="HM2"/>
      <c r="HN2"/>
      <c r="HO2"/>
      <c r="HP2"/>
      <c r="HQ2"/>
      <c r="HR2"/>
      <c r="HS2"/>
      <c r="HT2"/>
      <c r="HU2"/>
      <c r="HV2"/>
      <c r="HW2"/>
      <c r="HX2"/>
      <c r="HY2"/>
      <c r="HZ2"/>
      <c r="IA2"/>
      <c r="IB2"/>
      <c r="IC2"/>
      <c r="ID2"/>
      <c r="IE2"/>
      <c r="IF2"/>
      <c r="IG2"/>
      <c r="IH2"/>
      <c r="II2"/>
      <c r="IJ2"/>
      <c r="IK2"/>
      <c r="IL2"/>
      <c r="IM2"/>
      <c r="IN2"/>
      <c r="IO2"/>
      <c r="IP2"/>
      <c r="IQ2"/>
      <c r="IR2"/>
      <c r="IS2"/>
      <c r="IT2"/>
      <c r="IU2"/>
      <c r="IV2"/>
    </row>
    <row r="3" spans="1:256">
      <c r="A3" s="2" t="s">
        <v>3</v>
      </c>
      <c r="B3" s="3" t="s">
        <v>4</v>
      </c>
      <c r="C3" s="4"/>
      <c r="D3" s="5"/>
      <c r="E3" s="5"/>
      <c r="F3" s="5"/>
      <c r="G3" s="5"/>
      <c r="H3" s="5"/>
      <c r="I3" s="5"/>
      <c r="J3" s="5"/>
      <c r="K3" s="5"/>
      <c r="L3" s="5"/>
      <c r="M3"/>
      <c r="N3"/>
      <c r="O3"/>
      <c r="P3"/>
      <c r="Q3"/>
      <c r="R3"/>
      <c r="S3"/>
      <c r="T3"/>
      <c r="U3"/>
      <c r="V3"/>
      <c r="W3"/>
      <c r="X3"/>
      <c r="Y3"/>
      <c r="Z3"/>
      <c r="AA3"/>
      <c r="AB3"/>
      <c r="AC3"/>
      <c r="AD3"/>
      <c r="AE3"/>
      <c r="AF3"/>
      <c r="AG3"/>
      <c r="AH3"/>
      <c r="AI3"/>
      <c r="AJ3"/>
      <c r="AK3"/>
      <c r="AL3"/>
      <c r="AM3"/>
      <c r="AN3"/>
      <c r="AO3"/>
      <c r="AP3"/>
      <c r="AQ3"/>
      <c r="AR3"/>
      <c r="AS3"/>
      <c r="AT3"/>
      <c r="AU3"/>
      <c r="AV3"/>
      <c r="AW3"/>
      <c r="AX3"/>
      <c r="AY3"/>
      <c r="AZ3"/>
      <c r="BA3"/>
      <c r="BB3"/>
      <c r="BC3"/>
      <c r="BD3"/>
      <c r="BE3"/>
      <c r="BF3"/>
      <c r="BG3"/>
      <c r="BH3"/>
      <c r="BI3"/>
      <c r="BJ3"/>
      <c r="BK3"/>
      <c r="BL3"/>
      <c r="BM3"/>
      <c r="BN3"/>
      <c r="BO3"/>
      <c r="BP3"/>
      <c r="BQ3"/>
      <c r="BR3"/>
      <c r="BS3"/>
      <c r="BT3"/>
      <c r="BU3"/>
      <c r="BV3"/>
      <c r="BW3"/>
      <c r="BX3"/>
      <c r="BY3"/>
      <c r="BZ3"/>
      <c r="CA3"/>
      <c r="CB3"/>
      <c r="CC3"/>
      <c r="CD3"/>
      <c r="CE3"/>
      <c r="CF3"/>
      <c r="CG3"/>
      <c r="CH3"/>
      <c r="CI3"/>
      <c r="CJ3"/>
      <c r="CK3"/>
      <c r="CL3"/>
      <c r="CM3"/>
      <c r="CN3"/>
      <c r="CO3"/>
      <c r="CP3"/>
      <c r="CQ3"/>
      <c r="CR3"/>
      <c r="CS3"/>
      <c r="CT3"/>
      <c r="CU3"/>
      <c r="CV3"/>
      <c r="CW3"/>
      <c r="CX3"/>
      <c r="CY3"/>
      <c r="CZ3"/>
      <c r="DA3"/>
      <c r="DB3"/>
      <c r="DC3"/>
      <c r="DD3"/>
      <c r="DE3"/>
      <c r="DF3"/>
      <c r="DG3"/>
      <c r="DH3"/>
      <c r="DI3"/>
      <c r="DJ3"/>
      <c r="DK3"/>
      <c r="DL3"/>
      <c r="DM3"/>
      <c r="DN3"/>
      <c r="DO3"/>
      <c r="DP3"/>
      <c r="DQ3"/>
      <c r="DR3"/>
      <c r="DS3"/>
      <c r="DT3"/>
      <c r="DU3"/>
      <c r="DV3"/>
      <c r="DW3"/>
      <c r="DX3"/>
      <c r="DY3"/>
      <c r="DZ3"/>
      <c r="EA3"/>
      <c r="EB3"/>
      <c r="EC3"/>
      <c r="ED3"/>
      <c r="EE3"/>
      <c r="EF3"/>
      <c r="EG3"/>
      <c r="EH3"/>
      <c r="EI3"/>
      <c r="EJ3"/>
      <c r="EK3"/>
      <c r="EL3"/>
      <c r="EM3"/>
      <c r="EN3"/>
      <c r="EO3"/>
      <c r="EP3"/>
      <c r="EQ3"/>
      <c r="ER3"/>
      <c r="ES3"/>
      <c r="ET3"/>
      <c r="EU3"/>
      <c r="EV3"/>
      <c r="EW3"/>
      <c r="EX3"/>
      <c r="EY3"/>
      <c r="EZ3"/>
      <c r="FA3"/>
      <c r="FB3"/>
      <c r="FC3"/>
      <c r="FD3"/>
      <c r="FE3"/>
      <c r="FF3"/>
      <c r="FG3"/>
      <c r="FH3"/>
      <c r="FI3"/>
      <c r="FJ3"/>
      <c r="FK3"/>
      <c r="FL3"/>
      <c r="FM3"/>
      <c r="FN3"/>
      <c r="FO3"/>
      <c r="FP3"/>
      <c r="FQ3"/>
      <c r="FR3"/>
      <c r="FS3"/>
      <c r="FT3"/>
      <c r="FU3"/>
      <c r="FV3"/>
      <c r="FW3"/>
      <c r="FX3"/>
      <c r="FY3"/>
      <c r="FZ3"/>
      <c r="GA3"/>
      <c r="GB3"/>
      <c r="GC3"/>
      <c r="GD3"/>
      <c r="GE3"/>
      <c r="GF3"/>
      <c r="GG3"/>
      <c r="GH3"/>
      <c r="GI3"/>
      <c r="GJ3"/>
      <c r="GK3"/>
      <c r="GL3"/>
      <c r="GM3"/>
      <c r="GN3"/>
      <c r="GO3"/>
      <c r="GP3"/>
      <c r="GQ3"/>
      <c r="GR3"/>
      <c r="GS3"/>
      <c r="GT3"/>
      <c r="GU3"/>
      <c r="GV3"/>
      <c r="GW3"/>
      <c r="GX3"/>
      <c r="GY3"/>
      <c r="GZ3"/>
      <c r="HA3"/>
      <c r="HB3"/>
      <c r="HC3"/>
      <c r="HD3"/>
      <c r="HE3"/>
      <c r="HF3"/>
      <c r="HG3"/>
      <c r="HH3"/>
      <c r="HI3"/>
      <c r="HJ3"/>
      <c r="HK3"/>
      <c r="HL3"/>
      <c r="HM3"/>
      <c r="HN3"/>
      <c r="HO3"/>
      <c r="HP3"/>
      <c r="HQ3"/>
      <c r="HR3"/>
      <c r="HS3"/>
      <c r="HT3"/>
      <c r="HU3"/>
      <c r="HV3"/>
      <c r="HW3"/>
      <c r="HX3"/>
      <c r="HY3"/>
      <c r="HZ3"/>
      <c r="IA3"/>
      <c r="IB3"/>
      <c r="IC3"/>
      <c r="ID3"/>
      <c r="IE3"/>
      <c r="IF3"/>
      <c r="IG3"/>
      <c r="IH3"/>
      <c r="II3"/>
      <c r="IJ3"/>
      <c r="IK3"/>
      <c r="IL3"/>
      <c r="IM3"/>
      <c r="IN3"/>
      <c r="IO3"/>
      <c r="IP3"/>
      <c r="IQ3"/>
      <c r="IR3"/>
      <c r="IS3"/>
      <c r="IT3"/>
      <c r="IU3"/>
      <c r="IV3"/>
    </row>
    <row r="4" spans="1:256">
      <c r="A4" s="4"/>
      <c r="B4" s="6"/>
      <c r="C4" s="7"/>
      <c r="D4" s="5"/>
      <c r="E4" s="5"/>
      <c r="F4" s="5"/>
      <c r="G4" s="5"/>
      <c r="H4" s="5"/>
      <c r="I4" s="5"/>
      <c r="J4" s="5"/>
      <c r="K4" s="5"/>
      <c r="L4" s="5"/>
      <c r="M4"/>
      <c r="N4"/>
      <c r="O4"/>
      <c r="P4"/>
      <c r="Q4"/>
      <c r="R4"/>
      <c r="S4"/>
      <c r="T4"/>
      <c r="U4"/>
      <c r="V4"/>
      <c r="W4"/>
      <c r="X4"/>
      <c r="Y4"/>
      <c r="Z4"/>
      <c r="AA4"/>
      <c r="AB4"/>
      <c r="AC4"/>
      <c r="AD4"/>
      <c r="AE4"/>
      <c r="AF4"/>
      <c r="AG4"/>
      <c r="AH4"/>
      <c r="AI4"/>
      <c r="AJ4"/>
      <c r="AK4"/>
      <c r="AL4"/>
      <c r="AM4"/>
      <c r="AN4"/>
      <c r="AO4"/>
      <c r="AP4"/>
      <c r="AQ4"/>
      <c r="AR4"/>
      <c r="AS4"/>
      <c r="AT4"/>
      <c r="AU4"/>
      <c r="AV4"/>
      <c r="AW4"/>
      <c r="AX4"/>
      <c r="AY4"/>
      <c r="AZ4"/>
      <c r="BA4"/>
      <c r="BB4"/>
      <c r="BC4"/>
      <c r="BD4"/>
      <c r="BE4"/>
      <c r="BF4"/>
      <c r="BG4"/>
      <c r="BH4"/>
      <c r="BI4"/>
      <c r="BJ4"/>
      <c r="BK4"/>
      <c r="BL4"/>
      <c r="BM4"/>
      <c r="BN4"/>
      <c r="BO4"/>
      <c r="BP4"/>
      <c r="BQ4"/>
      <c r="BR4"/>
      <c r="BS4"/>
      <c r="BT4"/>
      <c r="BU4"/>
      <c r="BV4"/>
      <c r="BW4"/>
      <c r="BX4"/>
      <c r="BY4"/>
      <c r="BZ4"/>
      <c r="CA4"/>
      <c r="CB4"/>
      <c r="CC4"/>
      <c r="CD4"/>
      <c r="CE4"/>
      <c r="CF4"/>
      <c r="CG4"/>
      <c r="CH4"/>
      <c r="CI4"/>
      <c r="CJ4"/>
      <c r="CK4"/>
      <c r="CL4"/>
      <c r="CM4"/>
      <c r="CN4"/>
      <c r="CO4"/>
      <c r="CP4"/>
      <c r="CQ4"/>
      <c r="CR4"/>
      <c r="CS4"/>
      <c r="CT4"/>
      <c r="CU4"/>
      <c r="CV4"/>
      <c r="CW4"/>
      <c r="CX4"/>
      <c r="CY4"/>
      <c r="CZ4"/>
      <c r="DA4"/>
      <c r="DB4"/>
      <c r="DC4"/>
      <c r="DD4"/>
      <c r="DE4"/>
      <c r="DF4"/>
      <c r="DG4"/>
      <c r="DH4"/>
      <c r="DI4"/>
      <c r="DJ4"/>
      <c r="DK4"/>
      <c r="DL4"/>
      <c r="DM4"/>
      <c r="DN4"/>
      <c r="DO4"/>
      <c r="DP4"/>
      <c r="DQ4"/>
      <c r="DR4"/>
      <c r="DS4"/>
      <c r="DT4"/>
      <c r="DU4"/>
      <c r="DV4"/>
      <c r="DW4"/>
      <c r="DX4"/>
      <c r="DY4"/>
      <c r="DZ4"/>
      <c r="EA4"/>
      <c r="EB4"/>
      <c r="EC4"/>
      <c r="ED4"/>
      <c r="EE4"/>
      <c r="EF4"/>
      <c r="EG4"/>
      <c r="EH4"/>
      <c r="EI4"/>
      <c r="EJ4"/>
      <c r="EK4"/>
      <c r="EL4"/>
      <c r="EM4"/>
      <c r="EN4"/>
      <c r="EO4"/>
      <c r="EP4"/>
      <c r="EQ4"/>
      <c r="ER4"/>
      <c r="ES4"/>
      <c r="ET4"/>
      <c r="EU4"/>
      <c r="EV4"/>
      <c r="EW4"/>
      <c r="EX4"/>
      <c r="EY4"/>
      <c r="EZ4"/>
      <c r="FA4"/>
      <c r="FB4"/>
      <c r="FC4"/>
      <c r="FD4"/>
      <c r="FE4"/>
      <c r="FF4"/>
      <c r="FG4"/>
      <c r="FH4"/>
      <c r="FI4"/>
      <c r="FJ4"/>
      <c r="FK4"/>
      <c r="FL4"/>
      <c r="FM4"/>
      <c r="FN4"/>
      <c r="FO4"/>
      <c r="FP4"/>
      <c r="FQ4"/>
      <c r="FR4"/>
      <c r="FS4"/>
      <c r="FT4"/>
      <c r="FU4"/>
      <c r="FV4"/>
      <c r="FW4"/>
      <c r="FX4"/>
      <c r="FY4"/>
      <c r="FZ4"/>
      <c r="GA4"/>
      <c r="GB4"/>
      <c r="GC4"/>
      <c r="GD4"/>
      <c r="GE4"/>
      <c r="GF4"/>
      <c r="GG4"/>
      <c r="GH4"/>
      <c r="GI4"/>
      <c r="GJ4"/>
      <c r="GK4"/>
      <c r="GL4"/>
      <c r="GM4"/>
      <c r="GN4"/>
      <c r="GO4"/>
      <c r="GP4"/>
      <c r="GQ4"/>
      <c r="GR4"/>
      <c r="GS4"/>
      <c r="GT4"/>
      <c r="GU4"/>
      <c r="GV4"/>
      <c r="GW4"/>
      <c r="GX4"/>
      <c r="GY4"/>
      <c r="GZ4"/>
      <c r="HA4"/>
      <c r="HB4"/>
      <c r="HC4"/>
      <c r="HD4"/>
      <c r="HE4"/>
      <c r="HF4"/>
      <c r="HG4"/>
      <c r="HH4"/>
      <c r="HI4"/>
      <c r="HJ4"/>
      <c r="HK4"/>
      <c r="HL4"/>
      <c r="HM4"/>
      <c r="HN4"/>
      <c r="HO4"/>
      <c r="HP4"/>
      <c r="HQ4"/>
      <c r="HR4"/>
      <c r="HS4"/>
      <c r="HT4"/>
      <c r="HU4"/>
      <c r="HV4"/>
      <c r="HW4"/>
      <c r="HX4"/>
      <c r="HY4"/>
      <c r="HZ4"/>
      <c r="IA4"/>
      <c r="IB4"/>
      <c r="IC4"/>
      <c r="ID4"/>
      <c r="IE4"/>
      <c r="IF4"/>
      <c r="IG4"/>
      <c r="IH4"/>
      <c r="II4"/>
      <c r="IJ4"/>
      <c r="IK4"/>
      <c r="IL4"/>
      <c r="IM4"/>
      <c r="IN4"/>
      <c r="IO4"/>
      <c r="IP4"/>
      <c r="IQ4"/>
      <c r="IR4"/>
      <c r="IS4"/>
      <c r="IT4"/>
      <c r="IU4"/>
      <c r="IV4"/>
    </row>
    <row r="5" spans="1:256">
      <c r="A5" s="331" t="s">
        <v>5</v>
      </c>
      <c r="B5" s="331"/>
      <c r="C5" s="331"/>
      <c r="D5" s="331"/>
      <c r="E5" s="331"/>
      <c r="F5" s="8"/>
      <c r="G5" s="8"/>
      <c r="H5" s="8"/>
      <c r="I5" s="8"/>
      <c r="J5" s="5"/>
      <c r="K5" s="5"/>
      <c r="L5" s="5"/>
      <c r="M5"/>
      <c r="N5"/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  <c r="DY5"/>
      <c r="DZ5"/>
      <c r="EA5"/>
      <c r="EB5"/>
      <c r="EC5"/>
      <c r="ED5"/>
      <c r="EE5"/>
      <c r="EF5"/>
      <c r="EG5"/>
      <c r="EH5"/>
      <c r="EI5"/>
      <c r="EJ5"/>
      <c r="EK5"/>
      <c r="EL5"/>
      <c r="EM5"/>
      <c r="EN5"/>
      <c r="EO5"/>
      <c r="EP5"/>
      <c r="EQ5"/>
      <c r="ER5"/>
      <c r="ES5"/>
      <c r="ET5"/>
      <c r="EU5"/>
      <c r="EV5"/>
      <c r="EW5"/>
      <c r="EX5"/>
      <c r="EY5"/>
      <c r="EZ5"/>
      <c r="FA5"/>
      <c r="FB5"/>
      <c r="FC5"/>
      <c r="FD5"/>
      <c r="FE5"/>
      <c r="FF5"/>
      <c r="FG5"/>
      <c r="FH5"/>
      <c r="FI5"/>
      <c r="FJ5"/>
      <c r="FK5"/>
      <c r="FL5"/>
      <c r="FM5"/>
      <c r="FN5"/>
      <c r="FO5"/>
      <c r="FP5"/>
      <c r="FQ5"/>
      <c r="FR5"/>
      <c r="FS5"/>
      <c r="FT5"/>
      <c r="FU5"/>
      <c r="FV5"/>
      <c r="FW5"/>
      <c r="FX5"/>
      <c r="FY5"/>
      <c r="FZ5"/>
      <c r="GA5"/>
      <c r="GB5"/>
      <c r="GC5"/>
      <c r="GD5"/>
      <c r="GE5"/>
      <c r="GF5"/>
      <c r="GG5"/>
      <c r="GH5"/>
      <c r="GI5"/>
      <c r="GJ5"/>
      <c r="GK5"/>
      <c r="GL5"/>
      <c r="GM5"/>
      <c r="GN5"/>
      <c r="GO5"/>
      <c r="GP5"/>
      <c r="GQ5"/>
      <c r="GR5"/>
      <c r="GS5"/>
      <c r="GT5"/>
      <c r="GU5"/>
      <c r="GV5"/>
      <c r="GW5"/>
      <c r="GX5"/>
      <c r="GY5"/>
      <c r="GZ5"/>
      <c r="HA5"/>
      <c r="HB5"/>
      <c r="HC5"/>
      <c r="HD5"/>
      <c r="HE5"/>
      <c r="HF5"/>
      <c r="HG5"/>
      <c r="HH5"/>
      <c r="HI5"/>
      <c r="HJ5"/>
      <c r="HK5"/>
      <c r="HL5"/>
      <c r="HM5"/>
      <c r="HN5"/>
      <c r="HO5"/>
      <c r="HP5"/>
      <c r="HQ5"/>
      <c r="HR5"/>
      <c r="HS5"/>
      <c r="HT5"/>
      <c r="HU5"/>
      <c r="HV5"/>
      <c r="HW5"/>
      <c r="HX5"/>
      <c r="HY5"/>
      <c r="HZ5"/>
      <c r="IA5"/>
      <c r="IB5"/>
      <c r="IC5"/>
      <c r="ID5"/>
      <c r="IE5"/>
      <c r="IF5"/>
      <c r="IG5"/>
      <c r="IH5"/>
      <c r="II5"/>
      <c r="IJ5"/>
      <c r="IK5"/>
      <c r="IL5"/>
      <c r="IM5"/>
      <c r="IN5"/>
      <c r="IO5"/>
      <c r="IP5"/>
      <c r="IQ5"/>
      <c r="IR5"/>
      <c r="IS5"/>
      <c r="IT5"/>
      <c r="IU5"/>
      <c r="IV5"/>
    </row>
    <row r="6" spans="1:256">
      <c r="A6" s="5"/>
      <c r="B6" s="5"/>
      <c r="C6" s="5"/>
      <c r="D6" s="5"/>
      <c r="E6" s="5"/>
      <c r="F6" s="8"/>
      <c r="G6" s="8"/>
      <c r="H6" s="8"/>
      <c r="I6" s="8"/>
      <c r="J6" s="5"/>
      <c r="K6" s="5"/>
      <c r="L6" s="5"/>
      <c r="M6"/>
      <c r="N6"/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  <c r="DY6"/>
      <c r="DZ6"/>
      <c r="EA6"/>
      <c r="EB6"/>
      <c r="EC6"/>
      <c r="ED6"/>
      <c r="EE6"/>
      <c r="EF6"/>
      <c r="EG6"/>
      <c r="EH6"/>
      <c r="EI6"/>
      <c r="EJ6"/>
      <c r="EK6"/>
      <c r="EL6"/>
      <c r="EM6"/>
      <c r="EN6"/>
      <c r="EO6"/>
      <c r="EP6"/>
      <c r="EQ6"/>
      <c r="ER6"/>
      <c r="ES6"/>
      <c r="ET6"/>
      <c r="EU6"/>
      <c r="EV6"/>
      <c r="EW6"/>
      <c r="EX6"/>
      <c r="EY6"/>
      <c r="EZ6"/>
      <c r="FA6"/>
      <c r="FB6"/>
      <c r="FC6"/>
      <c r="FD6"/>
      <c r="FE6"/>
      <c r="FF6"/>
      <c r="FG6"/>
      <c r="FH6"/>
      <c r="FI6"/>
      <c r="FJ6"/>
      <c r="FK6"/>
      <c r="FL6"/>
      <c r="FM6"/>
      <c r="FN6"/>
      <c r="FO6"/>
      <c r="FP6"/>
      <c r="FQ6"/>
      <c r="FR6"/>
      <c r="FS6"/>
      <c r="FT6"/>
      <c r="FU6"/>
      <c r="FV6"/>
      <c r="FW6"/>
      <c r="FX6"/>
      <c r="FY6"/>
      <c r="FZ6"/>
      <c r="GA6"/>
      <c r="GB6"/>
      <c r="GC6"/>
      <c r="GD6"/>
      <c r="GE6"/>
      <c r="GF6"/>
      <c r="GG6"/>
      <c r="GH6"/>
      <c r="GI6"/>
      <c r="GJ6"/>
      <c r="GK6"/>
      <c r="GL6"/>
      <c r="GM6"/>
      <c r="GN6"/>
      <c r="GO6"/>
      <c r="GP6"/>
      <c r="GQ6"/>
      <c r="GR6"/>
      <c r="GS6"/>
      <c r="GT6"/>
      <c r="GU6"/>
      <c r="GV6"/>
      <c r="GW6"/>
      <c r="GX6"/>
      <c r="GY6"/>
      <c r="GZ6"/>
      <c r="HA6"/>
      <c r="HB6"/>
      <c r="HC6"/>
      <c r="HD6"/>
      <c r="HE6"/>
      <c r="HF6"/>
      <c r="HG6"/>
      <c r="HH6"/>
      <c r="HI6"/>
      <c r="HJ6"/>
      <c r="HK6"/>
      <c r="HL6"/>
      <c r="HM6"/>
      <c r="HN6"/>
      <c r="HO6"/>
      <c r="HP6"/>
      <c r="HQ6"/>
      <c r="HR6"/>
      <c r="HS6"/>
      <c r="HT6"/>
      <c r="HU6"/>
      <c r="HV6"/>
      <c r="HW6"/>
      <c r="HX6"/>
      <c r="HY6"/>
      <c r="HZ6"/>
      <c r="IA6"/>
      <c r="IB6"/>
      <c r="IC6"/>
      <c r="ID6"/>
      <c r="IE6"/>
      <c r="IF6"/>
      <c r="IG6"/>
      <c r="IH6"/>
      <c r="II6"/>
      <c r="IJ6"/>
      <c r="IK6"/>
      <c r="IL6"/>
      <c r="IM6"/>
      <c r="IN6"/>
      <c r="IO6"/>
      <c r="IP6"/>
      <c r="IQ6"/>
      <c r="IR6"/>
      <c r="IS6"/>
      <c r="IT6"/>
      <c r="IU6"/>
      <c r="IV6"/>
    </row>
    <row r="7" spans="1:256">
      <c r="A7" s="332" t="s">
        <v>6</v>
      </c>
      <c r="B7" s="333" t="s">
        <v>7</v>
      </c>
      <c r="C7" s="333"/>
      <c r="D7" s="333"/>
      <c r="E7" s="333"/>
      <c r="F7" s="8"/>
      <c r="G7" s="8"/>
      <c r="H7" s="8"/>
      <c r="I7" s="8"/>
      <c r="J7" s="5"/>
      <c r="K7" s="5"/>
      <c r="L7" s="5"/>
      <c r="M7"/>
      <c r="N7"/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  <c r="DY7"/>
      <c r="DZ7"/>
      <c r="EA7"/>
      <c r="EB7"/>
      <c r="EC7"/>
      <c r="ED7"/>
      <c r="EE7"/>
      <c r="EF7"/>
      <c r="EG7"/>
      <c r="EH7"/>
      <c r="EI7"/>
      <c r="EJ7"/>
      <c r="EK7"/>
      <c r="EL7"/>
      <c r="EM7"/>
      <c r="EN7"/>
      <c r="EO7"/>
      <c r="EP7"/>
      <c r="EQ7"/>
      <c r="ER7"/>
      <c r="ES7"/>
      <c r="ET7"/>
      <c r="EU7"/>
      <c r="EV7"/>
      <c r="EW7"/>
      <c r="EX7"/>
      <c r="EY7"/>
      <c r="EZ7"/>
      <c r="FA7"/>
      <c r="FB7"/>
      <c r="FC7"/>
      <c r="FD7"/>
      <c r="FE7"/>
      <c r="FF7"/>
      <c r="FG7"/>
      <c r="FH7"/>
      <c r="FI7"/>
      <c r="FJ7"/>
      <c r="FK7"/>
      <c r="FL7"/>
      <c r="FM7"/>
      <c r="FN7"/>
      <c r="FO7"/>
      <c r="FP7"/>
      <c r="FQ7"/>
      <c r="FR7"/>
      <c r="FS7"/>
      <c r="FT7"/>
      <c r="FU7"/>
      <c r="FV7"/>
      <c r="FW7"/>
      <c r="FX7"/>
      <c r="FY7"/>
      <c r="FZ7"/>
      <c r="GA7"/>
      <c r="GB7"/>
      <c r="GC7"/>
      <c r="GD7"/>
      <c r="GE7"/>
      <c r="GF7"/>
      <c r="GG7"/>
      <c r="GH7"/>
      <c r="GI7"/>
      <c r="GJ7"/>
      <c r="GK7"/>
      <c r="GL7"/>
      <c r="GM7"/>
      <c r="GN7"/>
      <c r="GO7"/>
      <c r="GP7"/>
      <c r="GQ7"/>
      <c r="GR7"/>
      <c r="GS7"/>
      <c r="GT7"/>
      <c r="GU7"/>
      <c r="GV7"/>
      <c r="GW7"/>
      <c r="GX7"/>
      <c r="GY7"/>
      <c r="GZ7"/>
      <c r="HA7"/>
      <c r="HB7"/>
      <c r="HC7"/>
      <c r="HD7"/>
      <c r="HE7"/>
      <c r="HF7"/>
      <c r="HG7"/>
      <c r="HH7"/>
      <c r="HI7"/>
      <c r="HJ7"/>
      <c r="HK7"/>
      <c r="HL7"/>
      <c r="HM7"/>
      <c r="HN7"/>
      <c r="HO7"/>
      <c r="HP7"/>
      <c r="HQ7"/>
      <c r="HR7"/>
      <c r="HS7"/>
      <c r="HT7"/>
      <c r="HU7"/>
      <c r="HV7"/>
      <c r="HW7"/>
      <c r="HX7"/>
      <c r="HY7"/>
      <c r="HZ7"/>
      <c r="IA7"/>
      <c r="IB7"/>
      <c r="IC7"/>
      <c r="ID7"/>
      <c r="IE7"/>
      <c r="IF7"/>
      <c r="IG7"/>
      <c r="IH7"/>
      <c r="II7"/>
      <c r="IJ7"/>
      <c r="IK7"/>
      <c r="IL7"/>
      <c r="IM7"/>
      <c r="IN7"/>
      <c r="IO7"/>
      <c r="IP7"/>
      <c r="IQ7"/>
      <c r="IR7"/>
      <c r="IS7"/>
      <c r="IT7"/>
      <c r="IU7"/>
      <c r="IV7"/>
    </row>
    <row r="8" spans="1:256">
      <c r="A8" s="332"/>
      <c r="B8" s="334" t="s">
        <v>8</v>
      </c>
      <c r="C8" s="334"/>
      <c r="D8" s="334"/>
      <c r="E8" s="334"/>
      <c r="F8" s="8"/>
      <c r="G8" s="8"/>
      <c r="H8" s="8"/>
      <c r="I8" s="8"/>
      <c r="J8" s="5"/>
      <c r="K8" s="5"/>
      <c r="L8" s="5"/>
      <c r="M8"/>
      <c r="N8"/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  <c r="DY8"/>
      <c r="DZ8"/>
      <c r="EA8"/>
      <c r="EB8"/>
      <c r="EC8"/>
      <c r="ED8"/>
      <c r="EE8"/>
      <c r="EF8"/>
      <c r="EG8"/>
      <c r="EH8"/>
      <c r="EI8"/>
      <c r="EJ8"/>
      <c r="EK8"/>
      <c r="EL8"/>
      <c r="EM8"/>
      <c r="EN8"/>
      <c r="EO8"/>
      <c r="EP8"/>
      <c r="EQ8"/>
      <c r="ER8"/>
      <c r="ES8"/>
      <c r="ET8"/>
      <c r="EU8"/>
      <c r="EV8"/>
      <c r="EW8"/>
      <c r="EX8"/>
      <c r="EY8"/>
      <c r="EZ8"/>
      <c r="FA8"/>
      <c r="FB8"/>
      <c r="FC8"/>
      <c r="FD8"/>
      <c r="FE8"/>
      <c r="FF8"/>
      <c r="FG8"/>
      <c r="FH8"/>
      <c r="FI8"/>
      <c r="FJ8"/>
      <c r="FK8"/>
      <c r="FL8"/>
      <c r="FM8"/>
      <c r="FN8"/>
      <c r="FO8"/>
      <c r="FP8"/>
      <c r="FQ8"/>
      <c r="FR8"/>
      <c r="FS8"/>
      <c r="FT8"/>
      <c r="FU8"/>
      <c r="FV8"/>
      <c r="FW8"/>
      <c r="FX8"/>
      <c r="FY8"/>
      <c r="FZ8"/>
      <c r="GA8"/>
      <c r="GB8"/>
      <c r="GC8"/>
      <c r="GD8"/>
      <c r="GE8"/>
      <c r="GF8"/>
      <c r="GG8"/>
      <c r="GH8"/>
      <c r="GI8"/>
      <c r="GJ8"/>
      <c r="GK8"/>
      <c r="GL8"/>
      <c r="GM8"/>
      <c r="GN8"/>
      <c r="GO8"/>
      <c r="GP8"/>
      <c r="GQ8"/>
      <c r="GR8"/>
      <c r="GS8"/>
      <c r="GT8"/>
      <c r="GU8"/>
      <c r="GV8"/>
      <c r="GW8"/>
      <c r="GX8"/>
      <c r="GY8"/>
      <c r="GZ8"/>
      <c r="HA8"/>
      <c r="HB8"/>
      <c r="HC8"/>
      <c r="HD8"/>
      <c r="HE8"/>
      <c r="HF8"/>
      <c r="HG8"/>
      <c r="HH8"/>
      <c r="HI8"/>
      <c r="HJ8"/>
      <c r="HK8"/>
      <c r="HL8"/>
      <c r="HM8"/>
      <c r="HN8"/>
      <c r="HO8"/>
      <c r="HP8"/>
      <c r="HQ8"/>
      <c r="HR8"/>
      <c r="HS8"/>
      <c r="HT8"/>
      <c r="HU8"/>
      <c r="HV8"/>
      <c r="HW8"/>
      <c r="HX8"/>
      <c r="HY8"/>
      <c r="HZ8"/>
      <c r="IA8"/>
      <c r="IB8"/>
      <c r="IC8"/>
      <c r="ID8"/>
      <c r="IE8"/>
      <c r="IF8"/>
      <c r="IG8"/>
      <c r="IH8"/>
      <c r="II8"/>
      <c r="IJ8"/>
      <c r="IK8"/>
      <c r="IL8"/>
      <c r="IM8"/>
      <c r="IN8"/>
      <c r="IO8"/>
      <c r="IP8"/>
      <c r="IQ8"/>
      <c r="IR8"/>
      <c r="IS8"/>
      <c r="IT8"/>
      <c r="IU8"/>
      <c r="IV8"/>
    </row>
    <row r="9" spans="1:256">
      <c r="A9" s="332"/>
      <c r="B9" s="335" t="s">
        <v>9</v>
      </c>
      <c r="C9" s="335"/>
      <c r="D9" s="335"/>
      <c r="E9" s="335"/>
      <c r="F9" s="9"/>
      <c r="G9" s="9"/>
      <c r="H9" s="9"/>
      <c r="I9" s="8"/>
      <c r="J9" s="5"/>
      <c r="K9" s="5"/>
      <c r="L9" s="5"/>
      <c r="M9"/>
      <c r="N9"/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  <c r="DY9"/>
      <c r="DZ9"/>
      <c r="EA9"/>
      <c r="EB9"/>
      <c r="EC9"/>
      <c r="ED9"/>
      <c r="EE9"/>
      <c r="EF9"/>
      <c r="EG9"/>
      <c r="EH9"/>
      <c r="EI9"/>
      <c r="EJ9"/>
      <c r="EK9"/>
      <c r="EL9"/>
      <c r="EM9"/>
      <c r="EN9"/>
      <c r="EO9"/>
      <c r="EP9"/>
      <c r="EQ9"/>
      <c r="ER9"/>
      <c r="ES9"/>
      <c r="ET9"/>
      <c r="EU9"/>
      <c r="EV9"/>
      <c r="EW9"/>
      <c r="EX9"/>
      <c r="EY9"/>
      <c r="EZ9"/>
      <c r="FA9"/>
      <c r="FB9"/>
      <c r="FC9"/>
      <c r="FD9"/>
      <c r="FE9"/>
      <c r="FF9"/>
      <c r="FG9"/>
      <c r="FH9"/>
      <c r="FI9"/>
      <c r="FJ9"/>
      <c r="FK9"/>
      <c r="FL9"/>
      <c r="FM9"/>
      <c r="FN9"/>
      <c r="FO9"/>
      <c r="FP9"/>
      <c r="FQ9"/>
      <c r="FR9"/>
      <c r="FS9"/>
      <c r="FT9"/>
      <c r="FU9"/>
      <c r="FV9"/>
      <c r="FW9"/>
      <c r="FX9"/>
      <c r="FY9"/>
      <c r="FZ9"/>
      <c r="GA9"/>
      <c r="GB9"/>
      <c r="GC9"/>
      <c r="GD9"/>
      <c r="GE9"/>
      <c r="GF9"/>
      <c r="GG9"/>
      <c r="GH9"/>
      <c r="GI9"/>
      <c r="GJ9"/>
      <c r="GK9"/>
      <c r="GL9"/>
      <c r="GM9"/>
      <c r="GN9"/>
      <c r="GO9"/>
      <c r="GP9"/>
      <c r="GQ9"/>
      <c r="GR9"/>
      <c r="GS9"/>
      <c r="GT9"/>
      <c r="GU9"/>
      <c r="GV9"/>
      <c r="GW9"/>
      <c r="GX9"/>
      <c r="GY9"/>
      <c r="GZ9"/>
      <c r="HA9"/>
      <c r="HB9"/>
      <c r="HC9"/>
      <c r="HD9"/>
      <c r="HE9"/>
      <c r="HF9"/>
      <c r="HG9"/>
      <c r="HH9"/>
      <c r="HI9"/>
      <c r="HJ9"/>
      <c r="HK9"/>
      <c r="HL9"/>
      <c r="HM9"/>
      <c r="HN9"/>
      <c r="HO9"/>
      <c r="HP9"/>
      <c r="HQ9"/>
      <c r="HR9"/>
      <c r="HS9"/>
      <c r="HT9"/>
      <c r="HU9"/>
      <c r="HV9"/>
      <c r="HW9"/>
      <c r="HX9"/>
      <c r="HY9"/>
      <c r="HZ9"/>
      <c r="IA9"/>
      <c r="IB9"/>
      <c r="IC9"/>
      <c r="ID9"/>
      <c r="IE9"/>
      <c r="IF9"/>
      <c r="IG9"/>
      <c r="IH9"/>
      <c r="II9"/>
      <c r="IJ9"/>
      <c r="IK9"/>
      <c r="IL9"/>
      <c r="IM9"/>
      <c r="IN9"/>
      <c r="IO9"/>
      <c r="IP9"/>
      <c r="IQ9"/>
      <c r="IR9"/>
      <c r="IS9"/>
      <c r="IT9"/>
      <c r="IU9"/>
      <c r="IV9"/>
    </row>
    <row r="10" spans="1:256">
      <c r="A10" s="5"/>
      <c r="B10" s="5"/>
      <c r="C10" s="5"/>
      <c r="D10" s="5"/>
      <c r="E10" s="5"/>
      <c r="F10" s="8"/>
      <c r="G10" s="8"/>
      <c r="H10" s="8"/>
      <c r="I10" s="8"/>
      <c r="J10" s="5"/>
      <c r="K10" s="5"/>
      <c r="L10" s="5"/>
      <c r="M10"/>
      <c r="N10"/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  <c r="DY10"/>
      <c r="DZ10"/>
      <c r="EA10"/>
      <c r="EB10"/>
      <c r="EC10"/>
      <c r="ED10"/>
      <c r="EE10"/>
      <c r="EF10"/>
      <c r="EG10"/>
      <c r="EH10"/>
      <c r="EI10"/>
      <c r="EJ10"/>
      <c r="EK10"/>
      <c r="EL10"/>
      <c r="EM10"/>
      <c r="EN10"/>
      <c r="EO10"/>
      <c r="EP10"/>
      <c r="EQ10"/>
      <c r="ER10"/>
      <c r="ES10"/>
      <c r="ET10"/>
      <c r="EU10"/>
      <c r="EV10"/>
      <c r="EW10"/>
      <c r="EX10"/>
      <c r="EY10"/>
      <c r="EZ10"/>
      <c r="FA10"/>
      <c r="FB10"/>
      <c r="FC10"/>
      <c r="FD10"/>
      <c r="FE10"/>
      <c r="FF10"/>
      <c r="FG10"/>
      <c r="FH10"/>
      <c r="FI10"/>
      <c r="FJ10"/>
      <c r="FK10"/>
      <c r="FL10"/>
      <c r="FM10"/>
      <c r="FN10"/>
      <c r="FO10"/>
      <c r="FP10"/>
      <c r="FQ10"/>
      <c r="FR10"/>
      <c r="FS10"/>
      <c r="FT10"/>
      <c r="FU10"/>
      <c r="FV10"/>
      <c r="FW10"/>
      <c r="FX10"/>
      <c r="FY10"/>
      <c r="FZ10"/>
      <c r="GA10"/>
      <c r="GB10"/>
      <c r="GC10"/>
      <c r="GD10"/>
      <c r="GE10"/>
      <c r="GF10"/>
      <c r="GG10"/>
      <c r="GH10"/>
      <c r="GI10"/>
      <c r="GJ10"/>
      <c r="GK10"/>
      <c r="GL10"/>
      <c r="GM10"/>
      <c r="GN10"/>
      <c r="GO10"/>
      <c r="GP10"/>
      <c r="GQ10"/>
      <c r="GR10"/>
      <c r="GS10"/>
      <c r="GT10"/>
      <c r="GU10"/>
      <c r="GV10"/>
      <c r="GW10"/>
      <c r="GX10"/>
      <c r="GY10"/>
      <c r="GZ10"/>
      <c r="HA10"/>
      <c r="HB10"/>
      <c r="HC10"/>
      <c r="HD10"/>
      <c r="HE10"/>
      <c r="HF10"/>
      <c r="HG10"/>
      <c r="HH10"/>
      <c r="HI10"/>
      <c r="HJ10"/>
      <c r="HK10"/>
      <c r="HL10"/>
      <c r="HM10"/>
      <c r="HN10"/>
      <c r="HO10"/>
      <c r="HP10"/>
      <c r="HQ10"/>
      <c r="HR10"/>
      <c r="HS10"/>
      <c r="HT10"/>
      <c r="HU10"/>
      <c r="HV10"/>
      <c r="HW10"/>
      <c r="HX10"/>
      <c r="HY10"/>
      <c r="HZ10"/>
      <c r="IA10"/>
      <c r="IB10"/>
      <c r="IC10"/>
      <c r="ID10"/>
      <c r="IE10"/>
      <c r="IF10"/>
      <c r="IG10"/>
      <c r="IH10"/>
      <c r="II10"/>
      <c r="IJ10"/>
      <c r="IK10"/>
      <c r="IL10"/>
      <c r="IM10"/>
      <c r="IN10"/>
      <c r="IO10"/>
      <c r="IP10"/>
      <c r="IQ10"/>
      <c r="IR10"/>
      <c r="IS10"/>
      <c r="IT10"/>
      <c r="IU10"/>
      <c r="IV10"/>
    </row>
    <row r="11" spans="1:256">
      <c r="A11" s="10" t="s">
        <v>10</v>
      </c>
      <c r="B11" s="5"/>
      <c r="C11" s="5"/>
      <c r="D11" s="5"/>
      <c r="E11" s="5"/>
      <c r="F11" s="8"/>
      <c r="G11" s="8"/>
      <c r="H11" s="8"/>
      <c r="I11" s="8"/>
      <c r="J11" s="5"/>
      <c r="K11" s="5"/>
      <c r="L11" s="5"/>
      <c r="M11"/>
      <c r="N11"/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  <c r="DY11"/>
      <c r="DZ11"/>
      <c r="EA11"/>
      <c r="EB11"/>
      <c r="EC11"/>
      <c r="ED11"/>
      <c r="EE11"/>
      <c r="EF11"/>
      <c r="EG11"/>
      <c r="EH11"/>
      <c r="EI11"/>
      <c r="EJ11"/>
      <c r="EK11"/>
      <c r="EL11"/>
      <c r="EM11"/>
      <c r="EN11"/>
      <c r="EO11"/>
      <c r="EP11"/>
      <c r="EQ11"/>
      <c r="ER11"/>
      <c r="ES11"/>
      <c r="ET11"/>
      <c r="EU11"/>
      <c r="EV11"/>
      <c r="EW11"/>
      <c r="EX11"/>
      <c r="EY11"/>
      <c r="EZ11"/>
      <c r="FA11"/>
      <c r="FB11"/>
      <c r="FC11"/>
      <c r="FD11"/>
      <c r="FE11"/>
      <c r="FF11"/>
      <c r="FG11"/>
      <c r="FH11"/>
      <c r="FI11"/>
      <c r="FJ11"/>
      <c r="FK11"/>
      <c r="FL11"/>
      <c r="FM11"/>
      <c r="FN11"/>
      <c r="FO11"/>
      <c r="FP11"/>
      <c r="FQ11"/>
      <c r="FR11"/>
      <c r="FS11"/>
      <c r="FT11"/>
      <c r="FU11"/>
      <c r="FV11"/>
      <c r="FW11"/>
      <c r="FX11"/>
      <c r="FY11"/>
      <c r="FZ11"/>
      <c r="GA11"/>
      <c r="GB11"/>
      <c r="GC11"/>
      <c r="GD11"/>
      <c r="GE11"/>
      <c r="GF11"/>
      <c r="GG11"/>
      <c r="GH11"/>
      <c r="GI11"/>
      <c r="GJ11"/>
      <c r="GK11"/>
      <c r="GL11"/>
      <c r="GM11"/>
      <c r="GN11"/>
      <c r="GO11"/>
      <c r="GP11"/>
      <c r="GQ11"/>
      <c r="GR11"/>
      <c r="GS11"/>
      <c r="GT11"/>
      <c r="GU11"/>
      <c r="GV11"/>
      <c r="GW11"/>
      <c r="GX11"/>
      <c r="GY11"/>
      <c r="GZ11"/>
      <c r="HA11"/>
      <c r="HB11"/>
      <c r="HC11"/>
      <c r="HD11"/>
      <c r="HE11"/>
      <c r="HF11"/>
      <c r="HG11"/>
      <c r="HH11"/>
      <c r="HI11"/>
      <c r="HJ11"/>
      <c r="HK11"/>
      <c r="HL11"/>
      <c r="HM11"/>
      <c r="HN11"/>
      <c r="HO11"/>
      <c r="HP11"/>
      <c r="HQ11"/>
      <c r="HR11"/>
      <c r="HS11"/>
      <c r="HT11"/>
      <c r="HU11"/>
      <c r="HV11"/>
      <c r="HW11"/>
      <c r="HX11"/>
      <c r="HY11"/>
      <c r="HZ11"/>
      <c r="IA11"/>
      <c r="IB11"/>
      <c r="IC11"/>
      <c r="ID11"/>
      <c r="IE11"/>
      <c r="IF11"/>
      <c r="IG11"/>
      <c r="IH11"/>
      <c r="II11"/>
      <c r="IJ11"/>
      <c r="IK11"/>
      <c r="IL11"/>
      <c r="IM11"/>
      <c r="IN11"/>
      <c r="IO11"/>
      <c r="IP11"/>
      <c r="IQ11"/>
      <c r="IR11"/>
      <c r="IS11"/>
      <c r="IT11"/>
      <c r="IU11"/>
      <c r="IV11"/>
    </row>
    <row r="12" spans="1:256">
      <c r="A12" s="10"/>
      <c r="B12" s="5"/>
      <c r="C12" s="5"/>
      <c r="D12" s="5"/>
      <c r="E12" s="5"/>
      <c r="F12" s="8"/>
      <c r="G12" s="8"/>
      <c r="H12" s="8"/>
      <c r="I12" s="8"/>
      <c r="J12" s="5"/>
      <c r="K12" s="5"/>
      <c r="L12" s="5"/>
      <c r="M12"/>
      <c r="N12"/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  <c r="DY12"/>
      <c r="DZ12"/>
      <c r="EA12"/>
      <c r="EB12"/>
      <c r="EC12"/>
      <c r="ED12"/>
      <c r="EE12"/>
      <c r="EF12"/>
      <c r="EG12"/>
      <c r="EH12"/>
      <c r="EI12"/>
      <c r="EJ12"/>
      <c r="EK12"/>
      <c r="EL12"/>
      <c r="EM12"/>
      <c r="EN12"/>
      <c r="EO12"/>
      <c r="EP12"/>
      <c r="EQ12"/>
      <c r="ER12"/>
      <c r="ES12"/>
      <c r="ET12"/>
      <c r="EU12"/>
      <c r="EV12"/>
      <c r="EW12"/>
      <c r="EX12"/>
      <c r="EY12"/>
      <c r="EZ12"/>
      <c r="FA12"/>
      <c r="FB12"/>
      <c r="FC12"/>
      <c r="FD12"/>
      <c r="FE12"/>
      <c r="FF12"/>
      <c r="FG12"/>
      <c r="FH12"/>
      <c r="FI12"/>
      <c r="FJ12"/>
      <c r="FK12"/>
      <c r="FL12"/>
      <c r="FM12"/>
      <c r="FN12"/>
      <c r="FO12"/>
      <c r="FP12"/>
      <c r="FQ12"/>
      <c r="FR12"/>
      <c r="FS12"/>
      <c r="FT12"/>
      <c r="FU12"/>
      <c r="FV12"/>
      <c r="FW12"/>
      <c r="FX12"/>
      <c r="FY12"/>
      <c r="FZ12"/>
      <c r="GA12"/>
      <c r="GB12"/>
      <c r="GC12"/>
      <c r="GD12"/>
      <c r="GE12"/>
      <c r="GF12"/>
      <c r="GG12"/>
      <c r="GH12"/>
      <c r="GI12"/>
      <c r="GJ12"/>
      <c r="GK12"/>
      <c r="GL12"/>
      <c r="GM12"/>
      <c r="GN12"/>
      <c r="GO12"/>
      <c r="GP12"/>
      <c r="GQ12"/>
      <c r="GR12"/>
      <c r="GS12"/>
      <c r="GT12"/>
      <c r="GU12"/>
      <c r="GV12"/>
      <c r="GW12"/>
      <c r="GX12"/>
      <c r="GY12"/>
      <c r="GZ12"/>
      <c r="HA12"/>
      <c r="HB12"/>
      <c r="HC12"/>
      <c r="HD12"/>
      <c r="HE12"/>
      <c r="HF12"/>
      <c r="HG12"/>
      <c r="HH12"/>
      <c r="HI12"/>
      <c r="HJ12"/>
      <c r="HK12"/>
      <c r="HL12"/>
      <c r="HM12"/>
      <c r="HN12"/>
      <c r="HO12"/>
      <c r="HP12"/>
      <c r="HQ12"/>
      <c r="HR12"/>
      <c r="HS12"/>
      <c r="HT12"/>
      <c r="HU12"/>
      <c r="HV12"/>
      <c r="HW12"/>
      <c r="HX12"/>
      <c r="HY12"/>
      <c r="HZ12"/>
      <c r="IA12"/>
      <c r="IB12"/>
      <c r="IC12"/>
      <c r="ID12"/>
      <c r="IE12"/>
      <c r="IF12"/>
      <c r="IG12"/>
      <c r="IH12"/>
      <c r="II12"/>
      <c r="IJ12"/>
      <c r="IK12"/>
      <c r="IL12"/>
      <c r="IM12"/>
      <c r="IN12"/>
      <c r="IO12"/>
      <c r="IP12"/>
      <c r="IQ12"/>
      <c r="IR12"/>
      <c r="IS12"/>
      <c r="IT12"/>
      <c r="IU12"/>
      <c r="IV12"/>
    </row>
    <row r="13" spans="1:256">
      <c r="A13" s="11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/>
      <c r="N13"/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  <c r="DY13"/>
      <c r="DZ13"/>
      <c r="EA13"/>
      <c r="EB13"/>
      <c r="EC13"/>
      <c r="ED13"/>
      <c r="EE13"/>
      <c r="EF13"/>
      <c r="EG13"/>
      <c r="EH13"/>
      <c r="EI13"/>
      <c r="EJ13"/>
      <c r="EK13"/>
      <c r="EL13"/>
      <c r="EM13"/>
      <c r="EN13"/>
      <c r="EO13"/>
      <c r="EP13"/>
      <c r="EQ13"/>
      <c r="ER13"/>
      <c r="ES13"/>
      <c r="ET13"/>
      <c r="EU13"/>
      <c r="EV13"/>
      <c r="EW13"/>
      <c r="EX13"/>
      <c r="EY13"/>
      <c r="EZ13"/>
      <c r="FA13"/>
      <c r="FB13"/>
      <c r="FC13"/>
      <c r="FD13"/>
      <c r="FE13"/>
      <c r="FF13"/>
      <c r="FG13"/>
      <c r="FH13"/>
      <c r="FI13"/>
      <c r="FJ13"/>
      <c r="FK13"/>
      <c r="FL13"/>
      <c r="FM13"/>
      <c r="FN13"/>
      <c r="FO13"/>
      <c r="FP13"/>
      <c r="FQ13"/>
      <c r="FR13"/>
      <c r="FS13"/>
      <c r="FT13"/>
      <c r="FU13"/>
      <c r="FV13"/>
      <c r="FW13"/>
      <c r="FX13"/>
      <c r="FY13"/>
      <c r="FZ13"/>
      <c r="GA13"/>
      <c r="GB13"/>
      <c r="GC13"/>
      <c r="GD13"/>
      <c r="GE13"/>
      <c r="GF13"/>
      <c r="GG13"/>
      <c r="GH13"/>
      <c r="GI13"/>
      <c r="GJ13"/>
      <c r="GK13"/>
      <c r="GL13"/>
      <c r="GM13"/>
      <c r="GN13"/>
      <c r="GO13"/>
      <c r="GP13"/>
      <c r="GQ13"/>
      <c r="GR13"/>
      <c r="GS13"/>
      <c r="GT13"/>
      <c r="GU13"/>
      <c r="GV13"/>
      <c r="GW13"/>
      <c r="GX13"/>
      <c r="GY13"/>
      <c r="GZ13"/>
      <c r="HA13"/>
      <c r="HB13"/>
      <c r="HC13"/>
      <c r="HD13"/>
      <c r="HE13"/>
      <c r="HF13"/>
      <c r="HG13"/>
      <c r="HH13"/>
      <c r="HI13"/>
      <c r="HJ13"/>
      <c r="HK13"/>
      <c r="HL13"/>
      <c r="HM13"/>
      <c r="HN13"/>
      <c r="HO13"/>
      <c r="HP13"/>
      <c r="HQ13"/>
      <c r="HR13"/>
      <c r="HS13"/>
      <c r="HT13"/>
      <c r="HU13"/>
      <c r="HV13"/>
      <c r="HW13"/>
      <c r="HX13"/>
      <c r="HY13"/>
      <c r="HZ13"/>
      <c r="IA13"/>
      <c r="IB13"/>
      <c r="IC13"/>
      <c r="ID13"/>
      <c r="IE13"/>
      <c r="IF13"/>
      <c r="IG13"/>
      <c r="IH13"/>
      <c r="II13"/>
      <c r="IJ13"/>
      <c r="IK13"/>
      <c r="IL13"/>
      <c r="IM13"/>
      <c r="IN13"/>
      <c r="IO13"/>
      <c r="IP13"/>
      <c r="IQ13"/>
      <c r="IR13"/>
      <c r="IS13"/>
      <c r="IT13"/>
      <c r="IU13"/>
      <c r="IV13"/>
    </row>
    <row r="14" spans="1:256">
      <c r="A14" s="12" t="s">
        <v>11</v>
      </c>
      <c r="B14" s="10" t="s">
        <v>12</v>
      </c>
      <c r="C14" s="5"/>
      <c r="D14" s="5"/>
      <c r="E14" s="5"/>
      <c r="F14" s="5"/>
      <c r="G14" s="5"/>
      <c r="H14" s="5"/>
      <c r="I14" s="5"/>
      <c r="J14" s="5"/>
      <c r="K14" s="5"/>
      <c r="L14" s="5"/>
      <c r="M14"/>
      <c r="N14"/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  <c r="DY14"/>
      <c r="DZ14"/>
      <c r="EA14"/>
      <c r="EB14"/>
      <c r="EC14"/>
      <c r="ED14"/>
      <c r="EE14"/>
      <c r="EF14"/>
      <c r="EG14"/>
      <c r="EH14"/>
      <c r="EI14"/>
      <c r="EJ14"/>
      <c r="EK14"/>
      <c r="EL14"/>
      <c r="EM14"/>
      <c r="EN14"/>
      <c r="EO14"/>
      <c r="EP14"/>
      <c r="EQ14"/>
      <c r="ER14"/>
      <c r="ES14"/>
      <c r="ET14"/>
      <c r="EU14"/>
      <c r="EV14"/>
      <c r="EW14"/>
      <c r="EX14"/>
      <c r="EY14"/>
      <c r="EZ14"/>
      <c r="FA14"/>
      <c r="FB14"/>
      <c r="FC14"/>
      <c r="FD14"/>
      <c r="FE14"/>
      <c r="FF14"/>
      <c r="FG14"/>
      <c r="FH14"/>
      <c r="FI14"/>
      <c r="FJ14"/>
      <c r="FK14"/>
      <c r="FL14"/>
      <c r="FM14"/>
      <c r="FN14"/>
      <c r="FO14"/>
      <c r="FP14"/>
      <c r="FQ14"/>
      <c r="FR14"/>
      <c r="FS14"/>
      <c r="FT14"/>
      <c r="FU14"/>
      <c r="FV14"/>
      <c r="FW14"/>
      <c r="FX14"/>
      <c r="FY14"/>
      <c r="FZ14"/>
      <c r="GA14"/>
      <c r="GB14"/>
      <c r="GC14"/>
      <c r="GD14"/>
      <c r="GE14"/>
      <c r="GF14"/>
      <c r="GG14"/>
      <c r="GH14"/>
      <c r="GI14"/>
      <c r="GJ14"/>
      <c r="GK14"/>
      <c r="GL14"/>
      <c r="GM14"/>
      <c r="GN14"/>
      <c r="GO14"/>
      <c r="GP14"/>
      <c r="GQ14"/>
      <c r="GR14"/>
      <c r="GS14"/>
      <c r="GT14"/>
      <c r="GU14"/>
      <c r="GV14"/>
      <c r="GW14"/>
      <c r="GX14"/>
      <c r="GY14"/>
      <c r="GZ14"/>
      <c r="HA14"/>
      <c r="HB14"/>
      <c r="HC14"/>
      <c r="HD14"/>
      <c r="HE14"/>
      <c r="HF14"/>
      <c r="HG14"/>
      <c r="HH14"/>
      <c r="HI14"/>
      <c r="HJ14"/>
      <c r="HK14"/>
      <c r="HL14"/>
      <c r="HM14"/>
      <c r="HN14"/>
      <c r="HO14"/>
      <c r="HP14"/>
      <c r="HQ14"/>
      <c r="HR14"/>
      <c r="HS14"/>
      <c r="HT14"/>
      <c r="HU14"/>
      <c r="HV14"/>
      <c r="HW14"/>
      <c r="HX14"/>
      <c r="HY14"/>
      <c r="HZ14"/>
      <c r="IA14"/>
      <c r="IB14"/>
      <c r="IC14"/>
      <c r="ID14"/>
      <c r="IE14"/>
      <c r="IF14"/>
      <c r="IG14"/>
      <c r="IH14"/>
      <c r="II14"/>
      <c r="IJ14"/>
      <c r="IK14"/>
      <c r="IL14"/>
      <c r="IM14"/>
      <c r="IN14"/>
      <c r="IO14"/>
      <c r="IP14"/>
      <c r="IQ14"/>
      <c r="IR14"/>
      <c r="IS14"/>
      <c r="IT14"/>
      <c r="IU14"/>
      <c r="IV14"/>
    </row>
    <row r="15" spans="1:256">
      <c r="A15" s="13"/>
      <c r="B15" s="14" t="s">
        <v>13</v>
      </c>
      <c r="C15" s="14" t="s">
        <v>14</v>
      </c>
      <c r="D15" s="15" t="s">
        <v>15</v>
      </c>
      <c r="E15" s="15" t="s">
        <v>16</v>
      </c>
      <c r="F15" s="15" t="s">
        <v>17</v>
      </c>
      <c r="G15" s="15" t="s">
        <v>18</v>
      </c>
      <c r="H15" s="15" t="s">
        <v>19</v>
      </c>
      <c r="I15" s="16" t="s">
        <v>20</v>
      </c>
      <c r="J15" s="17" t="s">
        <v>21</v>
      </c>
      <c r="K15" s="17" t="s">
        <v>22</v>
      </c>
      <c r="L15" s="15" t="s">
        <v>23</v>
      </c>
      <c r="M15" s="15" t="s">
        <v>24</v>
      </c>
      <c r="N15" s="15" t="s">
        <v>25</v>
      </c>
      <c r="O15" s="15" t="s">
        <v>26</v>
      </c>
      <c r="P15" s="15" t="s">
        <v>27</v>
      </c>
      <c r="Q15" s="15" t="s">
        <v>28</v>
      </c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  <c r="DY15"/>
      <c r="DZ15"/>
      <c r="EA15"/>
      <c r="EB15"/>
      <c r="EC15"/>
      <c r="ED15"/>
      <c r="EE15"/>
      <c r="EF15"/>
      <c r="EG15"/>
      <c r="EH15"/>
      <c r="EI15"/>
      <c r="EJ15"/>
      <c r="EK15"/>
      <c r="EL15"/>
      <c r="EM15"/>
      <c r="EN15"/>
      <c r="EO15"/>
      <c r="EP15"/>
      <c r="EQ15"/>
      <c r="ER15"/>
      <c r="ES15"/>
      <c r="ET15"/>
      <c r="EU15"/>
      <c r="EV15"/>
      <c r="EW15"/>
      <c r="EX15"/>
      <c r="EY15"/>
      <c r="EZ15"/>
      <c r="FA15"/>
      <c r="FB15"/>
      <c r="FC15"/>
      <c r="FD15"/>
      <c r="FE15"/>
      <c r="FF15"/>
      <c r="FG15"/>
      <c r="FH15"/>
      <c r="FI15"/>
      <c r="FJ15"/>
      <c r="FK15"/>
      <c r="FL15"/>
      <c r="FM15"/>
      <c r="FN15"/>
      <c r="FO15"/>
      <c r="FP15"/>
      <c r="FQ15"/>
      <c r="FR15"/>
      <c r="FS15"/>
      <c r="FT15"/>
      <c r="FU15"/>
      <c r="FV15"/>
      <c r="FW15"/>
      <c r="FX15"/>
      <c r="FY15"/>
      <c r="FZ15"/>
      <c r="GA15"/>
      <c r="GB15"/>
      <c r="GC15"/>
      <c r="GD15"/>
      <c r="GE15"/>
      <c r="GF15"/>
      <c r="GG15"/>
      <c r="GH15"/>
      <c r="GI15"/>
      <c r="GJ15"/>
      <c r="GK15"/>
      <c r="GL15"/>
      <c r="GM15"/>
      <c r="GN15"/>
      <c r="GO15"/>
      <c r="GP15"/>
      <c r="GQ15"/>
      <c r="GR15"/>
      <c r="GS15"/>
      <c r="GT15"/>
      <c r="GU15"/>
      <c r="GV15"/>
      <c r="GW15"/>
      <c r="GX15"/>
      <c r="GY15"/>
      <c r="GZ15"/>
      <c r="HA15"/>
      <c r="HB15"/>
      <c r="HC15"/>
      <c r="HD15"/>
      <c r="HE15"/>
      <c r="HF15"/>
      <c r="HG15"/>
      <c r="HH15"/>
      <c r="HI15"/>
      <c r="HJ15"/>
      <c r="HK15"/>
      <c r="HL15"/>
      <c r="HM15"/>
      <c r="HN15"/>
      <c r="HO15"/>
      <c r="HP15"/>
      <c r="HQ15"/>
      <c r="HR15"/>
      <c r="HS15"/>
      <c r="HT15"/>
      <c r="HU15"/>
      <c r="HV15"/>
      <c r="HW15"/>
      <c r="HX15"/>
      <c r="HY15"/>
      <c r="HZ15"/>
      <c r="IA15"/>
      <c r="IB15"/>
      <c r="IC15"/>
      <c r="ID15"/>
      <c r="IE15"/>
      <c r="IF15"/>
      <c r="IG15"/>
      <c r="IH15"/>
      <c r="II15"/>
      <c r="IJ15"/>
      <c r="IK15"/>
      <c r="IL15"/>
      <c r="IM15"/>
      <c r="IN15"/>
      <c r="IO15"/>
      <c r="IP15"/>
      <c r="IQ15"/>
      <c r="IR15"/>
      <c r="IS15"/>
      <c r="IT15"/>
      <c r="IU15"/>
      <c r="IV15"/>
    </row>
    <row r="16" spans="1:256" s="25" customFormat="1" ht="70.5" customHeight="1">
      <c r="A16" s="18" t="s">
        <v>29</v>
      </c>
      <c r="B16" s="19" t="s">
        <v>30</v>
      </c>
      <c r="C16" s="19" t="s">
        <v>31</v>
      </c>
      <c r="D16" s="20" t="s">
        <v>32</v>
      </c>
      <c r="E16" s="20" t="s">
        <v>33</v>
      </c>
      <c r="F16" s="21" t="s">
        <v>34</v>
      </c>
      <c r="G16" s="19" t="s">
        <v>35</v>
      </c>
      <c r="H16" s="22" t="s">
        <v>36</v>
      </c>
      <c r="I16" s="23" t="s">
        <v>37</v>
      </c>
      <c r="J16" s="23" t="s">
        <v>38</v>
      </c>
      <c r="K16" s="23" t="s">
        <v>39</v>
      </c>
      <c r="L16" s="23" t="s">
        <v>40</v>
      </c>
      <c r="M16" s="23" t="s">
        <v>41</v>
      </c>
      <c r="N16" s="24" t="s">
        <v>42</v>
      </c>
      <c r="O16" s="23" t="s">
        <v>43</v>
      </c>
      <c r="P16" s="23" t="s">
        <v>44</v>
      </c>
      <c r="Q16" s="23" t="s">
        <v>45</v>
      </c>
    </row>
    <row r="17" spans="1:256" ht="25.5">
      <c r="A17" s="26" t="s">
        <v>46</v>
      </c>
      <c r="B17" s="27" t="s">
        <v>47</v>
      </c>
      <c r="C17" s="27" t="s">
        <v>48</v>
      </c>
      <c r="D17" s="28" t="s">
        <v>49</v>
      </c>
      <c r="E17" s="28" t="s">
        <v>50</v>
      </c>
      <c r="F17" s="28" t="s">
        <v>51</v>
      </c>
      <c r="G17" s="27" t="s">
        <v>52</v>
      </c>
      <c r="H17" s="29">
        <v>2012</v>
      </c>
      <c r="I17" s="28" t="s">
        <v>53</v>
      </c>
      <c r="J17" s="30" t="s">
        <v>54</v>
      </c>
      <c r="K17" s="30" t="s">
        <v>55</v>
      </c>
      <c r="L17" s="30"/>
      <c r="M17" s="30"/>
      <c r="N17" s="31" t="s">
        <v>56</v>
      </c>
      <c r="O17" s="30"/>
      <c r="P17" s="30" t="s">
        <v>57</v>
      </c>
      <c r="Q17" s="30" t="s">
        <v>58</v>
      </c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  <c r="DY17"/>
      <c r="DZ17"/>
      <c r="EA17"/>
      <c r="EB17"/>
      <c r="EC17"/>
      <c r="ED17"/>
      <c r="EE17"/>
      <c r="EF17"/>
      <c r="EG17"/>
      <c r="EH17"/>
      <c r="EI17"/>
      <c r="EJ17"/>
      <c r="EK17"/>
      <c r="EL17"/>
      <c r="EM17"/>
      <c r="EN17"/>
      <c r="EO17"/>
      <c r="EP17"/>
      <c r="EQ17"/>
      <c r="ER17"/>
      <c r="ES17"/>
      <c r="ET17"/>
      <c r="EU17"/>
      <c r="EV17"/>
      <c r="EW17"/>
      <c r="EX17"/>
      <c r="EY17"/>
      <c r="EZ17"/>
      <c r="FA17"/>
      <c r="FB17"/>
      <c r="FC17"/>
      <c r="FD17"/>
      <c r="FE17"/>
      <c r="FF17"/>
      <c r="FG17"/>
      <c r="FH17"/>
      <c r="FI17"/>
      <c r="FJ17"/>
      <c r="FK17"/>
      <c r="FL17"/>
      <c r="FM17"/>
      <c r="FN17"/>
      <c r="FO17"/>
      <c r="FP17"/>
      <c r="FQ17"/>
      <c r="FR17"/>
      <c r="FS17"/>
      <c r="FT17"/>
      <c r="FU17"/>
      <c r="FV17"/>
      <c r="FW17"/>
      <c r="FX17"/>
      <c r="FY17"/>
      <c r="FZ17"/>
      <c r="GA17"/>
      <c r="GB17"/>
      <c r="GC17"/>
      <c r="GD17"/>
      <c r="GE17"/>
      <c r="GF17"/>
      <c r="GG17"/>
      <c r="GH17"/>
      <c r="GI17"/>
      <c r="GJ17"/>
      <c r="GK17"/>
      <c r="GL17"/>
      <c r="GM17"/>
      <c r="GN17"/>
      <c r="GO17"/>
      <c r="GP17"/>
      <c r="GQ17"/>
      <c r="GR17"/>
      <c r="GS17"/>
      <c r="GT17"/>
      <c r="GU17"/>
      <c r="GV17"/>
      <c r="GW17"/>
      <c r="GX17"/>
      <c r="GY17"/>
      <c r="GZ17"/>
      <c r="HA17"/>
      <c r="HB17"/>
      <c r="HC17"/>
      <c r="HD17"/>
      <c r="HE17"/>
      <c r="HF17"/>
      <c r="HG17"/>
      <c r="HH17"/>
      <c r="HI17"/>
      <c r="HJ17"/>
      <c r="HK17"/>
      <c r="HL17"/>
      <c r="HM17"/>
      <c r="HN17"/>
      <c r="HO17"/>
      <c r="HP17"/>
      <c r="HQ17"/>
      <c r="HR17"/>
      <c r="HS17"/>
      <c r="HT17"/>
      <c r="HU17"/>
      <c r="HV17"/>
      <c r="HW17"/>
      <c r="HX17"/>
      <c r="HY17"/>
      <c r="HZ17"/>
      <c r="IA17"/>
      <c r="IB17"/>
      <c r="IC17"/>
      <c r="ID17"/>
      <c r="IE17"/>
      <c r="IF17"/>
      <c r="IG17"/>
      <c r="IH17"/>
      <c r="II17"/>
      <c r="IJ17"/>
      <c r="IK17"/>
      <c r="IL17"/>
      <c r="IM17"/>
      <c r="IN17"/>
      <c r="IO17"/>
      <c r="IP17"/>
      <c r="IQ17"/>
      <c r="IR17"/>
      <c r="IS17"/>
      <c r="IT17"/>
      <c r="IU17"/>
      <c r="IV17"/>
    </row>
    <row r="18" spans="1:256" s="35" customFormat="1" ht="38.25">
      <c r="A18" s="26" t="s">
        <v>59</v>
      </c>
      <c r="B18" s="32" t="s">
        <v>60</v>
      </c>
      <c r="C18" s="32" t="s">
        <v>60</v>
      </c>
      <c r="D18" s="32" t="s">
        <v>61</v>
      </c>
      <c r="E18" s="32" t="s">
        <v>61</v>
      </c>
      <c r="F18" s="32" t="s">
        <v>60</v>
      </c>
      <c r="G18" s="32" t="s">
        <v>60</v>
      </c>
      <c r="H18" s="33" t="s">
        <v>60</v>
      </c>
      <c r="I18" s="32" t="s">
        <v>62</v>
      </c>
      <c r="J18" s="32" t="s">
        <v>60</v>
      </c>
      <c r="K18" s="32" t="s">
        <v>60</v>
      </c>
      <c r="L18" s="34" t="s">
        <v>60</v>
      </c>
      <c r="M18" s="34" t="s">
        <v>60</v>
      </c>
      <c r="N18" s="34" t="s">
        <v>60</v>
      </c>
      <c r="O18" s="34" t="s">
        <v>60</v>
      </c>
      <c r="P18" s="34" t="s">
        <v>60</v>
      </c>
      <c r="Q18" s="34" t="s">
        <v>60</v>
      </c>
    </row>
    <row r="19" spans="1:256">
      <c r="A19" s="36"/>
      <c r="B19" s="37"/>
      <c r="C19" s="37"/>
      <c r="D19" s="37"/>
      <c r="E19" s="37"/>
      <c r="F19" s="37"/>
      <c r="G19" s="37"/>
      <c r="H19" s="37"/>
      <c r="I19" s="38"/>
      <c r="J19" s="38"/>
      <c r="K19" s="38"/>
      <c r="L19" s="38"/>
      <c r="M19" s="38"/>
      <c r="N19" s="38"/>
      <c r="O19" s="38"/>
      <c r="P19" s="8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  <c r="DY19"/>
      <c r="DZ19"/>
      <c r="EA19"/>
      <c r="EB19"/>
      <c r="EC19"/>
      <c r="ED19"/>
      <c r="EE19"/>
      <c r="EF19"/>
      <c r="EG19"/>
      <c r="EH19"/>
      <c r="EI19"/>
      <c r="EJ19"/>
      <c r="EK19"/>
      <c r="EL19"/>
      <c r="EM19"/>
      <c r="EN19"/>
      <c r="EO19"/>
      <c r="EP19"/>
      <c r="EQ19"/>
      <c r="ER19"/>
      <c r="ES19"/>
      <c r="ET19"/>
      <c r="EU19"/>
      <c r="EV19"/>
      <c r="EW19"/>
      <c r="EX19"/>
      <c r="EY19"/>
      <c r="EZ19"/>
      <c r="FA19"/>
      <c r="FB19"/>
      <c r="FC19"/>
      <c r="FD19"/>
      <c r="FE19"/>
      <c r="FF19"/>
      <c r="FG19"/>
      <c r="FH19"/>
      <c r="FI19"/>
      <c r="FJ19"/>
      <c r="FK19"/>
      <c r="FL19"/>
      <c r="FM19"/>
      <c r="FN19"/>
      <c r="FO19"/>
      <c r="FP19"/>
      <c r="FQ19"/>
      <c r="FR19"/>
      <c r="FS19"/>
      <c r="FT19"/>
      <c r="FU19"/>
      <c r="FV19"/>
      <c r="FW19"/>
      <c r="FX19"/>
      <c r="FY19"/>
      <c r="FZ19"/>
      <c r="GA19"/>
      <c r="GB19"/>
      <c r="GC19"/>
      <c r="GD19"/>
      <c r="GE19"/>
      <c r="GF19"/>
      <c r="GG19"/>
      <c r="GH19"/>
      <c r="GI19"/>
      <c r="GJ19"/>
      <c r="GK19"/>
      <c r="GL19"/>
      <c r="GM19"/>
      <c r="GN19"/>
      <c r="GO19"/>
      <c r="GP19"/>
      <c r="GQ19"/>
      <c r="GR19"/>
      <c r="GS19"/>
      <c r="GT19"/>
      <c r="GU19"/>
      <c r="GV19"/>
      <c r="GW19"/>
      <c r="GX19"/>
      <c r="GY19"/>
      <c r="GZ19"/>
      <c r="HA19"/>
      <c r="HB19"/>
      <c r="HC19"/>
      <c r="HD19"/>
      <c r="HE19"/>
      <c r="HF19"/>
      <c r="HG19"/>
      <c r="HH19"/>
      <c r="HI19"/>
      <c r="HJ19"/>
      <c r="HK19"/>
      <c r="HL19"/>
      <c r="HM19"/>
      <c r="HN19"/>
      <c r="HO19"/>
      <c r="HP19"/>
      <c r="HQ19"/>
      <c r="HR19"/>
      <c r="HS19"/>
      <c r="HT19"/>
      <c r="HU19"/>
      <c r="HV19"/>
      <c r="HW19"/>
      <c r="HX19"/>
      <c r="HY19"/>
      <c r="HZ19"/>
      <c r="IA19"/>
      <c r="IB19"/>
      <c r="IC19"/>
      <c r="ID19"/>
      <c r="IE19"/>
      <c r="IF19"/>
      <c r="IG19"/>
      <c r="IH19"/>
      <c r="II19"/>
      <c r="IJ19"/>
      <c r="IK19"/>
      <c r="IL19"/>
      <c r="IM19"/>
      <c r="IN19"/>
      <c r="IO19"/>
      <c r="IP19"/>
      <c r="IQ19"/>
      <c r="IR19"/>
      <c r="IS19"/>
      <c r="IT19"/>
      <c r="IU19"/>
      <c r="IV19"/>
    </row>
    <row r="20" spans="1:256">
      <c r="A20" s="39"/>
      <c r="B20" s="40"/>
      <c r="C20" s="40"/>
      <c r="D20" s="40"/>
      <c r="E20" s="40"/>
      <c r="F20" s="40"/>
      <c r="G20"/>
      <c r="H20"/>
      <c r="I20"/>
      <c r="J20"/>
      <c r="K20"/>
      <c r="L20"/>
      <c r="M20"/>
      <c r="N20"/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  <c r="DY20"/>
      <c r="DZ20"/>
      <c r="EA20"/>
      <c r="EB20"/>
      <c r="EC20"/>
      <c r="ED20"/>
      <c r="EE20"/>
      <c r="EF20"/>
      <c r="EG20"/>
      <c r="EH20"/>
      <c r="EI20"/>
      <c r="EJ20"/>
      <c r="EK20"/>
      <c r="EL20"/>
      <c r="EM20"/>
      <c r="EN20"/>
      <c r="EO20"/>
      <c r="EP20"/>
      <c r="EQ20"/>
      <c r="ER20"/>
      <c r="ES20"/>
      <c r="ET20"/>
      <c r="EU20"/>
      <c r="EV20"/>
      <c r="EW20"/>
      <c r="EX20"/>
      <c r="EY20"/>
      <c r="EZ20"/>
      <c r="FA20"/>
      <c r="FB20"/>
      <c r="FC20"/>
      <c r="FD20"/>
      <c r="FE20"/>
      <c r="FF20"/>
      <c r="FG20"/>
      <c r="FH20"/>
      <c r="FI20"/>
      <c r="FJ20"/>
      <c r="FK20"/>
      <c r="FL20"/>
      <c r="FM20"/>
      <c r="FN20"/>
      <c r="FO20"/>
      <c r="FP20"/>
      <c r="FQ20"/>
      <c r="FR20"/>
      <c r="FS20"/>
      <c r="FT20"/>
      <c r="FU20"/>
      <c r="FV20"/>
      <c r="FW20"/>
      <c r="FX20"/>
      <c r="FY20"/>
      <c r="FZ20"/>
      <c r="GA20"/>
      <c r="GB20"/>
      <c r="GC20"/>
      <c r="GD20"/>
      <c r="GE20"/>
      <c r="GF20"/>
      <c r="GG20"/>
      <c r="GH20"/>
      <c r="GI20"/>
      <c r="GJ20"/>
      <c r="GK20"/>
      <c r="GL20"/>
      <c r="GM20"/>
      <c r="GN20"/>
      <c r="GO20"/>
      <c r="GP20"/>
      <c r="GQ20"/>
      <c r="GR20"/>
      <c r="GS20"/>
      <c r="GT20"/>
      <c r="GU20"/>
      <c r="GV20"/>
      <c r="GW20"/>
      <c r="GX20"/>
      <c r="GY20"/>
      <c r="GZ20"/>
      <c r="HA20"/>
      <c r="HB20"/>
      <c r="HC20"/>
      <c r="HD20"/>
      <c r="HE20"/>
      <c r="HF20"/>
      <c r="HG20"/>
      <c r="HH20"/>
      <c r="HI20"/>
      <c r="HJ20"/>
      <c r="HK20"/>
      <c r="HL20"/>
      <c r="HM20"/>
      <c r="HN20"/>
      <c r="HO20"/>
      <c r="HP20"/>
      <c r="HQ20"/>
      <c r="HR20"/>
      <c r="HS20"/>
      <c r="HT20"/>
      <c r="HU20"/>
      <c r="HV20"/>
      <c r="HW20"/>
      <c r="HX20"/>
      <c r="HY20"/>
      <c r="HZ20"/>
      <c r="IA20"/>
      <c r="IB20"/>
      <c r="IC20"/>
      <c r="ID20"/>
      <c r="IE20"/>
      <c r="IF20"/>
      <c r="IG20"/>
      <c r="IH20"/>
      <c r="II20"/>
      <c r="IJ20"/>
      <c r="IK20"/>
      <c r="IL20"/>
      <c r="IM20"/>
      <c r="IN20"/>
      <c r="IO20"/>
      <c r="IP20"/>
      <c r="IQ20"/>
      <c r="IR20"/>
      <c r="IS20"/>
      <c r="IT20"/>
      <c r="IU20"/>
      <c r="IV20"/>
    </row>
    <row r="21" spans="1:256" s="44" customFormat="1" ht="12.75" customHeight="1">
      <c r="A21" s="41" t="s">
        <v>63</v>
      </c>
      <c r="B21" s="42" t="s">
        <v>64</v>
      </c>
      <c r="C21" s="43"/>
      <c r="D21" s="43"/>
      <c r="E21" s="43"/>
      <c r="F21" s="43"/>
      <c r="G21" s="43"/>
      <c r="H21" s="43"/>
      <c r="I21" s="43"/>
      <c r="J21" s="43"/>
      <c r="K21" s="43"/>
      <c r="L21" s="43"/>
      <c r="M21" s="43"/>
      <c r="N21" s="43"/>
      <c r="O21" s="43"/>
      <c r="P21" s="43"/>
      <c r="Q21" s="43"/>
      <c r="R21" s="43"/>
      <c r="S21" s="43"/>
      <c r="T21" s="43"/>
    </row>
    <row r="22" spans="1:256">
      <c r="A22" s="45"/>
      <c r="B22" s="14" t="s">
        <v>65</v>
      </c>
      <c r="C22" s="15" t="s">
        <v>66</v>
      </c>
      <c r="D22" s="15" t="s">
        <v>67</v>
      </c>
      <c r="E22" s="15" t="s">
        <v>68</v>
      </c>
      <c r="F22" s="46" t="s">
        <v>69</v>
      </c>
      <c r="G22" s="46" t="s">
        <v>70</v>
      </c>
      <c r="H22" s="47" t="s">
        <v>71</v>
      </c>
      <c r="I22" s="15" t="s">
        <v>72</v>
      </c>
      <c r="J22" s="15" t="s">
        <v>73</v>
      </c>
      <c r="K22" s="15" t="s">
        <v>74</v>
      </c>
      <c r="L22" s="15" t="s">
        <v>75</v>
      </c>
      <c r="M22" s="15" t="s">
        <v>76</v>
      </c>
      <c r="N22"/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  <c r="DY22"/>
      <c r="DZ22"/>
      <c r="EA22"/>
      <c r="EB22"/>
      <c r="EC22"/>
      <c r="ED22"/>
      <c r="EE22"/>
      <c r="EF22"/>
      <c r="EG22"/>
      <c r="EH22"/>
      <c r="EI22"/>
      <c r="EJ22"/>
      <c r="EK22"/>
      <c r="EL22"/>
      <c r="EM22"/>
      <c r="EN22"/>
      <c r="EO22"/>
      <c r="EP22"/>
      <c r="EQ22"/>
      <c r="ER22"/>
      <c r="ES22"/>
      <c r="ET22"/>
      <c r="EU22"/>
      <c r="EV22"/>
      <c r="EW22"/>
      <c r="EX22"/>
      <c r="EY22"/>
      <c r="EZ22"/>
      <c r="FA22"/>
      <c r="FB22"/>
      <c r="FC22"/>
      <c r="FD22"/>
      <c r="FE22"/>
      <c r="FF22"/>
      <c r="FG22"/>
      <c r="FH22"/>
      <c r="FI22"/>
      <c r="FJ22"/>
      <c r="FK22"/>
      <c r="FL22"/>
      <c r="FM22"/>
      <c r="FN22"/>
      <c r="FO22"/>
      <c r="FP22"/>
      <c r="FQ22"/>
      <c r="FR22"/>
      <c r="FS22"/>
      <c r="FT22"/>
      <c r="FU22"/>
      <c r="FV22"/>
      <c r="FW22"/>
      <c r="FX22"/>
      <c r="FY22"/>
      <c r="FZ22"/>
      <c r="GA22"/>
      <c r="GB22"/>
      <c r="GC22"/>
      <c r="GD22"/>
      <c r="GE22"/>
      <c r="GF22"/>
      <c r="GG22"/>
      <c r="GH22"/>
      <c r="GI22"/>
      <c r="GJ22"/>
      <c r="GK22"/>
      <c r="GL22"/>
      <c r="GM22"/>
      <c r="GN22"/>
      <c r="GO22"/>
      <c r="GP22"/>
      <c r="GQ22"/>
      <c r="GR22"/>
      <c r="GS22"/>
      <c r="GT22"/>
      <c r="GU22"/>
      <c r="GV22"/>
      <c r="GW22"/>
      <c r="GX22"/>
      <c r="GY22"/>
      <c r="GZ22"/>
      <c r="HA22"/>
      <c r="HB22"/>
      <c r="HC22"/>
      <c r="HD22"/>
      <c r="HE22"/>
      <c r="HF22"/>
      <c r="HG22"/>
      <c r="HH22"/>
      <c r="HI22"/>
      <c r="HJ22"/>
      <c r="HK22"/>
      <c r="HL22"/>
      <c r="HM22"/>
      <c r="HN22"/>
      <c r="HO22"/>
      <c r="HP22"/>
      <c r="HQ22"/>
      <c r="HR22"/>
      <c r="HS22"/>
      <c r="HT22"/>
      <c r="HU22"/>
      <c r="HV22"/>
      <c r="HW22"/>
      <c r="HX22"/>
      <c r="HY22"/>
      <c r="HZ22"/>
      <c r="IA22"/>
      <c r="IB22"/>
      <c r="IC22"/>
      <c r="ID22"/>
      <c r="IE22"/>
      <c r="IF22"/>
      <c r="IG22"/>
      <c r="IH22"/>
      <c r="II22"/>
      <c r="IJ22"/>
      <c r="IK22"/>
      <c r="IL22"/>
      <c r="IM22"/>
      <c r="IN22"/>
      <c r="IO22"/>
      <c r="IP22"/>
      <c r="IQ22"/>
      <c r="IR22"/>
      <c r="IS22"/>
      <c r="IT22"/>
      <c r="IU22"/>
      <c r="IV22"/>
    </row>
    <row r="23" spans="1:256" ht="63.75">
      <c r="A23" s="48" t="s">
        <v>29</v>
      </c>
      <c r="B23" s="19" t="s">
        <v>77</v>
      </c>
      <c r="C23" s="23" t="s">
        <v>78</v>
      </c>
      <c r="D23" s="23" t="s">
        <v>79</v>
      </c>
      <c r="E23" s="23" t="s">
        <v>80</v>
      </c>
      <c r="F23" s="49" t="s">
        <v>81</v>
      </c>
      <c r="G23" s="49" t="s">
        <v>82</v>
      </c>
      <c r="H23" s="49" t="s">
        <v>83</v>
      </c>
      <c r="I23" s="23" t="s">
        <v>84</v>
      </c>
      <c r="J23" s="23" t="s">
        <v>85</v>
      </c>
      <c r="K23" s="23" t="s">
        <v>86</v>
      </c>
      <c r="L23" s="20" t="s">
        <v>87</v>
      </c>
      <c r="M23" s="23" t="s">
        <v>88</v>
      </c>
      <c r="N23"/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  <c r="DY23"/>
      <c r="DZ23"/>
      <c r="EA23"/>
      <c r="EB23"/>
      <c r="EC23"/>
      <c r="ED23"/>
      <c r="EE23"/>
      <c r="EF23"/>
      <c r="EG23"/>
      <c r="EH23"/>
      <c r="EI23"/>
      <c r="EJ23"/>
      <c r="EK23"/>
      <c r="EL23"/>
      <c r="EM23"/>
      <c r="EN23"/>
      <c r="EO23"/>
      <c r="EP23"/>
      <c r="EQ23"/>
      <c r="ER23"/>
      <c r="ES23"/>
      <c r="ET23"/>
      <c r="EU23"/>
      <c r="EV23"/>
      <c r="EW23"/>
      <c r="EX23"/>
      <c r="EY23"/>
      <c r="EZ23"/>
      <c r="FA23"/>
      <c r="FB23"/>
      <c r="FC23"/>
      <c r="FD23"/>
      <c r="FE23"/>
      <c r="FF23"/>
      <c r="FG23"/>
      <c r="FH23"/>
      <c r="FI23"/>
      <c r="FJ23"/>
      <c r="FK23"/>
      <c r="FL23"/>
      <c r="FM23"/>
      <c r="FN23"/>
      <c r="FO23"/>
      <c r="FP23"/>
      <c r="FQ23"/>
      <c r="FR23"/>
      <c r="FS23"/>
      <c r="FT23"/>
      <c r="FU23"/>
      <c r="FV23"/>
      <c r="FW23"/>
      <c r="FX23"/>
      <c r="FY23"/>
      <c r="FZ23"/>
      <c r="GA23"/>
      <c r="GB23"/>
      <c r="GC23"/>
      <c r="GD23"/>
      <c r="GE23"/>
      <c r="GF23"/>
      <c r="GG23"/>
      <c r="GH23"/>
      <c r="GI23"/>
      <c r="GJ23"/>
      <c r="GK23"/>
      <c r="GL23"/>
      <c r="GM23"/>
      <c r="GN23"/>
      <c r="GO23"/>
      <c r="GP23"/>
      <c r="GQ23"/>
      <c r="GR23"/>
      <c r="GS23"/>
      <c r="GT23"/>
      <c r="GU23"/>
      <c r="GV23"/>
      <c r="GW23"/>
      <c r="GX23"/>
      <c r="GY23"/>
      <c r="GZ23"/>
      <c r="HA23"/>
      <c r="HB23"/>
      <c r="HC23"/>
      <c r="HD23"/>
      <c r="HE23"/>
      <c r="HF23"/>
      <c r="HG23"/>
      <c r="HH23"/>
      <c r="HI23"/>
      <c r="HJ23"/>
      <c r="HK23"/>
      <c r="HL23"/>
      <c r="HM23"/>
      <c r="HN23"/>
      <c r="HO23"/>
      <c r="HP23"/>
      <c r="HQ23"/>
      <c r="HR23"/>
      <c r="HS23"/>
      <c r="HT23"/>
      <c r="HU23"/>
      <c r="HV23"/>
      <c r="HW23"/>
      <c r="HX23"/>
      <c r="HY23"/>
      <c r="HZ23"/>
      <c r="IA23"/>
      <c r="IB23"/>
      <c r="IC23"/>
      <c r="ID23"/>
      <c r="IE23"/>
      <c r="IF23"/>
      <c r="IG23"/>
      <c r="IH23"/>
      <c r="II23"/>
      <c r="IJ23"/>
      <c r="IK23"/>
      <c r="IL23"/>
      <c r="IM23"/>
      <c r="IN23"/>
      <c r="IO23"/>
      <c r="IP23"/>
      <c r="IQ23"/>
      <c r="IR23"/>
      <c r="IS23"/>
      <c r="IT23"/>
      <c r="IU23"/>
      <c r="IV23"/>
    </row>
    <row r="24" spans="1:256">
      <c r="A24" s="50" t="s">
        <v>89</v>
      </c>
      <c r="B24" s="27" t="s">
        <v>90</v>
      </c>
      <c r="C24" s="30"/>
      <c r="D24" s="30"/>
      <c r="E24" s="30"/>
      <c r="F24" s="51"/>
      <c r="G24" s="51"/>
      <c r="H24" s="51" t="s">
        <v>91</v>
      </c>
      <c r="I24" s="30" t="s">
        <v>92</v>
      </c>
      <c r="J24" s="30" t="s">
        <v>93</v>
      </c>
      <c r="K24" s="30"/>
      <c r="L24" s="30"/>
      <c r="M24" s="30"/>
      <c r="N24"/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  <c r="DY24"/>
      <c r="DZ24"/>
      <c r="EA24"/>
      <c r="EB24"/>
      <c r="EC24"/>
      <c r="ED24"/>
      <c r="EE24"/>
      <c r="EF24"/>
      <c r="EG24"/>
      <c r="EH24"/>
      <c r="EI24"/>
      <c r="EJ24"/>
      <c r="EK24"/>
      <c r="EL24"/>
      <c r="EM24"/>
      <c r="EN24"/>
      <c r="EO24"/>
      <c r="EP24"/>
      <c r="EQ24"/>
      <c r="ER24"/>
      <c r="ES24"/>
      <c r="ET24"/>
      <c r="EU24"/>
      <c r="EV24"/>
      <c r="EW24"/>
      <c r="EX24"/>
      <c r="EY24"/>
      <c r="EZ24"/>
      <c r="FA24"/>
      <c r="FB24"/>
      <c r="FC24"/>
      <c r="FD24"/>
      <c r="FE24"/>
      <c r="FF24"/>
      <c r="FG24"/>
      <c r="FH24"/>
      <c r="FI24"/>
      <c r="FJ24"/>
      <c r="FK24"/>
      <c r="FL24"/>
      <c r="FM24"/>
      <c r="FN24"/>
      <c r="FO24"/>
      <c r="FP24"/>
      <c r="FQ24"/>
      <c r="FR24"/>
      <c r="FS24"/>
      <c r="FT24"/>
      <c r="FU24"/>
      <c r="FV24"/>
      <c r="FW24"/>
      <c r="FX24"/>
      <c r="FY24"/>
      <c r="FZ24"/>
      <c r="GA24"/>
      <c r="GB24"/>
      <c r="GC24"/>
      <c r="GD24"/>
      <c r="GE24"/>
      <c r="GF24"/>
      <c r="GG24"/>
      <c r="GH24"/>
      <c r="GI24"/>
      <c r="GJ24"/>
      <c r="GK24"/>
      <c r="GL24"/>
      <c r="GM24"/>
      <c r="GN24"/>
      <c r="GO24"/>
      <c r="GP24"/>
      <c r="GQ24"/>
      <c r="GR24"/>
      <c r="GS24"/>
      <c r="GT24"/>
      <c r="GU24"/>
      <c r="GV24"/>
      <c r="GW24"/>
      <c r="GX24"/>
      <c r="GY24"/>
      <c r="GZ24"/>
      <c r="HA24"/>
      <c r="HB24"/>
      <c r="HC24"/>
      <c r="HD24"/>
      <c r="HE24"/>
      <c r="HF24"/>
      <c r="HG24"/>
      <c r="HH24"/>
      <c r="HI24"/>
      <c r="HJ24"/>
      <c r="HK24"/>
      <c r="HL24"/>
      <c r="HM24"/>
      <c r="HN24"/>
      <c r="HO24"/>
      <c r="HP24"/>
      <c r="HQ24"/>
      <c r="HR24"/>
      <c r="HS24"/>
      <c r="HT24"/>
      <c r="HU24"/>
      <c r="HV24"/>
      <c r="HW24"/>
      <c r="HX24"/>
      <c r="HY24"/>
      <c r="HZ24"/>
      <c r="IA24"/>
      <c r="IB24"/>
      <c r="IC24"/>
      <c r="ID24"/>
      <c r="IE24"/>
      <c r="IF24"/>
      <c r="IG24"/>
      <c r="IH24"/>
      <c r="II24"/>
      <c r="IJ24"/>
      <c r="IK24"/>
      <c r="IL24"/>
      <c r="IM24"/>
      <c r="IN24"/>
      <c r="IO24"/>
      <c r="IP24"/>
      <c r="IQ24"/>
      <c r="IR24"/>
      <c r="IS24"/>
      <c r="IT24"/>
      <c r="IU24"/>
      <c r="IV24"/>
    </row>
    <row r="25" spans="1:256" ht="51">
      <c r="A25" s="26" t="s">
        <v>59</v>
      </c>
      <c r="B25" s="32" t="s">
        <v>60</v>
      </c>
      <c r="C25" s="32" t="s">
        <v>62</v>
      </c>
      <c r="D25" s="32" t="s">
        <v>62</v>
      </c>
      <c r="E25" s="52" t="s">
        <v>62</v>
      </c>
      <c r="F25" s="53" t="s">
        <v>60</v>
      </c>
      <c r="G25" s="53" t="s">
        <v>60</v>
      </c>
      <c r="H25" s="53" t="s">
        <v>60</v>
      </c>
      <c r="I25" s="32" t="s">
        <v>94</v>
      </c>
      <c r="J25" s="52" t="s">
        <v>60</v>
      </c>
      <c r="K25" s="52" t="s">
        <v>60</v>
      </c>
      <c r="L25" s="32" t="s">
        <v>60</v>
      </c>
      <c r="M25" s="32" t="s">
        <v>60</v>
      </c>
      <c r="N25"/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  <c r="DY25"/>
      <c r="DZ25"/>
      <c r="EA25"/>
      <c r="EB25"/>
      <c r="EC25"/>
      <c r="ED25"/>
      <c r="EE25"/>
      <c r="EF25"/>
      <c r="EG25"/>
      <c r="EH25"/>
      <c r="EI25"/>
      <c r="EJ25"/>
      <c r="EK25"/>
      <c r="EL25"/>
      <c r="EM25"/>
      <c r="EN25"/>
      <c r="EO25"/>
      <c r="EP25"/>
      <c r="EQ25"/>
      <c r="ER25"/>
      <c r="ES25"/>
      <c r="ET25"/>
      <c r="EU25"/>
      <c r="EV25"/>
      <c r="EW25"/>
      <c r="EX25"/>
      <c r="EY25"/>
      <c r="EZ25"/>
      <c r="FA25"/>
      <c r="FB25"/>
      <c r="FC25"/>
      <c r="FD25"/>
      <c r="FE25"/>
      <c r="FF25"/>
      <c r="FG25"/>
      <c r="FH25"/>
      <c r="FI25"/>
      <c r="FJ25"/>
      <c r="FK25"/>
      <c r="FL25"/>
      <c r="FM25"/>
      <c r="FN25"/>
      <c r="FO25"/>
      <c r="FP25"/>
      <c r="FQ25"/>
      <c r="FR25"/>
      <c r="FS25"/>
      <c r="FT25"/>
      <c r="FU25"/>
      <c r="FV25"/>
      <c r="FW25"/>
      <c r="FX25"/>
      <c r="FY25"/>
      <c r="FZ25"/>
      <c r="GA25"/>
      <c r="GB25"/>
      <c r="GC25"/>
      <c r="GD25"/>
      <c r="GE25"/>
      <c r="GF25"/>
      <c r="GG25"/>
      <c r="GH25"/>
      <c r="GI25"/>
      <c r="GJ25"/>
      <c r="GK25"/>
      <c r="GL25"/>
      <c r="GM25"/>
      <c r="GN25"/>
      <c r="GO25"/>
      <c r="GP25"/>
      <c r="GQ25"/>
      <c r="GR25"/>
      <c r="GS25"/>
      <c r="GT25"/>
      <c r="GU25"/>
      <c r="GV25"/>
      <c r="GW25"/>
      <c r="GX25"/>
      <c r="GY25"/>
      <c r="GZ25"/>
      <c r="HA25"/>
      <c r="HB25"/>
      <c r="HC25"/>
      <c r="HD25"/>
      <c r="HE25"/>
      <c r="HF25"/>
      <c r="HG25"/>
      <c r="HH25"/>
      <c r="HI25"/>
      <c r="HJ25"/>
      <c r="HK25"/>
      <c r="HL25"/>
      <c r="HM25"/>
      <c r="HN25"/>
      <c r="HO25"/>
      <c r="HP25"/>
      <c r="HQ25"/>
      <c r="HR25"/>
      <c r="HS25"/>
      <c r="HT25"/>
      <c r="HU25"/>
      <c r="HV25"/>
      <c r="HW25"/>
      <c r="HX25"/>
      <c r="HY25"/>
      <c r="HZ25"/>
      <c r="IA25"/>
      <c r="IB25"/>
      <c r="IC25"/>
      <c r="ID25"/>
      <c r="IE25"/>
      <c r="IF25"/>
      <c r="IG25"/>
      <c r="IH25"/>
      <c r="II25"/>
      <c r="IJ25"/>
      <c r="IK25"/>
      <c r="IL25"/>
      <c r="IM25"/>
      <c r="IN25"/>
      <c r="IO25"/>
      <c r="IP25"/>
      <c r="IQ25"/>
      <c r="IR25"/>
      <c r="IS25"/>
      <c r="IT25"/>
      <c r="IU25"/>
      <c r="IV25"/>
    </row>
    <row r="26" spans="1:256">
      <c r="A26" s="36"/>
      <c r="B26" s="43"/>
      <c r="C26" s="40"/>
      <c r="D26" s="54"/>
      <c r="E26" s="40"/>
      <c r="F26" s="40"/>
      <c r="G26" s="40"/>
      <c r="H26" s="40"/>
      <c r="I26" s="40"/>
      <c r="J26" s="40"/>
      <c r="K26"/>
      <c r="L26"/>
      <c r="M26"/>
      <c r="N26"/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  <c r="BM26"/>
      <c r="BN26"/>
      <c r="BO26"/>
      <c r="BP26"/>
      <c r="BQ26"/>
      <c r="BR26"/>
      <c r="BS26"/>
      <c r="BT26"/>
      <c r="BU26"/>
      <c r="BV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R26"/>
      <c r="CS26"/>
      <c r="CT26"/>
      <c r="CU26"/>
      <c r="CV26"/>
      <c r="CW26"/>
      <c r="CX26"/>
      <c r="CY26"/>
      <c r="CZ26"/>
      <c r="DA26"/>
      <c r="DB26"/>
      <c r="DC26"/>
      <c r="DD26"/>
      <c r="DE26"/>
      <c r="DF26"/>
      <c r="DG26"/>
      <c r="DH26"/>
      <c r="DI26"/>
      <c r="DJ26"/>
      <c r="DK26"/>
      <c r="DL26"/>
      <c r="DM26"/>
      <c r="DN26"/>
      <c r="DO26"/>
      <c r="DP26"/>
      <c r="DQ26"/>
      <c r="DR26"/>
      <c r="DS26"/>
      <c r="DT26"/>
      <c r="DU26"/>
      <c r="DV26"/>
      <c r="DW26"/>
      <c r="DX26"/>
      <c r="DY26"/>
      <c r="DZ26"/>
      <c r="EA26"/>
      <c r="EB26"/>
      <c r="EC26"/>
      <c r="ED26"/>
      <c r="EE26"/>
      <c r="EF26"/>
      <c r="EG26"/>
      <c r="EH26"/>
      <c r="EI26"/>
      <c r="EJ26"/>
      <c r="EK26"/>
      <c r="EL26"/>
      <c r="EM26"/>
      <c r="EN26"/>
      <c r="EO26"/>
      <c r="EP26"/>
      <c r="EQ26"/>
      <c r="ER26"/>
      <c r="ES26"/>
      <c r="ET26"/>
      <c r="EU26"/>
      <c r="EV26"/>
      <c r="EW26"/>
      <c r="EX26"/>
      <c r="EY26"/>
      <c r="EZ26"/>
      <c r="FA26"/>
      <c r="FB26"/>
      <c r="FC26"/>
      <c r="FD26"/>
      <c r="FE26"/>
      <c r="FF26"/>
      <c r="FG26"/>
      <c r="FH26"/>
      <c r="FI26"/>
      <c r="FJ26"/>
      <c r="FK26"/>
      <c r="FL26"/>
      <c r="FM26"/>
      <c r="FN26"/>
      <c r="FO26"/>
      <c r="FP26"/>
      <c r="FQ26"/>
      <c r="FR26"/>
      <c r="FS26"/>
      <c r="FT26"/>
      <c r="FU26"/>
      <c r="FV26"/>
      <c r="FW26"/>
      <c r="FX26"/>
      <c r="FY26"/>
      <c r="FZ26"/>
      <c r="GA26"/>
      <c r="GB26"/>
      <c r="GC26"/>
      <c r="GD26"/>
      <c r="GE26"/>
      <c r="GF26"/>
      <c r="GG26"/>
      <c r="GH26"/>
      <c r="GI26"/>
      <c r="GJ26"/>
      <c r="GK26"/>
      <c r="GL26"/>
      <c r="GM26"/>
      <c r="GN26"/>
      <c r="GO26"/>
      <c r="GP26"/>
      <c r="GQ26"/>
      <c r="GR26"/>
      <c r="GS26"/>
      <c r="GT26"/>
      <c r="GU26"/>
      <c r="GV26"/>
      <c r="GW26"/>
      <c r="GX26"/>
      <c r="GY26"/>
      <c r="GZ26"/>
      <c r="HA26"/>
      <c r="HB26"/>
      <c r="HC26"/>
      <c r="HD26"/>
      <c r="HE26"/>
      <c r="HF26"/>
      <c r="HG26"/>
      <c r="HH26"/>
      <c r="HI26"/>
      <c r="HJ26"/>
      <c r="HK26"/>
      <c r="HL26"/>
      <c r="HM26"/>
      <c r="HN26"/>
      <c r="HO26"/>
      <c r="HP26"/>
      <c r="HQ26"/>
      <c r="HR26"/>
      <c r="HS26"/>
      <c r="HT26"/>
      <c r="HU26"/>
      <c r="HV26"/>
      <c r="HW26"/>
      <c r="HX26"/>
      <c r="HY26"/>
      <c r="HZ26"/>
      <c r="IA26"/>
      <c r="IB26"/>
      <c r="IC26"/>
      <c r="ID26"/>
      <c r="IE26"/>
      <c r="IF26"/>
      <c r="IG26"/>
      <c r="IH26"/>
      <c r="II26"/>
      <c r="IJ26"/>
      <c r="IK26"/>
      <c r="IL26"/>
      <c r="IM26"/>
      <c r="IN26"/>
      <c r="IO26"/>
      <c r="IP26"/>
      <c r="IQ26"/>
      <c r="IR26"/>
      <c r="IS26"/>
      <c r="IT26"/>
      <c r="IU26"/>
      <c r="IV26"/>
    </row>
    <row r="27" spans="1:256">
      <c r="A27" s="8"/>
      <c r="B27" s="55"/>
      <c r="C27" s="8"/>
      <c r="D27" s="5"/>
      <c r="E27" s="5"/>
      <c r="F27" s="5"/>
      <c r="G27" s="5"/>
      <c r="H27" s="5"/>
      <c r="I27"/>
      <c r="J27"/>
      <c r="K27"/>
      <c r="L27"/>
      <c r="M27"/>
      <c r="N27"/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  <c r="BM27"/>
      <c r="BN27"/>
      <c r="BO27"/>
      <c r="BP27"/>
      <c r="BQ27"/>
      <c r="BR27"/>
      <c r="BS27"/>
      <c r="BT27"/>
      <c r="BU27"/>
      <c r="BV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R27"/>
      <c r="CS27"/>
      <c r="CT27"/>
      <c r="CU27"/>
      <c r="CV27"/>
      <c r="CW27"/>
      <c r="CX27"/>
      <c r="CY27"/>
      <c r="CZ27"/>
      <c r="DA27"/>
      <c r="DB27"/>
      <c r="DC27"/>
      <c r="DD27"/>
      <c r="DE27"/>
      <c r="DF27"/>
      <c r="DG27"/>
      <c r="DH27"/>
      <c r="DI27"/>
      <c r="DJ27"/>
      <c r="DK27"/>
      <c r="DL27"/>
      <c r="DM27"/>
      <c r="DN27"/>
      <c r="DO27"/>
      <c r="DP27"/>
      <c r="DQ27"/>
      <c r="DR27"/>
      <c r="DS27"/>
      <c r="DT27"/>
      <c r="DU27"/>
      <c r="DV27"/>
      <c r="DW27"/>
      <c r="DX27"/>
      <c r="DY27"/>
      <c r="DZ27"/>
      <c r="EA27"/>
      <c r="EB27"/>
      <c r="EC27"/>
      <c r="ED27"/>
      <c r="EE27"/>
      <c r="EF27"/>
      <c r="EG27"/>
      <c r="EH27"/>
      <c r="EI27"/>
      <c r="EJ27"/>
      <c r="EK27"/>
      <c r="EL27"/>
      <c r="EM27"/>
      <c r="EN27"/>
      <c r="EO27"/>
      <c r="EP27"/>
      <c r="EQ27"/>
      <c r="ER27"/>
      <c r="ES27"/>
      <c r="ET27"/>
      <c r="EU27"/>
      <c r="EV27"/>
      <c r="EW27"/>
      <c r="EX27"/>
      <c r="EY27"/>
      <c r="EZ27"/>
      <c r="FA27"/>
      <c r="FB27"/>
      <c r="FC27"/>
      <c r="FD27"/>
      <c r="FE27"/>
      <c r="FF27"/>
      <c r="FG27"/>
      <c r="FH27"/>
      <c r="FI27"/>
      <c r="FJ27"/>
      <c r="FK27"/>
      <c r="FL27"/>
      <c r="FM27"/>
      <c r="FN27"/>
      <c r="FO27"/>
      <c r="FP27"/>
      <c r="FQ27"/>
      <c r="FR27"/>
      <c r="FS27"/>
      <c r="FT27"/>
      <c r="FU27"/>
      <c r="FV27"/>
      <c r="FW27"/>
      <c r="FX27"/>
      <c r="FY27"/>
      <c r="FZ27"/>
      <c r="GA27"/>
      <c r="GB27"/>
      <c r="GC27"/>
      <c r="GD27"/>
      <c r="GE27"/>
      <c r="GF27"/>
      <c r="GG27"/>
      <c r="GH27"/>
      <c r="GI27"/>
      <c r="GJ27"/>
      <c r="GK27"/>
      <c r="GL27"/>
      <c r="GM27"/>
      <c r="GN27"/>
      <c r="GO27"/>
      <c r="GP27"/>
      <c r="GQ27"/>
      <c r="GR27"/>
      <c r="GS27"/>
      <c r="GT27"/>
      <c r="GU27"/>
      <c r="GV27"/>
      <c r="GW27"/>
      <c r="GX27"/>
      <c r="GY27"/>
      <c r="GZ27"/>
      <c r="HA27"/>
      <c r="HB27"/>
      <c r="HC27"/>
      <c r="HD27"/>
      <c r="HE27"/>
      <c r="HF27"/>
      <c r="HG27"/>
      <c r="HH27"/>
      <c r="HI27"/>
      <c r="HJ27"/>
      <c r="HK27"/>
      <c r="HL27"/>
      <c r="HM27"/>
      <c r="HN27"/>
      <c r="HO27"/>
      <c r="HP27"/>
      <c r="HQ27"/>
      <c r="HR27"/>
      <c r="HS27"/>
      <c r="HT27"/>
      <c r="HU27"/>
      <c r="HV27"/>
      <c r="HW27"/>
      <c r="HX27"/>
      <c r="HY27"/>
      <c r="HZ27"/>
      <c r="IA27"/>
      <c r="IB27"/>
      <c r="IC27"/>
      <c r="ID27"/>
      <c r="IE27"/>
      <c r="IF27"/>
      <c r="IG27"/>
      <c r="IH27"/>
      <c r="II27"/>
      <c r="IJ27"/>
      <c r="IK27"/>
      <c r="IL27"/>
      <c r="IM27"/>
      <c r="IN27"/>
      <c r="IO27"/>
      <c r="IP27"/>
      <c r="IQ27"/>
      <c r="IR27"/>
      <c r="IS27"/>
      <c r="IT27"/>
      <c r="IU27"/>
      <c r="IV27"/>
    </row>
    <row r="28" spans="1:256">
      <c r="A28" s="56" t="s">
        <v>95</v>
      </c>
      <c r="B28" s="10" t="s">
        <v>96</v>
      </c>
      <c r="C28" s="8"/>
      <c r="D28" s="5"/>
      <c r="E28" s="5"/>
      <c r="F28" s="5"/>
      <c r="G28" s="5"/>
      <c r="H28" s="5"/>
      <c r="I28"/>
      <c r="J28"/>
      <c r="K28"/>
      <c r="L28"/>
      <c r="M28"/>
      <c r="N28"/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  <c r="BM28"/>
      <c r="BN28"/>
      <c r="BO28"/>
      <c r="BP28"/>
      <c r="BQ28"/>
      <c r="BR28"/>
      <c r="BS28"/>
      <c r="BT28"/>
      <c r="BU28"/>
      <c r="BV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R28"/>
      <c r="CS28"/>
      <c r="CT28"/>
      <c r="CU28"/>
      <c r="CV28"/>
      <c r="CW28"/>
      <c r="CX28"/>
      <c r="CY28"/>
      <c r="CZ28"/>
      <c r="DA28"/>
      <c r="DB28"/>
      <c r="DC28"/>
      <c r="DD28"/>
      <c r="DE28"/>
      <c r="DF28"/>
      <c r="DG28"/>
      <c r="DH28"/>
      <c r="DI28"/>
      <c r="DJ28"/>
      <c r="DK28"/>
      <c r="DL28"/>
      <c r="DM28"/>
      <c r="DN28"/>
      <c r="DO28"/>
      <c r="DP28"/>
      <c r="DQ28"/>
      <c r="DR28"/>
      <c r="DS28"/>
      <c r="DT28"/>
      <c r="DU28"/>
      <c r="DV28"/>
      <c r="DW28"/>
      <c r="DX28"/>
      <c r="DY28"/>
      <c r="DZ28"/>
      <c r="EA28"/>
      <c r="EB28"/>
      <c r="EC28"/>
      <c r="ED28"/>
      <c r="EE28"/>
      <c r="EF28"/>
      <c r="EG28"/>
      <c r="EH28"/>
      <c r="EI28"/>
      <c r="EJ28"/>
      <c r="EK28"/>
      <c r="EL28"/>
      <c r="EM28"/>
      <c r="EN28"/>
      <c r="EO28"/>
      <c r="EP28"/>
      <c r="EQ28"/>
      <c r="ER28"/>
      <c r="ES28"/>
      <c r="ET28"/>
      <c r="EU28"/>
      <c r="EV28"/>
      <c r="EW28"/>
      <c r="EX28"/>
      <c r="EY28"/>
      <c r="EZ28"/>
      <c r="FA28"/>
      <c r="FB28"/>
      <c r="FC28"/>
      <c r="FD28"/>
      <c r="FE28"/>
      <c r="FF28"/>
      <c r="FG28"/>
      <c r="FH28"/>
      <c r="FI28"/>
      <c r="FJ28"/>
      <c r="FK28"/>
      <c r="FL28"/>
      <c r="FM28"/>
      <c r="FN28"/>
      <c r="FO28"/>
      <c r="FP28"/>
      <c r="FQ28"/>
      <c r="FR28"/>
      <c r="FS28"/>
      <c r="FT28"/>
      <c r="FU28"/>
      <c r="FV28"/>
      <c r="FW28"/>
      <c r="FX28"/>
      <c r="FY28"/>
      <c r="FZ28"/>
      <c r="GA28"/>
      <c r="GB28"/>
      <c r="GC28"/>
      <c r="GD28"/>
      <c r="GE28"/>
      <c r="GF28"/>
      <c r="GG28"/>
      <c r="GH28"/>
      <c r="GI28"/>
      <c r="GJ28"/>
      <c r="GK28"/>
      <c r="GL28"/>
      <c r="GM28"/>
      <c r="GN28"/>
      <c r="GO28"/>
      <c r="GP28"/>
      <c r="GQ28"/>
      <c r="GR28"/>
      <c r="GS28"/>
      <c r="GT28"/>
      <c r="GU28"/>
      <c r="GV28"/>
      <c r="GW28"/>
      <c r="GX28"/>
      <c r="GY28"/>
      <c r="GZ28"/>
      <c r="HA28"/>
      <c r="HB28"/>
      <c r="HC28"/>
      <c r="HD28"/>
      <c r="HE28"/>
      <c r="HF28"/>
      <c r="HG28"/>
      <c r="HH28"/>
      <c r="HI28"/>
      <c r="HJ28"/>
      <c r="HK28"/>
      <c r="HL28"/>
      <c r="HM28"/>
      <c r="HN28"/>
      <c r="HO28"/>
      <c r="HP28"/>
      <c r="HQ28"/>
      <c r="HR28"/>
      <c r="HS28"/>
      <c r="HT28"/>
      <c r="HU28"/>
      <c r="HV28"/>
      <c r="HW28"/>
      <c r="HX28"/>
      <c r="HY28"/>
      <c r="HZ28"/>
      <c r="IA28"/>
      <c r="IB28"/>
      <c r="IC28"/>
      <c r="ID28"/>
      <c r="IE28"/>
      <c r="IF28"/>
      <c r="IG28"/>
      <c r="IH28"/>
      <c r="II28"/>
      <c r="IJ28"/>
      <c r="IK28"/>
      <c r="IL28"/>
      <c r="IM28"/>
      <c r="IN28"/>
      <c r="IO28"/>
      <c r="IP28"/>
      <c r="IQ28"/>
      <c r="IR28"/>
      <c r="IS28"/>
      <c r="IT28"/>
      <c r="IU28"/>
      <c r="IV28"/>
    </row>
    <row r="29" spans="1:256">
      <c r="A29" s="45"/>
      <c r="B29" s="57" t="s">
        <v>97</v>
      </c>
      <c r="C29" s="57" t="s">
        <v>98</v>
      </c>
      <c r="D29" s="57" t="s">
        <v>99</v>
      </c>
      <c r="E29" s="58" t="s">
        <v>100</v>
      </c>
      <c r="F29" s="58" t="s">
        <v>101</v>
      </c>
      <c r="G29" s="57" t="s">
        <v>102</v>
      </c>
      <c r="H29" s="57" t="s">
        <v>103</v>
      </c>
      <c r="I29" s="58" t="s">
        <v>104</v>
      </c>
      <c r="J29"/>
      <c r="K29"/>
      <c r="L29"/>
      <c r="M29"/>
      <c r="N29"/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  <c r="BM29"/>
      <c r="BN29"/>
      <c r="BO29"/>
      <c r="BP29"/>
      <c r="BQ29"/>
      <c r="BR29"/>
      <c r="BS29"/>
      <c r="BT29"/>
      <c r="BU29"/>
      <c r="BV29"/>
      <c r="BW29"/>
      <c r="BX29"/>
      <c r="BY29"/>
      <c r="BZ29"/>
      <c r="CA29"/>
      <c r="CB29"/>
      <c r="CC29"/>
      <c r="CD29"/>
      <c r="CE29"/>
      <c r="CF29"/>
      <c r="CG29"/>
      <c r="CH29"/>
      <c r="CI29"/>
      <c r="CJ29"/>
      <c r="CK29"/>
      <c r="CL29"/>
      <c r="CM29"/>
      <c r="CN29"/>
      <c r="CO29"/>
      <c r="CP29"/>
      <c r="CQ29"/>
      <c r="CR29"/>
      <c r="CS29"/>
      <c r="CT29"/>
      <c r="CU29"/>
      <c r="CV29"/>
      <c r="CW29"/>
      <c r="CX29"/>
      <c r="CY29"/>
      <c r="CZ29"/>
      <c r="DA29"/>
      <c r="DB29"/>
      <c r="DC29"/>
      <c r="DD29"/>
      <c r="DE29"/>
      <c r="DF29"/>
      <c r="DG29"/>
      <c r="DH29"/>
      <c r="DI29"/>
      <c r="DJ29"/>
      <c r="DK29"/>
      <c r="DL29"/>
      <c r="DM29"/>
      <c r="DN29"/>
      <c r="DO29"/>
      <c r="DP29"/>
      <c r="DQ29"/>
      <c r="DR29"/>
      <c r="DS29"/>
      <c r="DT29"/>
      <c r="DU29"/>
      <c r="DV29"/>
      <c r="DW29"/>
      <c r="DX29"/>
      <c r="DY29"/>
      <c r="DZ29"/>
      <c r="EA29"/>
      <c r="EB29"/>
      <c r="EC29"/>
      <c r="ED29"/>
      <c r="EE29"/>
      <c r="EF29"/>
      <c r="EG29"/>
      <c r="EH29"/>
      <c r="EI29"/>
      <c r="EJ29"/>
      <c r="EK29"/>
      <c r="EL29"/>
      <c r="EM29"/>
      <c r="EN29"/>
      <c r="EO29"/>
      <c r="EP29"/>
      <c r="EQ29"/>
      <c r="ER29"/>
      <c r="ES29"/>
      <c r="ET29"/>
      <c r="EU29"/>
      <c r="EV29"/>
      <c r="EW29"/>
      <c r="EX29"/>
      <c r="EY29"/>
      <c r="EZ29"/>
      <c r="FA29"/>
      <c r="FB29"/>
      <c r="FC29"/>
      <c r="FD29"/>
      <c r="FE29"/>
      <c r="FF29"/>
      <c r="FG29"/>
      <c r="FH29"/>
      <c r="FI29"/>
      <c r="FJ29"/>
      <c r="FK29"/>
      <c r="FL29"/>
      <c r="FM29"/>
      <c r="FN29"/>
      <c r="FO29"/>
      <c r="FP29"/>
      <c r="FQ29"/>
      <c r="FR29"/>
      <c r="FS29"/>
      <c r="FT29"/>
      <c r="FU29"/>
      <c r="FV29"/>
      <c r="FW29"/>
      <c r="FX29"/>
      <c r="FY29"/>
      <c r="FZ29"/>
      <c r="GA29"/>
      <c r="GB29"/>
      <c r="GC29"/>
      <c r="GD29"/>
      <c r="GE29"/>
      <c r="GF29"/>
      <c r="GG29"/>
      <c r="GH29"/>
      <c r="GI29"/>
      <c r="GJ29"/>
      <c r="GK29"/>
      <c r="GL29"/>
      <c r="GM29"/>
      <c r="GN29"/>
      <c r="GO29"/>
      <c r="GP29"/>
      <c r="GQ29"/>
      <c r="GR29"/>
      <c r="GS29"/>
      <c r="GT29"/>
      <c r="GU29"/>
      <c r="GV29"/>
      <c r="GW29"/>
      <c r="GX29"/>
      <c r="GY29"/>
      <c r="GZ29"/>
      <c r="HA29"/>
      <c r="HB29"/>
      <c r="HC29"/>
      <c r="HD29"/>
      <c r="HE29"/>
      <c r="HF29"/>
      <c r="HG29"/>
      <c r="HH29"/>
      <c r="HI29"/>
      <c r="HJ29"/>
      <c r="HK29"/>
      <c r="HL29"/>
      <c r="HM29"/>
      <c r="HN29"/>
      <c r="HO29"/>
      <c r="HP29"/>
      <c r="HQ29"/>
      <c r="HR29"/>
      <c r="HS29"/>
      <c r="HT29"/>
      <c r="HU29"/>
      <c r="HV29"/>
      <c r="HW29"/>
      <c r="HX29"/>
      <c r="HY29"/>
      <c r="HZ29"/>
      <c r="IA29"/>
      <c r="IB29"/>
      <c r="IC29"/>
      <c r="ID29"/>
      <c r="IE29"/>
      <c r="IF29"/>
      <c r="IG29"/>
      <c r="IH29"/>
      <c r="II29"/>
      <c r="IJ29"/>
      <c r="IK29"/>
      <c r="IL29"/>
      <c r="IM29"/>
      <c r="IN29"/>
      <c r="IO29"/>
      <c r="IP29"/>
      <c r="IQ29"/>
      <c r="IR29"/>
      <c r="IS29"/>
      <c r="IT29"/>
      <c r="IU29"/>
      <c r="IV29"/>
    </row>
    <row r="30" spans="1:256" ht="63.75" customHeight="1">
      <c r="A30" s="18" t="s">
        <v>29</v>
      </c>
      <c r="B30" s="20" t="s">
        <v>105</v>
      </c>
      <c r="C30" s="20" t="s">
        <v>106</v>
      </c>
      <c r="D30" s="20" t="s">
        <v>107</v>
      </c>
      <c r="E30" s="20" t="s">
        <v>108</v>
      </c>
      <c r="F30" s="20" t="s">
        <v>109</v>
      </c>
      <c r="G30" s="20" t="s">
        <v>110</v>
      </c>
      <c r="H30" s="20" t="s">
        <v>111</v>
      </c>
      <c r="I30" s="20" t="s">
        <v>112</v>
      </c>
      <c r="J30"/>
      <c r="K30"/>
      <c r="L30"/>
      <c r="M30"/>
      <c r="N30"/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  <c r="BM30"/>
      <c r="BN30"/>
      <c r="BO30"/>
      <c r="BP30"/>
      <c r="BQ30"/>
      <c r="BR30"/>
      <c r="BS30"/>
      <c r="BT30"/>
      <c r="BU30"/>
      <c r="BV30"/>
      <c r="BW30"/>
      <c r="BX30"/>
      <c r="BY30"/>
      <c r="BZ30"/>
      <c r="CA30"/>
      <c r="CB30"/>
      <c r="CC30"/>
      <c r="CD30"/>
      <c r="CE30"/>
      <c r="CF30"/>
      <c r="CG30"/>
      <c r="CH30"/>
      <c r="CI30"/>
      <c r="CJ30"/>
      <c r="CK30"/>
      <c r="CL30"/>
      <c r="CM30"/>
      <c r="CN30"/>
      <c r="CO30"/>
      <c r="CP30"/>
      <c r="CQ30"/>
      <c r="CR30"/>
      <c r="CS30"/>
      <c r="CT30"/>
      <c r="CU30"/>
      <c r="CV30"/>
      <c r="CW30"/>
      <c r="CX30"/>
      <c r="CY30"/>
      <c r="CZ30"/>
      <c r="DA30"/>
      <c r="DB30"/>
      <c r="DC30"/>
      <c r="DD30"/>
      <c r="DE30"/>
      <c r="DF30"/>
      <c r="DG30"/>
      <c r="DH30"/>
      <c r="DI30"/>
      <c r="DJ30"/>
      <c r="DK30"/>
      <c r="DL30"/>
      <c r="DM30"/>
      <c r="DN30"/>
      <c r="DO30"/>
      <c r="DP30"/>
      <c r="DQ30"/>
      <c r="DR30"/>
      <c r="DS30"/>
      <c r="DT30"/>
      <c r="DU30"/>
      <c r="DV30"/>
      <c r="DW30"/>
      <c r="DX30"/>
      <c r="DY30"/>
      <c r="DZ30"/>
      <c r="EA30"/>
      <c r="EB30"/>
      <c r="EC30"/>
      <c r="ED30"/>
      <c r="EE30"/>
      <c r="EF30"/>
      <c r="EG30"/>
      <c r="EH30"/>
      <c r="EI30"/>
      <c r="EJ30"/>
      <c r="EK30"/>
      <c r="EL30"/>
      <c r="EM30"/>
      <c r="EN30"/>
      <c r="EO30"/>
      <c r="EP30"/>
      <c r="EQ30"/>
      <c r="ER30"/>
      <c r="ES30"/>
      <c r="ET30"/>
      <c r="EU30"/>
      <c r="EV30"/>
      <c r="EW30"/>
      <c r="EX30"/>
      <c r="EY30"/>
      <c r="EZ30"/>
      <c r="FA30"/>
      <c r="FB30"/>
      <c r="FC30"/>
      <c r="FD30"/>
      <c r="FE30"/>
      <c r="FF30"/>
      <c r="FG30"/>
      <c r="FH30"/>
      <c r="FI30"/>
      <c r="FJ30"/>
      <c r="FK30"/>
      <c r="FL30"/>
      <c r="FM30"/>
      <c r="FN30"/>
      <c r="FO30"/>
      <c r="FP30"/>
      <c r="FQ30"/>
      <c r="FR30"/>
      <c r="FS30"/>
      <c r="FT30"/>
      <c r="FU30"/>
      <c r="FV30"/>
      <c r="FW30"/>
      <c r="FX30"/>
      <c r="FY30"/>
      <c r="FZ30"/>
      <c r="GA30"/>
      <c r="GB30"/>
      <c r="GC30"/>
      <c r="GD30"/>
      <c r="GE30"/>
      <c r="GF30"/>
      <c r="GG30"/>
      <c r="GH30"/>
      <c r="GI30"/>
      <c r="GJ30"/>
      <c r="GK30"/>
      <c r="GL30"/>
      <c r="GM30"/>
      <c r="GN30"/>
      <c r="GO30"/>
      <c r="GP30"/>
      <c r="GQ30"/>
      <c r="GR30"/>
      <c r="GS30"/>
      <c r="GT30"/>
      <c r="GU30"/>
      <c r="GV30"/>
      <c r="GW30"/>
      <c r="GX30"/>
      <c r="GY30"/>
      <c r="GZ30"/>
      <c r="HA30"/>
      <c r="HB30"/>
      <c r="HC30"/>
      <c r="HD30"/>
      <c r="HE30"/>
      <c r="HF30"/>
      <c r="HG30"/>
      <c r="HH30"/>
      <c r="HI30"/>
      <c r="HJ30"/>
      <c r="HK30"/>
      <c r="HL30"/>
      <c r="HM30"/>
      <c r="HN30"/>
      <c r="HO30"/>
      <c r="HP30"/>
      <c r="HQ30"/>
      <c r="HR30"/>
      <c r="HS30"/>
      <c r="HT30"/>
      <c r="HU30"/>
      <c r="HV30"/>
      <c r="HW30"/>
      <c r="HX30"/>
      <c r="HY30"/>
      <c r="HZ30"/>
      <c r="IA30"/>
      <c r="IB30"/>
      <c r="IC30"/>
      <c r="ID30"/>
      <c r="IE30"/>
      <c r="IF30"/>
      <c r="IG30"/>
      <c r="IH30"/>
      <c r="II30"/>
      <c r="IJ30"/>
      <c r="IK30"/>
      <c r="IL30"/>
      <c r="IM30"/>
      <c r="IN30"/>
      <c r="IO30"/>
      <c r="IP30"/>
      <c r="IQ30"/>
      <c r="IR30"/>
      <c r="IS30"/>
      <c r="IT30"/>
      <c r="IU30"/>
      <c r="IV30"/>
    </row>
    <row r="31" spans="1:256" ht="12.75" customHeight="1">
      <c r="A31" s="50" t="s">
        <v>89</v>
      </c>
      <c r="B31" s="32" t="s">
        <v>113</v>
      </c>
      <c r="C31" s="32" t="s">
        <v>114</v>
      </c>
      <c r="D31" s="32" t="s">
        <v>115</v>
      </c>
      <c r="E31" s="32" t="s">
        <v>116</v>
      </c>
      <c r="F31" s="32" t="s">
        <v>117</v>
      </c>
      <c r="G31" s="59" t="s">
        <v>118</v>
      </c>
      <c r="H31" s="32" t="s">
        <v>119</v>
      </c>
      <c r="I31" s="32" t="s">
        <v>120</v>
      </c>
      <c r="J31"/>
      <c r="K31"/>
      <c r="L31"/>
      <c r="M31"/>
      <c r="N31"/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  <c r="BM31"/>
      <c r="BN31"/>
      <c r="BO31"/>
      <c r="BP31"/>
      <c r="BQ31"/>
      <c r="BR31"/>
      <c r="BS31"/>
      <c r="BT31"/>
      <c r="BU31"/>
      <c r="BV31"/>
      <c r="BW31"/>
      <c r="BX31"/>
      <c r="BY31"/>
      <c r="BZ31"/>
      <c r="CA31"/>
      <c r="CB31"/>
      <c r="CC31"/>
      <c r="CD31"/>
      <c r="CE31"/>
      <c r="CF31"/>
      <c r="CG31"/>
      <c r="CH31"/>
      <c r="CI31"/>
      <c r="CJ31"/>
      <c r="CK31"/>
      <c r="CL31"/>
      <c r="CM31"/>
      <c r="CN31"/>
      <c r="CO31"/>
      <c r="CP31"/>
      <c r="CQ31"/>
      <c r="CR31"/>
      <c r="CS31"/>
      <c r="CT31"/>
      <c r="CU31"/>
      <c r="CV31"/>
      <c r="CW31"/>
      <c r="CX31"/>
      <c r="CY31"/>
      <c r="CZ31"/>
      <c r="DA31"/>
      <c r="DB31"/>
      <c r="DC31"/>
      <c r="DD31"/>
      <c r="DE31"/>
      <c r="DF31"/>
      <c r="DG31"/>
      <c r="DH31"/>
      <c r="DI31"/>
      <c r="DJ31"/>
      <c r="DK31"/>
      <c r="DL31"/>
      <c r="DM31"/>
      <c r="DN31"/>
      <c r="DO31"/>
      <c r="DP31"/>
      <c r="DQ31"/>
      <c r="DR31"/>
      <c r="DS31"/>
      <c r="DT31"/>
      <c r="DU31"/>
      <c r="DV31"/>
      <c r="DW31"/>
      <c r="DX31"/>
      <c r="DY31"/>
      <c r="DZ31"/>
      <c r="EA31"/>
      <c r="EB31"/>
      <c r="EC31"/>
      <c r="ED31"/>
      <c r="EE31"/>
      <c r="EF31"/>
      <c r="EG31"/>
      <c r="EH31"/>
      <c r="EI31"/>
      <c r="EJ31"/>
      <c r="EK31"/>
      <c r="EL31"/>
      <c r="EM31"/>
      <c r="EN31"/>
      <c r="EO31"/>
      <c r="EP31"/>
      <c r="EQ31"/>
      <c r="ER31"/>
      <c r="ES31"/>
      <c r="ET31"/>
      <c r="EU31"/>
      <c r="EV31"/>
      <c r="EW31"/>
      <c r="EX31"/>
      <c r="EY31"/>
      <c r="EZ31"/>
      <c r="FA31"/>
      <c r="FB31"/>
      <c r="FC31"/>
      <c r="FD31"/>
      <c r="FE31"/>
      <c r="FF31"/>
      <c r="FG31"/>
      <c r="FH31"/>
      <c r="FI31"/>
      <c r="FJ31"/>
      <c r="FK31"/>
      <c r="FL31"/>
      <c r="FM31"/>
      <c r="FN31"/>
      <c r="FO31"/>
      <c r="FP31"/>
      <c r="FQ31"/>
      <c r="FR31"/>
      <c r="FS31"/>
      <c r="FT31"/>
      <c r="FU31"/>
      <c r="FV31"/>
      <c r="FW31"/>
      <c r="FX31"/>
      <c r="FY31"/>
      <c r="FZ31"/>
      <c r="GA31"/>
      <c r="GB31"/>
      <c r="GC31"/>
      <c r="GD31"/>
      <c r="GE31"/>
      <c r="GF31"/>
      <c r="GG31"/>
      <c r="GH31"/>
      <c r="GI31"/>
      <c r="GJ31"/>
      <c r="GK31"/>
      <c r="GL31"/>
      <c r="GM31"/>
      <c r="GN31"/>
      <c r="GO31"/>
      <c r="GP31"/>
      <c r="GQ31"/>
      <c r="GR31"/>
      <c r="GS31"/>
      <c r="GT31"/>
      <c r="GU31"/>
      <c r="GV31"/>
      <c r="GW31"/>
      <c r="GX31"/>
      <c r="GY31"/>
      <c r="GZ31"/>
      <c r="HA31"/>
      <c r="HB31"/>
      <c r="HC31"/>
      <c r="HD31"/>
      <c r="HE31"/>
      <c r="HF31"/>
      <c r="HG31"/>
      <c r="HH31"/>
      <c r="HI31"/>
      <c r="HJ31"/>
      <c r="HK31"/>
      <c r="HL31"/>
      <c r="HM31"/>
      <c r="HN31"/>
      <c r="HO31"/>
      <c r="HP31"/>
      <c r="HQ31"/>
      <c r="HR31"/>
      <c r="HS31"/>
      <c r="HT31"/>
      <c r="HU31"/>
      <c r="HV31"/>
      <c r="HW31"/>
      <c r="HX31"/>
      <c r="HY31"/>
      <c r="HZ31"/>
      <c r="IA31"/>
      <c r="IB31"/>
      <c r="IC31"/>
      <c r="ID31"/>
      <c r="IE31"/>
      <c r="IF31"/>
      <c r="IG31"/>
      <c r="IH31"/>
      <c r="II31"/>
      <c r="IJ31"/>
      <c r="IK31"/>
      <c r="IL31"/>
      <c r="IM31"/>
      <c r="IN31"/>
      <c r="IO31"/>
      <c r="IP31"/>
      <c r="IQ31"/>
      <c r="IR31"/>
      <c r="IS31"/>
      <c r="IT31"/>
      <c r="IU31"/>
      <c r="IV31"/>
    </row>
    <row r="32" spans="1:256">
      <c r="A32" s="26" t="s">
        <v>59</v>
      </c>
      <c r="B32" s="32" t="s">
        <v>60</v>
      </c>
      <c r="C32" s="32" t="s">
        <v>60</v>
      </c>
      <c r="D32" s="32" t="s">
        <v>60</v>
      </c>
      <c r="E32" s="60" t="s">
        <v>121</v>
      </c>
      <c r="F32" s="60" t="s">
        <v>122</v>
      </c>
      <c r="G32" s="32" t="s">
        <v>60</v>
      </c>
      <c r="H32" s="32" t="s">
        <v>60</v>
      </c>
      <c r="I32" s="32" t="s">
        <v>60</v>
      </c>
      <c r="J32"/>
      <c r="K32"/>
      <c r="L32"/>
      <c r="M32"/>
      <c r="N32"/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  <c r="BM32"/>
      <c r="BN32"/>
      <c r="BO32"/>
      <c r="BP32"/>
      <c r="BQ32"/>
      <c r="BR32"/>
      <c r="BS32"/>
      <c r="BT32"/>
      <c r="BU32"/>
      <c r="BV32"/>
      <c r="BW32"/>
      <c r="BX32"/>
      <c r="BY32"/>
      <c r="BZ32"/>
      <c r="CA32"/>
      <c r="CB32"/>
      <c r="CC32"/>
      <c r="CD32"/>
      <c r="CE32"/>
      <c r="CF32"/>
      <c r="CG32"/>
      <c r="CH32"/>
      <c r="CI32"/>
      <c r="CJ32"/>
      <c r="CK32"/>
      <c r="CL32"/>
      <c r="CM32"/>
      <c r="CN32"/>
      <c r="CO32"/>
      <c r="CP32"/>
      <c r="CQ32"/>
      <c r="CR32"/>
      <c r="CS32"/>
      <c r="CT32"/>
      <c r="CU32"/>
      <c r="CV32"/>
      <c r="CW32"/>
      <c r="CX32"/>
      <c r="CY32"/>
      <c r="CZ32"/>
      <c r="DA32"/>
      <c r="DB32"/>
      <c r="DC32"/>
      <c r="DD32"/>
      <c r="DE32"/>
      <c r="DF32"/>
      <c r="DG32"/>
      <c r="DH32"/>
      <c r="DI32"/>
      <c r="DJ32"/>
      <c r="DK32"/>
      <c r="DL32"/>
      <c r="DM32"/>
      <c r="DN32"/>
      <c r="DO32"/>
      <c r="DP32"/>
      <c r="DQ32"/>
      <c r="DR32"/>
      <c r="DS32"/>
      <c r="DT32"/>
      <c r="DU32"/>
      <c r="DV32"/>
      <c r="DW32"/>
      <c r="DX32"/>
      <c r="DY32"/>
      <c r="DZ32"/>
      <c r="EA32"/>
      <c r="EB32"/>
      <c r="EC32"/>
      <c r="ED32"/>
      <c r="EE32"/>
      <c r="EF32"/>
      <c r="EG32"/>
      <c r="EH32"/>
      <c r="EI32"/>
      <c r="EJ32"/>
      <c r="EK32"/>
      <c r="EL32"/>
      <c r="EM32"/>
      <c r="EN32"/>
      <c r="EO32"/>
      <c r="EP32"/>
      <c r="EQ32"/>
      <c r="ER32"/>
      <c r="ES32"/>
      <c r="ET32"/>
      <c r="EU32"/>
      <c r="EV32"/>
      <c r="EW32"/>
      <c r="EX32"/>
      <c r="EY32"/>
      <c r="EZ32"/>
      <c r="FA32"/>
      <c r="FB32"/>
      <c r="FC32"/>
      <c r="FD32"/>
      <c r="FE32"/>
      <c r="FF32"/>
      <c r="FG32"/>
      <c r="FH32"/>
      <c r="FI32"/>
      <c r="FJ32"/>
      <c r="FK32"/>
      <c r="FL32"/>
      <c r="FM32"/>
      <c r="FN32"/>
      <c r="FO32"/>
      <c r="FP32"/>
      <c r="FQ32"/>
      <c r="FR32"/>
      <c r="FS32"/>
      <c r="FT32"/>
      <c r="FU32"/>
      <c r="FV32"/>
      <c r="FW32"/>
      <c r="FX32"/>
      <c r="FY32"/>
      <c r="FZ32"/>
      <c r="GA32"/>
      <c r="GB32"/>
      <c r="GC32"/>
      <c r="GD32"/>
      <c r="GE32"/>
      <c r="GF32"/>
      <c r="GG32"/>
      <c r="GH32"/>
      <c r="GI32"/>
      <c r="GJ32"/>
      <c r="GK32"/>
      <c r="GL32"/>
      <c r="GM32"/>
      <c r="GN32"/>
      <c r="GO32"/>
      <c r="GP32"/>
      <c r="GQ32"/>
      <c r="GR32"/>
      <c r="GS32"/>
      <c r="GT32"/>
      <c r="GU32"/>
      <c r="GV32"/>
      <c r="GW32"/>
      <c r="GX32"/>
      <c r="GY32"/>
      <c r="GZ32"/>
      <c r="HA32"/>
      <c r="HB32"/>
      <c r="HC32"/>
      <c r="HD32"/>
      <c r="HE32"/>
      <c r="HF32"/>
      <c r="HG32"/>
      <c r="HH32"/>
      <c r="HI32"/>
      <c r="HJ32"/>
      <c r="HK32"/>
      <c r="HL32"/>
      <c r="HM32"/>
      <c r="HN32"/>
      <c r="HO32"/>
      <c r="HP32"/>
      <c r="HQ32"/>
      <c r="HR32"/>
      <c r="HS32"/>
      <c r="HT32"/>
      <c r="HU32"/>
      <c r="HV32"/>
      <c r="HW32"/>
      <c r="HX32"/>
      <c r="HY32"/>
      <c r="HZ32"/>
      <c r="IA32"/>
      <c r="IB32"/>
      <c r="IC32"/>
      <c r="ID32"/>
      <c r="IE32"/>
      <c r="IF32"/>
      <c r="IG32"/>
      <c r="IH32"/>
      <c r="II32"/>
      <c r="IJ32"/>
      <c r="IK32"/>
      <c r="IL32"/>
      <c r="IM32"/>
      <c r="IN32"/>
      <c r="IO32"/>
      <c r="IP32"/>
      <c r="IQ32"/>
      <c r="IR32"/>
      <c r="IS32"/>
      <c r="IT32"/>
      <c r="IU32"/>
      <c r="IV32"/>
    </row>
    <row r="33" spans="1:256" s="62" customFormat="1">
      <c r="A33" s="36"/>
      <c r="B33" s="61"/>
      <c r="C33" s="61"/>
      <c r="D33" s="61"/>
      <c r="E33" s="40"/>
      <c r="F33" s="40"/>
      <c r="G33" s="40"/>
      <c r="H33" s="40"/>
      <c r="I33" s="40"/>
    </row>
    <row r="34" spans="1:256">
      <c r="A34" s="63"/>
      <c r="B34" s="37"/>
      <c r="C34" s="37"/>
      <c r="D34" s="37"/>
      <c r="E34" s="8"/>
      <c r="F34" s="8"/>
      <c r="G34" s="37"/>
      <c r="H34" s="37"/>
      <c r="I34"/>
      <c r="J34"/>
      <c r="K34"/>
      <c r="L34"/>
      <c r="M34"/>
      <c r="N34"/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  <c r="BM34"/>
      <c r="BN34"/>
      <c r="BO34"/>
      <c r="BP34"/>
      <c r="BQ34"/>
      <c r="BR34"/>
      <c r="BS34"/>
      <c r="BT34"/>
      <c r="BU34"/>
      <c r="BV34"/>
      <c r="BW34"/>
      <c r="BX34"/>
      <c r="BY34"/>
      <c r="BZ34"/>
      <c r="CA34"/>
      <c r="CB34"/>
      <c r="CC34"/>
      <c r="CD34"/>
      <c r="CE34"/>
      <c r="CF34"/>
      <c r="CG34"/>
      <c r="CH34"/>
      <c r="CI34"/>
      <c r="CJ34"/>
      <c r="CK34"/>
      <c r="CL34"/>
      <c r="CM34"/>
      <c r="CN34"/>
      <c r="CO34"/>
      <c r="CP34"/>
      <c r="CQ34"/>
      <c r="CR34"/>
      <c r="CS34"/>
      <c r="CT34"/>
      <c r="CU34"/>
      <c r="CV34"/>
      <c r="CW34"/>
      <c r="CX34"/>
      <c r="CY34"/>
      <c r="CZ34"/>
      <c r="DA34"/>
      <c r="DB34"/>
      <c r="DC34"/>
      <c r="DD34"/>
      <c r="DE34"/>
      <c r="DF34"/>
      <c r="DG34"/>
      <c r="DH34"/>
      <c r="DI34"/>
      <c r="DJ34"/>
      <c r="DK34"/>
      <c r="DL34"/>
      <c r="DM34"/>
      <c r="DN34"/>
      <c r="DO34"/>
      <c r="DP34"/>
      <c r="DQ34"/>
      <c r="DR34"/>
      <c r="DS34"/>
      <c r="DT34"/>
      <c r="DU34"/>
      <c r="DV34"/>
      <c r="DW34"/>
      <c r="DX34"/>
      <c r="DY34"/>
      <c r="DZ34"/>
      <c r="EA34"/>
      <c r="EB34"/>
      <c r="EC34"/>
      <c r="ED34"/>
      <c r="EE34"/>
      <c r="EF34"/>
      <c r="EG34"/>
      <c r="EH34"/>
      <c r="EI34"/>
      <c r="EJ34"/>
      <c r="EK34"/>
      <c r="EL34"/>
      <c r="EM34"/>
      <c r="EN34"/>
      <c r="EO34"/>
      <c r="EP34"/>
      <c r="EQ34"/>
      <c r="ER34"/>
      <c r="ES34"/>
      <c r="ET34"/>
      <c r="EU34"/>
      <c r="EV34"/>
      <c r="EW34"/>
      <c r="EX34"/>
      <c r="EY34"/>
      <c r="EZ34"/>
      <c r="FA34"/>
      <c r="FB34"/>
      <c r="FC34"/>
      <c r="FD34"/>
      <c r="FE34"/>
      <c r="FF34"/>
      <c r="FG34"/>
      <c r="FH34"/>
      <c r="FI34"/>
      <c r="FJ34"/>
      <c r="FK34"/>
      <c r="FL34"/>
      <c r="FM34"/>
      <c r="FN34"/>
      <c r="FO34"/>
      <c r="FP34"/>
      <c r="FQ34"/>
      <c r="FR34"/>
      <c r="FS34"/>
      <c r="FT34"/>
      <c r="FU34"/>
      <c r="FV34"/>
      <c r="FW34"/>
      <c r="FX34"/>
      <c r="FY34"/>
      <c r="FZ34"/>
      <c r="GA34"/>
      <c r="GB34"/>
      <c r="GC34"/>
      <c r="GD34"/>
      <c r="GE34"/>
      <c r="GF34"/>
      <c r="GG34"/>
      <c r="GH34"/>
      <c r="GI34"/>
      <c r="GJ34"/>
      <c r="GK34"/>
      <c r="GL34"/>
      <c r="GM34"/>
      <c r="GN34"/>
      <c r="GO34"/>
      <c r="GP34"/>
      <c r="GQ34"/>
      <c r="GR34"/>
      <c r="GS34"/>
      <c r="GT34"/>
      <c r="GU34"/>
      <c r="GV34"/>
      <c r="GW34"/>
      <c r="GX34"/>
      <c r="GY34"/>
      <c r="GZ34"/>
      <c r="HA34"/>
      <c r="HB34"/>
      <c r="HC34"/>
      <c r="HD34"/>
      <c r="HE34"/>
      <c r="HF34"/>
      <c r="HG34"/>
      <c r="HH34"/>
      <c r="HI34"/>
      <c r="HJ34"/>
      <c r="HK34"/>
      <c r="HL34"/>
      <c r="HM34"/>
      <c r="HN34"/>
      <c r="HO34"/>
      <c r="HP34"/>
      <c r="HQ34"/>
      <c r="HR34"/>
      <c r="HS34"/>
      <c r="HT34"/>
      <c r="HU34"/>
      <c r="HV34"/>
      <c r="HW34"/>
      <c r="HX34"/>
      <c r="HY34"/>
      <c r="HZ34"/>
      <c r="IA34"/>
      <c r="IB34"/>
      <c r="IC34"/>
      <c r="ID34"/>
      <c r="IE34"/>
      <c r="IF34"/>
      <c r="IG34"/>
      <c r="IH34"/>
      <c r="II34"/>
      <c r="IJ34"/>
      <c r="IK34"/>
      <c r="IL34"/>
      <c r="IM34"/>
      <c r="IN34"/>
      <c r="IO34"/>
      <c r="IP34"/>
      <c r="IQ34"/>
      <c r="IR34"/>
      <c r="IS34"/>
      <c r="IT34"/>
      <c r="IU34"/>
      <c r="IV34"/>
    </row>
    <row r="35" spans="1:256">
      <c r="A35" s="64" t="s">
        <v>123</v>
      </c>
      <c r="B35" s="65" t="s">
        <v>124</v>
      </c>
      <c r="C35" s="37"/>
      <c r="D35" s="37"/>
      <c r="E35" s="8"/>
      <c r="F35" s="8"/>
      <c r="G35" s="37"/>
      <c r="H35" s="37"/>
      <c r="I35"/>
      <c r="J35"/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  <c r="BM35"/>
      <c r="BN35"/>
      <c r="BO35"/>
      <c r="BP35"/>
      <c r="BQ35"/>
      <c r="BR35"/>
      <c r="BS35"/>
      <c r="BT35"/>
      <c r="BU35"/>
      <c r="BV35"/>
      <c r="BW35"/>
      <c r="BX35"/>
      <c r="BY35"/>
      <c r="BZ35"/>
      <c r="CA35"/>
      <c r="CB35"/>
      <c r="CC35"/>
      <c r="CD35"/>
      <c r="CE35"/>
      <c r="CF35"/>
      <c r="CG35"/>
      <c r="CH35"/>
      <c r="CI35"/>
      <c r="CJ35"/>
      <c r="CK35"/>
      <c r="CL35"/>
      <c r="CM35"/>
      <c r="CN35"/>
      <c r="CO35"/>
      <c r="CP35"/>
      <c r="CQ35"/>
      <c r="CR35"/>
      <c r="CS35"/>
      <c r="CT35"/>
      <c r="CU35"/>
      <c r="CV35"/>
      <c r="CW35"/>
      <c r="CX35"/>
      <c r="CY35"/>
      <c r="CZ35"/>
      <c r="DA35"/>
      <c r="DB35"/>
      <c r="DC35"/>
      <c r="DD35"/>
      <c r="DE35"/>
      <c r="DF35"/>
      <c r="DG35"/>
      <c r="DH35"/>
      <c r="DI35"/>
      <c r="DJ35"/>
      <c r="DK35"/>
      <c r="DL35"/>
      <c r="DM35"/>
      <c r="DN35"/>
      <c r="DO35"/>
      <c r="DP35"/>
      <c r="DQ35"/>
      <c r="DR35"/>
      <c r="DS35"/>
      <c r="DT35"/>
      <c r="DU35"/>
      <c r="DV35"/>
      <c r="DW35"/>
      <c r="DX35"/>
      <c r="DY35"/>
      <c r="DZ35"/>
      <c r="EA35"/>
      <c r="EB35"/>
      <c r="EC35"/>
      <c r="ED35"/>
      <c r="EE35"/>
      <c r="EF35"/>
      <c r="EG35"/>
      <c r="EH35"/>
      <c r="EI35"/>
      <c r="EJ35"/>
      <c r="EK35"/>
      <c r="EL35"/>
      <c r="EM35"/>
      <c r="EN35"/>
      <c r="EO35"/>
      <c r="EP35"/>
      <c r="EQ35"/>
      <c r="ER35"/>
      <c r="ES35"/>
      <c r="ET35"/>
      <c r="EU35"/>
      <c r="EV35"/>
      <c r="EW35"/>
      <c r="EX35"/>
      <c r="EY35"/>
      <c r="EZ35"/>
      <c r="FA35"/>
      <c r="FB35"/>
      <c r="FC35"/>
      <c r="FD35"/>
      <c r="FE35"/>
      <c r="FF35"/>
      <c r="FG35"/>
      <c r="FH35"/>
      <c r="FI35"/>
      <c r="FJ35"/>
      <c r="FK35"/>
      <c r="FL35"/>
      <c r="FM35"/>
      <c r="FN35"/>
      <c r="FO35"/>
      <c r="FP35"/>
      <c r="FQ35"/>
      <c r="FR35"/>
      <c r="FS35"/>
      <c r="FT35"/>
      <c r="FU35"/>
      <c r="FV35"/>
      <c r="FW35"/>
      <c r="FX35"/>
      <c r="FY35"/>
      <c r="FZ35"/>
      <c r="GA35"/>
      <c r="GB35"/>
      <c r="GC35"/>
      <c r="GD35"/>
      <c r="GE35"/>
      <c r="GF35"/>
      <c r="GG35"/>
      <c r="GH35"/>
      <c r="GI35"/>
      <c r="GJ35"/>
      <c r="GK35"/>
      <c r="GL35"/>
      <c r="GM35"/>
      <c r="GN35"/>
      <c r="GO35"/>
      <c r="GP35"/>
      <c r="GQ35"/>
      <c r="GR35"/>
      <c r="GS35"/>
      <c r="GT35"/>
      <c r="GU35"/>
      <c r="GV35"/>
      <c r="GW35"/>
      <c r="GX35"/>
      <c r="GY35"/>
      <c r="GZ35"/>
      <c r="HA35"/>
      <c r="HB35"/>
      <c r="HC35"/>
      <c r="HD35"/>
      <c r="HE35"/>
      <c r="HF35"/>
      <c r="HG35"/>
      <c r="HH35"/>
      <c r="HI35"/>
      <c r="HJ35"/>
      <c r="HK35"/>
      <c r="HL35"/>
      <c r="HM35"/>
      <c r="HN35"/>
      <c r="HO35"/>
      <c r="HP35"/>
      <c r="HQ35"/>
      <c r="HR35"/>
      <c r="HS35"/>
      <c r="HT35"/>
      <c r="HU35"/>
      <c r="HV35"/>
      <c r="HW35"/>
      <c r="HX35"/>
      <c r="HY35"/>
      <c r="HZ35"/>
      <c r="IA35"/>
      <c r="IB35"/>
      <c r="IC35"/>
      <c r="ID35"/>
      <c r="IE35"/>
      <c r="IF35"/>
      <c r="IG35"/>
      <c r="IH35"/>
      <c r="II35"/>
      <c r="IJ35"/>
      <c r="IK35"/>
      <c r="IL35"/>
      <c r="IM35"/>
      <c r="IN35"/>
      <c r="IO35"/>
      <c r="IP35"/>
      <c r="IQ35"/>
      <c r="IR35"/>
      <c r="IS35"/>
      <c r="IT35"/>
      <c r="IU35"/>
      <c r="IV35"/>
    </row>
    <row r="36" spans="1:256">
      <c r="A36"/>
      <c r="B36" s="66" t="s">
        <v>125</v>
      </c>
      <c r="C36" s="37"/>
      <c r="D36" s="37"/>
      <c r="E36" s="8"/>
      <c r="F36" s="8"/>
      <c r="G36" s="37"/>
      <c r="H36" s="37"/>
      <c r="I36"/>
      <c r="J36"/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  <c r="BM36"/>
      <c r="BN36"/>
      <c r="BO36"/>
      <c r="BP36"/>
      <c r="BQ36"/>
      <c r="BR36"/>
      <c r="BS36"/>
      <c r="BT36"/>
      <c r="BU36"/>
      <c r="BV36"/>
      <c r="BW36"/>
      <c r="BX36"/>
      <c r="BY36"/>
      <c r="BZ36"/>
      <c r="CA36"/>
      <c r="CB36"/>
      <c r="CC36"/>
      <c r="CD36"/>
      <c r="CE36"/>
      <c r="CF36"/>
      <c r="CG36"/>
      <c r="CH36"/>
      <c r="CI36"/>
      <c r="CJ36"/>
      <c r="CK36"/>
      <c r="CL36"/>
      <c r="CM36"/>
      <c r="CN36"/>
      <c r="CO36"/>
      <c r="CP36"/>
      <c r="CQ36"/>
      <c r="CR36"/>
      <c r="CS36"/>
      <c r="CT36"/>
      <c r="CU36"/>
      <c r="CV36"/>
      <c r="CW36"/>
      <c r="CX36"/>
      <c r="CY36"/>
      <c r="CZ36"/>
      <c r="DA36"/>
      <c r="DB36"/>
      <c r="DC36"/>
      <c r="DD36"/>
      <c r="DE36"/>
      <c r="DF36"/>
      <c r="DG36"/>
      <c r="DH36"/>
      <c r="DI36"/>
      <c r="DJ36"/>
      <c r="DK36"/>
      <c r="DL36"/>
      <c r="DM36"/>
      <c r="DN36"/>
      <c r="DO36"/>
      <c r="DP36"/>
      <c r="DQ36"/>
      <c r="DR36"/>
      <c r="DS36"/>
      <c r="DT36"/>
      <c r="DU36"/>
      <c r="DV36"/>
      <c r="DW36"/>
      <c r="DX36"/>
      <c r="DY36"/>
      <c r="DZ36"/>
      <c r="EA36"/>
      <c r="EB36"/>
      <c r="EC36"/>
      <c r="ED36"/>
      <c r="EE36"/>
      <c r="EF36"/>
      <c r="EG36"/>
      <c r="EH36"/>
      <c r="EI36"/>
      <c r="EJ36"/>
      <c r="EK36"/>
      <c r="EL36"/>
      <c r="EM36"/>
      <c r="EN36"/>
      <c r="EO36"/>
      <c r="EP36"/>
      <c r="EQ36"/>
      <c r="ER36"/>
      <c r="ES36"/>
      <c r="ET36"/>
      <c r="EU36"/>
      <c r="EV36"/>
      <c r="EW36"/>
      <c r="EX36"/>
      <c r="EY36"/>
      <c r="EZ36"/>
      <c r="FA36"/>
      <c r="FB36"/>
      <c r="FC36"/>
      <c r="FD36"/>
      <c r="FE36"/>
      <c r="FF36"/>
      <c r="FG36"/>
      <c r="FH36"/>
      <c r="FI36"/>
      <c r="FJ36"/>
      <c r="FK36"/>
      <c r="FL36"/>
      <c r="FM36"/>
      <c r="FN36"/>
      <c r="FO36"/>
      <c r="FP36"/>
      <c r="FQ36"/>
      <c r="FR36"/>
      <c r="FS36"/>
      <c r="FT36"/>
      <c r="FU36"/>
      <c r="FV36"/>
      <c r="FW36"/>
      <c r="FX36"/>
      <c r="FY36"/>
      <c r="FZ36"/>
      <c r="GA36"/>
      <c r="GB36"/>
      <c r="GC36"/>
      <c r="GD36"/>
      <c r="GE36"/>
      <c r="GF36"/>
      <c r="GG36"/>
      <c r="GH36"/>
      <c r="GI36"/>
      <c r="GJ36"/>
      <c r="GK36"/>
      <c r="GL36"/>
      <c r="GM36"/>
      <c r="GN36"/>
      <c r="GO36"/>
      <c r="GP36"/>
      <c r="GQ36"/>
      <c r="GR36"/>
      <c r="GS36"/>
      <c r="GT36"/>
      <c r="GU36"/>
      <c r="GV36"/>
      <c r="GW36"/>
      <c r="GX36"/>
      <c r="GY36"/>
      <c r="GZ36"/>
      <c r="HA36"/>
      <c r="HB36"/>
      <c r="HC36"/>
      <c r="HD36"/>
      <c r="HE36"/>
      <c r="HF36"/>
      <c r="HG36"/>
      <c r="HH36"/>
      <c r="HI36"/>
      <c r="HJ36"/>
      <c r="HK36"/>
      <c r="HL36"/>
      <c r="HM36"/>
      <c r="HN36"/>
      <c r="HO36"/>
      <c r="HP36"/>
      <c r="HQ36"/>
      <c r="HR36"/>
      <c r="HS36"/>
      <c r="HT36"/>
      <c r="HU36"/>
      <c r="HV36"/>
      <c r="HW36"/>
      <c r="HX36"/>
      <c r="HY36"/>
      <c r="HZ36"/>
      <c r="IA36"/>
      <c r="IB36"/>
      <c r="IC36"/>
      <c r="ID36"/>
      <c r="IE36"/>
      <c r="IF36"/>
      <c r="IG36"/>
      <c r="IH36"/>
      <c r="II36"/>
      <c r="IJ36"/>
      <c r="IK36"/>
      <c r="IL36"/>
      <c r="IM36"/>
      <c r="IN36"/>
      <c r="IO36"/>
      <c r="IP36"/>
      <c r="IQ36"/>
      <c r="IR36"/>
      <c r="IS36"/>
      <c r="IT36"/>
      <c r="IU36"/>
      <c r="IV36"/>
    </row>
    <row r="37" spans="1:256">
      <c r="A37" s="45"/>
      <c r="B37" s="67" t="s">
        <v>126</v>
      </c>
      <c r="C37" s="67" t="s">
        <v>127</v>
      </c>
      <c r="D37" s="68" t="s">
        <v>128</v>
      </c>
      <c r="E37" s="68" t="s">
        <v>29</v>
      </c>
      <c r="F37" s="68" t="s">
        <v>129</v>
      </c>
      <c r="G37" s="68" t="s">
        <v>130</v>
      </c>
      <c r="H37" s="69" t="s">
        <v>131</v>
      </c>
      <c r="I37" s="68" t="s">
        <v>74</v>
      </c>
      <c r="J37"/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  <c r="BM37"/>
      <c r="BN37"/>
      <c r="BO37"/>
      <c r="BP37"/>
      <c r="BQ37"/>
      <c r="BR37"/>
      <c r="BS37"/>
      <c r="BT37"/>
      <c r="BU37"/>
      <c r="BV37"/>
      <c r="BW37"/>
      <c r="BX37"/>
      <c r="BY37"/>
      <c r="BZ37"/>
      <c r="CA37"/>
      <c r="CB37"/>
      <c r="CC37"/>
      <c r="CD37"/>
      <c r="CE37"/>
      <c r="CF37"/>
      <c r="CG37"/>
      <c r="CH37"/>
      <c r="CI37"/>
      <c r="CJ37"/>
      <c r="CK37"/>
      <c r="CL37"/>
      <c r="CM37"/>
      <c r="CN37"/>
      <c r="CO37"/>
      <c r="CP37"/>
      <c r="CQ37"/>
      <c r="CR37"/>
      <c r="CS37"/>
      <c r="CT37"/>
      <c r="CU37"/>
      <c r="CV37"/>
      <c r="CW37"/>
      <c r="CX37"/>
      <c r="CY37"/>
      <c r="CZ37"/>
      <c r="DA37"/>
      <c r="DB37"/>
      <c r="DC37"/>
      <c r="DD37"/>
      <c r="DE37"/>
      <c r="DF37"/>
      <c r="DG37"/>
      <c r="DH37"/>
      <c r="DI37"/>
      <c r="DJ37"/>
      <c r="DK37"/>
      <c r="DL37"/>
      <c r="DM37"/>
      <c r="DN37"/>
      <c r="DO37"/>
      <c r="DP37"/>
      <c r="DQ37"/>
      <c r="DR37"/>
      <c r="DS37"/>
      <c r="DT37"/>
      <c r="DU37"/>
      <c r="DV37"/>
      <c r="DW37"/>
      <c r="DX37"/>
      <c r="DY37"/>
      <c r="DZ37"/>
      <c r="EA37"/>
      <c r="EB37"/>
      <c r="EC37"/>
      <c r="ED37"/>
      <c r="EE37"/>
      <c r="EF37"/>
      <c r="EG37"/>
      <c r="EH37"/>
      <c r="EI37"/>
      <c r="EJ37"/>
      <c r="EK37"/>
      <c r="EL37"/>
      <c r="EM37"/>
      <c r="EN37"/>
      <c r="EO37"/>
      <c r="EP37"/>
      <c r="EQ37"/>
      <c r="ER37"/>
      <c r="ES37"/>
      <c r="ET37"/>
      <c r="EU37"/>
      <c r="EV37"/>
      <c r="EW37"/>
      <c r="EX37"/>
      <c r="EY37"/>
      <c r="EZ37"/>
      <c r="FA37"/>
      <c r="FB37"/>
      <c r="FC37"/>
      <c r="FD37"/>
      <c r="FE37"/>
      <c r="FF37"/>
      <c r="FG37"/>
      <c r="FH37"/>
      <c r="FI37"/>
      <c r="FJ37"/>
      <c r="FK37"/>
      <c r="FL37"/>
      <c r="FM37"/>
      <c r="FN37"/>
      <c r="FO37"/>
      <c r="FP37"/>
      <c r="FQ37"/>
      <c r="FR37"/>
      <c r="FS37"/>
      <c r="FT37"/>
      <c r="FU37"/>
      <c r="FV37"/>
      <c r="FW37"/>
      <c r="FX37"/>
      <c r="FY37"/>
      <c r="FZ37"/>
      <c r="GA37"/>
      <c r="GB37"/>
      <c r="GC37"/>
      <c r="GD37"/>
      <c r="GE37"/>
      <c r="GF37"/>
      <c r="GG37"/>
      <c r="GH37"/>
      <c r="GI37"/>
      <c r="GJ37"/>
      <c r="GK37"/>
      <c r="GL37"/>
      <c r="GM37"/>
      <c r="GN37"/>
      <c r="GO37"/>
      <c r="GP37"/>
      <c r="GQ37"/>
      <c r="GR37"/>
      <c r="GS37"/>
      <c r="GT37"/>
      <c r="GU37"/>
      <c r="GV37"/>
      <c r="GW37"/>
      <c r="GX37"/>
      <c r="GY37"/>
      <c r="GZ37"/>
      <c r="HA37"/>
      <c r="HB37"/>
      <c r="HC37"/>
      <c r="HD37"/>
      <c r="HE37"/>
      <c r="HF37"/>
      <c r="HG37"/>
      <c r="HH37"/>
      <c r="HI37"/>
      <c r="HJ37"/>
      <c r="HK37"/>
      <c r="HL37"/>
      <c r="HM37"/>
      <c r="HN37"/>
      <c r="HO37"/>
      <c r="HP37"/>
      <c r="HQ37"/>
      <c r="HR37"/>
      <c r="HS37"/>
      <c r="HT37"/>
      <c r="HU37"/>
      <c r="HV37"/>
      <c r="HW37"/>
      <c r="HX37"/>
      <c r="HY37"/>
      <c r="HZ37"/>
      <c r="IA37"/>
      <c r="IB37"/>
      <c r="IC37"/>
      <c r="ID37"/>
      <c r="IE37"/>
      <c r="IF37"/>
      <c r="IG37"/>
      <c r="IH37"/>
      <c r="II37"/>
      <c r="IJ37"/>
      <c r="IK37"/>
      <c r="IL37"/>
      <c r="IM37"/>
      <c r="IN37"/>
      <c r="IO37"/>
      <c r="IP37"/>
      <c r="IQ37"/>
      <c r="IR37"/>
      <c r="IS37"/>
      <c r="IT37"/>
      <c r="IU37"/>
      <c r="IV37"/>
    </row>
    <row r="38" spans="1:256" ht="63.75" customHeight="1">
      <c r="A38" s="18" t="s">
        <v>29</v>
      </c>
      <c r="B38" s="23" t="s">
        <v>132</v>
      </c>
      <c r="C38" s="70" t="s">
        <v>133</v>
      </c>
      <c r="D38" s="20" t="s">
        <v>134</v>
      </c>
      <c r="E38" s="19" t="s">
        <v>135</v>
      </c>
      <c r="F38" s="20" t="s">
        <v>136</v>
      </c>
      <c r="G38" s="19" t="s">
        <v>137</v>
      </c>
      <c r="H38" s="71" t="s">
        <v>138</v>
      </c>
      <c r="I38" s="23" t="s">
        <v>139</v>
      </c>
      <c r="J38"/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  <c r="BM38"/>
      <c r="BN38"/>
      <c r="BO38"/>
      <c r="BP38"/>
      <c r="BQ38"/>
      <c r="BR38"/>
      <c r="BS38"/>
      <c r="BT38"/>
      <c r="BU38"/>
      <c r="BV38"/>
      <c r="BW38"/>
      <c r="BX38"/>
      <c r="BY38"/>
      <c r="BZ38"/>
      <c r="CA38"/>
      <c r="CB38"/>
      <c r="CC38"/>
      <c r="CD38"/>
      <c r="CE38"/>
      <c r="CF38"/>
      <c r="CG38"/>
      <c r="CH38"/>
      <c r="CI38"/>
      <c r="CJ38"/>
      <c r="CK38"/>
      <c r="CL38"/>
      <c r="CM38"/>
      <c r="CN38"/>
      <c r="CO38"/>
      <c r="CP38"/>
      <c r="CQ38"/>
      <c r="CR38"/>
      <c r="CS38"/>
      <c r="CT38"/>
      <c r="CU38"/>
      <c r="CV38"/>
      <c r="CW38"/>
      <c r="CX38"/>
      <c r="CY38"/>
      <c r="CZ38"/>
      <c r="DA38"/>
      <c r="DB38"/>
      <c r="DC38"/>
      <c r="DD38"/>
      <c r="DE38"/>
      <c r="DF38"/>
      <c r="DG38"/>
      <c r="DH38"/>
      <c r="DI38"/>
      <c r="DJ38"/>
      <c r="DK38"/>
      <c r="DL38"/>
      <c r="DM38"/>
      <c r="DN38"/>
      <c r="DO38"/>
      <c r="DP38"/>
      <c r="DQ38"/>
      <c r="DR38"/>
      <c r="DS38"/>
      <c r="DT38"/>
      <c r="DU38"/>
      <c r="DV38"/>
      <c r="DW38"/>
      <c r="DX38"/>
      <c r="DY38"/>
      <c r="DZ38"/>
      <c r="EA38"/>
      <c r="EB38"/>
      <c r="EC38"/>
      <c r="ED38"/>
      <c r="EE38"/>
      <c r="EF38"/>
      <c r="EG38"/>
      <c r="EH38"/>
      <c r="EI38"/>
      <c r="EJ38"/>
      <c r="EK38"/>
      <c r="EL38"/>
      <c r="EM38"/>
      <c r="EN38"/>
      <c r="EO38"/>
      <c r="EP38"/>
      <c r="EQ38"/>
      <c r="ER38"/>
      <c r="ES38"/>
      <c r="ET38"/>
      <c r="EU38"/>
      <c r="EV38"/>
      <c r="EW38"/>
      <c r="EX38"/>
      <c r="EY38"/>
      <c r="EZ38"/>
      <c r="FA38"/>
      <c r="FB38"/>
      <c r="FC38"/>
      <c r="FD38"/>
      <c r="FE38"/>
      <c r="FF38"/>
      <c r="FG38"/>
      <c r="FH38"/>
      <c r="FI38"/>
      <c r="FJ38"/>
      <c r="FK38"/>
      <c r="FL38"/>
      <c r="FM38"/>
      <c r="FN38"/>
      <c r="FO38"/>
      <c r="FP38"/>
      <c r="FQ38"/>
      <c r="FR38"/>
      <c r="FS38"/>
      <c r="FT38"/>
      <c r="FU38"/>
      <c r="FV38"/>
      <c r="FW38"/>
      <c r="FX38"/>
      <c r="FY38"/>
      <c r="FZ38"/>
      <c r="GA38"/>
      <c r="GB38"/>
      <c r="GC38"/>
      <c r="GD38"/>
      <c r="GE38"/>
      <c r="GF38"/>
      <c r="GG38"/>
      <c r="GH38"/>
      <c r="GI38"/>
      <c r="GJ38"/>
      <c r="GK38"/>
      <c r="GL38"/>
      <c r="GM38"/>
      <c r="GN38"/>
      <c r="GO38"/>
      <c r="GP38"/>
      <c r="GQ38"/>
      <c r="GR38"/>
      <c r="GS38"/>
      <c r="GT38"/>
      <c r="GU38"/>
      <c r="GV38"/>
      <c r="GW38"/>
      <c r="GX38"/>
      <c r="GY38"/>
      <c r="GZ38"/>
      <c r="HA38"/>
      <c r="HB38"/>
      <c r="HC38"/>
      <c r="HD38"/>
      <c r="HE38"/>
      <c r="HF38"/>
      <c r="HG38"/>
      <c r="HH38"/>
      <c r="HI38"/>
      <c r="HJ38"/>
      <c r="HK38"/>
      <c r="HL38"/>
      <c r="HM38"/>
      <c r="HN38"/>
      <c r="HO38"/>
      <c r="HP38"/>
      <c r="HQ38"/>
      <c r="HR38"/>
      <c r="HS38"/>
      <c r="HT38"/>
      <c r="HU38"/>
      <c r="HV38"/>
      <c r="HW38"/>
      <c r="HX38"/>
      <c r="HY38"/>
      <c r="HZ38"/>
      <c r="IA38"/>
      <c r="IB38"/>
      <c r="IC38"/>
      <c r="ID38"/>
      <c r="IE38"/>
      <c r="IF38"/>
      <c r="IG38"/>
      <c r="IH38"/>
      <c r="II38"/>
      <c r="IJ38"/>
      <c r="IK38"/>
      <c r="IL38"/>
      <c r="IM38"/>
      <c r="IN38"/>
      <c r="IO38"/>
      <c r="IP38"/>
      <c r="IQ38"/>
      <c r="IR38"/>
      <c r="IS38"/>
      <c r="IT38"/>
      <c r="IU38"/>
      <c r="IV38"/>
    </row>
    <row r="39" spans="1:256" ht="12.75" customHeight="1">
      <c r="A39" s="50" t="s">
        <v>89</v>
      </c>
      <c r="B39" s="51" t="s">
        <v>140</v>
      </c>
      <c r="C39" s="72" t="s">
        <v>141</v>
      </c>
      <c r="D39" s="73" t="s">
        <v>142</v>
      </c>
      <c r="E39" s="32"/>
      <c r="F39" s="32" t="s">
        <v>143</v>
      </c>
      <c r="G39" s="32"/>
      <c r="H39" s="74"/>
      <c r="I39" s="32"/>
      <c r="J39"/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  <c r="BM39"/>
      <c r="BN39"/>
      <c r="BO39"/>
      <c r="BP39"/>
      <c r="BQ39"/>
      <c r="BR39"/>
      <c r="BS39"/>
      <c r="BT39"/>
      <c r="BU39"/>
      <c r="BV39"/>
      <c r="BW39"/>
      <c r="BX39"/>
      <c r="BY39"/>
      <c r="BZ39"/>
      <c r="CA39"/>
      <c r="CB39"/>
      <c r="CC39"/>
      <c r="CD39"/>
      <c r="CE39"/>
      <c r="CF39"/>
      <c r="CG39"/>
      <c r="CH39"/>
      <c r="CI39"/>
      <c r="CJ39"/>
      <c r="CK39"/>
      <c r="CL39"/>
      <c r="CM39"/>
      <c r="CN39"/>
      <c r="CO39"/>
      <c r="CP39"/>
      <c r="CQ39"/>
      <c r="CR39"/>
      <c r="CS39"/>
      <c r="CT39"/>
      <c r="CU39"/>
      <c r="CV39"/>
      <c r="CW39"/>
      <c r="CX39"/>
      <c r="CY39"/>
      <c r="CZ39"/>
      <c r="DA39"/>
      <c r="DB39"/>
      <c r="DC39"/>
      <c r="DD39"/>
      <c r="DE39"/>
      <c r="DF39"/>
      <c r="DG39"/>
      <c r="DH39"/>
      <c r="DI39"/>
      <c r="DJ39"/>
      <c r="DK39"/>
      <c r="DL39"/>
      <c r="DM39"/>
      <c r="DN39"/>
      <c r="DO39"/>
      <c r="DP39"/>
      <c r="DQ39"/>
      <c r="DR39"/>
      <c r="DS39"/>
      <c r="DT39"/>
      <c r="DU39"/>
      <c r="DV39"/>
      <c r="DW39"/>
      <c r="DX39"/>
      <c r="DY39"/>
      <c r="DZ39"/>
      <c r="EA39"/>
      <c r="EB39"/>
      <c r="EC39"/>
      <c r="ED39"/>
      <c r="EE39"/>
      <c r="EF39"/>
      <c r="EG39"/>
      <c r="EH39"/>
      <c r="EI39"/>
      <c r="EJ39"/>
      <c r="EK39"/>
      <c r="EL39"/>
      <c r="EM39"/>
      <c r="EN39"/>
      <c r="EO39"/>
      <c r="EP39"/>
      <c r="EQ39"/>
      <c r="ER39"/>
      <c r="ES39"/>
      <c r="ET39"/>
      <c r="EU39"/>
      <c r="EV39"/>
      <c r="EW39"/>
      <c r="EX39"/>
      <c r="EY39"/>
      <c r="EZ39"/>
      <c r="FA39"/>
      <c r="FB39"/>
      <c r="FC39"/>
      <c r="FD39"/>
      <c r="FE39"/>
      <c r="FF39"/>
      <c r="FG39"/>
      <c r="FH39"/>
      <c r="FI39"/>
      <c r="FJ39"/>
      <c r="FK39"/>
      <c r="FL39"/>
      <c r="FM39"/>
      <c r="FN39"/>
      <c r="FO39"/>
      <c r="FP39"/>
      <c r="FQ39"/>
      <c r="FR39"/>
      <c r="FS39"/>
      <c r="FT39"/>
      <c r="FU39"/>
      <c r="FV39"/>
      <c r="FW39"/>
      <c r="FX39"/>
      <c r="FY39"/>
      <c r="FZ39"/>
      <c r="GA39"/>
      <c r="GB39"/>
      <c r="GC39"/>
      <c r="GD39"/>
      <c r="GE39"/>
      <c r="GF39"/>
      <c r="GG39"/>
      <c r="GH39"/>
      <c r="GI39"/>
      <c r="GJ39"/>
      <c r="GK39"/>
      <c r="GL39"/>
      <c r="GM39"/>
      <c r="GN39"/>
      <c r="GO39"/>
      <c r="GP39"/>
      <c r="GQ39"/>
      <c r="GR39"/>
      <c r="GS39"/>
      <c r="GT39"/>
      <c r="GU39"/>
      <c r="GV39"/>
      <c r="GW39"/>
      <c r="GX39"/>
      <c r="GY39"/>
      <c r="GZ39"/>
      <c r="HA39"/>
      <c r="HB39"/>
      <c r="HC39"/>
      <c r="HD39"/>
      <c r="HE39"/>
      <c r="HF39"/>
      <c r="HG39"/>
      <c r="HH39"/>
      <c r="HI39"/>
      <c r="HJ39"/>
      <c r="HK39"/>
      <c r="HL39"/>
      <c r="HM39"/>
      <c r="HN39"/>
      <c r="HO39"/>
      <c r="HP39"/>
      <c r="HQ39"/>
      <c r="HR39"/>
      <c r="HS39"/>
      <c r="HT39"/>
      <c r="HU39"/>
      <c r="HV39"/>
      <c r="HW39"/>
      <c r="HX39"/>
      <c r="HY39"/>
      <c r="HZ39"/>
      <c r="IA39"/>
      <c r="IB39"/>
      <c r="IC39"/>
      <c r="ID39"/>
      <c r="IE39"/>
      <c r="IF39"/>
      <c r="IG39"/>
      <c r="IH39"/>
      <c r="II39"/>
      <c r="IJ39"/>
      <c r="IK39"/>
      <c r="IL39"/>
      <c r="IM39"/>
      <c r="IN39"/>
      <c r="IO39"/>
      <c r="IP39"/>
      <c r="IQ39"/>
      <c r="IR39"/>
      <c r="IS39"/>
      <c r="IT39"/>
      <c r="IU39"/>
      <c r="IV39"/>
    </row>
    <row r="40" spans="1:256">
      <c r="A40" s="26" t="s">
        <v>59</v>
      </c>
      <c r="B40" s="51" t="s">
        <v>60</v>
      </c>
      <c r="C40" s="32" t="s">
        <v>60</v>
      </c>
      <c r="D40" s="32" t="s">
        <v>60</v>
      </c>
      <c r="E40" s="32" t="s">
        <v>60</v>
      </c>
      <c r="F40" s="32" t="s">
        <v>60</v>
      </c>
      <c r="G40" s="32" t="s">
        <v>60</v>
      </c>
      <c r="H40" s="33" t="s">
        <v>60</v>
      </c>
      <c r="I40" s="32" t="s">
        <v>60</v>
      </c>
      <c r="J40"/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  <c r="BM40"/>
      <c r="BN40"/>
      <c r="BO40"/>
      <c r="BP40"/>
      <c r="BQ40"/>
      <c r="BR40"/>
      <c r="BS40"/>
      <c r="BT40"/>
      <c r="BU40"/>
      <c r="BV40"/>
      <c r="BW40"/>
      <c r="BX40"/>
      <c r="BY40"/>
      <c r="BZ40"/>
      <c r="CA40"/>
      <c r="CB40"/>
      <c r="CC40"/>
      <c r="CD40"/>
      <c r="CE40"/>
      <c r="CF40"/>
      <c r="CG40"/>
      <c r="CH40"/>
      <c r="CI40"/>
      <c r="CJ40"/>
      <c r="CK40"/>
      <c r="CL40"/>
      <c r="CM40"/>
      <c r="CN40"/>
      <c r="CO40"/>
      <c r="CP40"/>
      <c r="CQ40"/>
      <c r="CR40"/>
      <c r="CS40"/>
      <c r="CT40"/>
      <c r="CU40"/>
      <c r="CV40"/>
      <c r="CW40"/>
      <c r="CX40"/>
      <c r="CY40"/>
      <c r="CZ40"/>
      <c r="DA40"/>
      <c r="DB40"/>
      <c r="DC40"/>
      <c r="DD40"/>
      <c r="DE40"/>
      <c r="DF40"/>
      <c r="DG40"/>
      <c r="DH40"/>
      <c r="DI40"/>
      <c r="DJ40"/>
      <c r="DK40"/>
      <c r="DL40"/>
      <c r="DM40"/>
      <c r="DN40"/>
      <c r="DO40"/>
      <c r="DP40"/>
      <c r="DQ40"/>
      <c r="DR40"/>
      <c r="DS40"/>
      <c r="DT40"/>
      <c r="DU40"/>
      <c r="DV40"/>
      <c r="DW40"/>
      <c r="DX40"/>
      <c r="DY40"/>
      <c r="DZ40"/>
      <c r="EA40"/>
      <c r="EB40"/>
      <c r="EC40"/>
      <c r="ED40"/>
      <c r="EE40"/>
      <c r="EF40"/>
      <c r="EG40"/>
      <c r="EH40"/>
      <c r="EI40"/>
      <c r="EJ40"/>
      <c r="EK40"/>
      <c r="EL40"/>
      <c r="EM40"/>
      <c r="EN40"/>
      <c r="EO40"/>
      <c r="EP40"/>
      <c r="EQ40"/>
      <c r="ER40"/>
      <c r="ES40"/>
      <c r="ET40"/>
      <c r="EU40"/>
      <c r="EV40"/>
      <c r="EW40"/>
      <c r="EX40"/>
      <c r="EY40"/>
      <c r="EZ40"/>
      <c r="FA40"/>
      <c r="FB40"/>
      <c r="FC40"/>
      <c r="FD40"/>
      <c r="FE40"/>
      <c r="FF40"/>
      <c r="FG40"/>
      <c r="FH40"/>
      <c r="FI40"/>
      <c r="FJ40"/>
      <c r="FK40"/>
      <c r="FL40"/>
      <c r="FM40"/>
      <c r="FN40"/>
      <c r="FO40"/>
      <c r="FP40"/>
      <c r="FQ40"/>
      <c r="FR40"/>
      <c r="FS40"/>
      <c r="FT40"/>
      <c r="FU40"/>
      <c r="FV40"/>
      <c r="FW40"/>
      <c r="FX40"/>
      <c r="FY40"/>
      <c r="FZ40"/>
      <c r="GA40"/>
      <c r="GB40"/>
      <c r="GC40"/>
      <c r="GD40"/>
      <c r="GE40"/>
      <c r="GF40"/>
      <c r="GG40"/>
      <c r="GH40"/>
      <c r="GI40"/>
      <c r="GJ40"/>
      <c r="GK40"/>
      <c r="GL40"/>
      <c r="GM40"/>
      <c r="GN40"/>
      <c r="GO40"/>
      <c r="GP40"/>
      <c r="GQ40"/>
      <c r="GR40"/>
      <c r="GS40"/>
      <c r="GT40"/>
      <c r="GU40"/>
      <c r="GV40"/>
      <c r="GW40"/>
      <c r="GX40"/>
      <c r="GY40"/>
      <c r="GZ40"/>
      <c r="HA40"/>
      <c r="HB40"/>
      <c r="HC40"/>
      <c r="HD40"/>
      <c r="HE40"/>
      <c r="HF40"/>
      <c r="HG40"/>
      <c r="HH40"/>
      <c r="HI40"/>
      <c r="HJ40"/>
      <c r="HK40"/>
      <c r="HL40"/>
      <c r="HM40"/>
      <c r="HN40"/>
      <c r="HO40"/>
      <c r="HP40"/>
      <c r="HQ40"/>
      <c r="HR40"/>
      <c r="HS40"/>
      <c r="HT40"/>
      <c r="HU40"/>
      <c r="HV40"/>
      <c r="HW40"/>
      <c r="HX40"/>
      <c r="HY40"/>
      <c r="HZ40"/>
      <c r="IA40"/>
      <c r="IB40"/>
      <c r="IC40"/>
      <c r="ID40"/>
      <c r="IE40"/>
      <c r="IF40"/>
      <c r="IG40"/>
      <c r="IH40"/>
      <c r="II40"/>
      <c r="IJ40"/>
      <c r="IK40"/>
      <c r="IL40"/>
      <c r="IM40"/>
      <c r="IN40"/>
      <c r="IO40"/>
      <c r="IP40"/>
      <c r="IQ40"/>
      <c r="IR40"/>
      <c r="IS40"/>
      <c r="IT40"/>
      <c r="IU40"/>
      <c r="IV40"/>
    </row>
    <row r="41" spans="1:256">
      <c r="A41" s="36"/>
      <c r="B41" s="37"/>
      <c r="C41" s="37"/>
      <c r="D41" s="37"/>
      <c r="E41" s="8"/>
      <c r="F41" s="8"/>
      <c r="G41" s="37"/>
      <c r="H41" s="37"/>
      <c r="I41" s="37"/>
      <c r="J41" s="37"/>
      <c r="K41" s="37"/>
      <c r="L41" s="37"/>
      <c r="M41" s="8"/>
      <c r="N41" s="37"/>
      <c r="O41" s="37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  <c r="BM41"/>
      <c r="BN41"/>
      <c r="BO41"/>
      <c r="BP41"/>
      <c r="BQ41"/>
      <c r="BR41"/>
      <c r="BS41"/>
      <c r="BT41"/>
      <c r="BU41"/>
      <c r="BV41"/>
      <c r="BW41"/>
      <c r="BX41"/>
      <c r="BY41"/>
      <c r="BZ41"/>
      <c r="CA41"/>
      <c r="CB41"/>
      <c r="CC41"/>
      <c r="CD41"/>
      <c r="CE41"/>
      <c r="CF41"/>
      <c r="CG41"/>
      <c r="CH41"/>
      <c r="CI41"/>
      <c r="CJ41"/>
      <c r="CK41"/>
      <c r="CL41"/>
      <c r="CM41"/>
      <c r="CN41"/>
      <c r="CO41"/>
      <c r="CP41"/>
      <c r="CQ41"/>
      <c r="CR41"/>
      <c r="CS41"/>
      <c r="CT41"/>
      <c r="CU41"/>
      <c r="CV41"/>
      <c r="CW41"/>
      <c r="CX41"/>
      <c r="CY41"/>
      <c r="CZ41"/>
      <c r="DA41"/>
      <c r="DB41"/>
      <c r="DC41"/>
      <c r="DD41"/>
      <c r="DE41"/>
      <c r="DF41"/>
      <c r="DG41"/>
      <c r="DH41"/>
      <c r="DI41"/>
      <c r="DJ41"/>
      <c r="DK41"/>
      <c r="DL41"/>
      <c r="DM41"/>
      <c r="DN41"/>
      <c r="DO41"/>
      <c r="DP41"/>
      <c r="DQ41"/>
      <c r="DR41"/>
      <c r="DS41"/>
      <c r="DT41"/>
      <c r="DU41"/>
      <c r="DV41"/>
      <c r="DW41"/>
      <c r="DX41"/>
      <c r="DY41"/>
      <c r="DZ41"/>
      <c r="EA41"/>
      <c r="EB41"/>
      <c r="EC41"/>
      <c r="ED41"/>
      <c r="EE41"/>
      <c r="EF41"/>
      <c r="EG41"/>
      <c r="EH41"/>
      <c r="EI41"/>
      <c r="EJ41"/>
      <c r="EK41"/>
      <c r="EL41"/>
      <c r="EM41"/>
      <c r="EN41"/>
      <c r="EO41"/>
      <c r="EP41"/>
      <c r="EQ41"/>
      <c r="ER41"/>
      <c r="ES41"/>
      <c r="ET41"/>
      <c r="EU41"/>
      <c r="EV41"/>
      <c r="EW41"/>
      <c r="EX41"/>
      <c r="EY41"/>
      <c r="EZ41"/>
      <c r="FA41"/>
      <c r="FB41"/>
      <c r="FC41"/>
      <c r="FD41"/>
      <c r="FE41"/>
      <c r="FF41"/>
      <c r="FG41"/>
      <c r="FH41"/>
      <c r="FI41"/>
      <c r="FJ41"/>
      <c r="FK41"/>
      <c r="FL41"/>
      <c r="FM41"/>
      <c r="FN41"/>
      <c r="FO41"/>
      <c r="FP41"/>
      <c r="FQ41"/>
      <c r="FR41"/>
      <c r="FS41"/>
      <c r="FT41"/>
      <c r="FU41"/>
      <c r="FV41"/>
      <c r="FW41"/>
      <c r="FX41"/>
      <c r="FY41"/>
      <c r="FZ41"/>
      <c r="GA41"/>
      <c r="GB41"/>
      <c r="GC41"/>
      <c r="GD41"/>
      <c r="GE41"/>
      <c r="GF41"/>
      <c r="GG41"/>
      <c r="GH41"/>
      <c r="GI41"/>
      <c r="GJ41"/>
      <c r="GK41"/>
      <c r="GL41"/>
      <c r="GM41"/>
      <c r="GN41"/>
      <c r="GO41"/>
      <c r="GP41"/>
      <c r="GQ41"/>
      <c r="GR41"/>
      <c r="GS41"/>
      <c r="GT41"/>
      <c r="GU41"/>
      <c r="GV41"/>
      <c r="GW41"/>
      <c r="GX41"/>
      <c r="GY41"/>
      <c r="GZ41"/>
      <c r="HA41"/>
      <c r="HB41"/>
      <c r="HC41"/>
      <c r="HD41"/>
      <c r="HE41"/>
      <c r="HF41"/>
      <c r="HG41"/>
      <c r="HH41"/>
      <c r="HI41"/>
      <c r="HJ41"/>
      <c r="HK41"/>
      <c r="HL41"/>
      <c r="HM41"/>
      <c r="HN41"/>
      <c r="HO41"/>
      <c r="HP41"/>
      <c r="HQ41"/>
      <c r="HR41"/>
      <c r="HS41"/>
      <c r="HT41"/>
      <c r="HU41"/>
      <c r="HV41"/>
      <c r="HW41"/>
      <c r="HX41"/>
      <c r="HY41"/>
      <c r="HZ41"/>
      <c r="IA41"/>
      <c r="IB41"/>
      <c r="IC41"/>
      <c r="ID41"/>
      <c r="IE41"/>
      <c r="IF41"/>
      <c r="IG41"/>
      <c r="IH41"/>
      <c r="II41"/>
      <c r="IJ41"/>
      <c r="IK41"/>
      <c r="IL41"/>
      <c r="IM41"/>
      <c r="IN41"/>
      <c r="IO41"/>
      <c r="IP41"/>
      <c r="IQ41"/>
      <c r="IR41"/>
      <c r="IS41"/>
      <c r="IT41"/>
      <c r="IU41"/>
      <c r="IV41"/>
    </row>
    <row r="42" spans="1:256">
      <c r="A42" s="63"/>
      <c r="B42" s="37"/>
      <c r="C42" s="37"/>
      <c r="D42" s="37"/>
      <c r="E42" s="8"/>
      <c r="F42" s="8"/>
      <c r="G42" s="37"/>
      <c r="H42" s="37"/>
      <c r="I42" s="37"/>
      <c r="J42" s="37"/>
      <c r="K42" s="37"/>
      <c r="L42" s="37"/>
      <c r="M42" s="8"/>
      <c r="N42" s="37"/>
      <c r="O42" s="37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  <c r="BM42"/>
      <c r="BN42"/>
      <c r="BO42"/>
      <c r="BP42"/>
      <c r="BQ42"/>
      <c r="BR42"/>
      <c r="BS42"/>
      <c r="BT42"/>
      <c r="BU42"/>
      <c r="BV42"/>
      <c r="BW42"/>
      <c r="BX42"/>
      <c r="BY42"/>
      <c r="BZ42"/>
      <c r="CA42"/>
      <c r="CB42"/>
      <c r="CC42"/>
      <c r="CD42"/>
      <c r="CE42"/>
      <c r="CF42"/>
      <c r="CG42"/>
      <c r="CH42"/>
      <c r="CI42"/>
      <c r="CJ42"/>
      <c r="CK42"/>
      <c r="CL42"/>
      <c r="CM42"/>
      <c r="CN42"/>
      <c r="CO42"/>
      <c r="CP42"/>
      <c r="CQ42"/>
      <c r="CR42"/>
      <c r="CS42"/>
      <c r="CT42"/>
      <c r="CU42"/>
      <c r="CV42"/>
      <c r="CW42"/>
      <c r="CX42"/>
      <c r="CY42"/>
      <c r="CZ42"/>
      <c r="DA42"/>
      <c r="DB42"/>
      <c r="DC42"/>
      <c r="DD42"/>
      <c r="DE42"/>
      <c r="DF42"/>
      <c r="DG42"/>
      <c r="DH42"/>
      <c r="DI42"/>
      <c r="DJ42"/>
      <c r="DK42"/>
      <c r="DL42"/>
      <c r="DM42"/>
      <c r="DN42"/>
      <c r="DO42"/>
      <c r="DP42"/>
      <c r="DQ42"/>
      <c r="DR42"/>
      <c r="DS42"/>
      <c r="DT42"/>
      <c r="DU42"/>
      <c r="DV42"/>
      <c r="DW42"/>
      <c r="DX42"/>
      <c r="DY42"/>
      <c r="DZ42"/>
      <c r="EA42"/>
      <c r="EB42"/>
      <c r="EC42"/>
      <c r="ED42"/>
      <c r="EE42"/>
      <c r="EF42"/>
      <c r="EG42"/>
      <c r="EH42"/>
      <c r="EI42"/>
      <c r="EJ42"/>
      <c r="EK42"/>
      <c r="EL42"/>
      <c r="EM42"/>
      <c r="EN42"/>
      <c r="EO42"/>
      <c r="EP42"/>
      <c r="EQ42"/>
      <c r="ER42"/>
      <c r="ES42"/>
      <c r="ET42"/>
      <c r="EU42"/>
      <c r="EV42"/>
      <c r="EW42"/>
      <c r="EX42"/>
      <c r="EY42"/>
      <c r="EZ42"/>
      <c r="FA42"/>
      <c r="FB42"/>
      <c r="FC42"/>
      <c r="FD42"/>
      <c r="FE42"/>
      <c r="FF42"/>
      <c r="FG42"/>
      <c r="FH42"/>
      <c r="FI42"/>
      <c r="FJ42"/>
      <c r="FK42"/>
      <c r="FL42"/>
      <c r="FM42"/>
      <c r="FN42"/>
      <c r="FO42"/>
      <c r="FP42"/>
      <c r="FQ42"/>
      <c r="FR42"/>
      <c r="FS42"/>
      <c r="FT42"/>
      <c r="FU42"/>
      <c r="FV42"/>
      <c r="FW42"/>
      <c r="FX42"/>
      <c r="FY42"/>
      <c r="FZ42"/>
      <c r="GA42"/>
      <c r="GB42"/>
      <c r="GC42"/>
      <c r="GD42"/>
      <c r="GE42"/>
      <c r="GF42"/>
      <c r="GG42"/>
      <c r="GH42"/>
      <c r="GI42"/>
      <c r="GJ42"/>
      <c r="GK42"/>
      <c r="GL42"/>
      <c r="GM42"/>
      <c r="GN42"/>
      <c r="GO42"/>
      <c r="GP42"/>
      <c r="GQ42"/>
      <c r="GR42"/>
      <c r="GS42"/>
      <c r="GT42"/>
      <c r="GU42"/>
      <c r="GV42"/>
      <c r="GW42"/>
      <c r="GX42"/>
      <c r="GY42"/>
      <c r="GZ42"/>
      <c r="HA42"/>
      <c r="HB42"/>
      <c r="HC42"/>
      <c r="HD42"/>
      <c r="HE42"/>
      <c r="HF42"/>
      <c r="HG42"/>
      <c r="HH42"/>
      <c r="HI42"/>
      <c r="HJ42"/>
      <c r="HK42"/>
      <c r="HL42"/>
      <c r="HM42"/>
      <c r="HN42"/>
      <c r="HO42"/>
      <c r="HP42"/>
      <c r="HQ42"/>
      <c r="HR42"/>
      <c r="HS42"/>
      <c r="HT42"/>
      <c r="HU42"/>
      <c r="HV42"/>
      <c r="HW42"/>
      <c r="HX42"/>
      <c r="HY42"/>
      <c r="HZ42"/>
      <c r="IA42"/>
      <c r="IB42"/>
      <c r="IC42"/>
      <c r="ID42"/>
      <c r="IE42"/>
      <c r="IF42"/>
      <c r="IG42"/>
      <c r="IH42"/>
      <c r="II42"/>
      <c r="IJ42"/>
      <c r="IK42"/>
      <c r="IL42"/>
      <c r="IM42"/>
      <c r="IN42"/>
      <c r="IO42"/>
      <c r="IP42"/>
      <c r="IQ42"/>
      <c r="IR42"/>
      <c r="IS42"/>
      <c r="IT42"/>
      <c r="IU42"/>
      <c r="IV42"/>
    </row>
    <row r="43" spans="1:256">
      <c r="A43" s="64" t="s">
        <v>144</v>
      </c>
      <c r="B43" s="65" t="s">
        <v>145</v>
      </c>
      <c r="C43" s="37"/>
      <c r="D43" s="37"/>
      <c r="E43" s="8"/>
      <c r="F43" s="37"/>
      <c r="G43" s="37"/>
      <c r="H43" s="37"/>
      <c r="I43" s="8"/>
      <c r="J43" s="37"/>
      <c r="K43" s="37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  <c r="BM43"/>
      <c r="BN43"/>
      <c r="BO43"/>
      <c r="BP43"/>
      <c r="BQ43"/>
      <c r="BR43"/>
      <c r="BS43"/>
      <c r="BT43"/>
      <c r="BU43"/>
      <c r="BV43"/>
      <c r="BW43"/>
      <c r="BX43"/>
      <c r="BY43"/>
      <c r="BZ43"/>
      <c r="CA43"/>
      <c r="CB43"/>
      <c r="CC43"/>
      <c r="CD43"/>
      <c r="CE43"/>
      <c r="CF43"/>
      <c r="CG43"/>
      <c r="CH43"/>
      <c r="CI43"/>
      <c r="CJ43"/>
      <c r="CK43"/>
      <c r="CL43"/>
      <c r="CM43"/>
      <c r="CN43"/>
      <c r="CO43"/>
      <c r="CP43"/>
      <c r="CQ43"/>
      <c r="CR43"/>
      <c r="CS43"/>
      <c r="CT43"/>
      <c r="CU43"/>
      <c r="CV43"/>
      <c r="CW43"/>
      <c r="CX43"/>
      <c r="CY43"/>
      <c r="CZ43"/>
      <c r="DA43"/>
      <c r="DB43"/>
      <c r="DC43"/>
      <c r="DD43"/>
      <c r="DE43"/>
      <c r="DF43"/>
      <c r="DG43"/>
      <c r="DH43"/>
      <c r="DI43"/>
      <c r="DJ43"/>
      <c r="DK43"/>
      <c r="DL43"/>
      <c r="DM43"/>
      <c r="DN43"/>
      <c r="DO43"/>
      <c r="DP43"/>
      <c r="DQ43"/>
      <c r="DR43"/>
      <c r="DS43"/>
      <c r="DT43"/>
      <c r="DU43"/>
      <c r="DV43"/>
      <c r="DW43"/>
      <c r="DX43"/>
      <c r="DY43"/>
      <c r="DZ43"/>
      <c r="EA43"/>
      <c r="EB43"/>
      <c r="EC43"/>
      <c r="ED43"/>
      <c r="EE43"/>
      <c r="EF43"/>
      <c r="EG43"/>
      <c r="EH43"/>
      <c r="EI43"/>
      <c r="EJ43"/>
      <c r="EK43"/>
      <c r="EL43"/>
      <c r="EM43"/>
      <c r="EN43"/>
      <c r="EO43"/>
      <c r="EP43"/>
      <c r="EQ43"/>
      <c r="ER43"/>
      <c r="ES43"/>
      <c r="ET43"/>
      <c r="EU43"/>
      <c r="EV43"/>
      <c r="EW43"/>
      <c r="EX43"/>
      <c r="EY43"/>
      <c r="EZ43"/>
      <c r="FA43"/>
      <c r="FB43"/>
      <c r="FC43"/>
      <c r="FD43"/>
      <c r="FE43"/>
      <c r="FF43"/>
      <c r="FG43"/>
      <c r="FH43"/>
      <c r="FI43"/>
      <c r="FJ43"/>
      <c r="FK43"/>
      <c r="FL43"/>
      <c r="FM43"/>
      <c r="FN43"/>
      <c r="FO43"/>
      <c r="FP43"/>
      <c r="FQ43"/>
      <c r="FR43"/>
      <c r="FS43"/>
      <c r="FT43"/>
      <c r="FU43"/>
      <c r="FV43"/>
      <c r="FW43"/>
      <c r="FX43"/>
      <c r="FY43"/>
      <c r="FZ43"/>
      <c r="GA43"/>
      <c r="GB43"/>
      <c r="GC43"/>
      <c r="GD43"/>
      <c r="GE43"/>
      <c r="GF43"/>
      <c r="GG43"/>
      <c r="GH43"/>
      <c r="GI43"/>
      <c r="GJ43"/>
      <c r="GK43"/>
      <c r="GL43"/>
      <c r="GM43"/>
      <c r="GN43"/>
      <c r="GO43"/>
      <c r="GP43"/>
      <c r="GQ43"/>
      <c r="GR43"/>
      <c r="GS43"/>
      <c r="GT43"/>
      <c r="GU43"/>
      <c r="GV43"/>
      <c r="GW43"/>
      <c r="GX43"/>
      <c r="GY43"/>
      <c r="GZ43"/>
      <c r="HA43"/>
      <c r="HB43"/>
      <c r="HC43"/>
      <c r="HD43"/>
      <c r="HE43"/>
      <c r="HF43"/>
      <c r="HG43"/>
      <c r="HH43"/>
      <c r="HI43"/>
      <c r="HJ43"/>
      <c r="HK43"/>
      <c r="HL43"/>
      <c r="HM43"/>
      <c r="HN43"/>
      <c r="HO43"/>
      <c r="HP43"/>
      <c r="HQ43"/>
      <c r="HR43"/>
      <c r="HS43"/>
      <c r="HT43"/>
      <c r="HU43"/>
      <c r="HV43"/>
      <c r="HW43"/>
      <c r="HX43"/>
      <c r="HY43"/>
      <c r="HZ43"/>
      <c r="IA43"/>
      <c r="IB43"/>
      <c r="IC43"/>
      <c r="ID43"/>
      <c r="IE43"/>
      <c r="IF43"/>
      <c r="IG43"/>
      <c r="IH43"/>
      <c r="II43"/>
      <c r="IJ43"/>
      <c r="IK43"/>
      <c r="IL43"/>
      <c r="IM43"/>
      <c r="IN43"/>
      <c r="IO43"/>
      <c r="IP43"/>
      <c r="IQ43"/>
      <c r="IR43"/>
      <c r="IS43"/>
      <c r="IT43"/>
      <c r="IU43"/>
      <c r="IV43"/>
    </row>
    <row r="44" spans="1:256">
      <c r="A44" s="45"/>
      <c r="B44" s="75" t="s">
        <v>146</v>
      </c>
      <c r="C44" s="75" t="s">
        <v>147</v>
      </c>
      <c r="D44" s="75" t="s">
        <v>148</v>
      </c>
      <c r="E44" s="76" t="s">
        <v>149</v>
      </c>
      <c r="F44" s="75" t="s">
        <v>150</v>
      </c>
      <c r="G44"/>
      <c r="H44"/>
      <c r="I44"/>
      <c r="J44"/>
      <c r="K44"/>
      <c r="L44"/>
      <c r="M44"/>
      <c r="N44"/>
      <c r="O44"/>
      <c r="P44"/>
      <c r="Q44"/>
      <c r="R44"/>
      <c r="S44"/>
      <c r="T44"/>
      <c r="U44"/>
      <c r="V44"/>
      <c r="W44"/>
      <c r="X44"/>
      <c r="Y44"/>
      <c r="Z44"/>
      <c r="AA44"/>
      <c r="AB44"/>
      <c r="AC44"/>
      <c r="AD44"/>
      <c r="AE44"/>
      <c r="AF44"/>
      <c r="AG44"/>
      <c r="AH44"/>
      <c r="AI44"/>
      <c r="AJ44"/>
      <c r="AK44"/>
      <c r="AL44"/>
      <c r="AM44"/>
      <c r="AN44"/>
      <c r="AO44"/>
      <c r="AP44"/>
      <c r="AQ44"/>
      <c r="AR44"/>
      <c r="AS44"/>
      <c r="AT44"/>
      <c r="AU44"/>
      <c r="AV44"/>
      <c r="AW44"/>
      <c r="AX44"/>
      <c r="AY44"/>
      <c r="AZ44"/>
      <c r="BA44"/>
      <c r="BB44"/>
      <c r="BC44"/>
      <c r="BD44"/>
      <c r="BE44"/>
      <c r="BF44"/>
      <c r="BG44"/>
      <c r="BH44"/>
      <c r="BI44"/>
      <c r="BJ44"/>
      <c r="BK44"/>
      <c r="BL44"/>
      <c r="BM44"/>
      <c r="BN44"/>
      <c r="BO44"/>
      <c r="BP44"/>
      <c r="BQ44"/>
      <c r="BR44"/>
      <c r="BS44"/>
      <c r="BT44"/>
      <c r="BU44"/>
      <c r="BV44"/>
      <c r="BW44"/>
      <c r="BX44"/>
      <c r="BY44"/>
      <c r="BZ44"/>
      <c r="CA44"/>
      <c r="CB44"/>
      <c r="CC44"/>
      <c r="CD44"/>
      <c r="CE44"/>
      <c r="CF44"/>
      <c r="CG44"/>
      <c r="CH44"/>
      <c r="CI44"/>
      <c r="CJ44"/>
      <c r="CK44"/>
      <c r="CL44"/>
      <c r="CM44"/>
      <c r="CN44"/>
      <c r="CO44"/>
      <c r="CP44"/>
      <c r="CQ44"/>
      <c r="CR44"/>
      <c r="CS44"/>
      <c r="CT44"/>
      <c r="CU44"/>
      <c r="CV44"/>
      <c r="CW44"/>
      <c r="CX44"/>
      <c r="CY44"/>
      <c r="CZ44"/>
      <c r="DA44"/>
      <c r="DB44"/>
      <c r="DC44"/>
      <c r="DD44"/>
      <c r="DE44"/>
      <c r="DF44"/>
      <c r="DG44"/>
      <c r="DH44"/>
      <c r="DI44"/>
      <c r="DJ44"/>
      <c r="DK44"/>
      <c r="DL44"/>
      <c r="DM44"/>
      <c r="DN44"/>
      <c r="DO44"/>
      <c r="DP44"/>
      <c r="DQ44"/>
      <c r="DR44"/>
      <c r="DS44"/>
      <c r="DT44"/>
      <c r="DU44"/>
      <c r="DV44"/>
      <c r="DW44"/>
      <c r="DX44"/>
      <c r="DY44"/>
      <c r="DZ44"/>
      <c r="EA44"/>
      <c r="EB44"/>
      <c r="EC44"/>
      <c r="ED44"/>
      <c r="EE44"/>
      <c r="EF44"/>
      <c r="EG44"/>
      <c r="EH44"/>
      <c r="EI44"/>
      <c r="EJ44"/>
      <c r="EK44"/>
      <c r="EL44"/>
      <c r="EM44"/>
      <c r="EN44"/>
      <c r="EO44"/>
      <c r="EP44"/>
      <c r="EQ44"/>
      <c r="ER44"/>
      <c r="ES44"/>
      <c r="ET44"/>
      <c r="EU44"/>
      <c r="EV44"/>
      <c r="EW44"/>
      <c r="EX44"/>
      <c r="EY44"/>
      <c r="EZ44"/>
      <c r="FA44"/>
      <c r="FB44"/>
      <c r="FC44"/>
      <c r="FD44"/>
      <c r="FE44"/>
      <c r="FF44"/>
      <c r="FG44"/>
      <c r="FH44"/>
      <c r="FI44"/>
      <c r="FJ44"/>
      <c r="FK44"/>
      <c r="FL44"/>
      <c r="FM44"/>
      <c r="FN44"/>
      <c r="FO44"/>
      <c r="FP44"/>
      <c r="FQ44"/>
      <c r="FR44"/>
      <c r="FS44"/>
      <c r="FT44"/>
      <c r="FU44"/>
      <c r="FV44"/>
      <c r="FW44"/>
      <c r="FX44"/>
      <c r="FY44"/>
      <c r="FZ44"/>
      <c r="GA44"/>
      <c r="GB44"/>
      <c r="GC44"/>
      <c r="GD44"/>
      <c r="GE44"/>
      <c r="GF44"/>
      <c r="GG44"/>
      <c r="GH44"/>
      <c r="GI44"/>
      <c r="GJ44"/>
      <c r="GK44"/>
      <c r="GL44"/>
      <c r="GM44"/>
      <c r="GN44"/>
      <c r="GO44"/>
      <c r="GP44"/>
      <c r="GQ44"/>
      <c r="GR44"/>
      <c r="GS44"/>
      <c r="GT44"/>
      <c r="GU44"/>
      <c r="GV44"/>
      <c r="GW44"/>
      <c r="GX44"/>
      <c r="GY44"/>
      <c r="GZ44"/>
      <c r="HA44"/>
      <c r="HB44"/>
      <c r="HC44"/>
      <c r="HD44"/>
      <c r="HE44"/>
      <c r="HF44"/>
      <c r="HG44"/>
      <c r="HH44"/>
      <c r="HI44"/>
      <c r="HJ44"/>
      <c r="HK44"/>
      <c r="HL44"/>
      <c r="HM44"/>
      <c r="HN44"/>
      <c r="HO44"/>
      <c r="HP44"/>
      <c r="HQ44"/>
      <c r="HR44"/>
      <c r="HS44"/>
      <c r="HT44"/>
      <c r="HU44"/>
      <c r="HV44"/>
      <c r="HW44"/>
      <c r="HX44"/>
      <c r="HY44"/>
      <c r="HZ44"/>
      <c r="IA44"/>
      <c r="IB44"/>
      <c r="IC44"/>
      <c r="ID44"/>
      <c r="IE44"/>
      <c r="IF44"/>
      <c r="IG44"/>
      <c r="IH44"/>
      <c r="II44"/>
      <c r="IJ44"/>
      <c r="IK44"/>
      <c r="IL44"/>
      <c r="IM44"/>
      <c r="IN44"/>
      <c r="IO44"/>
      <c r="IP44"/>
      <c r="IQ44"/>
      <c r="IR44"/>
      <c r="IS44"/>
      <c r="IT44"/>
      <c r="IU44"/>
      <c r="IV44"/>
    </row>
    <row r="45" spans="1:256" ht="63.75" customHeight="1">
      <c r="A45" s="18" t="s">
        <v>29</v>
      </c>
      <c r="B45" s="20" t="s">
        <v>151</v>
      </c>
      <c r="C45" s="20" t="s">
        <v>152</v>
      </c>
      <c r="D45" s="20" t="s">
        <v>153</v>
      </c>
      <c r="E45" s="77" t="s">
        <v>154</v>
      </c>
      <c r="F45" s="20" t="s">
        <v>155</v>
      </c>
      <c r="G45"/>
      <c r="H45"/>
      <c r="I45"/>
      <c r="J45"/>
      <c r="K45"/>
      <c r="L45"/>
      <c r="M45"/>
      <c r="N45"/>
      <c r="O45"/>
      <c r="P45"/>
      <c r="Q45"/>
      <c r="R45"/>
      <c r="S45"/>
      <c r="T45"/>
      <c r="U45"/>
      <c r="V45"/>
      <c r="W45"/>
      <c r="X45"/>
      <c r="Y45"/>
      <c r="Z45"/>
      <c r="AA45"/>
      <c r="AB45"/>
      <c r="AC45"/>
      <c r="AD45"/>
      <c r="AE45"/>
      <c r="AF45"/>
      <c r="AG45"/>
      <c r="AH45"/>
      <c r="AI45"/>
      <c r="AJ45"/>
      <c r="AK45"/>
      <c r="AL45"/>
      <c r="AM45"/>
      <c r="AN45"/>
      <c r="AO45"/>
      <c r="AP45"/>
      <c r="AQ45"/>
      <c r="AR45"/>
      <c r="AS45"/>
      <c r="AT45"/>
      <c r="AU45"/>
      <c r="AV45"/>
      <c r="AW45"/>
      <c r="AX45"/>
      <c r="AY45"/>
      <c r="AZ45"/>
      <c r="BA45"/>
      <c r="BB45"/>
      <c r="BC45"/>
      <c r="BD45"/>
      <c r="BE45"/>
      <c r="BF45"/>
      <c r="BG45"/>
      <c r="BH45"/>
      <c r="BI45"/>
      <c r="BJ45"/>
      <c r="BK45"/>
      <c r="BL45"/>
      <c r="BM45"/>
      <c r="BN45"/>
      <c r="BO45"/>
      <c r="BP45"/>
      <c r="BQ45"/>
      <c r="BR45"/>
      <c r="BS45"/>
      <c r="BT45"/>
      <c r="BU45"/>
      <c r="BV45"/>
      <c r="BW45"/>
      <c r="BX45"/>
      <c r="BY45"/>
      <c r="BZ45"/>
      <c r="CA45"/>
      <c r="CB45"/>
      <c r="CC45"/>
      <c r="CD45"/>
      <c r="CE45"/>
      <c r="CF45"/>
      <c r="CG45"/>
      <c r="CH45"/>
      <c r="CI45"/>
      <c r="CJ45"/>
      <c r="CK45"/>
      <c r="CL45"/>
      <c r="CM45"/>
      <c r="CN45"/>
      <c r="CO45"/>
      <c r="CP45"/>
      <c r="CQ45"/>
      <c r="CR45"/>
      <c r="CS45"/>
      <c r="CT45"/>
      <c r="CU45"/>
      <c r="CV45"/>
      <c r="CW45"/>
      <c r="CX45"/>
      <c r="CY45"/>
      <c r="CZ45"/>
      <c r="DA45"/>
      <c r="DB45"/>
      <c r="DC45"/>
      <c r="DD45"/>
      <c r="DE45"/>
      <c r="DF45"/>
      <c r="DG45"/>
      <c r="DH45"/>
      <c r="DI45"/>
      <c r="DJ45"/>
      <c r="DK45"/>
      <c r="DL45"/>
      <c r="DM45"/>
      <c r="DN45"/>
      <c r="DO45"/>
      <c r="DP45"/>
      <c r="DQ45"/>
      <c r="DR45"/>
      <c r="DS45"/>
      <c r="DT45"/>
      <c r="DU45"/>
      <c r="DV45"/>
      <c r="DW45"/>
      <c r="DX45"/>
      <c r="DY45"/>
      <c r="DZ45"/>
      <c r="EA45"/>
      <c r="EB45"/>
      <c r="EC45"/>
      <c r="ED45"/>
      <c r="EE45"/>
      <c r="EF45"/>
      <c r="EG45"/>
      <c r="EH45"/>
      <c r="EI45"/>
      <c r="EJ45"/>
      <c r="EK45"/>
      <c r="EL45"/>
      <c r="EM45"/>
      <c r="EN45"/>
      <c r="EO45"/>
      <c r="EP45"/>
      <c r="EQ45"/>
      <c r="ER45"/>
      <c r="ES45"/>
      <c r="ET45"/>
      <c r="EU45"/>
      <c r="EV45"/>
      <c r="EW45"/>
      <c r="EX45"/>
      <c r="EY45"/>
      <c r="EZ45"/>
      <c r="FA45"/>
      <c r="FB45"/>
      <c r="FC45"/>
      <c r="FD45"/>
      <c r="FE45"/>
      <c r="FF45"/>
      <c r="FG45"/>
      <c r="FH45"/>
      <c r="FI45"/>
      <c r="FJ45"/>
      <c r="FK45"/>
      <c r="FL45"/>
      <c r="FM45"/>
      <c r="FN45"/>
      <c r="FO45"/>
      <c r="FP45"/>
      <c r="FQ45"/>
      <c r="FR45"/>
      <c r="FS45"/>
      <c r="FT45"/>
      <c r="FU45"/>
      <c r="FV45"/>
      <c r="FW45"/>
      <c r="FX45"/>
      <c r="FY45"/>
      <c r="FZ45"/>
      <c r="GA45"/>
      <c r="GB45"/>
      <c r="GC45"/>
      <c r="GD45"/>
      <c r="GE45"/>
      <c r="GF45"/>
      <c r="GG45"/>
      <c r="GH45"/>
      <c r="GI45"/>
      <c r="GJ45"/>
      <c r="GK45"/>
      <c r="GL45"/>
      <c r="GM45"/>
      <c r="GN45"/>
      <c r="GO45"/>
      <c r="GP45"/>
      <c r="GQ45"/>
      <c r="GR45"/>
      <c r="GS45"/>
      <c r="GT45"/>
      <c r="GU45"/>
      <c r="GV45"/>
      <c r="GW45"/>
      <c r="GX45"/>
      <c r="GY45"/>
      <c r="GZ45"/>
      <c r="HA45"/>
      <c r="HB45"/>
      <c r="HC45"/>
      <c r="HD45"/>
      <c r="HE45"/>
      <c r="HF45"/>
      <c r="HG45"/>
      <c r="HH45"/>
      <c r="HI45"/>
      <c r="HJ45"/>
      <c r="HK45"/>
      <c r="HL45"/>
      <c r="HM45"/>
      <c r="HN45"/>
      <c r="HO45"/>
      <c r="HP45"/>
      <c r="HQ45"/>
      <c r="HR45"/>
      <c r="HS45"/>
      <c r="HT45"/>
      <c r="HU45"/>
      <c r="HV45"/>
      <c r="HW45"/>
      <c r="HX45"/>
      <c r="HY45"/>
      <c r="HZ45"/>
      <c r="IA45"/>
      <c r="IB45"/>
      <c r="IC45"/>
      <c r="ID45"/>
      <c r="IE45"/>
      <c r="IF45"/>
      <c r="IG45"/>
      <c r="IH45"/>
      <c r="II45"/>
      <c r="IJ45"/>
      <c r="IK45"/>
      <c r="IL45"/>
      <c r="IM45"/>
      <c r="IN45"/>
      <c r="IO45"/>
      <c r="IP45"/>
      <c r="IQ45"/>
      <c r="IR45"/>
      <c r="IS45"/>
      <c r="IT45"/>
      <c r="IU45"/>
      <c r="IV45"/>
    </row>
    <row r="46" spans="1:256" ht="12.75" customHeight="1">
      <c r="A46" s="50" t="s">
        <v>89</v>
      </c>
      <c r="B46" s="78" t="s">
        <v>156</v>
      </c>
      <c r="C46" s="72" t="s">
        <v>157</v>
      </c>
      <c r="D46" s="72" t="s">
        <v>158</v>
      </c>
      <c r="E46" s="77"/>
      <c r="F46" s="72" t="s">
        <v>159</v>
      </c>
      <c r="G46"/>
      <c r="H46"/>
      <c r="I46"/>
      <c r="J46"/>
      <c r="K46"/>
      <c r="L46"/>
      <c r="M46"/>
      <c r="N46"/>
      <c r="O46"/>
      <c r="P46"/>
      <c r="Q46"/>
      <c r="R46"/>
      <c r="S46"/>
      <c r="T46"/>
      <c r="U46"/>
      <c r="V46"/>
      <c r="W46"/>
      <c r="X46"/>
      <c r="Y46"/>
      <c r="Z46"/>
      <c r="AA46"/>
      <c r="AB46"/>
      <c r="AC46"/>
      <c r="AD46"/>
      <c r="AE46"/>
      <c r="AF46"/>
      <c r="AG46"/>
      <c r="AH46"/>
      <c r="AI46"/>
      <c r="AJ46"/>
      <c r="AK46"/>
      <c r="AL46"/>
      <c r="AM46"/>
      <c r="AN46"/>
      <c r="AO46"/>
      <c r="AP46"/>
      <c r="AQ46"/>
      <c r="AR46"/>
      <c r="AS46"/>
      <c r="AT46"/>
      <c r="AU46"/>
      <c r="AV46"/>
      <c r="AW46"/>
      <c r="AX46"/>
      <c r="AY46"/>
      <c r="AZ46"/>
      <c r="BA46"/>
      <c r="BB46"/>
      <c r="BC46"/>
      <c r="BD46"/>
      <c r="BE46"/>
      <c r="BF46"/>
      <c r="BG46"/>
      <c r="BH46"/>
      <c r="BI46"/>
      <c r="BJ46"/>
      <c r="BK46"/>
      <c r="BL46"/>
      <c r="BM46"/>
      <c r="BN46"/>
      <c r="BO46"/>
      <c r="BP46"/>
      <c r="BQ46"/>
      <c r="BR46"/>
      <c r="BS46"/>
      <c r="BT46"/>
      <c r="BU46"/>
      <c r="BV46"/>
      <c r="BW46"/>
      <c r="BX46"/>
      <c r="BY46"/>
      <c r="BZ46"/>
      <c r="CA46"/>
      <c r="CB46"/>
      <c r="CC46"/>
      <c r="CD46"/>
      <c r="CE46"/>
      <c r="CF46"/>
      <c r="CG46"/>
      <c r="CH46"/>
      <c r="CI46"/>
      <c r="CJ46"/>
      <c r="CK46"/>
      <c r="CL46"/>
      <c r="CM46"/>
      <c r="CN46"/>
      <c r="CO46"/>
      <c r="CP46"/>
      <c r="CQ46"/>
      <c r="CR46"/>
      <c r="CS46"/>
      <c r="CT46"/>
      <c r="CU46"/>
      <c r="CV46"/>
      <c r="CW46"/>
      <c r="CX46"/>
      <c r="CY46"/>
      <c r="CZ46"/>
      <c r="DA46"/>
      <c r="DB46"/>
      <c r="DC46"/>
      <c r="DD46"/>
      <c r="DE46"/>
      <c r="DF46"/>
      <c r="DG46"/>
      <c r="DH46"/>
      <c r="DI46"/>
      <c r="DJ46"/>
      <c r="DK46"/>
      <c r="DL46"/>
      <c r="DM46"/>
      <c r="DN46"/>
      <c r="DO46"/>
      <c r="DP46"/>
      <c r="DQ46"/>
      <c r="DR46"/>
      <c r="DS46"/>
      <c r="DT46"/>
      <c r="DU46"/>
      <c r="DV46"/>
      <c r="DW46"/>
      <c r="DX46"/>
      <c r="DY46"/>
      <c r="DZ46"/>
      <c r="EA46"/>
      <c r="EB46"/>
      <c r="EC46"/>
      <c r="ED46"/>
      <c r="EE46"/>
      <c r="EF46"/>
      <c r="EG46"/>
      <c r="EH46"/>
      <c r="EI46"/>
      <c r="EJ46"/>
      <c r="EK46"/>
      <c r="EL46"/>
      <c r="EM46"/>
      <c r="EN46"/>
      <c r="EO46"/>
      <c r="EP46"/>
      <c r="EQ46"/>
      <c r="ER46"/>
      <c r="ES46"/>
      <c r="ET46"/>
      <c r="EU46"/>
      <c r="EV46"/>
      <c r="EW46"/>
      <c r="EX46"/>
      <c r="EY46"/>
      <c r="EZ46"/>
      <c r="FA46"/>
      <c r="FB46"/>
      <c r="FC46"/>
      <c r="FD46"/>
      <c r="FE46"/>
      <c r="FF46"/>
      <c r="FG46"/>
      <c r="FH46"/>
      <c r="FI46"/>
      <c r="FJ46"/>
      <c r="FK46"/>
      <c r="FL46"/>
      <c r="FM46"/>
      <c r="FN46"/>
      <c r="FO46"/>
      <c r="FP46"/>
      <c r="FQ46"/>
      <c r="FR46"/>
      <c r="FS46"/>
      <c r="FT46"/>
      <c r="FU46"/>
      <c r="FV46"/>
      <c r="FW46"/>
      <c r="FX46"/>
      <c r="FY46"/>
      <c r="FZ46"/>
      <c r="GA46"/>
      <c r="GB46"/>
      <c r="GC46"/>
      <c r="GD46"/>
      <c r="GE46"/>
      <c r="GF46"/>
      <c r="GG46"/>
      <c r="GH46"/>
      <c r="GI46"/>
      <c r="GJ46"/>
      <c r="GK46"/>
      <c r="GL46"/>
      <c r="GM46"/>
      <c r="GN46"/>
      <c r="GO46"/>
      <c r="GP46"/>
      <c r="GQ46"/>
      <c r="GR46"/>
      <c r="GS46"/>
      <c r="GT46"/>
      <c r="GU46"/>
      <c r="GV46"/>
      <c r="GW46"/>
      <c r="GX46"/>
      <c r="GY46"/>
      <c r="GZ46"/>
      <c r="HA46"/>
      <c r="HB46"/>
      <c r="HC46"/>
      <c r="HD46"/>
      <c r="HE46"/>
      <c r="HF46"/>
      <c r="HG46"/>
      <c r="HH46"/>
      <c r="HI46"/>
      <c r="HJ46"/>
      <c r="HK46"/>
      <c r="HL46"/>
      <c r="HM46"/>
      <c r="HN46"/>
      <c r="HO46"/>
      <c r="HP46"/>
      <c r="HQ46"/>
      <c r="HR46"/>
      <c r="HS46"/>
      <c r="HT46"/>
      <c r="HU46"/>
      <c r="HV46"/>
      <c r="HW46"/>
      <c r="HX46"/>
      <c r="HY46"/>
      <c r="HZ46"/>
      <c r="IA46"/>
      <c r="IB46"/>
      <c r="IC46"/>
      <c r="ID46"/>
      <c r="IE46"/>
      <c r="IF46"/>
      <c r="IG46"/>
      <c r="IH46"/>
      <c r="II46"/>
      <c r="IJ46"/>
      <c r="IK46"/>
      <c r="IL46"/>
      <c r="IM46"/>
      <c r="IN46"/>
      <c r="IO46"/>
      <c r="IP46"/>
      <c r="IQ46"/>
      <c r="IR46"/>
      <c r="IS46"/>
      <c r="IT46"/>
      <c r="IU46"/>
      <c r="IV46"/>
    </row>
    <row r="47" spans="1:256">
      <c r="A47" s="26" t="s">
        <v>59</v>
      </c>
      <c r="B47" s="32" t="s">
        <v>60</v>
      </c>
      <c r="C47" s="32" t="s">
        <v>60</v>
      </c>
      <c r="D47" s="32" t="s">
        <v>60</v>
      </c>
      <c r="E47" s="77" t="s">
        <v>60</v>
      </c>
      <c r="F47" s="60" t="s">
        <v>60</v>
      </c>
      <c r="G47"/>
      <c r="H47"/>
      <c r="I47"/>
      <c r="J47"/>
      <c r="K47"/>
      <c r="L47"/>
      <c r="M47"/>
      <c r="N47"/>
      <c r="O47"/>
      <c r="P47"/>
      <c r="Q47"/>
      <c r="R47"/>
      <c r="S47"/>
      <c r="T47"/>
      <c r="U47"/>
      <c r="V47"/>
      <c r="W47"/>
      <c r="X47"/>
      <c r="Y47"/>
      <c r="Z47"/>
      <c r="AA47"/>
      <c r="AB47"/>
      <c r="AC47"/>
      <c r="AD47"/>
      <c r="AE47"/>
      <c r="AF47"/>
      <c r="AG47"/>
      <c r="AH47"/>
      <c r="AI47"/>
      <c r="AJ47"/>
      <c r="AK47"/>
      <c r="AL47"/>
      <c r="AM47"/>
      <c r="AN47"/>
      <c r="AO47"/>
      <c r="AP47"/>
      <c r="AQ47"/>
      <c r="AR47"/>
      <c r="AS47"/>
      <c r="AT47"/>
      <c r="AU47"/>
      <c r="AV47"/>
      <c r="AW47"/>
      <c r="AX47"/>
      <c r="AY47"/>
      <c r="AZ47"/>
      <c r="BA47"/>
      <c r="BB47"/>
      <c r="BC47"/>
      <c r="BD47"/>
      <c r="BE47"/>
      <c r="BF47"/>
      <c r="BG47"/>
      <c r="BH47"/>
      <c r="BI47"/>
      <c r="BJ47"/>
      <c r="BK47"/>
      <c r="BL47"/>
      <c r="BM47"/>
      <c r="BN47"/>
      <c r="BO47"/>
      <c r="BP47"/>
      <c r="BQ47"/>
      <c r="BR47"/>
      <c r="BS47"/>
      <c r="BT47"/>
      <c r="BU47"/>
      <c r="BV47"/>
      <c r="BW47"/>
      <c r="BX47"/>
      <c r="BY47"/>
      <c r="BZ47"/>
      <c r="CA47"/>
      <c r="CB47"/>
      <c r="CC47"/>
      <c r="CD47"/>
      <c r="CE47"/>
      <c r="CF47"/>
      <c r="CG47"/>
      <c r="CH47"/>
      <c r="CI47"/>
      <c r="CJ47"/>
      <c r="CK47"/>
      <c r="CL47"/>
      <c r="CM47"/>
      <c r="CN47"/>
      <c r="CO47"/>
      <c r="CP47"/>
      <c r="CQ47"/>
      <c r="CR47"/>
      <c r="CS47"/>
      <c r="CT47"/>
      <c r="CU47"/>
      <c r="CV47"/>
      <c r="CW47"/>
      <c r="CX47"/>
      <c r="CY47"/>
      <c r="CZ47"/>
      <c r="DA47"/>
      <c r="DB47"/>
      <c r="DC47"/>
      <c r="DD47"/>
      <c r="DE47"/>
      <c r="DF47"/>
      <c r="DG47"/>
      <c r="DH47"/>
      <c r="DI47"/>
      <c r="DJ47"/>
      <c r="DK47"/>
      <c r="DL47"/>
      <c r="DM47"/>
      <c r="DN47"/>
      <c r="DO47"/>
      <c r="DP47"/>
      <c r="DQ47"/>
      <c r="DR47"/>
      <c r="DS47"/>
      <c r="DT47"/>
      <c r="DU47"/>
      <c r="DV47"/>
      <c r="DW47"/>
      <c r="DX47"/>
      <c r="DY47"/>
      <c r="DZ47"/>
      <c r="EA47"/>
      <c r="EB47"/>
      <c r="EC47"/>
      <c r="ED47"/>
      <c r="EE47"/>
      <c r="EF47"/>
      <c r="EG47"/>
      <c r="EH47"/>
      <c r="EI47"/>
      <c r="EJ47"/>
      <c r="EK47"/>
      <c r="EL47"/>
      <c r="EM47"/>
      <c r="EN47"/>
      <c r="EO47"/>
      <c r="EP47"/>
      <c r="EQ47"/>
      <c r="ER47"/>
      <c r="ES47"/>
      <c r="ET47"/>
      <c r="EU47"/>
      <c r="EV47"/>
      <c r="EW47"/>
      <c r="EX47"/>
      <c r="EY47"/>
      <c r="EZ47"/>
      <c r="FA47"/>
      <c r="FB47"/>
      <c r="FC47"/>
      <c r="FD47"/>
      <c r="FE47"/>
      <c r="FF47"/>
      <c r="FG47"/>
      <c r="FH47"/>
      <c r="FI47"/>
      <c r="FJ47"/>
      <c r="FK47"/>
      <c r="FL47"/>
      <c r="FM47"/>
      <c r="FN47"/>
      <c r="FO47"/>
      <c r="FP47"/>
      <c r="FQ47"/>
      <c r="FR47"/>
      <c r="FS47"/>
      <c r="FT47"/>
      <c r="FU47"/>
      <c r="FV47"/>
      <c r="FW47"/>
      <c r="FX47"/>
      <c r="FY47"/>
      <c r="FZ47"/>
      <c r="GA47"/>
      <c r="GB47"/>
      <c r="GC47"/>
      <c r="GD47"/>
      <c r="GE47"/>
      <c r="GF47"/>
      <c r="GG47"/>
      <c r="GH47"/>
      <c r="GI47"/>
      <c r="GJ47"/>
      <c r="GK47"/>
      <c r="GL47"/>
      <c r="GM47"/>
      <c r="GN47"/>
      <c r="GO47"/>
      <c r="GP47"/>
      <c r="GQ47"/>
      <c r="GR47"/>
      <c r="GS47"/>
      <c r="GT47"/>
      <c r="GU47"/>
      <c r="GV47"/>
      <c r="GW47"/>
      <c r="GX47"/>
      <c r="GY47"/>
      <c r="GZ47"/>
      <c r="HA47"/>
      <c r="HB47"/>
      <c r="HC47"/>
      <c r="HD47"/>
      <c r="HE47"/>
      <c r="HF47"/>
      <c r="HG47"/>
      <c r="HH47"/>
      <c r="HI47"/>
      <c r="HJ47"/>
      <c r="HK47"/>
      <c r="HL47"/>
      <c r="HM47"/>
      <c r="HN47"/>
      <c r="HO47"/>
      <c r="HP47"/>
      <c r="HQ47"/>
      <c r="HR47"/>
      <c r="HS47"/>
      <c r="HT47"/>
      <c r="HU47"/>
      <c r="HV47"/>
      <c r="HW47"/>
      <c r="HX47"/>
      <c r="HY47"/>
      <c r="HZ47"/>
      <c r="IA47"/>
      <c r="IB47"/>
      <c r="IC47"/>
      <c r="ID47"/>
      <c r="IE47"/>
      <c r="IF47"/>
      <c r="IG47"/>
      <c r="IH47"/>
      <c r="II47"/>
      <c r="IJ47"/>
      <c r="IK47"/>
      <c r="IL47"/>
      <c r="IM47"/>
      <c r="IN47"/>
      <c r="IO47"/>
      <c r="IP47"/>
      <c r="IQ47"/>
      <c r="IR47"/>
      <c r="IS47"/>
      <c r="IT47"/>
      <c r="IU47"/>
      <c r="IV47"/>
    </row>
    <row r="48" spans="1:256">
      <c r="A48" s="36"/>
      <c r="B48"/>
      <c r="C48"/>
      <c r="D48"/>
      <c r="E48"/>
      <c r="F48"/>
      <c r="G48"/>
      <c r="H48"/>
      <c r="I48"/>
      <c r="J48"/>
      <c r="K48"/>
      <c r="L48"/>
      <c r="M48"/>
      <c r="N48"/>
      <c r="O48"/>
      <c r="P48"/>
      <c r="Q48"/>
      <c r="R48"/>
      <c r="S48"/>
      <c r="T48"/>
      <c r="U48"/>
      <c r="V48"/>
      <c r="W48"/>
      <c r="X48"/>
      <c r="Y48"/>
      <c r="Z48"/>
      <c r="AA48"/>
      <c r="AB48"/>
      <c r="AC48"/>
      <c r="AD48"/>
      <c r="AE48"/>
      <c r="AF48"/>
      <c r="AG48"/>
      <c r="AH48"/>
      <c r="AI48"/>
      <c r="AJ48"/>
      <c r="AK48"/>
      <c r="AL48"/>
      <c r="AM48"/>
      <c r="AN48"/>
      <c r="AO48"/>
      <c r="AP48"/>
      <c r="AQ48"/>
      <c r="AR48"/>
      <c r="AS48"/>
      <c r="AT48"/>
      <c r="AU48"/>
      <c r="AV48"/>
      <c r="AW48"/>
      <c r="AX48"/>
      <c r="AY48"/>
      <c r="AZ48"/>
      <c r="BA48"/>
      <c r="BB48"/>
      <c r="BC48"/>
      <c r="BD48"/>
      <c r="BE48"/>
      <c r="BF48"/>
      <c r="BG48"/>
      <c r="BH48"/>
      <c r="BI48"/>
      <c r="BJ48"/>
      <c r="BK48"/>
      <c r="BL48"/>
      <c r="BM48"/>
      <c r="BN48"/>
      <c r="BO48"/>
      <c r="BP48"/>
      <c r="BQ48"/>
      <c r="BR48"/>
      <c r="BS48"/>
      <c r="BT48"/>
      <c r="BU48"/>
      <c r="BV48"/>
      <c r="BW48"/>
      <c r="BX48"/>
      <c r="BY48"/>
      <c r="BZ48"/>
      <c r="CA48"/>
      <c r="CB48"/>
      <c r="CC48"/>
      <c r="CD48"/>
      <c r="CE48"/>
      <c r="CF48"/>
      <c r="CG48"/>
      <c r="CH48"/>
      <c r="CI48"/>
      <c r="CJ48"/>
      <c r="CK48"/>
      <c r="CL48"/>
      <c r="CM48"/>
      <c r="CN48"/>
      <c r="CO48"/>
      <c r="CP48"/>
      <c r="CQ48"/>
      <c r="CR48"/>
      <c r="CS48"/>
      <c r="CT48"/>
      <c r="CU48"/>
      <c r="CV48"/>
      <c r="CW48"/>
      <c r="CX48"/>
      <c r="CY48"/>
      <c r="CZ48"/>
      <c r="DA48"/>
      <c r="DB48"/>
      <c r="DC48"/>
      <c r="DD48"/>
      <c r="DE48"/>
      <c r="DF48"/>
      <c r="DG48"/>
      <c r="DH48"/>
      <c r="DI48"/>
      <c r="DJ48"/>
      <c r="DK48"/>
      <c r="DL48"/>
      <c r="DM48"/>
      <c r="DN48"/>
      <c r="DO48"/>
      <c r="DP48"/>
      <c r="DQ48"/>
      <c r="DR48"/>
      <c r="DS48"/>
      <c r="DT48"/>
      <c r="DU48"/>
      <c r="DV48"/>
      <c r="DW48"/>
      <c r="DX48"/>
      <c r="DY48"/>
      <c r="DZ48"/>
      <c r="EA48"/>
      <c r="EB48"/>
      <c r="EC48"/>
      <c r="ED48"/>
      <c r="EE48"/>
      <c r="EF48"/>
      <c r="EG48"/>
      <c r="EH48"/>
      <c r="EI48"/>
      <c r="EJ48"/>
      <c r="EK48"/>
      <c r="EL48"/>
      <c r="EM48"/>
      <c r="EN48"/>
      <c r="EO48"/>
      <c r="EP48"/>
      <c r="EQ48"/>
      <c r="ER48"/>
      <c r="ES48"/>
      <c r="ET48"/>
      <c r="EU48"/>
      <c r="EV48"/>
      <c r="EW48"/>
      <c r="EX48"/>
      <c r="EY48"/>
      <c r="EZ48"/>
      <c r="FA48"/>
      <c r="FB48"/>
      <c r="FC48"/>
      <c r="FD48"/>
      <c r="FE48"/>
      <c r="FF48"/>
      <c r="FG48"/>
      <c r="FH48"/>
      <c r="FI48"/>
      <c r="FJ48"/>
      <c r="FK48"/>
      <c r="FL48"/>
      <c r="FM48"/>
      <c r="FN48"/>
      <c r="FO48"/>
      <c r="FP48"/>
      <c r="FQ48"/>
      <c r="FR48"/>
      <c r="FS48"/>
      <c r="FT48"/>
      <c r="FU48"/>
      <c r="FV48"/>
      <c r="FW48"/>
      <c r="FX48"/>
      <c r="FY48"/>
      <c r="FZ48"/>
      <c r="GA48"/>
      <c r="GB48"/>
      <c r="GC48"/>
      <c r="GD48"/>
      <c r="GE48"/>
      <c r="GF48"/>
      <c r="GG48"/>
      <c r="GH48"/>
      <c r="GI48"/>
      <c r="GJ48"/>
      <c r="GK48"/>
      <c r="GL48"/>
      <c r="GM48"/>
      <c r="GN48"/>
      <c r="GO48"/>
      <c r="GP48"/>
      <c r="GQ48"/>
      <c r="GR48"/>
      <c r="GS48"/>
      <c r="GT48"/>
      <c r="GU48"/>
      <c r="GV48"/>
      <c r="GW48"/>
      <c r="GX48"/>
      <c r="GY48"/>
      <c r="GZ48"/>
      <c r="HA48"/>
      <c r="HB48"/>
      <c r="HC48"/>
      <c r="HD48"/>
      <c r="HE48"/>
      <c r="HF48"/>
      <c r="HG48"/>
      <c r="HH48"/>
      <c r="HI48"/>
      <c r="HJ48"/>
      <c r="HK48"/>
      <c r="HL48"/>
      <c r="HM48"/>
      <c r="HN48"/>
      <c r="HO48"/>
      <c r="HP48"/>
      <c r="HQ48"/>
      <c r="HR48"/>
      <c r="HS48"/>
      <c r="HT48"/>
      <c r="HU48"/>
      <c r="HV48"/>
      <c r="HW48"/>
      <c r="HX48"/>
      <c r="HY48"/>
      <c r="HZ48"/>
      <c r="IA48"/>
      <c r="IB48"/>
      <c r="IC48"/>
      <c r="ID48"/>
      <c r="IE48"/>
      <c r="IF48"/>
      <c r="IG48"/>
      <c r="IH48"/>
      <c r="II48"/>
      <c r="IJ48"/>
      <c r="IK48"/>
      <c r="IL48"/>
      <c r="IM48"/>
      <c r="IN48"/>
      <c r="IO48"/>
      <c r="IP48"/>
      <c r="IQ48"/>
      <c r="IR48"/>
      <c r="IS48"/>
      <c r="IT48"/>
      <c r="IU48"/>
      <c r="IV48"/>
    </row>
    <row r="49" spans="1:256" s="80" customFormat="1" ht="12.75" customHeight="1">
      <c r="A49" s="79"/>
      <c r="B49" s="43"/>
      <c r="C49" s="43"/>
      <c r="D49" s="43"/>
      <c r="E49" s="43"/>
      <c r="F49" s="43"/>
      <c r="G49" s="43"/>
      <c r="H49" s="43"/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3"/>
    </row>
    <row r="50" spans="1:256" ht="12.75" customHeight="1">
      <c r="A50" s="81" t="s">
        <v>160</v>
      </c>
      <c r="B50" s="42" t="s">
        <v>161</v>
      </c>
      <c r="C50" s="43"/>
      <c r="D50" s="43"/>
      <c r="E50" s="43"/>
      <c r="F50" s="43"/>
      <c r="G50" s="43"/>
      <c r="H50" s="43"/>
      <c r="I50" s="43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3"/>
      <c r="U50"/>
      <c r="V50"/>
      <c r="W50"/>
      <c r="X50"/>
      <c r="Y50"/>
      <c r="Z50"/>
      <c r="AA50"/>
      <c r="AB50"/>
      <c r="AC50"/>
      <c r="AD50"/>
      <c r="AE50"/>
      <c r="AF50"/>
      <c r="AG50"/>
      <c r="AH50"/>
      <c r="AI50"/>
      <c r="AJ50"/>
      <c r="AK50"/>
      <c r="AL50"/>
      <c r="AM50"/>
      <c r="AN50"/>
      <c r="AO50"/>
      <c r="AP50"/>
      <c r="AQ50"/>
      <c r="AR50"/>
      <c r="AS50"/>
      <c r="AT50"/>
      <c r="AU50"/>
      <c r="AV50"/>
      <c r="AW50"/>
      <c r="AX50"/>
      <c r="AY50"/>
      <c r="AZ50"/>
      <c r="BA50"/>
      <c r="BB50"/>
      <c r="BC50"/>
      <c r="BD50"/>
      <c r="BE50"/>
      <c r="BF50"/>
      <c r="BG50"/>
      <c r="BH50"/>
      <c r="BI50"/>
      <c r="BJ50"/>
      <c r="BK50"/>
      <c r="BL50"/>
      <c r="BM50"/>
      <c r="BN50"/>
      <c r="BO50"/>
      <c r="BP50"/>
      <c r="BQ50"/>
      <c r="BR50"/>
      <c r="BS50"/>
      <c r="BT50"/>
      <c r="BU50"/>
      <c r="BV50"/>
      <c r="BW50"/>
      <c r="BX50"/>
      <c r="BY50"/>
      <c r="BZ50"/>
      <c r="CA50"/>
      <c r="CB50"/>
      <c r="CC50"/>
      <c r="CD50"/>
      <c r="CE50"/>
      <c r="CF50"/>
      <c r="CG50"/>
      <c r="CH50"/>
      <c r="CI50"/>
      <c r="CJ50"/>
      <c r="CK50"/>
      <c r="CL50"/>
      <c r="CM50"/>
      <c r="CN50"/>
      <c r="CO50"/>
      <c r="CP50"/>
      <c r="CQ50"/>
      <c r="CR50"/>
      <c r="CS50"/>
      <c r="CT50"/>
      <c r="CU50"/>
      <c r="CV50"/>
      <c r="CW50"/>
      <c r="CX50"/>
      <c r="CY50"/>
      <c r="CZ50"/>
      <c r="DA50"/>
      <c r="DB50"/>
      <c r="DC50"/>
      <c r="DD50"/>
      <c r="DE50"/>
      <c r="DF50"/>
      <c r="DG50"/>
      <c r="DH50"/>
      <c r="DI50"/>
      <c r="DJ50"/>
      <c r="DK50"/>
      <c r="DL50"/>
      <c r="DM50"/>
      <c r="DN50"/>
      <c r="DO50"/>
      <c r="DP50"/>
      <c r="DQ50"/>
      <c r="DR50"/>
      <c r="DS50"/>
      <c r="DT50"/>
      <c r="DU50"/>
      <c r="DV50"/>
      <c r="DW50"/>
      <c r="DX50"/>
      <c r="DY50"/>
      <c r="DZ50"/>
      <c r="EA50"/>
      <c r="EB50"/>
      <c r="EC50"/>
      <c r="ED50"/>
      <c r="EE50"/>
      <c r="EF50"/>
      <c r="EG50"/>
      <c r="EH50"/>
      <c r="EI50"/>
      <c r="EJ50"/>
      <c r="EK50"/>
      <c r="EL50"/>
      <c r="EM50"/>
      <c r="EN50"/>
      <c r="EO50"/>
      <c r="EP50"/>
      <c r="EQ50"/>
      <c r="ER50"/>
      <c r="ES50"/>
      <c r="ET50"/>
      <c r="EU50"/>
      <c r="EV50"/>
      <c r="EW50"/>
      <c r="EX50"/>
      <c r="EY50"/>
      <c r="EZ50"/>
      <c r="FA50"/>
      <c r="FB50"/>
      <c r="FC50"/>
      <c r="FD50"/>
      <c r="FE50"/>
      <c r="FF50"/>
      <c r="FG50"/>
      <c r="FH50"/>
      <c r="FI50"/>
      <c r="FJ50"/>
      <c r="FK50"/>
      <c r="FL50"/>
      <c r="FM50"/>
      <c r="FN50"/>
      <c r="FO50"/>
      <c r="FP50"/>
      <c r="FQ50"/>
      <c r="FR50"/>
      <c r="FS50"/>
      <c r="FT50"/>
      <c r="FU50"/>
      <c r="FV50"/>
      <c r="FW50"/>
      <c r="FX50"/>
      <c r="FY50"/>
      <c r="FZ50"/>
      <c r="GA50"/>
      <c r="GB50"/>
      <c r="GC50"/>
      <c r="GD50"/>
      <c r="GE50"/>
      <c r="GF50"/>
      <c r="GG50"/>
      <c r="GH50"/>
      <c r="GI50"/>
      <c r="GJ50"/>
      <c r="GK50"/>
      <c r="GL50"/>
      <c r="GM50"/>
      <c r="GN50"/>
      <c r="GO50"/>
      <c r="GP50"/>
      <c r="GQ50"/>
      <c r="GR50"/>
      <c r="GS50"/>
      <c r="GT50"/>
      <c r="GU50"/>
      <c r="GV50"/>
      <c r="GW50"/>
      <c r="GX50"/>
      <c r="GY50"/>
      <c r="GZ50"/>
      <c r="HA50"/>
      <c r="HB50"/>
      <c r="HC50"/>
      <c r="HD50"/>
      <c r="HE50"/>
      <c r="HF50"/>
      <c r="HG50"/>
      <c r="HH50"/>
      <c r="HI50"/>
      <c r="HJ50"/>
      <c r="HK50"/>
      <c r="HL50"/>
      <c r="HM50"/>
      <c r="HN50"/>
      <c r="HO50"/>
      <c r="HP50"/>
      <c r="HQ50"/>
      <c r="HR50"/>
      <c r="HS50"/>
      <c r="HT50"/>
      <c r="HU50"/>
      <c r="HV50"/>
      <c r="HW50"/>
      <c r="HX50"/>
      <c r="HY50"/>
      <c r="HZ50"/>
      <c r="IA50"/>
      <c r="IB50"/>
      <c r="IC50"/>
      <c r="ID50"/>
      <c r="IE50"/>
      <c r="IF50"/>
      <c r="IG50"/>
      <c r="IH50"/>
      <c r="II50"/>
      <c r="IJ50"/>
      <c r="IK50"/>
      <c r="IL50"/>
      <c r="IM50"/>
      <c r="IN50"/>
      <c r="IO50"/>
      <c r="IP50"/>
      <c r="IQ50"/>
      <c r="IR50"/>
      <c r="IS50"/>
      <c r="IT50"/>
      <c r="IU50"/>
      <c r="IV50"/>
    </row>
    <row r="51" spans="1:256" ht="12.75" customHeight="1">
      <c r="A51" s="79"/>
      <c r="B51" s="42" t="s">
        <v>162</v>
      </c>
      <c r="C51" s="43"/>
      <c r="D51" s="43"/>
      <c r="E51" s="43"/>
      <c r="F51" s="43"/>
      <c r="G51" s="43"/>
      <c r="H51" s="43"/>
      <c r="I51" s="43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3"/>
      <c r="U51"/>
      <c r="V51"/>
      <c r="W51"/>
      <c r="X51"/>
      <c r="Y51"/>
      <c r="Z51"/>
      <c r="AA51"/>
      <c r="AB51"/>
      <c r="AC51"/>
      <c r="AD51"/>
      <c r="AE51"/>
      <c r="AF51"/>
      <c r="AG51"/>
      <c r="AH51"/>
      <c r="AI51"/>
      <c r="AJ51"/>
      <c r="AK51"/>
      <c r="AL51"/>
      <c r="AM51"/>
      <c r="AN51"/>
      <c r="AO51"/>
      <c r="AP51"/>
      <c r="AQ51"/>
      <c r="AR51"/>
      <c r="AS51"/>
      <c r="AT51"/>
      <c r="AU51"/>
      <c r="AV51"/>
      <c r="AW51"/>
      <c r="AX51"/>
      <c r="AY51"/>
      <c r="AZ51"/>
      <c r="BA51"/>
      <c r="BB51"/>
      <c r="BC51"/>
      <c r="BD51"/>
      <c r="BE51"/>
      <c r="BF51"/>
      <c r="BG51"/>
      <c r="BH51"/>
      <c r="BI51"/>
      <c r="BJ51"/>
      <c r="BK51"/>
      <c r="BL51"/>
      <c r="BM51"/>
      <c r="BN51"/>
      <c r="BO51"/>
      <c r="BP51"/>
      <c r="BQ51"/>
      <c r="BR51"/>
      <c r="BS51"/>
      <c r="BT51"/>
      <c r="BU51"/>
      <c r="BV51"/>
      <c r="BW51"/>
      <c r="BX51"/>
      <c r="BY51"/>
      <c r="BZ51"/>
      <c r="CA51"/>
      <c r="CB51"/>
      <c r="CC51"/>
      <c r="CD51"/>
      <c r="CE51"/>
      <c r="CF51"/>
      <c r="CG51"/>
      <c r="CH51"/>
      <c r="CI51"/>
      <c r="CJ51"/>
      <c r="CK51"/>
      <c r="CL51"/>
      <c r="CM51"/>
      <c r="CN51"/>
      <c r="CO51"/>
      <c r="CP51"/>
      <c r="CQ51"/>
      <c r="CR51"/>
      <c r="CS51"/>
      <c r="CT51"/>
      <c r="CU51"/>
      <c r="CV51"/>
      <c r="CW51"/>
      <c r="CX51"/>
      <c r="CY51"/>
      <c r="CZ51"/>
      <c r="DA51"/>
      <c r="DB51"/>
      <c r="DC51"/>
      <c r="DD51"/>
      <c r="DE51"/>
      <c r="DF51"/>
      <c r="DG51"/>
      <c r="DH51"/>
      <c r="DI51"/>
      <c r="DJ51"/>
      <c r="DK51"/>
      <c r="DL51"/>
      <c r="DM51"/>
      <c r="DN51"/>
      <c r="DO51"/>
      <c r="DP51"/>
      <c r="DQ51"/>
      <c r="DR51"/>
      <c r="DS51"/>
      <c r="DT51"/>
      <c r="DU51"/>
      <c r="DV51"/>
      <c r="DW51"/>
      <c r="DX51"/>
      <c r="DY51"/>
      <c r="DZ51"/>
      <c r="EA51"/>
      <c r="EB51"/>
      <c r="EC51"/>
      <c r="ED51"/>
      <c r="EE51"/>
      <c r="EF51"/>
      <c r="EG51"/>
      <c r="EH51"/>
      <c r="EI51"/>
      <c r="EJ51"/>
      <c r="EK51"/>
      <c r="EL51"/>
      <c r="EM51"/>
      <c r="EN51"/>
      <c r="EO51"/>
      <c r="EP51"/>
      <c r="EQ51"/>
      <c r="ER51"/>
      <c r="ES51"/>
      <c r="ET51"/>
      <c r="EU51"/>
      <c r="EV51"/>
      <c r="EW51"/>
      <c r="EX51"/>
      <c r="EY51"/>
      <c r="EZ51"/>
      <c r="FA51"/>
      <c r="FB51"/>
      <c r="FC51"/>
      <c r="FD51"/>
      <c r="FE51"/>
      <c r="FF51"/>
      <c r="FG51"/>
      <c r="FH51"/>
      <c r="FI51"/>
      <c r="FJ51"/>
      <c r="FK51"/>
      <c r="FL51"/>
      <c r="FM51"/>
      <c r="FN51"/>
      <c r="FO51"/>
      <c r="FP51"/>
      <c r="FQ51"/>
      <c r="FR51"/>
      <c r="FS51"/>
      <c r="FT51"/>
      <c r="FU51"/>
      <c r="FV51"/>
      <c r="FW51"/>
      <c r="FX51"/>
      <c r="FY51"/>
      <c r="FZ51"/>
      <c r="GA51"/>
      <c r="GB51"/>
      <c r="GC51"/>
      <c r="GD51"/>
      <c r="GE51"/>
      <c r="GF51"/>
      <c r="GG51"/>
      <c r="GH51"/>
      <c r="GI51"/>
      <c r="GJ51"/>
      <c r="GK51"/>
      <c r="GL51"/>
      <c r="GM51"/>
      <c r="GN51"/>
      <c r="GO51"/>
      <c r="GP51"/>
      <c r="GQ51"/>
      <c r="GR51"/>
      <c r="GS51"/>
      <c r="GT51"/>
      <c r="GU51"/>
      <c r="GV51"/>
      <c r="GW51"/>
      <c r="GX51"/>
      <c r="GY51"/>
      <c r="GZ51"/>
      <c r="HA51"/>
      <c r="HB51"/>
      <c r="HC51"/>
      <c r="HD51"/>
      <c r="HE51"/>
      <c r="HF51"/>
      <c r="HG51"/>
      <c r="HH51"/>
      <c r="HI51"/>
      <c r="HJ51"/>
      <c r="HK51"/>
      <c r="HL51"/>
      <c r="HM51"/>
      <c r="HN51"/>
      <c r="HO51"/>
      <c r="HP51"/>
      <c r="HQ51"/>
      <c r="HR51"/>
      <c r="HS51"/>
      <c r="HT51"/>
      <c r="HU51"/>
      <c r="HV51"/>
      <c r="HW51"/>
      <c r="HX51"/>
      <c r="HY51"/>
      <c r="HZ51"/>
      <c r="IA51"/>
      <c r="IB51"/>
      <c r="IC51"/>
      <c r="ID51"/>
      <c r="IE51"/>
      <c r="IF51"/>
      <c r="IG51"/>
      <c r="IH51"/>
      <c r="II51"/>
      <c r="IJ51"/>
      <c r="IK51"/>
      <c r="IL51"/>
      <c r="IM51"/>
      <c r="IN51"/>
      <c r="IO51"/>
      <c r="IP51"/>
      <c r="IQ51"/>
      <c r="IR51"/>
      <c r="IS51"/>
      <c r="IT51"/>
      <c r="IU51"/>
      <c r="IV51"/>
    </row>
    <row r="52" spans="1:256">
      <c r="A52" s="45"/>
      <c r="B52" s="14" t="s">
        <v>163</v>
      </c>
      <c r="C52" s="14" t="s">
        <v>164</v>
      </c>
      <c r="D52" s="14" t="s">
        <v>165</v>
      </c>
      <c r="E52" s="15" t="s">
        <v>166</v>
      </c>
      <c r="F52"/>
      <c r="G52"/>
      <c r="H52"/>
      <c r="I52"/>
      <c r="J52"/>
      <c r="K52"/>
      <c r="L52"/>
      <c r="M52"/>
      <c r="N52"/>
      <c r="O52"/>
      <c r="P52"/>
      <c r="Q52"/>
      <c r="R52"/>
      <c r="S52"/>
      <c r="T52"/>
      <c r="U52"/>
      <c r="V52"/>
      <c r="W52"/>
      <c r="X52"/>
      <c r="Y52"/>
      <c r="Z52"/>
      <c r="AA52"/>
      <c r="AB52"/>
      <c r="AC52"/>
      <c r="AD52"/>
      <c r="AE52"/>
      <c r="AF52"/>
      <c r="AG52"/>
      <c r="AH52"/>
      <c r="AI52"/>
      <c r="AJ52"/>
      <c r="AK52"/>
      <c r="AL52"/>
      <c r="AM52"/>
      <c r="AN52"/>
      <c r="AO52"/>
      <c r="AP52"/>
      <c r="AQ52"/>
      <c r="AR52"/>
      <c r="AS52"/>
      <c r="AT52"/>
      <c r="AU52"/>
      <c r="AV52"/>
      <c r="AW52"/>
      <c r="AX52"/>
      <c r="AY52"/>
      <c r="AZ52"/>
      <c r="BA52"/>
      <c r="BB52"/>
      <c r="BC52"/>
      <c r="BD52"/>
      <c r="BE52"/>
      <c r="BF52"/>
      <c r="BG52"/>
      <c r="BH52"/>
      <c r="BI52"/>
      <c r="BJ52"/>
      <c r="BK52"/>
      <c r="BL52"/>
      <c r="BM52"/>
      <c r="BN52"/>
      <c r="BO52"/>
      <c r="BP52"/>
      <c r="BQ52"/>
      <c r="BR52"/>
      <c r="BS52"/>
      <c r="BT52"/>
      <c r="BU52"/>
      <c r="BV52"/>
      <c r="BW52"/>
      <c r="BX52"/>
      <c r="BY52"/>
      <c r="BZ52"/>
      <c r="CA52"/>
      <c r="CB52"/>
      <c r="CC52"/>
      <c r="CD52"/>
      <c r="CE52"/>
      <c r="CF52"/>
      <c r="CG52"/>
      <c r="CH52"/>
      <c r="CI52"/>
      <c r="CJ52"/>
      <c r="CK52"/>
      <c r="CL52"/>
      <c r="CM52"/>
      <c r="CN52"/>
      <c r="CO52"/>
      <c r="CP52"/>
      <c r="CQ52"/>
      <c r="CR52"/>
      <c r="CS52"/>
      <c r="CT52"/>
      <c r="CU52"/>
      <c r="CV52"/>
      <c r="CW52"/>
      <c r="CX52"/>
      <c r="CY52"/>
      <c r="CZ52"/>
      <c r="DA52"/>
      <c r="DB52"/>
      <c r="DC52"/>
      <c r="DD52"/>
      <c r="DE52"/>
      <c r="DF52"/>
      <c r="DG52"/>
      <c r="DH52"/>
      <c r="DI52"/>
      <c r="DJ52"/>
      <c r="DK52"/>
      <c r="DL52"/>
      <c r="DM52"/>
      <c r="DN52"/>
      <c r="DO52"/>
      <c r="DP52"/>
      <c r="DQ52"/>
      <c r="DR52"/>
      <c r="DS52"/>
      <c r="DT52"/>
      <c r="DU52"/>
      <c r="DV52"/>
      <c r="DW52"/>
      <c r="DX52"/>
      <c r="DY52"/>
      <c r="DZ52"/>
      <c r="EA52"/>
      <c r="EB52"/>
      <c r="EC52"/>
      <c r="ED52"/>
      <c r="EE52"/>
      <c r="EF52"/>
      <c r="EG52"/>
      <c r="EH52"/>
      <c r="EI52"/>
      <c r="EJ52"/>
      <c r="EK52"/>
      <c r="EL52"/>
      <c r="EM52"/>
      <c r="EN52"/>
      <c r="EO52"/>
      <c r="EP52"/>
      <c r="EQ52"/>
      <c r="ER52"/>
      <c r="ES52"/>
      <c r="ET52"/>
      <c r="EU52"/>
      <c r="EV52"/>
      <c r="EW52"/>
      <c r="EX52"/>
      <c r="EY52"/>
      <c r="EZ52"/>
      <c r="FA52"/>
      <c r="FB52"/>
      <c r="FC52"/>
      <c r="FD52"/>
      <c r="FE52"/>
      <c r="FF52"/>
      <c r="FG52"/>
      <c r="FH52"/>
      <c r="FI52"/>
      <c r="FJ52"/>
      <c r="FK52"/>
      <c r="FL52"/>
      <c r="FM52"/>
      <c r="FN52"/>
      <c r="FO52"/>
      <c r="FP52"/>
      <c r="FQ52"/>
      <c r="FR52"/>
      <c r="FS52"/>
      <c r="FT52"/>
      <c r="FU52"/>
      <c r="FV52"/>
      <c r="FW52"/>
      <c r="FX52"/>
      <c r="FY52"/>
      <c r="FZ52"/>
      <c r="GA52"/>
      <c r="GB52"/>
      <c r="GC52"/>
      <c r="GD52"/>
      <c r="GE52"/>
      <c r="GF52"/>
      <c r="GG52"/>
      <c r="GH52"/>
      <c r="GI52"/>
      <c r="GJ52"/>
      <c r="GK52"/>
      <c r="GL52"/>
      <c r="GM52"/>
      <c r="GN52"/>
      <c r="GO52"/>
      <c r="GP52"/>
      <c r="GQ52"/>
      <c r="GR52"/>
      <c r="GS52"/>
      <c r="GT52"/>
      <c r="GU52"/>
      <c r="GV52"/>
      <c r="GW52"/>
      <c r="GX52"/>
      <c r="GY52"/>
      <c r="GZ52"/>
      <c r="HA52"/>
      <c r="HB52"/>
      <c r="HC52"/>
      <c r="HD52"/>
      <c r="HE52"/>
      <c r="HF52"/>
      <c r="HG52"/>
      <c r="HH52"/>
      <c r="HI52"/>
      <c r="HJ52"/>
      <c r="HK52"/>
      <c r="HL52"/>
      <c r="HM52"/>
      <c r="HN52"/>
      <c r="HO52"/>
      <c r="HP52"/>
      <c r="HQ52"/>
      <c r="HR52"/>
      <c r="HS52"/>
      <c r="HT52"/>
      <c r="HU52"/>
      <c r="HV52"/>
      <c r="HW52"/>
      <c r="HX52"/>
      <c r="HY52"/>
      <c r="HZ52"/>
      <c r="IA52"/>
      <c r="IB52"/>
      <c r="IC52"/>
      <c r="ID52"/>
      <c r="IE52"/>
      <c r="IF52"/>
      <c r="IG52"/>
      <c r="IH52"/>
      <c r="II52"/>
      <c r="IJ52"/>
      <c r="IK52"/>
      <c r="IL52"/>
      <c r="IM52"/>
      <c r="IN52"/>
      <c r="IO52"/>
      <c r="IP52"/>
      <c r="IQ52"/>
      <c r="IR52"/>
      <c r="IS52"/>
      <c r="IT52"/>
      <c r="IU52"/>
      <c r="IV52"/>
    </row>
    <row r="53" spans="1:256" ht="63.75" customHeight="1">
      <c r="A53" s="18" t="s">
        <v>29</v>
      </c>
      <c r="B53" s="20" t="s">
        <v>167</v>
      </c>
      <c r="C53" s="20" t="s">
        <v>168</v>
      </c>
      <c r="D53" s="20" t="s">
        <v>169</v>
      </c>
      <c r="E53" s="20" t="s">
        <v>170</v>
      </c>
      <c r="F53"/>
      <c r="G53"/>
      <c r="H53"/>
      <c r="I53"/>
      <c r="J53"/>
      <c r="K53"/>
      <c r="L53"/>
      <c r="M53"/>
      <c r="N53"/>
      <c r="O53"/>
      <c r="P53"/>
      <c r="Q53"/>
      <c r="R53"/>
      <c r="S53"/>
      <c r="T53"/>
      <c r="U53"/>
      <c r="V53"/>
      <c r="W53"/>
      <c r="X53"/>
      <c r="Y53"/>
      <c r="Z53"/>
      <c r="AA53"/>
      <c r="AB53"/>
      <c r="AC53"/>
      <c r="AD53"/>
      <c r="AE53"/>
      <c r="AF53"/>
      <c r="AG53"/>
      <c r="AH53"/>
      <c r="AI53"/>
      <c r="AJ53"/>
      <c r="AK53"/>
      <c r="AL53"/>
      <c r="AM53"/>
      <c r="AN53"/>
      <c r="AO53"/>
      <c r="AP53"/>
      <c r="AQ53"/>
      <c r="AR53"/>
      <c r="AS53"/>
      <c r="AT53"/>
      <c r="AU53"/>
      <c r="AV53"/>
      <c r="AW53"/>
      <c r="AX53"/>
      <c r="AY53"/>
      <c r="AZ53"/>
      <c r="BA53"/>
      <c r="BB53"/>
      <c r="BC53"/>
      <c r="BD53"/>
      <c r="BE53"/>
      <c r="BF53"/>
      <c r="BG53"/>
      <c r="BH53"/>
      <c r="BI53"/>
      <c r="BJ53"/>
      <c r="BK53"/>
      <c r="BL53"/>
      <c r="BM53"/>
      <c r="BN53"/>
      <c r="BO53"/>
      <c r="BP53"/>
      <c r="BQ53"/>
      <c r="BR53"/>
      <c r="BS53"/>
      <c r="BT53"/>
      <c r="BU53"/>
      <c r="BV53"/>
      <c r="BW53"/>
      <c r="BX53"/>
      <c r="BY53"/>
      <c r="BZ53"/>
      <c r="CA53"/>
      <c r="CB53"/>
      <c r="CC53"/>
      <c r="CD53"/>
      <c r="CE53"/>
      <c r="CF53"/>
      <c r="CG53"/>
      <c r="CH53"/>
      <c r="CI53"/>
      <c r="CJ53"/>
      <c r="CK53"/>
      <c r="CL53"/>
      <c r="CM53"/>
      <c r="CN53"/>
      <c r="CO53"/>
      <c r="CP53"/>
      <c r="CQ53"/>
      <c r="CR53"/>
      <c r="CS53"/>
      <c r="CT53"/>
      <c r="CU53"/>
      <c r="CV53"/>
      <c r="CW53"/>
      <c r="CX53"/>
      <c r="CY53"/>
      <c r="CZ53"/>
      <c r="DA53"/>
      <c r="DB53"/>
      <c r="DC53"/>
      <c r="DD53"/>
      <c r="DE53"/>
      <c r="DF53"/>
      <c r="DG53"/>
      <c r="DH53"/>
      <c r="DI53"/>
      <c r="DJ53"/>
      <c r="DK53"/>
      <c r="DL53"/>
      <c r="DM53"/>
      <c r="DN53"/>
      <c r="DO53"/>
      <c r="DP53"/>
      <c r="DQ53"/>
      <c r="DR53"/>
      <c r="DS53"/>
      <c r="DT53"/>
      <c r="DU53"/>
      <c r="DV53"/>
      <c r="DW53"/>
      <c r="DX53"/>
      <c r="DY53"/>
      <c r="DZ53"/>
      <c r="EA53"/>
      <c r="EB53"/>
      <c r="EC53"/>
      <c r="ED53"/>
      <c r="EE53"/>
      <c r="EF53"/>
      <c r="EG53"/>
      <c r="EH53"/>
      <c r="EI53"/>
      <c r="EJ53"/>
      <c r="EK53"/>
      <c r="EL53"/>
      <c r="EM53"/>
      <c r="EN53"/>
      <c r="EO53"/>
      <c r="EP53"/>
      <c r="EQ53"/>
      <c r="ER53"/>
      <c r="ES53"/>
      <c r="ET53"/>
      <c r="EU53"/>
      <c r="EV53"/>
      <c r="EW53"/>
      <c r="EX53"/>
      <c r="EY53"/>
      <c r="EZ53"/>
      <c r="FA53"/>
      <c r="FB53"/>
      <c r="FC53"/>
      <c r="FD53"/>
      <c r="FE53"/>
      <c r="FF53"/>
      <c r="FG53"/>
      <c r="FH53"/>
      <c r="FI53"/>
      <c r="FJ53"/>
      <c r="FK53"/>
      <c r="FL53"/>
      <c r="FM53"/>
      <c r="FN53"/>
      <c r="FO53"/>
      <c r="FP53"/>
      <c r="FQ53"/>
      <c r="FR53"/>
      <c r="FS53"/>
      <c r="FT53"/>
      <c r="FU53"/>
      <c r="FV53"/>
      <c r="FW53"/>
      <c r="FX53"/>
      <c r="FY53"/>
      <c r="FZ53"/>
      <c r="GA53"/>
      <c r="GB53"/>
      <c r="GC53"/>
      <c r="GD53"/>
      <c r="GE53"/>
      <c r="GF53"/>
      <c r="GG53"/>
      <c r="GH53"/>
      <c r="GI53"/>
      <c r="GJ53"/>
      <c r="GK53"/>
      <c r="GL53"/>
      <c r="GM53"/>
      <c r="GN53"/>
      <c r="GO53"/>
      <c r="GP53"/>
      <c r="GQ53"/>
      <c r="GR53"/>
      <c r="GS53"/>
      <c r="GT53"/>
      <c r="GU53"/>
      <c r="GV53"/>
      <c r="GW53"/>
      <c r="GX53"/>
      <c r="GY53"/>
      <c r="GZ53"/>
      <c r="HA53"/>
      <c r="HB53"/>
      <c r="HC53"/>
      <c r="HD53"/>
      <c r="HE53"/>
      <c r="HF53"/>
      <c r="HG53"/>
      <c r="HH53"/>
      <c r="HI53"/>
      <c r="HJ53"/>
      <c r="HK53"/>
      <c r="HL53"/>
      <c r="HM53"/>
      <c r="HN53"/>
      <c r="HO53"/>
      <c r="HP53"/>
      <c r="HQ53"/>
      <c r="HR53"/>
      <c r="HS53"/>
      <c r="HT53"/>
      <c r="HU53"/>
      <c r="HV53"/>
      <c r="HW53"/>
      <c r="HX53"/>
      <c r="HY53"/>
      <c r="HZ53"/>
      <c r="IA53"/>
      <c r="IB53"/>
      <c r="IC53"/>
      <c r="ID53"/>
      <c r="IE53"/>
      <c r="IF53"/>
      <c r="IG53"/>
      <c r="IH53"/>
      <c r="II53"/>
      <c r="IJ53"/>
      <c r="IK53"/>
      <c r="IL53"/>
      <c r="IM53"/>
      <c r="IN53"/>
      <c r="IO53"/>
      <c r="IP53"/>
      <c r="IQ53"/>
      <c r="IR53"/>
      <c r="IS53"/>
      <c r="IT53"/>
      <c r="IU53"/>
      <c r="IV53"/>
    </row>
    <row r="54" spans="1:256" ht="25.5">
      <c r="A54" s="50" t="s">
        <v>89</v>
      </c>
      <c r="B54" s="82" t="s">
        <v>171</v>
      </c>
      <c r="C54" s="82" t="s">
        <v>172</v>
      </c>
      <c r="D54" s="82" t="s">
        <v>173</v>
      </c>
      <c r="E54" s="78" t="s">
        <v>174</v>
      </c>
      <c r="F54"/>
      <c r="G54"/>
      <c r="H54"/>
      <c r="I54"/>
      <c r="J54"/>
      <c r="K54"/>
      <c r="L54"/>
      <c r="M54"/>
      <c r="N54"/>
      <c r="O54"/>
      <c r="P54"/>
      <c r="Q54"/>
      <c r="R54"/>
      <c r="S54"/>
      <c r="T54"/>
      <c r="U54"/>
      <c r="V54"/>
      <c r="W54"/>
      <c r="X54"/>
      <c r="Y54"/>
      <c r="Z54"/>
      <c r="AA54"/>
      <c r="AB54"/>
      <c r="AC54"/>
      <c r="AD54"/>
      <c r="AE54"/>
      <c r="AF54"/>
      <c r="AG54"/>
      <c r="AH54"/>
      <c r="AI54"/>
      <c r="AJ54"/>
      <c r="AK54"/>
      <c r="AL54"/>
      <c r="AM54"/>
      <c r="AN54"/>
      <c r="AO54"/>
      <c r="AP54"/>
      <c r="AQ54"/>
      <c r="AR54"/>
      <c r="AS54"/>
      <c r="AT54"/>
      <c r="AU54"/>
      <c r="AV54"/>
      <c r="AW54"/>
      <c r="AX54"/>
      <c r="AY54"/>
      <c r="AZ54"/>
      <c r="BA54"/>
      <c r="BB54"/>
      <c r="BC54"/>
      <c r="BD54"/>
      <c r="BE54"/>
      <c r="BF54"/>
      <c r="BG54"/>
      <c r="BH54"/>
      <c r="BI54"/>
      <c r="BJ54"/>
      <c r="BK54"/>
      <c r="BL54"/>
      <c r="BM54"/>
      <c r="BN54"/>
      <c r="BO54"/>
      <c r="BP54"/>
      <c r="BQ54"/>
      <c r="BR54"/>
      <c r="BS54"/>
      <c r="BT54"/>
      <c r="BU54"/>
      <c r="BV54"/>
      <c r="BW54"/>
      <c r="BX54"/>
      <c r="BY54"/>
      <c r="BZ54"/>
      <c r="CA54"/>
      <c r="CB54"/>
      <c r="CC54"/>
      <c r="CD54"/>
      <c r="CE54"/>
      <c r="CF54"/>
      <c r="CG54"/>
      <c r="CH54"/>
      <c r="CI54"/>
      <c r="CJ54"/>
      <c r="CK54"/>
      <c r="CL54"/>
      <c r="CM54"/>
      <c r="CN54"/>
      <c r="CO54"/>
      <c r="CP54"/>
      <c r="CQ54"/>
      <c r="CR54"/>
      <c r="CS54"/>
      <c r="CT54"/>
      <c r="CU54"/>
      <c r="CV54"/>
      <c r="CW54"/>
      <c r="CX54"/>
      <c r="CY54"/>
      <c r="CZ54"/>
      <c r="DA54"/>
      <c r="DB54"/>
      <c r="DC54"/>
      <c r="DD54"/>
      <c r="DE54"/>
      <c r="DF54"/>
      <c r="DG54"/>
      <c r="DH54"/>
      <c r="DI54"/>
      <c r="DJ54"/>
      <c r="DK54"/>
      <c r="DL54"/>
      <c r="DM54"/>
      <c r="DN54"/>
      <c r="DO54"/>
      <c r="DP54"/>
      <c r="DQ54"/>
      <c r="DR54"/>
      <c r="DS54"/>
      <c r="DT54"/>
      <c r="DU54"/>
      <c r="DV54"/>
      <c r="DW54"/>
      <c r="DX54"/>
      <c r="DY54"/>
      <c r="DZ54"/>
      <c r="EA54"/>
      <c r="EB54"/>
      <c r="EC54"/>
      <c r="ED54"/>
      <c r="EE54"/>
      <c r="EF54"/>
      <c r="EG54"/>
      <c r="EH54"/>
      <c r="EI54"/>
      <c r="EJ54"/>
      <c r="EK54"/>
      <c r="EL54"/>
      <c r="EM54"/>
      <c r="EN54"/>
      <c r="EO54"/>
      <c r="EP54"/>
      <c r="EQ54"/>
      <c r="ER54"/>
      <c r="ES54"/>
      <c r="ET54"/>
      <c r="EU54"/>
      <c r="EV54"/>
      <c r="EW54"/>
      <c r="EX54"/>
      <c r="EY54"/>
      <c r="EZ54"/>
      <c r="FA54"/>
      <c r="FB54"/>
      <c r="FC54"/>
      <c r="FD54"/>
      <c r="FE54"/>
      <c r="FF54"/>
      <c r="FG54"/>
      <c r="FH54"/>
      <c r="FI54"/>
      <c r="FJ54"/>
      <c r="FK54"/>
      <c r="FL54"/>
      <c r="FM54"/>
      <c r="FN54"/>
      <c r="FO54"/>
      <c r="FP54"/>
      <c r="FQ54"/>
      <c r="FR54"/>
      <c r="FS54"/>
      <c r="FT54"/>
      <c r="FU54"/>
      <c r="FV54"/>
      <c r="FW54"/>
      <c r="FX54"/>
      <c r="FY54"/>
      <c r="FZ54"/>
      <c r="GA54"/>
      <c r="GB54"/>
      <c r="GC54"/>
      <c r="GD54"/>
      <c r="GE54"/>
      <c r="GF54"/>
      <c r="GG54"/>
      <c r="GH54"/>
      <c r="GI54"/>
      <c r="GJ54"/>
      <c r="GK54"/>
      <c r="GL54"/>
      <c r="GM54"/>
      <c r="GN54"/>
      <c r="GO54"/>
      <c r="GP54"/>
      <c r="GQ54"/>
      <c r="GR54"/>
      <c r="GS54"/>
      <c r="GT54"/>
      <c r="GU54"/>
      <c r="GV54"/>
      <c r="GW54"/>
      <c r="GX54"/>
      <c r="GY54"/>
      <c r="GZ54"/>
      <c r="HA54"/>
      <c r="HB54"/>
      <c r="HC54"/>
      <c r="HD54"/>
      <c r="HE54"/>
      <c r="HF54"/>
      <c r="HG54"/>
      <c r="HH54"/>
      <c r="HI54"/>
      <c r="HJ54"/>
      <c r="HK54"/>
      <c r="HL54"/>
      <c r="HM54"/>
      <c r="HN54"/>
      <c r="HO54"/>
      <c r="HP54"/>
      <c r="HQ54"/>
      <c r="HR54"/>
      <c r="HS54"/>
      <c r="HT54"/>
      <c r="HU54"/>
      <c r="HV54"/>
      <c r="HW54"/>
      <c r="HX54"/>
      <c r="HY54"/>
      <c r="HZ54"/>
      <c r="IA54"/>
      <c r="IB54"/>
      <c r="IC54"/>
      <c r="ID54"/>
      <c r="IE54"/>
      <c r="IF54"/>
      <c r="IG54"/>
      <c r="IH54"/>
      <c r="II54"/>
      <c r="IJ54"/>
      <c r="IK54"/>
      <c r="IL54"/>
      <c r="IM54"/>
      <c r="IN54"/>
      <c r="IO54"/>
      <c r="IP54"/>
      <c r="IQ54"/>
      <c r="IR54"/>
      <c r="IS54"/>
      <c r="IT54"/>
      <c r="IU54"/>
      <c r="IV54"/>
    </row>
    <row r="55" spans="1:256">
      <c r="A55" s="26" t="s">
        <v>59</v>
      </c>
      <c r="B55" s="32" t="s">
        <v>60</v>
      </c>
      <c r="C55" s="32" t="s">
        <v>60</v>
      </c>
      <c r="D55" s="32" t="s">
        <v>60</v>
      </c>
      <c r="E55" s="60" t="s">
        <v>60</v>
      </c>
      <c r="F55"/>
      <c r="G55"/>
      <c r="H55"/>
      <c r="I55"/>
      <c r="J55"/>
      <c r="K55"/>
      <c r="L55"/>
      <c r="M55"/>
      <c r="N55"/>
      <c r="O55"/>
      <c r="P55"/>
      <c r="Q55"/>
      <c r="R55"/>
      <c r="S55"/>
      <c r="T55"/>
      <c r="U55"/>
      <c r="V55"/>
      <c r="W55"/>
      <c r="X55"/>
      <c r="Y55"/>
      <c r="Z55"/>
      <c r="AA55"/>
      <c r="AB55"/>
      <c r="AC55"/>
      <c r="AD55"/>
      <c r="AE55"/>
      <c r="AF55"/>
      <c r="AG55"/>
      <c r="AH55"/>
      <c r="AI55"/>
      <c r="AJ55"/>
      <c r="AK55"/>
      <c r="AL55"/>
      <c r="AM55"/>
      <c r="AN55"/>
      <c r="AO55"/>
      <c r="AP55"/>
      <c r="AQ55"/>
      <c r="AR55"/>
      <c r="AS55"/>
      <c r="AT55"/>
      <c r="AU55"/>
      <c r="AV55"/>
      <c r="AW55"/>
      <c r="AX55"/>
      <c r="AY55"/>
      <c r="AZ55"/>
      <c r="BA55"/>
      <c r="BB55"/>
      <c r="BC55"/>
      <c r="BD55"/>
      <c r="BE55"/>
      <c r="BF55"/>
      <c r="BG55"/>
      <c r="BH55"/>
      <c r="BI55"/>
      <c r="BJ55"/>
      <c r="BK55"/>
      <c r="BL55"/>
      <c r="BM55"/>
      <c r="BN55"/>
      <c r="BO55"/>
      <c r="BP55"/>
      <c r="BQ55"/>
      <c r="BR55"/>
      <c r="BS55"/>
      <c r="BT55"/>
      <c r="BU55"/>
      <c r="BV55"/>
      <c r="BW55"/>
      <c r="BX55"/>
      <c r="BY55"/>
      <c r="BZ55"/>
      <c r="CA55"/>
      <c r="CB55"/>
      <c r="CC55"/>
      <c r="CD55"/>
      <c r="CE55"/>
      <c r="CF55"/>
      <c r="CG55"/>
      <c r="CH55"/>
      <c r="CI55"/>
      <c r="CJ55"/>
      <c r="CK55"/>
      <c r="CL55"/>
      <c r="CM55"/>
      <c r="CN55"/>
      <c r="CO55"/>
      <c r="CP55"/>
      <c r="CQ55"/>
      <c r="CR55"/>
      <c r="CS55"/>
      <c r="CT55"/>
      <c r="CU55"/>
      <c r="CV55"/>
      <c r="CW55"/>
      <c r="CX55"/>
      <c r="CY55"/>
      <c r="CZ55"/>
      <c r="DA55"/>
      <c r="DB55"/>
      <c r="DC55"/>
      <c r="DD55"/>
      <c r="DE55"/>
      <c r="DF55"/>
      <c r="DG55"/>
      <c r="DH55"/>
      <c r="DI55"/>
      <c r="DJ55"/>
      <c r="DK55"/>
      <c r="DL55"/>
      <c r="DM55"/>
      <c r="DN55"/>
      <c r="DO55"/>
      <c r="DP55"/>
      <c r="DQ55"/>
      <c r="DR55"/>
      <c r="DS55"/>
      <c r="DT55"/>
      <c r="DU55"/>
      <c r="DV55"/>
      <c r="DW55"/>
      <c r="DX55"/>
      <c r="DY55"/>
      <c r="DZ55"/>
      <c r="EA55"/>
      <c r="EB55"/>
      <c r="EC55"/>
      <c r="ED55"/>
      <c r="EE55"/>
      <c r="EF55"/>
      <c r="EG55"/>
      <c r="EH55"/>
      <c r="EI55"/>
      <c r="EJ55"/>
      <c r="EK55"/>
      <c r="EL55"/>
      <c r="EM55"/>
      <c r="EN55"/>
      <c r="EO55"/>
      <c r="EP55"/>
      <c r="EQ55"/>
      <c r="ER55"/>
      <c r="ES55"/>
      <c r="ET55"/>
      <c r="EU55"/>
      <c r="EV55"/>
      <c r="EW55"/>
      <c r="EX55"/>
      <c r="EY55"/>
      <c r="EZ55"/>
      <c r="FA55"/>
      <c r="FB55"/>
      <c r="FC55"/>
      <c r="FD55"/>
      <c r="FE55"/>
      <c r="FF55"/>
      <c r="FG55"/>
      <c r="FH55"/>
      <c r="FI55"/>
      <c r="FJ55"/>
      <c r="FK55"/>
      <c r="FL55"/>
      <c r="FM55"/>
      <c r="FN55"/>
      <c r="FO55"/>
      <c r="FP55"/>
      <c r="FQ55"/>
      <c r="FR55"/>
      <c r="FS55"/>
      <c r="FT55"/>
      <c r="FU55"/>
      <c r="FV55"/>
      <c r="FW55"/>
      <c r="FX55"/>
      <c r="FY55"/>
      <c r="FZ55"/>
      <c r="GA55"/>
      <c r="GB55"/>
      <c r="GC55"/>
      <c r="GD55"/>
      <c r="GE55"/>
      <c r="GF55"/>
      <c r="GG55"/>
      <c r="GH55"/>
      <c r="GI55"/>
      <c r="GJ55"/>
      <c r="GK55"/>
      <c r="GL55"/>
      <c r="GM55"/>
      <c r="GN55"/>
      <c r="GO55"/>
      <c r="GP55"/>
      <c r="GQ55"/>
      <c r="GR55"/>
      <c r="GS55"/>
      <c r="GT55"/>
      <c r="GU55"/>
      <c r="GV55"/>
      <c r="GW55"/>
      <c r="GX55"/>
      <c r="GY55"/>
      <c r="GZ55"/>
      <c r="HA55"/>
      <c r="HB55"/>
      <c r="HC55"/>
      <c r="HD55"/>
      <c r="HE55"/>
      <c r="HF55"/>
      <c r="HG55"/>
      <c r="HH55"/>
      <c r="HI55"/>
      <c r="HJ55"/>
      <c r="HK55"/>
      <c r="HL55"/>
      <c r="HM55"/>
      <c r="HN55"/>
      <c r="HO55"/>
      <c r="HP55"/>
      <c r="HQ55"/>
      <c r="HR55"/>
      <c r="HS55"/>
      <c r="HT55"/>
      <c r="HU55"/>
      <c r="HV55"/>
      <c r="HW55"/>
      <c r="HX55"/>
      <c r="HY55"/>
      <c r="HZ55"/>
      <c r="IA55"/>
      <c r="IB55"/>
      <c r="IC55"/>
      <c r="ID55"/>
      <c r="IE55"/>
      <c r="IF55"/>
      <c r="IG55"/>
      <c r="IH55"/>
      <c r="II55"/>
      <c r="IJ55"/>
      <c r="IK55"/>
      <c r="IL55"/>
      <c r="IM55"/>
      <c r="IN55"/>
      <c r="IO55"/>
      <c r="IP55"/>
      <c r="IQ55"/>
      <c r="IR55"/>
      <c r="IS55"/>
      <c r="IT55"/>
      <c r="IU55"/>
      <c r="IV55"/>
    </row>
    <row r="56" spans="1:256" s="44" customFormat="1">
      <c r="A56" s="36"/>
      <c r="B56" s="43"/>
      <c r="C56" s="43"/>
      <c r="D56" s="43"/>
      <c r="E56" s="43"/>
      <c r="F56" s="43"/>
      <c r="G56" s="43"/>
      <c r="H56" s="43"/>
      <c r="I56" s="43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3"/>
    </row>
    <row r="57" spans="1:256" ht="12.75" customHeight="1">
      <c r="A57" s="79"/>
      <c r="B57" s="43"/>
      <c r="C57" s="43"/>
      <c r="D57" s="43"/>
      <c r="E57" s="43"/>
      <c r="F57" s="43"/>
      <c r="G57" s="43"/>
      <c r="H57" s="43"/>
      <c r="I57" s="43"/>
      <c r="J57" s="43"/>
      <c r="K57" s="43"/>
      <c r="L57" s="43"/>
      <c r="M57" s="43"/>
      <c r="N57" s="43"/>
      <c r="O57" s="43"/>
      <c r="P57"/>
      <c r="Q57"/>
      <c r="R57"/>
      <c r="S57"/>
      <c r="T57"/>
      <c r="U57"/>
      <c r="V57"/>
      <c r="W57"/>
      <c r="X57"/>
      <c r="Y57"/>
      <c r="Z57"/>
      <c r="AA57"/>
      <c r="AB57"/>
      <c r="AC57"/>
      <c r="AD57"/>
      <c r="AE57"/>
      <c r="AF57"/>
      <c r="AG57"/>
      <c r="AH57"/>
      <c r="AI57"/>
      <c r="AJ57"/>
      <c r="AK57"/>
      <c r="AL57"/>
      <c r="AM57"/>
      <c r="AN57"/>
      <c r="AO57"/>
      <c r="AP57"/>
      <c r="AQ57"/>
      <c r="AR57"/>
      <c r="AS57"/>
      <c r="AT57"/>
      <c r="AU57"/>
      <c r="AV57"/>
      <c r="AW57"/>
      <c r="AX57"/>
      <c r="AY57"/>
      <c r="AZ57"/>
      <c r="BA57"/>
      <c r="BB57"/>
      <c r="BC57"/>
      <c r="BD57"/>
      <c r="BE57"/>
      <c r="BF57"/>
      <c r="BG57"/>
      <c r="BH57"/>
      <c r="BI57"/>
      <c r="BJ57"/>
      <c r="BK57"/>
      <c r="BL57"/>
      <c r="BM57"/>
      <c r="BN57"/>
      <c r="BO57"/>
      <c r="BP57"/>
      <c r="BQ57"/>
      <c r="BR57"/>
      <c r="BS57"/>
      <c r="BT57"/>
      <c r="BU57"/>
      <c r="BV57"/>
      <c r="BW57"/>
      <c r="BX57"/>
      <c r="BY57"/>
      <c r="BZ57"/>
      <c r="CA57"/>
      <c r="CB57"/>
      <c r="CC57"/>
      <c r="CD57"/>
      <c r="CE57"/>
      <c r="CF57"/>
      <c r="CG57"/>
      <c r="CH57"/>
      <c r="CI57"/>
      <c r="CJ57"/>
      <c r="CK57"/>
      <c r="CL57"/>
      <c r="CM57"/>
      <c r="CN57"/>
      <c r="CO57"/>
      <c r="CP57"/>
      <c r="CQ57"/>
      <c r="CR57"/>
      <c r="CS57"/>
      <c r="CT57"/>
      <c r="CU57"/>
      <c r="CV57"/>
      <c r="CW57"/>
      <c r="CX57"/>
      <c r="CY57"/>
      <c r="CZ57"/>
      <c r="DA57"/>
      <c r="DB57"/>
      <c r="DC57"/>
      <c r="DD57"/>
      <c r="DE57"/>
      <c r="DF57"/>
      <c r="DG57"/>
      <c r="DH57"/>
      <c r="DI57"/>
      <c r="DJ57"/>
      <c r="DK57"/>
      <c r="DL57"/>
      <c r="DM57"/>
      <c r="DN57"/>
      <c r="DO57"/>
      <c r="DP57"/>
      <c r="DQ57"/>
      <c r="DR57"/>
      <c r="DS57"/>
      <c r="DT57"/>
      <c r="DU57"/>
      <c r="DV57"/>
      <c r="DW57"/>
      <c r="DX57"/>
      <c r="DY57"/>
      <c r="DZ57"/>
      <c r="EA57"/>
      <c r="EB57"/>
      <c r="EC57"/>
      <c r="ED57"/>
      <c r="EE57"/>
      <c r="EF57"/>
      <c r="EG57"/>
      <c r="EH57"/>
      <c r="EI57"/>
      <c r="EJ57"/>
      <c r="EK57"/>
      <c r="EL57"/>
      <c r="EM57"/>
      <c r="EN57"/>
      <c r="EO57"/>
      <c r="EP57"/>
      <c r="EQ57"/>
      <c r="ER57"/>
      <c r="ES57"/>
      <c r="ET57"/>
      <c r="EU57"/>
      <c r="EV57"/>
      <c r="EW57"/>
      <c r="EX57"/>
      <c r="EY57"/>
      <c r="EZ57"/>
      <c r="FA57"/>
      <c r="FB57"/>
      <c r="FC57"/>
      <c r="FD57"/>
      <c r="FE57"/>
      <c r="FF57"/>
      <c r="FG57"/>
      <c r="FH57"/>
      <c r="FI57"/>
      <c r="FJ57"/>
      <c r="FK57"/>
      <c r="FL57"/>
      <c r="FM57"/>
      <c r="FN57"/>
      <c r="FO57"/>
      <c r="FP57"/>
      <c r="FQ57"/>
      <c r="FR57"/>
      <c r="FS57"/>
      <c r="FT57"/>
      <c r="FU57"/>
      <c r="FV57"/>
      <c r="FW57"/>
      <c r="FX57"/>
      <c r="FY57"/>
      <c r="FZ57"/>
      <c r="GA57"/>
      <c r="GB57"/>
      <c r="GC57"/>
      <c r="GD57"/>
      <c r="GE57"/>
      <c r="GF57"/>
      <c r="GG57"/>
      <c r="GH57"/>
      <c r="GI57"/>
      <c r="GJ57"/>
      <c r="GK57"/>
      <c r="GL57"/>
      <c r="GM57"/>
      <c r="GN57"/>
      <c r="GO57"/>
      <c r="GP57"/>
      <c r="GQ57"/>
      <c r="GR57"/>
      <c r="GS57"/>
      <c r="GT57"/>
      <c r="GU57"/>
      <c r="GV57"/>
      <c r="GW57"/>
      <c r="GX57"/>
      <c r="GY57"/>
      <c r="GZ57"/>
      <c r="HA57"/>
      <c r="HB57"/>
      <c r="HC57"/>
      <c r="HD57"/>
      <c r="HE57"/>
      <c r="HF57"/>
      <c r="HG57"/>
      <c r="HH57"/>
      <c r="HI57"/>
      <c r="HJ57"/>
      <c r="HK57"/>
      <c r="HL57"/>
      <c r="HM57"/>
      <c r="HN57"/>
      <c r="HO57"/>
      <c r="HP57"/>
      <c r="HQ57"/>
      <c r="HR57"/>
      <c r="HS57"/>
      <c r="HT57"/>
      <c r="HU57"/>
      <c r="HV57"/>
      <c r="HW57"/>
      <c r="HX57"/>
      <c r="HY57"/>
      <c r="HZ57"/>
      <c r="IA57"/>
      <c r="IB57"/>
      <c r="IC57"/>
      <c r="ID57"/>
      <c r="IE57"/>
      <c r="IF57"/>
      <c r="IG57"/>
      <c r="IH57"/>
      <c r="II57"/>
      <c r="IJ57"/>
      <c r="IK57"/>
      <c r="IL57"/>
      <c r="IM57"/>
      <c r="IN57"/>
      <c r="IO57"/>
      <c r="IP57"/>
      <c r="IQ57"/>
      <c r="IR57"/>
      <c r="IS57"/>
      <c r="IT57"/>
      <c r="IU57"/>
      <c r="IV57"/>
    </row>
    <row r="58" spans="1:256" ht="12.75" customHeight="1">
      <c r="A58" s="81" t="s">
        <v>175</v>
      </c>
      <c r="B58" s="42" t="s">
        <v>176</v>
      </c>
      <c r="C58" s="43"/>
      <c r="D58" s="43"/>
      <c r="E58" s="43"/>
      <c r="F58" s="43"/>
      <c r="G58" s="43"/>
      <c r="H58" s="43"/>
      <c r="I58" s="43"/>
      <c r="J58" s="43"/>
      <c r="K58" s="43"/>
      <c r="L58" s="43"/>
      <c r="M58" s="43"/>
      <c r="N58" s="43"/>
      <c r="O58" s="43"/>
      <c r="P58"/>
      <c r="Q58"/>
      <c r="R58"/>
      <c r="S58"/>
      <c r="T58"/>
      <c r="U58"/>
      <c r="V58"/>
      <c r="W58"/>
      <c r="X58"/>
      <c r="Y58"/>
      <c r="Z58"/>
      <c r="AA58"/>
      <c r="AB58"/>
      <c r="AC58"/>
      <c r="AD58"/>
      <c r="AE58"/>
      <c r="AF58"/>
      <c r="AG58"/>
      <c r="AH58"/>
      <c r="AI58"/>
      <c r="AJ58"/>
      <c r="AK58"/>
      <c r="AL58"/>
      <c r="AM58"/>
      <c r="AN58"/>
      <c r="AO58"/>
      <c r="AP58"/>
      <c r="AQ58"/>
      <c r="AR58"/>
      <c r="AS58"/>
      <c r="AT58"/>
      <c r="AU58"/>
      <c r="AV58"/>
      <c r="AW58"/>
      <c r="AX58"/>
      <c r="AY58"/>
      <c r="AZ58"/>
      <c r="BA58"/>
      <c r="BB58"/>
      <c r="BC58"/>
      <c r="BD58"/>
      <c r="BE58"/>
      <c r="BF58"/>
      <c r="BG58"/>
      <c r="BH58"/>
      <c r="BI58"/>
      <c r="BJ58"/>
      <c r="BK58"/>
      <c r="BL58"/>
      <c r="BM58"/>
      <c r="BN58"/>
      <c r="BO58"/>
      <c r="BP58"/>
      <c r="BQ58"/>
      <c r="BR58"/>
      <c r="BS58"/>
      <c r="BT58"/>
      <c r="BU58"/>
      <c r="BV58"/>
      <c r="BW58"/>
      <c r="BX58"/>
      <c r="BY58"/>
      <c r="BZ58"/>
      <c r="CA58"/>
      <c r="CB58"/>
      <c r="CC58"/>
      <c r="CD58"/>
      <c r="CE58"/>
      <c r="CF58"/>
      <c r="CG58"/>
      <c r="CH58"/>
      <c r="CI58"/>
      <c r="CJ58"/>
      <c r="CK58"/>
      <c r="CL58"/>
      <c r="CM58"/>
      <c r="CN58"/>
      <c r="CO58"/>
      <c r="CP58"/>
      <c r="CQ58"/>
      <c r="CR58"/>
      <c r="CS58"/>
      <c r="CT58"/>
      <c r="CU58"/>
      <c r="CV58"/>
      <c r="CW58"/>
      <c r="CX58"/>
      <c r="CY58"/>
      <c r="CZ58"/>
      <c r="DA58"/>
      <c r="DB58"/>
      <c r="DC58"/>
      <c r="DD58"/>
      <c r="DE58"/>
      <c r="DF58"/>
      <c r="DG58"/>
      <c r="DH58"/>
      <c r="DI58"/>
      <c r="DJ58"/>
      <c r="DK58"/>
      <c r="DL58"/>
      <c r="DM58"/>
      <c r="DN58"/>
      <c r="DO58"/>
      <c r="DP58"/>
      <c r="DQ58"/>
      <c r="DR58"/>
      <c r="DS58"/>
      <c r="DT58"/>
      <c r="DU58"/>
      <c r="DV58"/>
      <c r="DW58"/>
      <c r="DX58"/>
      <c r="DY58"/>
      <c r="DZ58"/>
      <c r="EA58"/>
      <c r="EB58"/>
      <c r="EC58"/>
      <c r="ED58"/>
      <c r="EE58"/>
      <c r="EF58"/>
      <c r="EG58"/>
      <c r="EH58"/>
      <c r="EI58"/>
      <c r="EJ58"/>
      <c r="EK58"/>
      <c r="EL58"/>
      <c r="EM58"/>
      <c r="EN58"/>
      <c r="EO58"/>
      <c r="EP58"/>
      <c r="EQ58"/>
      <c r="ER58"/>
      <c r="ES58"/>
      <c r="ET58"/>
      <c r="EU58"/>
      <c r="EV58"/>
      <c r="EW58"/>
      <c r="EX58"/>
      <c r="EY58"/>
      <c r="EZ58"/>
      <c r="FA58"/>
      <c r="FB58"/>
      <c r="FC58"/>
      <c r="FD58"/>
      <c r="FE58"/>
      <c r="FF58"/>
      <c r="FG58"/>
      <c r="FH58"/>
      <c r="FI58"/>
      <c r="FJ58"/>
      <c r="FK58"/>
      <c r="FL58"/>
      <c r="FM58"/>
      <c r="FN58"/>
      <c r="FO58"/>
      <c r="FP58"/>
      <c r="FQ58"/>
      <c r="FR58"/>
      <c r="FS58"/>
      <c r="FT58"/>
      <c r="FU58"/>
      <c r="FV58"/>
      <c r="FW58"/>
      <c r="FX58"/>
      <c r="FY58"/>
      <c r="FZ58"/>
      <c r="GA58"/>
      <c r="GB58"/>
      <c r="GC58"/>
      <c r="GD58"/>
      <c r="GE58"/>
      <c r="GF58"/>
      <c r="GG58"/>
      <c r="GH58"/>
      <c r="GI58"/>
      <c r="GJ58"/>
      <c r="GK58"/>
      <c r="GL58"/>
      <c r="GM58"/>
      <c r="GN58"/>
      <c r="GO58"/>
      <c r="GP58"/>
      <c r="GQ58"/>
      <c r="GR58"/>
      <c r="GS58"/>
      <c r="GT58"/>
      <c r="GU58"/>
      <c r="GV58"/>
      <c r="GW58"/>
      <c r="GX58"/>
      <c r="GY58"/>
      <c r="GZ58"/>
      <c r="HA58"/>
      <c r="HB58"/>
      <c r="HC58"/>
      <c r="HD58"/>
      <c r="HE58"/>
      <c r="HF58"/>
      <c r="HG58"/>
      <c r="HH58"/>
      <c r="HI58"/>
      <c r="HJ58"/>
      <c r="HK58"/>
      <c r="HL58"/>
      <c r="HM58"/>
      <c r="HN58"/>
      <c r="HO58"/>
      <c r="HP58"/>
      <c r="HQ58"/>
      <c r="HR58"/>
      <c r="HS58"/>
      <c r="HT58"/>
      <c r="HU58"/>
      <c r="HV58"/>
      <c r="HW58"/>
      <c r="HX58"/>
      <c r="HY58"/>
      <c r="HZ58"/>
      <c r="IA58"/>
      <c r="IB58"/>
      <c r="IC58"/>
      <c r="ID58"/>
      <c r="IE58"/>
      <c r="IF58"/>
      <c r="IG58"/>
      <c r="IH58"/>
      <c r="II58"/>
      <c r="IJ58"/>
      <c r="IK58"/>
      <c r="IL58"/>
      <c r="IM58"/>
      <c r="IN58"/>
      <c r="IO58"/>
      <c r="IP58"/>
      <c r="IQ58"/>
      <c r="IR58"/>
      <c r="IS58"/>
      <c r="IT58"/>
      <c r="IU58"/>
      <c r="IV58"/>
    </row>
    <row r="59" spans="1:256" ht="12.75" customHeight="1">
      <c r="A59" s="79"/>
      <c r="B59" s="42" t="s">
        <v>177</v>
      </c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/>
      <c r="Q59"/>
      <c r="R59"/>
      <c r="S59"/>
      <c r="T59"/>
      <c r="U59"/>
      <c r="V59"/>
      <c r="W59"/>
      <c r="X59"/>
      <c r="Y59"/>
      <c r="Z59"/>
      <c r="AA59"/>
      <c r="AB59"/>
      <c r="AC59"/>
      <c r="AD59"/>
      <c r="AE59"/>
      <c r="AF59"/>
      <c r="AG59"/>
      <c r="AH59"/>
      <c r="AI59"/>
      <c r="AJ59"/>
      <c r="AK59"/>
      <c r="AL59"/>
      <c r="AM59"/>
      <c r="AN59"/>
      <c r="AO59"/>
      <c r="AP59"/>
      <c r="AQ59"/>
      <c r="AR59"/>
      <c r="AS59"/>
      <c r="AT59"/>
      <c r="AU59"/>
      <c r="AV59"/>
      <c r="AW59"/>
      <c r="AX59"/>
      <c r="AY59"/>
      <c r="AZ59"/>
      <c r="BA59"/>
      <c r="BB59"/>
      <c r="BC59"/>
      <c r="BD59"/>
      <c r="BE59"/>
      <c r="BF59"/>
      <c r="BG59"/>
      <c r="BH59"/>
      <c r="BI59"/>
      <c r="BJ59"/>
      <c r="BK59"/>
      <c r="BL59"/>
      <c r="BM59"/>
      <c r="BN59"/>
      <c r="BO59"/>
      <c r="BP59"/>
      <c r="BQ59"/>
      <c r="BR59"/>
      <c r="BS59"/>
      <c r="BT59"/>
      <c r="BU59"/>
      <c r="BV59"/>
      <c r="BW59"/>
      <c r="BX59"/>
      <c r="BY59"/>
      <c r="BZ59"/>
      <c r="CA59"/>
      <c r="CB59"/>
      <c r="CC59"/>
      <c r="CD59"/>
      <c r="CE59"/>
      <c r="CF59"/>
      <c r="CG59"/>
      <c r="CH59"/>
      <c r="CI59"/>
      <c r="CJ59"/>
      <c r="CK59"/>
      <c r="CL59"/>
      <c r="CM59"/>
      <c r="CN59"/>
      <c r="CO59"/>
      <c r="CP59"/>
      <c r="CQ59"/>
      <c r="CR59"/>
      <c r="CS59"/>
      <c r="CT59"/>
      <c r="CU59"/>
      <c r="CV59"/>
      <c r="CW59"/>
      <c r="CX59"/>
      <c r="CY59"/>
      <c r="CZ59"/>
      <c r="DA59"/>
      <c r="DB59"/>
      <c r="DC59"/>
      <c r="DD59"/>
      <c r="DE59"/>
      <c r="DF59"/>
      <c r="DG59"/>
      <c r="DH59"/>
      <c r="DI59"/>
      <c r="DJ59"/>
      <c r="DK59"/>
      <c r="DL59"/>
      <c r="DM59"/>
      <c r="DN59"/>
      <c r="DO59"/>
      <c r="DP59"/>
      <c r="DQ59"/>
      <c r="DR59"/>
      <c r="DS59"/>
      <c r="DT59"/>
      <c r="DU59"/>
      <c r="DV59"/>
      <c r="DW59"/>
      <c r="DX59"/>
      <c r="DY59"/>
      <c r="DZ59"/>
      <c r="EA59"/>
      <c r="EB59"/>
      <c r="EC59"/>
      <c r="ED59"/>
      <c r="EE59"/>
      <c r="EF59"/>
      <c r="EG59"/>
      <c r="EH59"/>
      <c r="EI59"/>
      <c r="EJ59"/>
      <c r="EK59"/>
      <c r="EL59"/>
      <c r="EM59"/>
      <c r="EN59"/>
      <c r="EO59"/>
      <c r="EP59"/>
      <c r="EQ59"/>
      <c r="ER59"/>
      <c r="ES59"/>
      <c r="ET59"/>
      <c r="EU59"/>
      <c r="EV59"/>
      <c r="EW59"/>
      <c r="EX59"/>
      <c r="EY59"/>
      <c r="EZ59"/>
      <c r="FA59"/>
      <c r="FB59"/>
      <c r="FC59"/>
      <c r="FD59"/>
      <c r="FE59"/>
      <c r="FF59"/>
      <c r="FG59"/>
      <c r="FH59"/>
      <c r="FI59"/>
      <c r="FJ59"/>
      <c r="FK59"/>
      <c r="FL59"/>
      <c r="FM59"/>
      <c r="FN59"/>
      <c r="FO59"/>
      <c r="FP59"/>
      <c r="FQ59"/>
      <c r="FR59"/>
      <c r="FS59"/>
      <c r="FT59"/>
      <c r="FU59"/>
      <c r="FV59"/>
      <c r="FW59"/>
      <c r="FX59"/>
      <c r="FY59"/>
      <c r="FZ59"/>
      <c r="GA59"/>
      <c r="GB59"/>
      <c r="GC59"/>
      <c r="GD59"/>
      <c r="GE59"/>
      <c r="GF59"/>
      <c r="GG59"/>
      <c r="GH59"/>
      <c r="GI59"/>
      <c r="GJ59"/>
      <c r="GK59"/>
      <c r="GL59"/>
      <c r="GM59"/>
      <c r="GN59"/>
      <c r="GO59"/>
      <c r="GP59"/>
      <c r="GQ59"/>
      <c r="GR59"/>
      <c r="GS59"/>
      <c r="GT59"/>
      <c r="GU59"/>
      <c r="GV59"/>
      <c r="GW59"/>
      <c r="GX59"/>
      <c r="GY59"/>
      <c r="GZ59"/>
      <c r="HA59"/>
      <c r="HB59"/>
      <c r="HC59"/>
      <c r="HD59"/>
      <c r="HE59"/>
      <c r="HF59"/>
      <c r="HG59"/>
      <c r="HH59"/>
      <c r="HI59"/>
      <c r="HJ59"/>
      <c r="HK59"/>
      <c r="HL59"/>
      <c r="HM59"/>
      <c r="HN59"/>
      <c r="HO59"/>
      <c r="HP59"/>
      <c r="HQ59"/>
      <c r="HR59"/>
      <c r="HS59"/>
      <c r="HT59"/>
      <c r="HU59"/>
      <c r="HV59"/>
      <c r="HW59"/>
      <c r="HX59"/>
      <c r="HY59"/>
      <c r="HZ59"/>
      <c r="IA59"/>
      <c r="IB59"/>
      <c r="IC59"/>
      <c r="ID59"/>
      <c r="IE59"/>
      <c r="IF59"/>
      <c r="IG59"/>
      <c r="IH59"/>
      <c r="II59"/>
      <c r="IJ59"/>
      <c r="IK59"/>
      <c r="IL59"/>
      <c r="IM59"/>
      <c r="IN59"/>
      <c r="IO59"/>
      <c r="IP59"/>
      <c r="IQ59"/>
      <c r="IR59"/>
      <c r="IS59"/>
      <c r="IT59"/>
      <c r="IU59"/>
      <c r="IV59"/>
    </row>
    <row r="60" spans="1:256">
      <c r="A60" s="45"/>
      <c r="B60" s="67" t="s">
        <v>178</v>
      </c>
      <c r="C60" s="68" t="s">
        <v>179</v>
      </c>
      <c r="D60" s="68" t="s">
        <v>29</v>
      </c>
      <c r="E60" s="68" t="s">
        <v>180</v>
      </c>
      <c r="F60"/>
      <c r="G60"/>
      <c r="H60"/>
      <c r="I60"/>
      <c r="J60"/>
      <c r="K60"/>
      <c r="L60"/>
      <c r="M60"/>
      <c r="N60"/>
      <c r="O60"/>
      <c r="P60"/>
      <c r="Q60"/>
      <c r="R60"/>
      <c r="S60"/>
      <c r="T60"/>
      <c r="U60"/>
      <c r="V60"/>
      <c r="W60"/>
      <c r="X60"/>
      <c r="Y60"/>
      <c r="Z60"/>
      <c r="AA60"/>
      <c r="AB60"/>
      <c r="AC60"/>
      <c r="AD60"/>
      <c r="AE60"/>
      <c r="AF60"/>
      <c r="AG60"/>
      <c r="AH60"/>
      <c r="AI60"/>
      <c r="AJ60"/>
      <c r="AK60"/>
      <c r="AL60"/>
      <c r="AM60"/>
      <c r="AN60"/>
      <c r="AO60"/>
      <c r="AP60"/>
      <c r="AQ60"/>
      <c r="AR60"/>
      <c r="AS60"/>
      <c r="AT60"/>
      <c r="AU60"/>
      <c r="AV60"/>
      <c r="AW60"/>
      <c r="AX60"/>
      <c r="AY60"/>
      <c r="AZ60"/>
      <c r="BA60"/>
      <c r="BB60"/>
      <c r="BC60"/>
      <c r="BD60"/>
      <c r="BE60"/>
      <c r="BF60"/>
      <c r="BG60"/>
      <c r="BH60"/>
      <c r="BI60"/>
      <c r="BJ60"/>
      <c r="BK60"/>
      <c r="BL60"/>
      <c r="BM60"/>
      <c r="BN60"/>
      <c r="BO60"/>
      <c r="BP60"/>
      <c r="BQ60"/>
      <c r="BR60"/>
      <c r="BS60"/>
      <c r="BT60"/>
      <c r="BU60"/>
      <c r="BV60"/>
      <c r="BW60"/>
      <c r="BX60"/>
      <c r="BY60"/>
      <c r="BZ60"/>
      <c r="CA60"/>
      <c r="CB60"/>
      <c r="CC60"/>
      <c r="CD60"/>
      <c r="CE60"/>
      <c r="CF60"/>
      <c r="CG60"/>
      <c r="CH60"/>
      <c r="CI60"/>
      <c r="CJ60"/>
      <c r="CK60"/>
      <c r="CL60"/>
      <c r="CM60"/>
      <c r="CN60"/>
      <c r="CO60"/>
      <c r="CP60"/>
      <c r="CQ60"/>
      <c r="CR60"/>
      <c r="CS60"/>
      <c r="CT60"/>
      <c r="CU60"/>
      <c r="CV60"/>
      <c r="CW60"/>
      <c r="CX60"/>
      <c r="CY60"/>
      <c r="CZ60"/>
      <c r="DA60"/>
      <c r="DB60"/>
      <c r="DC60"/>
      <c r="DD60"/>
      <c r="DE60"/>
      <c r="DF60"/>
      <c r="DG60"/>
      <c r="DH60"/>
      <c r="DI60"/>
      <c r="DJ60"/>
      <c r="DK60"/>
      <c r="DL60"/>
      <c r="DM60"/>
      <c r="DN60"/>
      <c r="DO60"/>
      <c r="DP60"/>
      <c r="DQ60"/>
      <c r="DR60"/>
      <c r="DS60"/>
      <c r="DT60"/>
      <c r="DU60"/>
      <c r="DV60"/>
      <c r="DW60"/>
      <c r="DX60"/>
      <c r="DY60"/>
      <c r="DZ60"/>
      <c r="EA60"/>
      <c r="EB60"/>
      <c r="EC60"/>
      <c r="ED60"/>
      <c r="EE60"/>
      <c r="EF60"/>
      <c r="EG60"/>
      <c r="EH60"/>
      <c r="EI60"/>
      <c r="EJ60"/>
      <c r="EK60"/>
      <c r="EL60"/>
      <c r="EM60"/>
      <c r="EN60"/>
      <c r="EO60"/>
      <c r="EP60"/>
      <c r="EQ60"/>
      <c r="ER60"/>
      <c r="ES60"/>
      <c r="ET60"/>
      <c r="EU60"/>
      <c r="EV60"/>
      <c r="EW60"/>
      <c r="EX60"/>
      <c r="EY60"/>
      <c r="EZ60"/>
      <c r="FA60"/>
      <c r="FB60"/>
      <c r="FC60"/>
      <c r="FD60"/>
      <c r="FE60"/>
      <c r="FF60"/>
      <c r="FG60"/>
      <c r="FH60"/>
      <c r="FI60"/>
      <c r="FJ60"/>
      <c r="FK60"/>
      <c r="FL60"/>
      <c r="FM60"/>
      <c r="FN60"/>
      <c r="FO60"/>
      <c r="FP60"/>
      <c r="FQ60"/>
      <c r="FR60"/>
      <c r="FS60"/>
      <c r="FT60"/>
      <c r="FU60"/>
      <c r="FV60"/>
      <c r="FW60"/>
      <c r="FX60"/>
      <c r="FY60"/>
      <c r="FZ60"/>
      <c r="GA60"/>
      <c r="GB60"/>
      <c r="GC60"/>
      <c r="GD60"/>
      <c r="GE60"/>
      <c r="GF60"/>
      <c r="GG60"/>
      <c r="GH60"/>
      <c r="GI60"/>
      <c r="GJ60"/>
      <c r="GK60"/>
      <c r="GL60"/>
      <c r="GM60"/>
      <c r="GN60"/>
      <c r="GO60"/>
      <c r="GP60"/>
      <c r="GQ60"/>
      <c r="GR60"/>
      <c r="GS60"/>
      <c r="GT60"/>
      <c r="GU60"/>
      <c r="GV60"/>
      <c r="GW60"/>
      <c r="GX60"/>
      <c r="GY60"/>
      <c r="GZ60"/>
      <c r="HA60"/>
      <c r="HB60"/>
      <c r="HC60"/>
      <c r="HD60"/>
      <c r="HE60"/>
      <c r="HF60"/>
      <c r="HG60"/>
      <c r="HH60"/>
      <c r="HI60"/>
      <c r="HJ60"/>
      <c r="HK60"/>
      <c r="HL60"/>
      <c r="HM60"/>
      <c r="HN60"/>
      <c r="HO60"/>
      <c r="HP60"/>
      <c r="HQ60"/>
      <c r="HR60"/>
      <c r="HS60"/>
      <c r="HT60"/>
      <c r="HU60"/>
      <c r="HV60"/>
      <c r="HW60"/>
      <c r="HX60"/>
      <c r="HY60"/>
      <c r="HZ60"/>
      <c r="IA60"/>
      <c r="IB60"/>
      <c r="IC60"/>
      <c r="ID60"/>
      <c r="IE60"/>
      <c r="IF60"/>
      <c r="IG60"/>
      <c r="IH60"/>
      <c r="II60"/>
      <c r="IJ60"/>
      <c r="IK60"/>
      <c r="IL60"/>
      <c r="IM60"/>
      <c r="IN60"/>
      <c r="IO60"/>
      <c r="IP60"/>
      <c r="IQ60"/>
      <c r="IR60"/>
      <c r="IS60"/>
      <c r="IT60"/>
      <c r="IU60"/>
      <c r="IV60"/>
    </row>
    <row r="61" spans="1:256" ht="63.75" customHeight="1">
      <c r="A61" s="18" t="s">
        <v>29</v>
      </c>
      <c r="B61" s="20" t="s">
        <v>181</v>
      </c>
      <c r="C61" s="20" t="s">
        <v>182</v>
      </c>
      <c r="D61" s="20" t="s">
        <v>183</v>
      </c>
      <c r="E61" s="18" t="s">
        <v>184</v>
      </c>
      <c r="F61"/>
      <c r="G61"/>
      <c r="H61"/>
      <c r="I61"/>
      <c r="J61"/>
      <c r="K61"/>
      <c r="L61"/>
      <c r="M61"/>
      <c r="N61"/>
      <c r="O61"/>
      <c r="P61"/>
      <c r="Q61"/>
      <c r="R61"/>
      <c r="S61"/>
      <c r="T61"/>
      <c r="U61"/>
      <c r="V61"/>
      <c r="W61"/>
      <c r="X61"/>
      <c r="Y61"/>
      <c r="Z61"/>
      <c r="AA61"/>
      <c r="AB61"/>
      <c r="AC61"/>
      <c r="AD61"/>
      <c r="AE61"/>
      <c r="AF61"/>
      <c r="AG61"/>
      <c r="AH61"/>
      <c r="AI61"/>
      <c r="AJ61"/>
      <c r="AK61"/>
      <c r="AL61"/>
      <c r="AM61"/>
      <c r="AN61"/>
      <c r="AO61"/>
      <c r="AP61"/>
      <c r="AQ61"/>
      <c r="AR61"/>
      <c r="AS61"/>
      <c r="AT61"/>
      <c r="AU61"/>
      <c r="AV61"/>
      <c r="AW61"/>
      <c r="AX61"/>
      <c r="AY61"/>
      <c r="AZ61"/>
      <c r="BA61"/>
      <c r="BB61"/>
      <c r="BC61"/>
      <c r="BD61"/>
      <c r="BE61"/>
      <c r="BF61"/>
      <c r="BG61"/>
      <c r="BH61"/>
      <c r="BI61"/>
      <c r="BJ61"/>
      <c r="BK61"/>
      <c r="BL61"/>
      <c r="BM61"/>
      <c r="BN61"/>
      <c r="BO61"/>
      <c r="BP61"/>
      <c r="BQ61"/>
      <c r="BR61"/>
      <c r="BS61"/>
      <c r="BT61"/>
      <c r="BU61"/>
      <c r="BV61"/>
      <c r="BW61"/>
      <c r="BX61"/>
      <c r="BY61"/>
      <c r="BZ61"/>
      <c r="CA61"/>
      <c r="CB61"/>
      <c r="CC61"/>
      <c r="CD61"/>
      <c r="CE61"/>
      <c r="CF61"/>
      <c r="CG61"/>
      <c r="CH61"/>
      <c r="CI61"/>
      <c r="CJ61"/>
      <c r="CK61"/>
      <c r="CL61"/>
      <c r="CM61"/>
      <c r="CN61"/>
      <c r="CO61"/>
      <c r="CP61"/>
      <c r="CQ61"/>
      <c r="CR61"/>
      <c r="CS61"/>
      <c r="CT61"/>
      <c r="CU61"/>
      <c r="CV61"/>
      <c r="CW61"/>
      <c r="CX61"/>
      <c r="CY61"/>
      <c r="CZ61"/>
      <c r="DA61"/>
      <c r="DB61"/>
      <c r="DC61"/>
      <c r="DD61"/>
      <c r="DE61"/>
      <c r="DF61"/>
      <c r="DG61"/>
      <c r="DH61"/>
      <c r="DI61"/>
      <c r="DJ61"/>
      <c r="DK61"/>
      <c r="DL61"/>
      <c r="DM61"/>
      <c r="DN61"/>
      <c r="DO61"/>
      <c r="DP61"/>
      <c r="DQ61"/>
      <c r="DR61"/>
      <c r="DS61"/>
      <c r="DT61"/>
      <c r="DU61"/>
      <c r="DV61"/>
      <c r="DW61"/>
      <c r="DX61"/>
      <c r="DY61"/>
      <c r="DZ61"/>
      <c r="EA61"/>
      <c r="EB61"/>
      <c r="EC61"/>
      <c r="ED61"/>
      <c r="EE61"/>
      <c r="EF61"/>
      <c r="EG61"/>
      <c r="EH61"/>
      <c r="EI61"/>
      <c r="EJ61"/>
      <c r="EK61"/>
      <c r="EL61"/>
      <c r="EM61"/>
      <c r="EN61"/>
      <c r="EO61"/>
      <c r="EP61"/>
      <c r="EQ61"/>
      <c r="ER61"/>
      <c r="ES61"/>
      <c r="ET61"/>
      <c r="EU61"/>
      <c r="EV61"/>
      <c r="EW61"/>
      <c r="EX61"/>
      <c r="EY61"/>
      <c r="EZ61"/>
      <c r="FA61"/>
      <c r="FB61"/>
      <c r="FC61"/>
      <c r="FD61"/>
      <c r="FE61"/>
      <c r="FF61"/>
      <c r="FG61"/>
      <c r="FH61"/>
      <c r="FI61"/>
      <c r="FJ61"/>
      <c r="FK61"/>
      <c r="FL61"/>
      <c r="FM61"/>
      <c r="FN61"/>
      <c r="FO61"/>
      <c r="FP61"/>
      <c r="FQ61"/>
      <c r="FR61"/>
      <c r="FS61"/>
      <c r="FT61"/>
      <c r="FU61"/>
      <c r="FV61"/>
      <c r="FW61"/>
      <c r="FX61"/>
      <c r="FY61"/>
      <c r="FZ61"/>
      <c r="GA61"/>
      <c r="GB61"/>
      <c r="GC61"/>
      <c r="GD61"/>
      <c r="GE61"/>
      <c r="GF61"/>
      <c r="GG61"/>
      <c r="GH61"/>
      <c r="GI61"/>
      <c r="GJ61"/>
      <c r="GK61"/>
      <c r="GL61"/>
      <c r="GM61"/>
      <c r="GN61"/>
      <c r="GO61"/>
      <c r="GP61"/>
      <c r="GQ61"/>
      <c r="GR61"/>
      <c r="GS61"/>
      <c r="GT61"/>
      <c r="GU61"/>
      <c r="GV61"/>
      <c r="GW61"/>
      <c r="GX61"/>
      <c r="GY61"/>
      <c r="GZ61"/>
      <c r="HA61"/>
      <c r="HB61"/>
      <c r="HC61"/>
      <c r="HD61"/>
      <c r="HE61"/>
      <c r="HF61"/>
      <c r="HG61"/>
      <c r="HH61"/>
      <c r="HI61"/>
      <c r="HJ61"/>
      <c r="HK61"/>
      <c r="HL61"/>
      <c r="HM61"/>
      <c r="HN61"/>
      <c r="HO61"/>
      <c r="HP61"/>
      <c r="HQ61"/>
      <c r="HR61"/>
      <c r="HS61"/>
      <c r="HT61"/>
      <c r="HU61"/>
      <c r="HV61"/>
      <c r="HW61"/>
      <c r="HX61"/>
      <c r="HY61"/>
      <c r="HZ61"/>
      <c r="IA61"/>
      <c r="IB61"/>
      <c r="IC61"/>
      <c r="ID61"/>
      <c r="IE61"/>
      <c r="IF61"/>
      <c r="IG61"/>
      <c r="IH61"/>
      <c r="II61"/>
      <c r="IJ61"/>
      <c r="IK61"/>
      <c r="IL61"/>
      <c r="IM61"/>
      <c r="IN61"/>
      <c r="IO61"/>
      <c r="IP61"/>
      <c r="IQ61"/>
      <c r="IR61"/>
      <c r="IS61"/>
      <c r="IT61"/>
      <c r="IU61"/>
      <c r="IV61"/>
    </row>
    <row r="62" spans="1:256" ht="13.15" customHeight="1">
      <c r="A62" s="336" t="s">
        <v>89</v>
      </c>
      <c r="B62" s="20" t="s">
        <v>185</v>
      </c>
      <c r="C62" s="20" t="s">
        <v>186</v>
      </c>
      <c r="D62" s="20"/>
      <c r="E62" s="20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  <c r="AB62"/>
      <c r="AC62"/>
      <c r="AD62"/>
      <c r="AE62"/>
      <c r="AF62"/>
      <c r="AG62"/>
      <c r="AH62"/>
      <c r="AI62"/>
      <c r="AJ62"/>
      <c r="AK62"/>
      <c r="AL62"/>
      <c r="AM62"/>
      <c r="AN62"/>
      <c r="AO62"/>
      <c r="AP62"/>
      <c r="AQ62"/>
      <c r="AR62"/>
      <c r="AS62"/>
      <c r="AT62"/>
      <c r="AU62"/>
      <c r="AV62"/>
      <c r="AW62"/>
      <c r="AX62"/>
      <c r="AY62"/>
      <c r="AZ62"/>
      <c r="BA62"/>
      <c r="BB62"/>
      <c r="BC62"/>
      <c r="BD62"/>
      <c r="BE62"/>
      <c r="BF62"/>
      <c r="BG62"/>
      <c r="BH62"/>
      <c r="BI62"/>
      <c r="BJ62"/>
      <c r="BK62"/>
      <c r="BL62"/>
      <c r="BM62"/>
      <c r="BN62"/>
      <c r="BO62"/>
      <c r="BP62"/>
      <c r="BQ62"/>
      <c r="BR62"/>
      <c r="BS62"/>
      <c r="BT62"/>
      <c r="BU62"/>
      <c r="BV62"/>
      <c r="BW62"/>
      <c r="BX62"/>
      <c r="BY62"/>
      <c r="BZ62"/>
      <c r="CA62"/>
      <c r="CB62"/>
      <c r="CC62"/>
      <c r="CD62"/>
      <c r="CE62"/>
      <c r="CF62"/>
      <c r="CG62"/>
      <c r="CH62"/>
      <c r="CI62"/>
      <c r="CJ62"/>
      <c r="CK62"/>
      <c r="CL62"/>
      <c r="CM62"/>
      <c r="CN62"/>
      <c r="CO62"/>
      <c r="CP62"/>
      <c r="CQ62"/>
      <c r="CR62"/>
      <c r="CS62"/>
      <c r="CT62"/>
      <c r="CU62"/>
      <c r="CV62"/>
      <c r="CW62"/>
      <c r="CX62"/>
      <c r="CY62"/>
      <c r="CZ62"/>
      <c r="DA62"/>
      <c r="DB62"/>
      <c r="DC62"/>
      <c r="DD62"/>
      <c r="DE62"/>
      <c r="DF62"/>
      <c r="DG62"/>
      <c r="DH62"/>
      <c r="DI62"/>
      <c r="DJ62"/>
      <c r="DK62"/>
      <c r="DL62"/>
      <c r="DM62"/>
      <c r="DN62"/>
      <c r="DO62"/>
      <c r="DP62"/>
      <c r="DQ62"/>
      <c r="DR62"/>
      <c r="DS62"/>
      <c r="DT62"/>
      <c r="DU62"/>
      <c r="DV62"/>
      <c r="DW62"/>
      <c r="DX62"/>
      <c r="DY62"/>
      <c r="DZ62"/>
      <c r="EA62"/>
      <c r="EB62"/>
      <c r="EC62"/>
      <c r="ED62"/>
      <c r="EE62"/>
      <c r="EF62"/>
      <c r="EG62"/>
      <c r="EH62"/>
      <c r="EI62"/>
      <c r="EJ62"/>
      <c r="EK62"/>
      <c r="EL62"/>
      <c r="EM62"/>
      <c r="EN62"/>
      <c r="EO62"/>
      <c r="EP62"/>
      <c r="EQ62"/>
      <c r="ER62"/>
      <c r="ES62"/>
      <c r="ET62"/>
      <c r="EU62"/>
      <c r="EV62"/>
      <c r="EW62"/>
      <c r="EX62"/>
      <c r="EY62"/>
      <c r="EZ62"/>
      <c r="FA62"/>
      <c r="FB62"/>
      <c r="FC62"/>
      <c r="FD62"/>
      <c r="FE62"/>
      <c r="FF62"/>
      <c r="FG62"/>
      <c r="FH62"/>
      <c r="FI62"/>
      <c r="FJ62"/>
      <c r="FK62"/>
      <c r="FL62"/>
      <c r="FM62"/>
      <c r="FN62"/>
      <c r="FO62"/>
      <c r="FP62"/>
      <c r="FQ62"/>
      <c r="FR62"/>
      <c r="FS62"/>
      <c r="FT62"/>
      <c r="FU62"/>
      <c r="FV62"/>
      <c r="FW62"/>
      <c r="FX62"/>
      <c r="FY62"/>
      <c r="FZ62"/>
      <c r="GA62"/>
      <c r="GB62"/>
      <c r="GC62"/>
      <c r="GD62"/>
      <c r="GE62"/>
      <c r="GF62"/>
      <c r="GG62"/>
      <c r="GH62"/>
      <c r="GI62"/>
      <c r="GJ62"/>
      <c r="GK62"/>
      <c r="GL62"/>
      <c r="GM62"/>
      <c r="GN62"/>
      <c r="GO62"/>
      <c r="GP62"/>
      <c r="GQ62"/>
      <c r="GR62"/>
      <c r="GS62"/>
      <c r="GT62"/>
      <c r="GU62"/>
      <c r="GV62"/>
      <c r="GW62"/>
      <c r="GX62"/>
      <c r="GY62"/>
      <c r="GZ62"/>
      <c r="HA62"/>
      <c r="HB62"/>
      <c r="HC62"/>
      <c r="HD62"/>
      <c r="HE62"/>
      <c r="HF62"/>
      <c r="HG62"/>
      <c r="HH62"/>
      <c r="HI62"/>
      <c r="HJ62"/>
      <c r="HK62"/>
      <c r="HL62"/>
      <c r="HM62"/>
      <c r="HN62"/>
      <c r="HO62"/>
      <c r="HP62"/>
      <c r="HQ62"/>
      <c r="HR62"/>
      <c r="HS62"/>
      <c r="HT62"/>
      <c r="HU62"/>
      <c r="HV62"/>
      <c r="HW62"/>
      <c r="HX62"/>
      <c r="HY62"/>
      <c r="HZ62"/>
      <c r="IA62"/>
      <c r="IB62"/>
      <c r="IC62"/>
      <c r="ID62"/>
      <c r="IE62"/>
      <c r="IF62"/>
      <c r="IG62"/>
      <c r="IH62"/>
      <c r="II62"/>
      <c r="IJ62"/>
      <c r="IK62"/>
      <c r="IL62"/>
      <c r="IM62"/>
      <c r="IN62"/>
      <c r="IO62"/>
      <c r="IP62"/>
      <c r="IQ62"/>
      <c r="IR62"/>
      <c r="IS62"/>
      <c r="IT62"/>
      <c r="IU62"/>
      <c r="IV62"/>
    </row>
    <row r="63" spans="1:256">
      <c r="A63" s="336"/>
      <c r="B63" s="82" t="s">
        <v>187</v>
      </c>
      <c r="C63" s="82" t="s">
        <v>187</v>
      </c>
      <c r="D63"/>
      <c r="E63" s="82" t="s">
        <v>185</v>
      </c>
      <c r="F63"/>
      <c r="G63"/>
      <c r="H63"/>
      <c r="I63"/>
      <c r="J63"/>
      <c r="K63"/>
      <c r="L63"/>
      <c r="M63"/>
      <c r="N63"/>
      <c r="O63"/>
      <c r="P63"/>
      <c r="Q63"/>
      <c r="R63"/>
      <c r="S63"/>
      <c r="T63"/>
      <c r="U63"/>
      <c r="V63"/>
      <c r="W63"/>
      <c r="X63"/>
      <c r="Y63"/>
      <c r="Z63"/>
      <c r="AA63"/>
      <c r="AB63"/>
      <c r="AC63"/>
      <c r="AD63"/>
      <c r="AE63"/>
      <c r="AF63"/>
      <c r="AG63"/>
      <c r="AH63"/>
      <c r="AI63"/>
      <c r="AJ63"/>
      <c r="AK63"/>
      <c r="AL63"/>
      <c r="AM63"/>
      <c r="AN63"/>
      <c r="AO63"/>
      <c r="AP63"/>
      <c r="AQ63"/>
      <c r="AR63"/>
      <c r="AS63"/>
      <c r="AT63"/>
      <c r="AU63"/>
      <c r="AV63"/>
      <c r="AW63"/>
      <c r="AX63"/>
      <c r="AY63"/>
      <c r="AZ63"/>
      <c r="BA63"/>
      <c r="BB63"/>
      <c r="BC63"/>
      <c r="BD63"/>
      <c r="BE63"/>
      <c r="BF63"/>
      <c r="BG63"/>
      <c r="BH63"/>
      <c r="BI63"/>
      <c r="BJ63"/>
      <c r="BK63"/>
      <c r="BL63"/>
      <c r="BM63"/>
      <c r="BN63"/>
      <c r="BO63"/>
      <c r="BP63"/>
      <c r="BQ63"/>
      <c r="BR63"/>
      <c r="BS63"/>
      <c r="BT63"/>
      <c r="BU63"/>
      <c r="BV63"/>
      <c r="BW63"/>
      <c r="BX63"/>
      <c r="BY63"/>
      <c r="BZ63"/>
      <c r="CA63"/>
      <c r="CB63"/>
      <c r="CC63"/>
      <c r="CD63"/>
      <c r="CE63"/>
      <c r="CF63"/>
      <c r="CG63"/>
      <c r="CH63"/>
      <c r="CI63"/>
      <c r="CJ63"/>
      <c r="CK63"/>
      <c r="CL63"/>
      <c r="CM63"/>
      <c r="CN63"/>
      <c r="CO63"/>
      <c r="CP63"/>
      <c r="CQ63"/>
      <c r="CR63"/>
      <c r="CS63"/>
      <c r="CT63"/>
      <c r="CU63"/>
      <c r="CV63"/>
      <c r="CW63"/>
      <c r="CX63"/>
      <c r="CY63"/>
      <c r="CZ63"/>
      <c r="DA63"/>
      <c r="DB63"/>
      <c r="DC63"/>
      <c r="DD63"/>
      <c r="DE63"/>
      <c r="DF63"/>
      <c r="DG63"/>
      <c r="DH63"/>
      <c r="DI63"/>
      <c r="DJ63"/>
      <c r="DK63"/>
      <c r="DL63"/>
      <c r="DM63"/>
      <c r="DN63"/>
      <c r="DO63"/>
      <c r="DP63"/>
      <c r="DQ63"/>
      <c r="DR63"/>
      <c r="DS63"/>
      <c r="DT63"/>
      <c r="DU63"/>
      <c r="DV63"/>
      <c r="DW63"/>
      <c r="DX63"/>
      <c r="DY63"/>
      <c r="DZ63"/>
      <c r="EA63"/>
      <c r="EB63"/>
      <c r="EC63"/>
      <c r="ED63"/>
      <c r="EE63"/>
      <c r="EF63"/>
      <c r="EG63"/>
      <c r="EH63"/>
      <c r="EI63"/>
      <c r="EJ63"/>
      <c r="EK63"/>
      <c r="EL63"/>
      <c r="EM63"/>
      <c r="EN63"/>
      <c r="EO63"/>
      <c r="EP63"/>
      <c r="EQ63"/>
      <c r="ER63"/>
      <c r="ES63"/>
      <c r="ET63"/>
      <c r="EU63"/>
      <c r="EV63"/>
      <c r="EW63"/>
      <c r="EX63"/>
      <c r="EY63"/>
      <c r="EZ63"/>
      <c r="FA63"/>
      <c r="FB63"/>
      <c r="FC63"/>
      <c r="FD63"/>
      <c r="FE63"/>
      <c r="FF63"/>
      <c r="FG63"/>
      <c r="FH63"/>
      <c r="FI63"/>
      <c r="FJ63"/>
      <c r="FK63"/>
      <c r="FL63"/>
      <c r="FM63"/>
      <c r="FN63"/>
      <c r="FO63"/>
      <c r="FP63"/>
      <c r="FQ63"/>
      <c r="FR63"/>
      <c r="FS63"/>
      <c r="FT63"/>
      <c r="FU63"/>
      <c r="FV63"/>
      <c r="FW63"/>
      <c r="FX63"/>
      <c r="FY63"/>
      <c r="FZ63"/>
      <c r="GA63"/>
      <c r="GB63"/>
      <c r="GC63"/>
      <c r="GD63"/>
      <c r="GE63"/>
      <c r="GF63"/>
      <c r="GG63"/>
      <c r="GH63"/>
      <c r="GI63"/>
      <c r="GJ63"/>
      <c r="GK63"/>
      <c r="GL63"/>
      <c r="GM63"/>
      <c r="GN63"/>
      <c r="GO63"/>
      <c r="GP63"/>
      <c r="GQ63"/>
      <c r="GR63"/>
      <c r="GS63"/>
      <c r="GT63"/>
      <c r="GU63"/>
      <c r="GV63"/>
      <c r="GW63"/>
      <c r="GX63"/>
      <c r="GY63"/>
      <c r="GZ63"/>
      <c r="HA63"/>
      <c r="HB63"/>
      <c r="HC63"/>
      <c r="HD63"/>
      <c r="HE63"/>
      <c r="HF63"/>
      <c r="HG63"/>
      <c r="HH63"/>
      <c r="HI63"/>
      <c r="HJ63"/>
      <c r="HK63"/>
      <c r="HL63"/>
      <c r="HM63"/>
      <c r="HN63"/>
      <c r="HO63"/>
      <c r="HP63"/>
      <c r="HQ63"/>
      <c r="HR63"/>
      <c r="HS63"/>
      <c r="HT63"/>
      <c r="HU63"/>
      <c r="HV63"/>
      <c r="HW63"/>
      <c r="HX63"/>
      <c r="HY63"/>
      <c r="HZ63"/>
      <c r="IA63"/>
      <c r="IB63"/>
      <c r="IC63"/>
      <c r="ID63"/>
      <c r="IE63"/>
      <c r="IF63"/>
      <c r="IG63"/>
      <c r="IH63"/>
      <c r="II63"/>
      <c r="IJ63"/>
      <c r="IK63"/>
      <c r="IL63"/>
      <c r="IM63"/>
      <c r="IN63"/>
      <c r="IO63"/>
      <c r="IP63"/>
      <c r="IQ63"/>
      <c r="IR63"/>
      <c r="IS63"/>
      <c r="IT63"/>
      <c r="IU63"/>
      <c r="IV63"/>
    </row>
    <row r="64" spans="1:256">
      <c r="A64" s="26" t="s">
        <v>59</v>
      </c>
      <c r="B64" s="32" t="s">
        <v>60</v>
      </c>
      <c r="C64" s="32" t="s">
        <v>60</v>
      </c>
      <c r="D64" s="32" t="s">
        <v>60</v>
      </c>
      <c r="E64" s="60" t="s">
        <v>60</v>
      </c>
      <c r="F64"/>
      <c r="G64"/>
      <c r="H64"/>
      <c r="I64"/>
      <c r="J64"/>
      <c r="K64"/>
      <c r="L64"/>
      <c r="M64"/>
      <c r="N64"/>
      <c r="O64"/>
      <c r="P64"/>
      <c r="Q64"/>
      <c r="R64"/>
      <c r="S64"/>
      <c r="T64"/>
      <c r="U64"/>
      <c r="V64"/>
      <c r="W64"/>
      <c r="X64"/>
      <c r="Y64"/>
      <c r="Z64"/>
      <c r="AA64"/>
      <c r="AB64"/>
      <c r="AC64"/>
      <c r="AD64"/>
      <c r="AE64"/>
      <c r="AF64"/>
      <c r="AG64"/>
      <c r="AH64"/>
      <c r="AI64"/>
      <c r="AJ64"/>
      <c r="AK64"/>
      <c r="AL64"/>
      <c r="AM64"/>
      <c r="AN64"/>
      <c r="AO64"/>
      <c r="AP64"/>
      <c r="AQ64"/>
      <c r="AR64"/>
      <c r="AS64"/>
      <c r="AT64"/>
      <c r="AU64"/>
      <c r="AV64"/>
      <c r="AW64"/>
      <c r="AX64"/>
      <c r="AY64"/>
      <c r="AZ64"/>
      <c r="BA64"/>
      <c r="BB64"/>
      <c r="BC64"/>
      <c r="BD64"/>
      <c r="BE64"/>
      <c r="BF64"/>
      <c r="BG64"/>
      <c r="BH64"/>
      <c r="BI64"/>
      <c r="BJ64"/>
      <c r="BK64"/>
      <c r="BL64"/>
      <c r="BM64"/>
      <c r="BN64"/>
      <c r="BO64"/>
      <c r="BP64"/>
      <c r="BQ64"/>
      <c r="BR64"/>
      <c r="BS64"/>
      <c r="BT64"/>
      <c r="BU64"/>
      <c r="BV64"/>
      <c r="BW64"/>
      <c r="BX64"/>
      <c r="BY64"/>
      <c r="BZ64"/>
      <c r="CA64"/>
      <c r="CB64"/>
      <c r="CC64"/>
      <c r="CD64"/>
      <c r="CE64"/>
      <c r="CF64"/>
      <c r="CG64"/>
      <c r="CH64"/>
      <c r="CI64"/>
      <c r="CJ64"/>
      <c r="CK64"/>
      <c r="CL64"/>
      <c r="CM64"/>
      <c r="CN64"/>
      <c r="CO64"/>
      <c r="CP64"/>
      <c r="CQ64"/>
      <c r="CR64"/>
      <c r="CS64"/>
      <c r="CT64"/>
      <c r="CU64"/>
      <c r="CV64"/>
      <c r="CW64"/>
      <c r="CX64"/>
      <c r="CY64"/>
      <c r="CZ64"/>
      <c r="DA64"/>
      <c r="DB64"/>
      <c r="DC64"/>
      <c r="DD64"/>
      <c r="DE64"/>
      <c r="DF64"/>
      <c r="DG64"/>
      <c r="DH64"/>
      <c r="DI64"/>
      <c r="DJ64"/>
      <c r="DK64"/>
      <c r="DL64"/>
      <c r="DM64"/>
      <c r="DN64"/>
      <c r="DO64"/>
      <c r="DP64"/>
      <c r="DQ64"/>
      <c r="DR64"/>
      <c r="DS64"/>
      <c r="DT64"/>
      <c r="DU64"/>
      <c r="DV64"/>
      <c r="DW64"/>
      <c r="DX64"/>
      <c r="DY64"/>
      <c r="DZ64"/>
      <c r="EA64"/>
      <c r="EB64"/>
      <c r="EC64"/>
      <c r="ED64"/>
      <c r="EE64"/>
      <c r="EF64"/>
      <c r="EG64"/>
      <c r="EH64"/>
      <c r="EI64"/>
      <c r="EJ64"/>
      <c r="EK64"/>
      <c r="EL64"/>
      <c r="EM64"/>
      <c r="EN64"/>
      <c r="EO64"/>
      <c r="EP64"/>
      <c r="EQ64"/>
      <c r="ER64"/>
      <c r="ES64"/>
      <c r="ET64"/>
      <c r="EU64"/>
      <c r="EV64"/>
      <c r="EW64"/>
      <c r="EX64"/>
      <c r="EY64"/>
      <c r="EZ64"/>
      <c r="FA64"/>
      <c r="FB64"/>
      <c r="FC64"/>
      <c r="FD64"/>
      <c r="FE64"/>
      <c r="FF64"/>
      <c r="FG64"/>
      <c r="FH64"/>
      <c r="FI64"/>
      <c r="FJ64"/>
      <c r="FK64"/>
      <c r="FL64"/>
      <c r="FM64"/>
      <c r="FN64"/>
      <c r="FO64"/>
      <c r="FP64"/>
      <c r="FQ64"/>
      <c r="FR64"/>
      <c r="FS64"/>
      <c r="FT64"/>
      <c r="FU64"/>
      <c r="FV64"/>
      <c r="FW64"/>
      <c r="FX64"/>
      <c r="FY64"/>
      <c r="FZ64"/>
      <c r="GA64"/>
      <c r="GB64"/>
      <c r="GC64"/>
      <c r="GD64"/>
      <c r="GE64"/>
      <c r="GF64"/>
      <c r="GG64"/>
      <c r="GH64"/>
      <c r="GI64"/>
      <c r="GJ64"/>
      <c r="GK64"/>
      <c r="GL64"/>
      <c r="GM64"/>
      <c r="GN64"/>
      <c r="GO64"/>
      <c r="GP64"/>
      <c r="GQ64"/>
      <c r="GR64"/>
      <c r="GS64"/>
      <c r="GT64"/>
      <c r="GU64"/>
      <c r="GV64"/>
      <c r="GW64"/>
      <c r="GX64"/>
      <c r="GY64"/>
      <c r="GZ64"/>
      <c r="HA64"/>
      <c r="HB64"/>
      <c r="HC64"/>
      <c r="HD64"/>
      <c r="HE64"/>
      <c r="HF64"/>
      <c r="HG64"/>
      <c r="HH64"/>
      <c r="HI64"/>
      <c r="HJ64"/>
      <c r="HK64"/>
      <c r="HL64"/>
      <c r="HM64"/>
      <c r="HN64"/>
      <c r="HO64"/>
      <c r="HP64"/>
      <c r="HQ64"/>
      <c r="HR64"/>
      <c r="HS64"/>
      <c r="HT64"/>
      <c r="HU64"/>
      <c r="HV64"/>
      <c r="HW64"/>
      <c r="HX64"/>
      <c r="HY64"/>
      <c r="HZ64"/>
      <c r="IA64"/>
      <c r="IB64"/>
      <c r="IC64"/>
      <c r="ID64"/>
      <c r="IE64"/>
      <c r="IF64"/>
      <c r="IG64"/>
      <c r="IH64"/>
      <c r="II64"/>
      <c r="IJ64"/>
      <c r="IK64"/>
      <c r="IL64"/>
      <c r="IM64"/>
      <c r="IN64"/>
      <c r="IO64"/>
      <c r="IP64"/>
      <c r="IQ64"/>
      <c r="IR64"/>
      <c r="IS64"/>
      <c r="IT64"/>
      <c r="IU64"/>
      <c r="IV64"/>
    </row>
    <row r="65" spans="1:256" s="44" customFormat="1">
      <c r="A65" s="36"/>
      <c r="B65" s="43"/>
      <c r="C65" s="43"/>
      <c r="D65" s="43"/>
      <c r="E65" s="43"/>
      <c r="F65" s="43"/>
      <c r="G65" s="43"/>
      <c r="H65" s="43"/>
      <c r="I65" s="43"/>
      <c r="J65" s="43"/>
      <c r="K65" s="43"/>
      <c r="L65" s="43"/>
      <c r="M65" s="43"/>
      <c r="N65" s="43"/>
      <c r="O65" s="43"/>
      <c r="P65" s="43"/>
      <c r="Q65" s="43"/>
      <c r="R65" s="43"/>
      <c r="S65" s="43"/>
      <c r="T65" s="43"/>
    </row>
    <row r="66" spans="1:256" s="44" customFormat="1" ht="12.75" customHeight="1">
      <c r="A66" s="79"/>
      <c r="B66" s="43"/>
      <c r="C66" s="43"/>
      <c r="D66" s="43"/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43"/>
      <c r="R66" s="43"/>
      <c r="S66" s="43"/>
      <c r="T66" s="43"/>
    </row>
    <row r="67" spans="1:256" ht="12.75" customHeight="1">
      <c r="A67" s="81" t="s">
        <v>188</v>
      </c>
      <c r="B67" s="42" t="s">
        <v>189</v>
      </c>
      <c r="C67" s="43"/>
      <c r="D67" s="43"/>
      <c r="E67" s="43"/>
      <c r="F67" s="43"/>
      <c r="G67" s="43"/>
      <c r="H67" s="43"/>
      <c r="I67" s="43"/>
      <c r="J67" s="43"/>
      <c r="K67" s="43"/>
      <c r="L67" s="43"/>
      <c r="M67" s="43"/>
      <c r="N67" s="43"/>
      <c r="O67" s="43"/>
      <c r="P67" s="43"/>
      <c r="Q67" s="43"/>
      <c r="R67" s="43"/>
      <c r="S67" s="43"/>
      <c r="T67" s="43"/>
      <c r="U67"/>
      <c r="V67"/>
      <c r="W67"/>
      <c r="X67"/>
      <c r="Y67"/>
      <c r="Z67"/>
      <c r="AA67"/>
      <c r="AB67"/>
      <c r="AC67"/>
      <c r="AD67"/>
      <c r="AE67"/>
      <c r="AF67"/>
      <c r="AG67"/>
      <c r="AH67"/>
      <c r="AI67"/>
      <c r="AJ67"/>
      <c r="AK67"/>
      <c r="AL67"/>
      <c r="AM67"/>
      <c r="AN67"/>
      <c r="AO67"/>
      <c r="AP67"/>
      <c r="AQ67"/>
      <c r="AR67"/>
      <c r="AS67"/>
      <c r="AT67"/>
      <c r="AU67"/>
      <c r="AV67"/>
      <c r="AW67"/>
      <c r="AX67"/>
      <c r="AY67"/>
      <c r="AZ67"/>
      <c r="BA67"/>
      <c r="BB67"/>
      <c r="BC67"/>
      <c r="BD67"/>
      <c r="BE67"/>
      <c r="BF67"/>
      <c r="BG67"/>
      <c r="BH67"/>
      <c r="BI67"/>
      <c r="BJ67"/>
      <c r="BK67"/>
      <c r="BL67"/>
      <c r="BM67"/>
      <c r="BN67"/>
      <c r="BO67"/>
      <c r="BP67"/>
      <c r="BQ67"/>
      <c r="BR67"/>
      <c r="BS67"/>
      <c r="BT67"/>
      <c r="BU67"/>
      <c r="BV67"/>
      <c r="BW67"/>
      <c r="BX67"/>
      <c r="BY67"/>
      <c r="BZ67"/>
      <c r="CA67"/>
      <c r="CB67"/>
      <c r="CC67"/>
      <c r="CD67"/>
      <c r="CE67"/>
      <c r="CF67"/>
      <c r="CG67"/>
      <c r="CH67"/>
      <c r="CI67"/>
      <c r="CJ67"/>
      <c r="CK67"/>
      <c r="CL67"/>
      <c r="CM67"/>
      <c r="CN67"/>
      <c r="CO67"/>
      <c r="CP67"/>
      <c r="CQ67"/>
      <c r="CR67"/>
      <c r="CS67"/>
      <c r="CT67"/>
      <c r="CU67"/>
      <c r="CV67"/>
      <c r="CW67"/>
      <c r="CX67"/>
      <c r="CY67"/>
      <c r="CZ67"/>
      <c r="DA67"/>
      <c r="DB67"/>
      <c r="DC67"/>
      <c r="DD67"/>
      <c r="DE67"/>
      <c r="DF67"/>
      <c r="DG67"/>
      <c r="DH67"/>
      <c r="DI67"/>
      <c r="DJ67"/>
      <c r="DK67"/>
      <c r="DL67"/>
      <c r="DM67"/>
      <c r="DN67"/>
      <c r="DO67"/>
      <c r="DP67"/>
      <c r="DQ67"/>
      <c r="DR67"/>
      <c r="DS67"/>
      <c r="DT67"/>
      <c r="DU67"/>
      <c r="DV67"/>
      <c r="DW67"/>
      <c r="DX67"/>
      <c r="DY67"/>
      <c r="DZ67"/>
      <c r="EA67"/>
      <c r="EB67"/>
      <c r="EC67"/>
      <c r="ED67"/>
      <c r="EE67"/>
      <c r="EF67"/>
      <c r="EG67"/>
      <c r="EH67"/>
      <c r="EI67"/>
      <c r="EJ67"/>
      <c r="EK67"/>
      <c r="EL67"/>
      <c r="EM67"/>
      <c r="EN67"/>
      <c r="EO67"/>
      <c r="EP67"/>
      <c r="EQ67"/>
      <c r="ER67"/>
      <c r="ES67"/>
      <c r="ET67"/>
      <c r="EU67"/>
      <c r="EV67"/>
      <c r="EW67"/>
      <c r="EX67"/>
      <c r="EY67"/>
      <c r="EZ67"/>
      <c r="FA67"/>
      <c r="FB67"/>
      <c r="FC67"/>
      <c r="FD67"/>
      <c r="FE67"/>
      <c r="FF67"/>
      <c r="FG67"/>
      <c r="FH67"/>
      <c r="FI67"/>
      <c r="FJ67"/>
      <c r="FK67"/>
      <c r="FL67"/>
      <c r="FM67"/>
      <c r="FN67"/>
      <c r="FO67"/>
      <c r="FP67"/>
      <c r="FQ67"/>
      <c r="FR67"/>
      <c r="FS67"/>
      <c r="FT67"/>
      <c r="FU67"/>
      <c r="FV67"/>
      <c r="FW67"/>
      <c r="FX67"/>
      <c r="FY67"/>
      <c r="FZ67"/>
      <c r="GA67"/>
      <c r="GB67"/>
      <c r="GC67"/>
      <c r="GD67"/>
      <c r="GE67"/>
      <c r="GF67"/>
      <c r="GG67"/>
      <c r="GH67"/>
      <c r="GI67"/>
      <c r="GJ67"/>
      <c r="GK67"/>
      <c r="GL67"/>
      <c r="GM67"/>
      <c r="GN67"/>
      <c r="GO67"/>
      <c r="GP67"/>
      <c r="GQ67"/>
      <c r="GR67"/>
      <c r="GS67"/>
      <c r="GT67"/>
      <c r="GU67"/>
      <c r="GV67"/>
      <c r="GW67"/>
      <c r="GX67"/>
      <c r="GY67"/>
      <c r="GZ67"/>
      <c r="HA67"/>
      <c r="HB67"/>
      <c r="HC67"/>
      <c r="HD67"/>
      <c r="HE67"/>
      <c r="HF67"/>
      <c r="HG67"/>
      <c r="HH67"/>
      <c r="HI67"/>
      <c r="HJ67"/>
      <c r="HK67"/>
      <c r="HL67"/>
      <c r="HM67"/>
      <c r="HN67"/>
      <c r="HO67"/>
      <c r="HP67"/>
      <c r="HQ67"/>
      <c r="HR67"/>
      <c r="HS67"/>
      <c r="HT67"/>
      <c r="HU67"/>
      <c r="HV67"/>
      <c r="HW67"/>
      <c r="HX67"/>
      <c r="HY67"/>
      <c r="HZ67"/>
      <c r="IA67"/>
      <c r="IB67"/>
      <c r="IC67"/>
      <c r="ID67"/>
      <c r="IE67"/>
      <c r="IF67"/>
      <c r="IG67"/>
      <c r="IH67"/>
      <c r="II67"/>
      <c r="IJ67"/>
      <c r="IK67"/>
      <c r="IL67"/>
      <c r="IM67"/>
      <c r="IN67"/>
      <c r="IO67"/>
      <c r="IP67"/>
      <c r="IQ67"/>
      <c r="IR67"/>
      <c r="IS67"/>
      <c r="IT67"/>
      <c r="IU67"/>
      <c r="IV67"/>
    </row>
    <row r="68" spans="1:256">
      <c r="A68" s="45"/>
      <c r="B68" s="83" t="s">
        <v>150</v>
      </c>
      <c r="C68" s="84" t="s">
        <v>190</v>
      </c>
      <c r="D68" s="84" t="s">
        <v>191</v>
      </c>
      <c r="E68" s="85" t="s">
        <v>21</v>
      </c>
      <c r="F68" s="85" t="s">
        <v>22</v>
      </c>
      <c r="G68" s="85" t="s">
        <v>192</v>
      </c>
      <c r="H68" s="17" t="s">
        <v>193</v>
      </c>
      <c r="I68" s="86" t="s">
        <v>194</v>
      </c>
      <c r="J68" s="15" t="s">
        <v>195</v>
      </c>
      <c r="K68"/>
      <c r="L68"/>
      <c r="M68"/>
      <c r="N68"/>
      <c r="O68"/>
      <c r="P68"/>
      <c r="Q68"/>
      <c r="R68"/>
      <c r="S68"/>
      <c r="T68"/>
      <c r="U68"/>
      <c r="V68"/>
      <c r="W68"/>
      <c r="X68"/>
      <c r="Y68"/>
      <c r="Z68"/>
      <c r="AA68"/>
      <c r="AB68"/>
      <c r="AC68"/>
      <c r="AD68"/>
      <c r="AE68"/>
      <c r="AF68"/>
      <c r="AG68"/>
      <c r="AH68"/>
      <c r="AI68"/>
      <c r="AJ68"/>
      <c r="AK68"/>
      <c r="AL68"/>
      <c r="AM68"/>
      <c r="AN68"/>
      <c r="AO68"/>
      <c r="AP68"/>
      <c r="AQ68"/>
      <c r="AR68"/>
      <c r="AS68"/>
      <c r="AT68"/>
      <c r="AU68"/>
      <c r="AV68"/>
      <c r="AW68"/>
      <c r="AX68"/>
      <c r="AY68"/>
      <c r="AZ68"/>
      <c r="BA68"/>
      <c r="BB68"/>
      <c r="BC68"/>
      <c r="BD68"/>
      <c r="BE68"/>
      <c r="BF68"/>
      <c r="BG68"/>
      <c r="BH68"/>
      <c r="BI68"/>
      <c r="BJ68"/>
      <c r="BK68"/>
      <c r="BL68"/>
      <c r="BM68"/>
      <c r="BN68"/>
      <c r="BO68"/>
      <c r="BP68"/>
      <c r="BQ68"/>
      <c r="BR68"/>
      <c r="BS68"/>
      <c r="BT68"/>
      <c r="BU68"/>
      <c r="BV68"/>
      <c r="BW68"/>
      <c r="BX68"/>
      <c r="BY68"/>
      <c r="BZ68"/>
      <c r="CA68"/>
      <c r="CB68"/>
      <c r="CC68"/>
      <c r="CD68"/>
      <c r="CE68"/>
      <c r="CF68"/>
      <c r="CG68"/>
      <c r="CH68"/>
      <c r="CI68"/>
      <c r="CJ68"/>
      <c r="CK68"/>
      <c r="CL68"/>
      <c r="CM68"/>
      <c r="CN68"/>
      <c r="CO68"/>
      <c r="CP68"/>
      <c r="CQ68"/>
      <c r="CR68"/>
      <c r="CS68"/>
      <c r="CT68"/>
      <c r="CU68"/>
      <c r="CV68"/>
      <c r="CW68"/>
      <c r="CX68"/>
      <c r="CY68"/>
      <c r="CZ68"/>
      <c r="DA68"/>
      <c r="DB68"/>
      <c r="DC68"/>
      <c r="DD68"/>
      <c r="DE68"/>
      <c r="DF68"/>
      <c r="DG68"/>
      <c r="DH68"/>
      <c r="DI68"/>
      <c r="DJ68"/>
      <c r="DK68"/>
      <c r="DL68"/>
      <c r="DM68"/>
      <c r="DN68"/>
      <c r="DO68"/>
      <c r="DP68"/>
      <c r="DQ68"/>
      <c r="DR68"/>
      <c r="DS68"/>
      <c r="DT68"/>
      <c r="DU68"/>
      <c r="DV68"/>
      <c r="DW68"/>
      <c r="DX68"/>
      <c r="DY68"/>
      <c r="DZ68"/>
      <c r="EA68"/>
      <c r="EB68"/>
      <c r="EC68"/>
      <c r="ED68"/>
      <c r="EE68"/>
      <c r="EF68"/>
      <c r="EG68"/>
      <c r="EH68"/>
      <c r="EI68"/>
      <c r="EJ68"/>
      <c r="EK68"/>
      <c r="EL68"/>
      <c r="EM68"/>
      <c r="EN68"/>
      <c r="EO68"/>
      <c r="EP68"/>
      <c r="EQ68"/>
      <c r="ER68"/>
      <c r="ES68"/>
      <c r="ET68"/>
      <c r="EU68"/>
      <c r="EV68"/>
      <c r="EW68"/>
      <c r="EX68"/>
      <c r="EY68"/>
      <c r="EZ68"/>
      <c r="FA68"/>
      <c r="FB68"/>
      <c r="FC68"/>
      <c r="FD68"/>
      <c r="FE68"/>
      <c r="FF68"/>
      <c r="FG68"/>
      <c r="FH68"/>
      <c r="FI68"/>
      <c r="FJ68"/>
      <c r="FK68"/>
      <c r="FL68"/>
      <c r="FM68"/>
      <c r="FN68"/>
      <c r="FO68"/>
      <c r="FP68"/>
      <c r="FQ68"/>
      <c r="FR68"/>
      <c r="FS68"/>
      <c r="FT68"/>
      <c r="FU68"/>
      <c r="FV68"/>
      <c r="FW68"/>
      <c r="FX68"/>
      <c r="FY68"/>
      <c r="FZ68"/>
      <c r="GA68"/>
      <c r="GB68"/>
      <c r="GC68"/>
      <c r="GD68"/>
      <c r="GE68"/>
      <c r="GF68"/>
      <c r="GG68"/>
      <c r="GH68"/>
      <c r="GI68"/>
      <c r="GJ68"/>
      <c r="GK68"/>
      <c r="GL68"/>
      <c r="GM68"/>
      <c r="GN68"/>
      <c r="GO68"/>
      <c r="GP68"/>
      <c r="GQ68"/>
      <c r="GR68"/>
      <c r="GS68"/>
      <c r="GT68"/>
      <c r="GU68"/>
      <c r="GV68"/>
      <c r="GW68"/>
      <c r="GX68"/>
      <c r="GY68"/>
      <c r="GZ68"/>
      <c r="HA68"/>
      <c r="HB68"/>
      <c r="HC68"/>
      <c r="HD68"/>
      <c r="HE68"/>
      <c r="HF68"/>
      <c r="HG68"/>
      <c r="HH68"/>
      <c r="HI68"/>
      <c r="HJ68"/>
      <c r="HK68"/>
      <c r="HL68"/>
      <c r="HM68"/>
      <c r="HN68"/>
      <c r="HO68"/>
      <c r="HP68"/>
      <c r="HQ68"/>
      <c r="HR68"/>
      <c r="HS68"/>
      <c r="HT68"/>
      <c r="HU68"/>
      <c r="HV68"/>
      <c r="HW68"/>
      <c r="HX68"/>
      <c r="HY68"/>
      <c r="HZ68"/>
      <c r="IA68"/>
      <c r="IB68"/>
      <c r="IC68"/>
      <c r="ID68"/>
      <c r="IE68"/>
      <c r="IF68"/>
      <c r="IG68"/>
      <c r="IH68"/>
      <c r="II68"/>
      <c r="IJ68"/>
      <c r="IK68"/>
      <c r="IL68"/>
      <c r="IM68"/>
      <c r="IN68"/>
      <c r="IO68"/>
      <c r="IP68"/>
      <c r="IQ68"/>
      <c r="IR68"/>
      <c r="IS68"/>
      <c r="IT68"/>
      <c r="IU68"/>
      <c r="IV68"/>
    </row>
    <row r="69" spans="1:256" ht="52.9" customHeight="1">
      <c r="A69" s="337" t="s">
        <v>29</v>
      </c>
      <c r="B69" s="338" t="s">
        <v>196</v>
      </c>
      <c r="C69" s="87" t="s">
        <v>197</v>
      </c>
      <c r="D69" s="87" t="s">
        <v>198</v>
      </c>
      <c r="E69" s="330" t="s">
        <v>199</v>
      </c>
      <c r="F69" s="330" t="s">
        <v>200</v>
      </c>
      <c r="G69" s="330" t="s">
        <v>201</v>
      </c>
      <c r="H69" s="330" t="s">
        <v>202</v>
      </c>
      <c r="I69" s="88" t="s">
        <v>203</v>
      </c>
      <c r="J69" s="87" t="s">
        <v>203</v>
      </c>
      <c r="K69" s="89"/>
      <c r="L69" s="89"/>
      <c r="M69"/>
      <c r="N69"/>
      <c r="O69"/>
      <c r="P69"/>
      <c r="Q69"/>
      <c r="R69"/>
      <c r="S69"/>
      <c r="T69"/>
      <c r="U69"/>
      <c r="V69"/>
      <c r="W69"/>
      <c r="X69"/>
      <c r="Y69"/>
      <c r="Z69"/>
      <c r="AA69"/>
      <c r="AB69"/>
      <c r="AC69"/>
      <c r="AD69"/>
      <c r="AE69"/>
      <c r="AF69"/>
      <c r="AG69"/>
      <c r="AH69"/>
      <c r="AI69"/>
      <c r="AJ69"/>
      <c r="AK69"/>
      <c r="AL69"/>
      <c r="AM69"/>
      <c r="AN69"/>
      <c r="AO69"/>
      <c r="AP69"/>
      <c r="AQ69"/>
      <c r="AR69"/>
      <c r="AS69"/>
      <c r="AT69"/>
      <c r="AU69"/>
      <c r="AV69"/>
      <c r="AW69"/>
      <c r="AX69"/>
      <c r="AY69"/>
      <c r="AZ69"/>
      <c r="BA69"/>
      <c r="BB69"/>
      <c r="BC69"/>
      <c r="BD69"/>
      <c r="BE69"/>
      <c r="BF69"/>
      <c r="BG69"/>
      <c r="BH69"/>
      <c r="BI69"/>
      <c r="BJ69"/>
      <c r="BK69"/>
      <c r="BL69"/>
      <c r="BM69"/>
      <c r="BN69"/>
      <c r="BO69"/>
      <c r="BP69"/>
      <c r="BQ69"/>
      <c r="BR69"/>
      <c r="BS69"/>
      <c r="BT69"/>
      <c r="BU69"/>
      <c r="BV69"/>
      <c r="BW69"/>
      <c r="BX69"/>
      <c r="BY69"/>
      <c r="BZ69"/>
      <c r="CA69"/>
      <c r="CB69"/>
      <c r="CC69"/>
      <c r="CD69"/>
      <c r="CE69"/>
      <c r="CF69"/>
      <c r="CG69"/>
      <c r="CH69"/>
      <c r="CI69"/>
      <c r="CJ69"/>
      <c r="CK69"/>
      <c r="CL69"/>
      <c r="CM69"/>
      <c r="CN69"/>
      <c r="CO69"/>
      <c r="CP69"/>
      <c r="CQ69"/>
      <c r="CR69"/>
      <c r="CS69"/>
      <c r="CT69"/>
      <c r="CU69"/>
      <c r="CV69"/>
      <c r="CW69"/>
      <c r="CX69"/>
      <c r="CY69"/>
      <c r="CZ69"/>
      <c r="DA69"/>
      <c r="DB69"/>
      <c r="DC69"/>
      <c r="DD69"/>
      <c r="DE69"/>
      <c r="DF69"/>
      <c r="DG69"/>
      <c r="DH69"/>
      <c r="DI69"/>
      <c r="DJ69"/>
      <c r="DK69"/>
      <c r="DL69"/>
      <c r="DM69"/>
      <c r="DN69"/>
      <c r="DO69"/>
      <c r="DP69"/>
      <c r="DQ69"/>
      <c r="DR69"/>
      <c r="DS69"/>
      <c r="DT69"/>
      <c r="DU69"/>
      <c r="DV69"/>
      <c r="DW69"/>
      <c r="DX69"/>
      <c r="DY69"/>
      <c r="DZ69"/>
      <c r="EA69"/>
      <c r="EB69"/>
      <c r="EC69"/>
      <c r="ED69"/>
      <c r="EE69"/>
      <c r="EF69"/>
      <c r="EG69"/>
      <c r="EH69"/>
      <c r="EI69"/>
      <c r="EJ69"/>
      <c r="EK69"/>
      <c r="EL69"/>
      <c r="EM69"/>
      <c r="EN69"/>
      <c r="EO69"/>
      <c r="EP69"/>
      <c r="EQ69"/>
      <c r="ER69"/>
      <c r="ES69"/>
      <c r="ET69"/>
      <c r="EU69"/>
      <c r="EV69"/>
      <c r="EW69"/>
      <c r="EX69"/>
      <c r="EY69"/>
      <c r="EZ69"/>
      <c r="FA69"/>
      <c r="FB69"/>
      <c r="FC69"/>
      <c r="FD69"/>
      <c r="FE69"/>
      <c r="FF69"/>
      <c r="FG69"/>
      <c r="FH69"/>
      <c r="FI69"/>
      <c r="FJ69"/>
      <c r="FK69"/>
      <c r="FL69"/>
      <c r="FM69"/>
      <c r="FN69"/>
      <c r="FO69"/>
      <c r="FP69"/>
      <c r="FQ69"/>
      <c r="FR69"/>
      <c r="FS69"/>
      <c r="FT69"/>
      <c r="FU69"/>
      <c r="FV69"/>
      <c r="FW69"/>
      <c r="FX69"/>
      <c r="FY69"/>
      <c r="FZ69"/>
      <c r="GA69"/>
      <c r="GB69"/>
      <c r="GC69"/>
      <c r="GD69"/>
      <c r="GE69"/>
      <c r="GF69"/>
      <c r="GG69"/>
      <c r="GH69"/>
      <c r="GI69"/>
      <c r="GJ69"/>
      <c r="GK69"/>
      <c r="GL69"/>
      <c r="GM69"/>
      <c r="GN69"/>
      <c r="GO69"/>
      <c r="GP69"/>
      <c r="GQ69"/>
      <c r="GR69"/>
      <c r="GS69"/>
      <c r="GT69"/>
      <c r="GU69"/>
      <c r="GV69"/>
      <c r="GW69"/>
      <c r="GX69"/>
      <c r="GY69"/>
      <c r="GZ69"/>
      <c r="HA69"/>
      <c r="HB69"/>
      <c r="HC69"/>
      <c r="HD69"/>
      <c r="HE69"/>
      <c r="HF69"/>
      <c r="HG69"/>
      <c r="HH69"/>
      <c r="HI69"/>
      <c r="HJ69"/>
      <c r="HK69"/>
      <c r="HL69"/>
      <c r="HM69"/>
      <c r="HN69"/>
      <c r="HO69"/>
      <c r="HP69"/>
      <c r="HQ69"/>
      <c r="HR69"/>
      <c r="HS69"/>
      <c r="HT69"/>
      <c r="HU69"/>
      <c r="HV69"/>
      <c r="HW69"/>
      <c r="HX69"/>
      <c r="HY69"/>
      <c r="HZ69"/>
      <c r="IA69"/>
      <c r="IB69"/>
      <c r="IC69"/>
      <c r="ID69"/>
      <c r="IE69"/>
      <c r="IF69"/>
      <c r="IG69"/>
      <c r="IH69"/>
      <c r="II69"/>
      <c r="IJ69"/>
      <c r="IK69"/>
      <c r="IL69"/>
      <c r="IM69"/>
      <c r="IN69"/>
      <c r="IO69"/>
      <c r="IP69"/>
      <c r="IQ69"/>
      <c r="IR69"/>
      <c r="IS69"/>
      <c r="IT69"/>
      <c r="IU69"/>
      <c r="IV69"/>
    </row>
    <row r="70" spans="1:256" ht="38.25">
      <c r="A70" s="337"/>
      <c r="B70" s="338"/>
      <c r="C70" s="90" t="s">
        <v>204</v>
      </c>
      <c r="D70" s="90" t="s">
        <v>205</v>
      </c>
      <c r="E70" s="330"/>
      <c r="F70" s="330"/>
      <c r="G70" s="330"/>
      <c r="H70" s="330"/>
      <c r="I70" s="90" t="s">
        <v>206</v>
      </c>
      <c r="J70" s="90" t="s">
        <v>207</v>
      </c>
      <c r="K70" s="40"/>
      <c r="L70" s="40"/>
      <c r="M70"/>
      <c r="N70"/>
      <c r="O70"/>
      <c r="P70"/>
      <c r="Q70"/>
      <c r="R70"/>
      <c r="S70"/>
      <c r="T70"/>
      <c r="U70"/>
      <c r="V70"/>
      <c r="W70"/>
      <c r="X70"/>
      <c r="Y70"/>
      <c r="Z70"/>
      <c r="AA70"/>
      <c r="AB70"/>
      <c r="AC70"/>
      <c r="AD70"/>
      <c r="AE70"/>
      <c r="AF70"/>
      <c r="AG70"/>
      <c r="AH70"/>
      <c r="AI70"/>
      <c r="AJ70"/>
      <c r="AK70"/>
      <c r="AL70"/>
      <c r="AM70"/>
      <c r="AN70"/>
      <c r="AO70"/>
      <c r="AP70"/>
      <c r="AQ70"/>
      <c r="AR70"/>
      <c r="AS70"/>
      <c r="AT70"/>
      <c r="AU70"/>
      <c r="AV70"/>
      <c r="AW70"/>
      <c r="AX70"/>
      <c r="AY70"/>
      <c r="AZ70"/>
      <c r="BA70"/>
      <c r="BB70"/>
      <c r="BC70"/>
      <c r="BD70"/>
      <c r="BE70"/>
      <c r="BF70"/>
      <c r="BG70"/>
      <c r="BH70"/>
      <c r="BI70"/>
      <c r="BJ70"/>
      <c r="BK70"/>
      <c r="BL70"/>
      <c r="BM70"/>
      <c r="BN70"/>
      <c r="BO70"/>
      <c r="BP70"/>
      <c r="BQ70"/>
      <c r="BR70"/>
      <c r="BS70"/>
      <c r="BT70"/>
      <c r="BU70"/>
      <c r="BV70"/>
      <c r="BW70"/>
      <c r="BX70"/>
      <c r="BY70"/>
      <c r="BZ70"/>
      <c r="CA70"/>
      <c r="CB70"/>
      <c r="CC70"/>
      <c r="CD70"/>
      <c r="CE70"/>
      <c r="CF70"/>
      <c r="CG70"/>
      <c r="CH70"/>
      <c r="CI70"/>
      <c r="CJ70"/>
      <c r="CK70"/>
      <c r="CL70"/>
      <c r="CM70"/>
      <c r="CN70"/>
      <c r="CO70"/>
      <c r="CP70"/>
      <c r="CQ70"/>
      <c r="CR70"/>
      <c r="CS70"/>
      <c r="CT70"/>
      <c r="CU70"/>
      <c r="CV70"/>
      <c r="CW70"/>
      <c r="CX70"/>
      <c r="CY70"/>
      <c r="CZ70"/>
      <c r="DA70"/>
      <c r="DB70"/>
      <c r="DC70"/>
      <c r="DD70"/>
      <c r="DE70"/>
      <c r="DF70"/>
      <c r="DG70"/>
      <c r="DH70"/>
      <c r="DI70"/>
      <c r="DJ70"/>
      <c r="DK70"/>
      <c r="DL70"/>
      <c r="DM70"/>
      <c r="DN70"/>
      <c r="DO70"/>
      <c r="DP70"/>
      <c r="DQ70"/>
      <c r="DR70"/>
      <c r="DS70"/>
      <c r="DT70"/>
      <c r="DU70"/>
      <c r="DV70"/>
      <c r="DW70"/>
      <c r="DX70"/>
      <c r="DY70"/>
      <c r="DZ70"/>
      <c r="EA70"/>
      <c r="EB70"/>
      <c r="EC70"/>
      <c r="ED70"/>
      <c r="EE70"/>
      <c r="EF70"/>
      <c r="EG70"/>
      <c r="EH70"/>
      <c r="EI70"/>
      <c r="EJ70"/>
      <c r="EK70"/>
      <c r="EL70"/>
      <c r="EM70"/>
      <c r="EN70"/>
      <c r="EO70"/>
      <c r="EP70"/>
      <c r="EQ70"/>
      <c r="ER70"/>
      <c r="ES70"/>
      <c r="ET70"/>
      <c r="EU70"/>
      <c r="EV70"/>
      <c r="EW70"/>
      <c r="EX70"/>
      <c r="EY70"/>
      <c r="EZ70"/>
      <c r="FA70"/>
      <c r="FB70"/>
      <c r="FC70"/>
      <c r="FD70"/>
      <c r="FE70"/>
      <c r="FF70"/>
      <c r="FG70"/>
      <c r="FH70"/>
      <c r="FI70"/>
      <c r="FJ70"/>
      <c r="FK70"/>
      <c r="FL70"/>
      <c r="FM70"/>
      <c r="FN70"/>
      <c r="FO70"/>
      <c r="FP70"/>
      <c r="FQ70"/>
      <c r="FR70"/>
      <c r="FS70"/>
      <c r="FT70"/>
      <c r="FU70"/>
      <c r="FV70"/>
      <c r="FW70"/>
      <c r="FX70"/>
      <c r="FY70"/>
      <c r="FZ70"/>
      <c r="GA70"/>
      <c r="GB70"/>
      <c r="GC70"/>
      <c r="GD70"/>
      <c r="GE70"/>
      <c r="GF70"/>
      <c r="GG70"/>
      <c r="GH70"/>
      <c r="GI70"/>
      <c r="GJ70"/>
      <c r="GK70"/>
      <c r="GL70"/>
      <c r="GM70"/>
      <c r="GN70"/>
      <c r="GO70"/>
      <c r="GP70"/>
      <c r="GQ70"/>
      <c r="GR70"/>
      <c r="GS70"/>
      <c r="GT70"/>
      <c r="GU70"/>
      <c r="GV70"/>
      <c r="GW70"/>
      <c r="GX70"/>
      <c r="GY70"/>
      <c r="GZ70"/>
      <c r="HA70"/>
      <c r="HB70"/>
      <c r="HC70"/>
      <c r="HD70"/>
      <c r="HE70"/>
      <c r="HF70"/>
      <c r="HG70"/>
      <c r="HH70"/>
      <c r="HI70"/>
      <c r="HJ70"/>
      <c r="HK70"/>
      <c r="HL70"/>
      <c r="HM70"/>
      <c r="HN70"/>
      <c r="HO70"/>
      <c r="HP70"/>
      <c r="HQ70"/>
      <c r="HR70"/>
      <c r="HS70"/>
      <c r="HT70"/>
      <c r="HU70"/>
      <c r="HV70"/>
      <c r="HW70"/>
      <c r="HX70"/>
      <c r="HY70"/>
      <c r="HZ70"/>
      <c r="IA70"/>
      <c r="IB70"/>
      <c r="IC70"/>
      <c r="ID70"/>
      <c r="IE70"/>
      <c r="IF70"/>
      <c r="IG70"/>
      <c r="IH70"/>
      <c r="II70"/>
      <c r="IJ70"/>
      <c r="IK70"/>
      <c r="IL70"/>
      <c r="IM70"/>
      <c r="IN70"/>
      <c r="IO70"/>
      <c r="IP70"/>
      <c r="IQ70"/>
      <c r="IR70"/>
      <c r="IS70"/>
      <c r="IT70"/>
      <c r="IU70"/>
      <c r="IV70"/>
    </row>
    <row r="71" spans="1:256" ht="25.5">
      <c r="A71" s="50" t="s">
        <v>89</v>
      </c>
      <c r="B71" s="72" t="s">
        <v>159</v>
      </c>
      <c r="C71" s="90" t="s">
        <v>208</v>
      </c>
      <c r="D71" s="90" t="s">
        <v>209</v>
      </c>
      <c r="E71" s="20">
        <v>1</v>
      </c>
      <c r="F71" s="51">
        <v>3</v>
      </c>
      <c r="G71" s="51"/>
      <c r="H71" s="51"/>
      <c r="I71" s="90" t="s">
        <v>210</v>
      </c>
      <c r="J71" s="90" t="s">
        <v>211</v>
      </c>
      <c r="K71" s="40"/>
      <c r="L71" s="40"/>
      <c r="M71"/>
      <c r="N71"/>
      <c r="O71"/>
      <c r="P71"/>
      <c r="Q71"/>
      <c r="R71"/>
      <c r="S71"/>
      <c r="T71"/>
      <c r="U71"/>
      <c r="V71"/>
      <c r="W71"/>
      <c r="X71"/>
      <c r="Y71"/>
      <c r="Z71"/>
      <c r="AA71"/>
      <c r="AB71"/>
      <c r="AC71"/>
      <c r="AD71"/>
      <c r="AE71"/>
      <c r="AF71"/>
      <c r="AG71"/>
      <c r="AH71"/>
      <c r="AI71"/>
      <c r="AJ71"/>
      <c r="AK71"/>
      <c r="AL71"/>
      <c r="AM71"/>
      <c r="AN71"/>
      <c r="AO71"/>
      <c r="AP71"/>
      <c r="AQ71"/>
      <c r="AR71"/>
      <c r="AS71"/>
      <c r="AT71"/>
      <c r="AU71"/>
      <c r="AV71"/>
      <c r="AW71"/>
      <c r="AX71"/>
      <c r="AY71"/>
      <c r="AZ71"/>
      <c r="BA71"/>
      <c r="BB71"/>
      <c r="BC71"/>
      <c r="BD71"/>
      <c r="BE71"/>
      <c r="BF71"/>
      <c r="BG71"/>
      <c r="BH71"/>
      <c r="BI71"/>
      <c r="BJ71"/>
      <c r="BK71"/>
      <c r="BL71"/>
      <c r="BM71"/>
      <c r="BN71"/>
      <c r="BO71"/>
      <c r="BP71"/>
      <c r="BQ71"/>
      <c r="BR71"/>
      <c r="BS71"/>
      <c r="BT71"/>
      <c r="BU71"/>
      <c r="BV71"/>
      <c r="BW71"/>
      <c r="BX71"/>
      <c r="BY71"/>
      <c r="BZ71"/>
      <c r="CA71"/>
      <c r="CB71"/>
      <c r="CC71"/>
      <c r="CD71"/>
      <c r="CE71"/>
      <c r="CF71"/>
      <c r="CG71"/>
      <c r="CH71"/>
      <c r="CI71"/>
      <c r="CJ71"/>
      <c r="CK71"/>
      <c r="CL71"/>
      <c r="CM71"/>
      <c r="CN71"/>
      <c r="CO71"/>
      <c r="CP71"/>
      <c r="CQ71"/>
      <c r="CR71"/>
      <c r="CS71"/>
      <c r="CT71"/>
      <c r="CU71"/>
      <c r="CV71"/>
      <c r="CW71"/>
      <c r="CX71"/>
      <c r="CY71"/>
      <c r="CZ71"/>
      <c r="DA71"/>
      <c r="DB71"/>
      <c r="DC71"/>
      <c r="DD71"/>
      <c r="DE71"/>
      <c r="DF71"/>
      <c r="DG71"/>
      <c r="DH71"/>
      <c r="DI71"/>
      <c r="DJ71"/>
      <c r="DK71"/>
      <c r="DL71"/>
      <c r="DM71"/>
      <c r="DN71"/>
      <c r="DO71"/>
      <c r="DP71"/>
      <c r="DQ71"/>
      <c r="DR71"/>
      <c r="DS71"/>
      <c r="DT71"/>
      <c r="DU71"/>
      <c r="DV71"/>
      <c r="DW71"/>
      <c r="DX71"/>
      <c r="DY71"/>
      <c r="DZ71"/>
      <c r="EA71"/>
      <c r="EB71"/>
      <c r="EC71"/>
      <c r="ED71"/>
      <c r="EE71"/>
      <c r="EF71"/>
      <c r="EG71"/>
      <c r="EH71"/>
      <c r="EI71"/>
      <c r="EJ71"/>
      <c r="EK71"/>
      <c r="EL71"/>
      <c r="EM71"/>
      <c r="EN71"/>
      <c r="EO71"/>
      <c r="EP71"/>
      <c r="EQ71"/>
      <c r="ER71"/>
      <c r="ES71"/>
      <c r="ET71"/>
      <c r="EU71"/>
      <c r="EV71"/>
      <c r="EW71"/>
      <c r="EX71"/>
      <c r="EY71"/>
      <c r="EZ71"/>
      <c r="FA71"/>
      <c r="FB71"/>
      <c r="FC71"/>
      <c r="FD71"/>
      <c r="FE71"/>
      <c r="FF71"/>
      <c r="FG71"/>
      <c r="FH71"/>
      <c r="FI71"/>
      <c r="FJ71"/>
      <c r="FK71"/>
      <c r="FL71"/>
      <c r="FM71"/>
      <c r="FN71"/>
      <c r="FO71"/>
      <c r="FP71"/>
      <c r="FQ71"/>
      <c r="FR71"/>
      <c r="FS71"/>
      <c r="FT71"/>
      <c r="FU71"/>
      <c r="FV71"/>
      <c r="FW71"/>
      <c r="FX71"/>
      <c r="FY71"/>
      <c r="FZ71"/>
      <c r="GA71"/>
      <c r="GB71"/>
      <c r="GC71"/>
      <c r="GD71"/>
      <c r="GE71"/>
      <c r="GF71"/>
      <c r="GG71"/>
      <c r="GH71"/>
      <c r="GI71"/>
      <c r="GJ71"/>
      <c r="GK71"/>
      <c r="GL71"/>
      <c r="GM71"/>
      <c r="GN71"/>
      <c r="GO71"/>
      <c r="GP71"/>
      <c r="GQ71"/>
      <c r="GR71"/>
      <c r="GS71"/>
      <c r="GT71"/>
      <c r="GU71"/>
      <c r="GV71"/>
      <c r="GW71"/>
      <c r="GX71"/>
      <c r="GY71"/>
      <c r="GZ71"/>
      <c r="HA71"/>
      <c r="HB71"/>
      <c r="HC71"/>
      <c r="HD71"/>
      <c r="HE71"/>
      <c r="HF71"/>
      <c r="HG71"/>
      <c r="HH71"/>
      <c r="HI71"/>
      <c r="HJ71"/>
      <c r="HK71"/>
      <c r="HL71"/>
      <c r="HM71"/>
      <c r="HN71"/>
      <c r="HO71"/>
      <c r="HP71"/>
      <c r="HQ71"/>
      <c r="HR71"/>
      <c r="HS71"/>
      <c r="HT71"/>
      <c r="HU71"/>
      <c r="HV71"/>
      <c r="HW71"/>
      <c r="HX71"/>
      <c r="HY71"/>
      <c r="HZ71"/>
      <c r="IA71"/>
      <c r="IB71"/>
      <c r="IC71"/>
      <c r="ID71"/>
      <c r="IE71"/>
      <c r="IF71"/>
      <c r="IG71"/>
      <c r="IH71"/>
      <c r="II71"/>
      <c r="IJ71"/>
      <c r="IK71"/>
      <c r="IL71"/>
      <c r="IM71"/>
      <c r="IN71"/>
      <c r="IO71"/>
      <c r="IP71"/>
      <c r="IQ71"/>
      <c r="IR71"/>
      <c r="IS71"/>
      <c r="IT71"/>
      <c r="IU71"/>
      <c r="IV71"/>
    </row>
    <row r="72" spans="1:256">
      <c r="A72" s="26" t="s">
        <v>59</v>
      </c>
      <c r="B72" s="32" t="s">
        <v>60</v>
      </c>
      <c r="C72" s="32" t="s">
        <v>60</v>
      </c>
      <c r="D72" s="32" t="s">
        <v>60</v>
      </c>
      <c r="E72" s="60" t="s">
        <v>60</v>
      </c>
      <c r="F72" s="60" t="s">
        <v>60</v>
      </c>
      <c r="G72" s="51" t="s">
        <v>62</v>
      </c>
      <c r="H72" s="51" t="s">
        <v>62</v>
      </c>
      <c r="I72" s="91" t="s">
        <v>212</v>
      </c>
      <c r="J72" s="51" t="s">
        <v>213</v>
      </c>
      <c r="K72" s="40"/>
      <c r="L72" s="40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  <c r="AB72"/>
      <c r="AC72"/>
      <c r="AD72"/>
      <c r="AE72"/>
      <c r="AF72"/>
      <c r="AG72"/>
      <c r="AH72"/>
      <c r="AI72"/>
      <c r="AJ72"/>
      <c r="AK72"/>
      <c r="AL72"/>
      <c r="AM72"/>
      <c r="AN72"/>
      <c r="AO72"/>
      <c r="AP72"/>
      <c r="AQ72"/>
      <c r="AR72"/>
      <c r="AS72"/>
      <c r="AT72"/>
      <c r="AU72"/>
      <c r="AV72"/>
      <c r="AW72"/>
      <c r="AX72"/>
      <c r="AY72"/>
      <c r="AZ72"/>
      <c r="BA72"/>
      <c r="BB72"/>
      <c r="BC72"/>
      <c r="BD72"/>
      <c r="BE72"/>
      <c r="BF72"/>
      <c r="BG72"/>
      <c r="BH72"/>
      <c r="BI72"/>
      <c r="BJ72"/>
      <c r="BK72"/>
      <c r="BL72"/>
      <c r="BM72"/>
      <c r="BN72"/>
      <c r="BO72"/>
      <c r="BP72"/>
      <c r="BQ72"/>
      <c r="BR72"/>
      <c r="BS72"/>
      <c r="BT72"/>
      <c r="BU72"/>
      <c r="BV72"/>
      <c r="BW72"/>
      <c r="BX72"/>
      <c r="BY72"/>
      <c r="BZ72"/>
      <c r="CA72"/>
      <c r="CB72"/>
      <c r="CC72"/>
      <c r="CD72"/>
      <c r="CE72"/>
      <c r="CF72"/>
      <c r="CG72"/>
      <c r="CH72"/>
      <c r="CI72"/>
      <c r="CJ72"/>
      <c r="CK72"/>
      <c r="CL72"/>
      <c r="CM72"/>
      <c r="CN72"/>
      <c r="CO72"/>
      <c r="CP72"/>
      <c r="CQ72"/>
      <c r="CR72"/>
      <c r="CS72"/>
      <c r="CT72"/>
      <c r="CU72"/>
      <c r="CV72"/>
      <c r="CW72"/>
      <c r="CX72"/>
      <c r="CY72"/>
      <c r="CZ72"/>
      <c r="DA72"/>
      <c r="DB72"/>
      <c r="DC72"/>
      <c r="DD72"/>
      <c r="DE72"/>
      <c r="DF72"/>
      <c r="DG72"/>
      <c r="DH72"/>
      <c r="DI72"/>
      <c r="DJ72"/>
      <c r="DK72"/>
      <c r="DL72"/>
      <c r="DM72"/>
      <c r="DN72"/>
      <c r="DO72"/>
      <c r="DP72"/>
      <c r="DQ72"/>
      <c r="DR72"/>
      <c r="DS72"/>
      <c r="DT72"/>
      <c r="DU72"/>
      <c r="DV72"/>
      <c r="DW72"/>
      <c r="DX72"/>
      <c r="DY72"/>
      <c r="DZ72"/>
      <c r="EA72"/>
      <c r="EB72"/>
      <c r="EC72"/>
      <c r="ED72"/>
      <c r="EE72"/>
      <c r="EF72"/>
      <c r="EG72"/>
      <c r="EH72"/>
      <c r="EI72"/>
      <c r="EJ72"/>
      <c r="EK72"/>
      <c r="EL72"/>
      <c r="EM72"/>
      <c r="EN72"/>
      <c r="EO72"/>
      <c r="EP72"/>
      <c r="EQ72"/>
      <c r="ER72"/>
      <c r="ES72"/>
      <c r="ET72"/>
      <c r="EU72"/>
      <c r="EV72"/>
      <c r="EW72"/>
      <c r="EX72"/>
      <c r="EY72"/>
      <c r="EZ72"/>
      <c r="FA72"/>
      <c r="FB72"/>
      <c r="FC72"/>
      <c r="FD72"/>
      <c r="FE72"/>
      <c r="FF72"/>
      <c r="FG72"/>
      <c r="FH72"/>
      <c r="FI72"/>
      <c r="FJ72"/>
      <c r="FK72"/>
      <c r="FL72"/>
      <c r="FM72"/>
      <c r="FN72"/>
      <c r="FO72"/>
      <c r="FP72"/>
      <c r="FQ72"/>
      <c r="FR72"/>
      <c r="FS72"/>
      <c r="FT72"/>
      <c r="FU72"/>
      <c r="FV72"/>
      <c r="FW72"/>
      <c r="FX72"/>
      <c r="FY72"/>
      <c r="FZ72"/>
      <c r="GA72"/>
      <c r="GB72"/>
      <c r="GC72"/>
      <c r="GD72"/>
      <c r="GE72"/>
      <c r="GF72"/>
      <c r="GG72"/>
      <c r="GH72"/>
      <c r="GI72"/>
      <c r="GJ72"/>
      <c r="GK72"/>
      <c r="GL72"/>
      <c r="GM72"/>
      <c r="GN72"/>
      <c r="GO72"/>
      <c r="GP72"/>
      <c r="GQ72"/>
      <c r="GR72"/>
      <c r="GS72"/>
      <c r="GT72"/>
      <c r="GU72"/>
      <c r="GV72"/>
      <c r="GW72"/>
      <c r="GX72"/>
      <c r="GY72"/>
      <c r="GZ72"/>
      <c r="HA72"/>
      <c r="HB72"/>
      <c r="HC72"/>
      <c r="HD72"/>
      <c r="HE72"/>
      <c r="HF72"/>
      <c r="HG72"/>
      <c r="HH72"/>
      <c r="HI72"/>
      <c r="HJ72"/>
      <c r="HK72"/>
      <c r="HL72"/>
      <c r="HM72"/>
      <c r="HN72"/>
      <c r="HO72"/>
      <c r="HP72"/>
      <c r="HQ72"/>
      <c r="HR72"/>
      <c r="HS72"/>
      <c r="HT72"/>
      <c r="HU72"/>
      <c r="HV72"/>
      <c r="HW72"/>
      <c r="HX72"/>
      <c r="HY72"/>
      <c r="HZ72"/>
      <c r="IA72"/>
      <c r="IB72"/>
      <c r="IC72"/>
      <c r="ID72"/>
      <c r="IE72"/>
      <c r="IF72"/>
      <c r="IG72"/>
      <c r="IH72"/>
      <c r="II72"/>
      <c r="IJ72"/>
      <c r="IK72"/>
      <c r="IL72"/>
      <c r="IM72"/>
      <c r="IN72"/>
      <c r="IO72"/>
      <c r="IP72"/>
      <c r="IQ72"/>
      <c r="IR72"/>
      <c r="IS72"/>
      <c r="IT72"/>
      <c r="IU72"/>
      <c r="IV72"/>
    </row>
    <row r="73" spans="1:256">
      <c r="A73" s="63"/>
      <c r="B73" s="37"/>
      <c r="C73" s="37"/>
      <c r="D73" s="37"/>
      <c r="E73" s="8"/>
      <c r="F73" s="40"/>
      <c r="G73" s="40"/>
      <c r="H73" s="40"/>
      <c r="I73" s="40"/>
      <c r="J73" s="40"/>
      <c r="K73" s="40"/>
      <c r="L73" s="40"/>
      <c r="M73"/>
      <c r="N73"/>
      <c r="O73"/>
      <c r="P73"/>
      <c r="Q73"/>
      <c r="R73"/>
      <c r="S73"/>
      <c r="T73"/>
      <c r="U73"/>
      <c r="V73"/>
      <c r="W73"/>
      <c r="X73"/>
      <c r="Y73"/>
      <c r="Z73"/>
      <c r="AA73"/>
      <c r="AB73"/>
      <c r="AC73"/>
      <c r="AD73"/>
      <c r="AE73"/>
      <c r="AF73"/>
      <c r="AG73"/>
      <c r="AH73"/>
      <c r="AI73"/>
      <c r="AJ73"/>
      <c r="AK73"/>
      <c r="AL73"/>
      <c r="AM73"/>
      <c r="AN73"/>
      <c r="AO73"/>
      <c r="AP73"/>
      <c r="AQ73"/>
      <c r="AR73"/>
      <c r="AS73"/>
      <c r="AT73"/>
      <c r="AU73"/>
      <c r="AV73"/>
      <c r="AW73"/>
      <c r="AX73"/>
      <c r="AY73"/>
      <c r="AZ73"/>
      <c r="BA73"/>
      <c r="BB73"/>
      <c r="BC73"/>
      <c r="BD73"/>
      <c r="BE73"/>
      <c r="BF73"/>
      <c r="BG73"/>
      <c r="BH73"/>
      <c r="BI73"/>
      <c r="BJ73"/>
      <c r="BK73"/>
      <c r="BL73"/>
      <c r="BM73"/>
      <c r="BN73"/>
      <c r="BO73"/>
      <c r="BP73"/>
      <c r="BQ73"/>
      <c r="BR73"/>
      <c r="BS73"/>
      <c r="BT73"/>
      <c r="BU73"/>
      <c r="BV73"/>
      <c r="BW73"/>
      <c r="BX73"/>
      <c r="BY73"/>
      <c r="BZ73"/>
      <c r="CA73"/>
      <c r="CB73"/>
      <c r="CC73"/>
      <c r="CD73"/>
      <c r="CE73"/>
      <c r="CF73"/>
      <c r="CG73"/>
      <c r="CH73"/>
      <c r="CI73"/>
      <c r="CJ73"/>
      <c r="CK73"/>
      <c r="CL73"/>
      <c r="CM73"/>
      <c r="CN73"/>
      <c r="CO73"/>
      <c r="CP73"/>
      <c r="CQ73"/>
      <c r="CR73"/>
      <c r="CS73"/>
      <c r="CT73"/>
      <c r="CU73"/>
      <c r="CV73"/>
      <c r="CW73"/>
      <c r="CX73"/>
      <c r="CY73"/>
      <c r="CZ73"/>
      <c r="DA73"/>
      <c r="DB73"/>
      <c r="DC73"/>
      <c r="DD73"/>
      <c r="DE73"/>
      <c r="DF73"/>
      <c r="DG73"/>
      <c r="DH73"/>
      <c r="DI73"/>
      <c r="DJ73"/>
      <c r="DK73"/>
      <c r="DL73"/>
      <c r="DM73"/>
      <c r="DN73"/>
      <c r="DO73"/>
      <c r="DP73"/>
      <c r="DQ73"/>
      <c r="DR73"/>
      <c r="DS73"/>
      <c r="DT73"/>
      <c r="DU73"/>
      <c r="DV73"/>
      <c r="DW73"/>
      <c r="DX73"/>
      <c r="DY73"/>
      <c r="DZ73"/>
      <c r="EA73"/>
      <c r="EB73"/>
      <c r="EC73"/>
      <c r="ED73"/>
      <c r="EE73"/>
      <c r="EF73"/>
      <c r="EG73"/>
      <c r="EH73"/>
      <c r="EI73"/>
      <c r="EJ73"/>
      <c r="EK73"/>
      <c r="EL73"/>
      <c r="EM73"/>
      <c r="EN73"/>
      <c r="EO73"/>
      <c r="EP73"/>
      <c r="EQ73"/>
      <c r="ER73"/>
      <c r="ES73"/>
      <c r="ET73"/>
      <c r="EU73"/>
      <c r="EV73"/>
      <c r="EW73"/>
      <c r="EX73"/>
      <c r="EY73"/>
      <c r="EZ73"/>
      <c r="FA73"/>
      <c r="FB73"/>
      <c r="FC73"/>
      <c r="FD73"/>
      <c r="FE73"/>
      <c r="FF73"/>
      <c r="FG73"/>
      <c r="FH73"/>
      <c r="FI73"/>
      <c r="FJ73"/>
      <c r="FK73"/>
      <c r="FL73"/>
      <c r="FM73"/>
      <c r="FN73"/>
      <c r="FO73"/>
      <c r="FP73"/>
      <c r="FQ73"/>
      <c r="FR73"/>
      <c r="FS73"/>
      <c r="FT73"/>
      <c r="FU73"/>
      <c r="FV73"/>
      <c r="FW73"/>
      <c r="FX73"/>
      <c r="FY73"/>
      <c r="FZ73"/>
      <c r="GA73"/>
      <c r="GB73"/>
      <c r="GC73"/>
      <c r="GD73"/>
      <c r="GE73"/>
      <c r="GF73"/>
      <c r="GG73"/>
      <c r="GH73"/>
      <c r="GI73"/>
      <c r="GJ73"/>
      <c r="GK73"/>
      <c r="GL73"/>
      <c r="GM73"/>
      <c r="GN73"/>
      <c r="GO73"/>
      <c r="GP73"/>
      <c r="GQ73"/>
      <c r="GR73"/>
      <c r="GS73"/>
      <c r="GT73"/>
      <c r="GU73"/>
      <c r="GV73"/>
      <c r="GW73"/>
      <c r="GX73"/>
      <c r="GY73"/>
      <c r="GZ73"/>
      <c r="HA73"/>
      <c r="HB73"/>
      <c r="HC73"/>
      <c r="HD73"/>
      <c r="HE73"/>
      <c r="HF73"/>
      <c r="HG73"/>
      <c r="HH73"/>
      <c r="HI73"/>
      <c r="HJ73"/>
      <c r="HK73"/>
      <c r="HL73"/>
      <c r="HM73"/>
      <c r="HN73"/>
      <c r="HO73"/>
      <c r="HP73"/>
      <c r="HQ73"/>
      <c r="HR73"/>
      <c r="HS73"/>
      <c r="HT73"/>
      <c r="HU73"/>
      <c r="HV73"/>
      <c r="HW73"/>
      <c r="HX73"/>
      <c r="HY73"/>
      <c r="HZ73"/>
      <c r="IA73"/>
      <c r="IB73"/>
      <c r="IC73"/>
      <c r="ID73"/>
      <c r="IE73"/>
      <c r="IF73"/>
      <c r="IG73"/>
      <c r="IH73"/>
      <c r="II73"/>
      <c r="IJ73"/>
      <c r="IK73"/>
      <c r="IL73"/>
      <c r="IM73"/>
      <c r="IN73"/>
      <c r="IO73"/>
      <c r="IP73"/>
      <c r="IQ73"/>
      <c r="IR73"/>
      <c r="IS73"/>
      <c r="IT73"/>
      <c r="IU73"/>
      <c r="IV73"/>
    </row>
    <row r="74" spans="1:256">
      <c r="A74" s="36"/>
      <c r="B74" s="43"/>
      <c r="C74" s="40"/>
      <c r="D74" s="54"/>
      <c r="E74" s="40"/>
      <c r="F74" s="40"/>
      <c r="G74"/>
      <c r="H74"/>
      <c r="I74"/>
      <c r="J74"/>
      <c r="K74"/>
      <c r="L74"/>
      <c r="M74"/>
      <c r="N74"/>
      <c r="O74"/>
      <c r="P74"/>
      <c r="Q74"/>
      <c r="R74"/>
      <c r="S74"/>
      <c r="T74"/>
      <c r="U74"/>
      <c r="V74"/>
      <c r="W74"/>
      <c r="X74"/>
      <c r="Y74"/>
      <c r="Z74"/>
      <c r="AA74"/>
      <c r="AB74"/>
      <c r="AC74"/>
      <c r="AD74"/>
      <c r="AE74"/>
      <c r="AF74"/>
      <c r="AG74"/>
      <c r="AH74"/>
      <c r="AI74"/>
      <c r="AJ74"/>
      <c r="AK74"/>
      <c r="AL74"/>
      <c r="AM74"/>
      <c r="AN74"/>
      <c r="AO74"/>
      <c r="AP74"/>
      <c r="AQ74"/>
      <c r="AR74"/>
      <c r="AS74"/>
      <c r="AT74"/>
      <c r="AU74"/>
      <c r="AV74"/>
      <c r="AW74"/>
      <c r="AX74"/>
      <c r="AY74"/>
      <c r="AZ74"/>
      <c r="BA74"/>
      <c r="BB74"/>
      <c r="BC74"/>
      <c r="BD74"/>
      <c r="BE74"/>
      <c r="BF74"/>
      <c r="BG74"/>
      <c r="BH74"/>
      <c r="BI74"/>
      <c r="BJ74"/>
      <c r="BK74"/>
      <c r="BL74"/>
      <c r="BM74"/>
      <c r="BN74"/>
      <c r="BO74"/>
      <c r="BP74"/>
      <c r="BQ74"/>
      <c r="BR74"/>
      <c r="BS74"/>
      <c r="BT74"/>
      <c r="BU74"/>
      <c r="BV74"/>
      <c r="BW74"/>
      <c r="BX74"/>
      <c r="BY74"/>
      <c r="BZ74"/>
      <c r="CA74"/>
      <c r="CB74"/>
      <c r="CC74"/>
      <c r="CD74"/>
      <c r="CE74"/>
      <c r="CF74"/>
      <c r="CG74"/>
      <c r="CH74"/>
      <c r="CI74"/>
      <c r="CJ74"/>
      <c r="CK74"/>
      <c r="CL74"/>
      <c r="CM74"/>
      <c r="CN74"/>
      <c r="CO74"/>
      <c r="CP74"/>
      <c r="CQ74"/>
      <c r="CR74"/>
      <c r="CS74"/>
      <c r="CT74"/>
      <c r="CU74"/>
      <c r="CV74"/>
      <c r="CW74"/>
      <c r="CX74"/>
      <c r="CY74"/>
      <c r="CZ74"/>
      <c r="DA74"/>
      <c r="DB74"/>
      <c r="DC74"/>
      <c r="DD74"/>
      <c r="DE74"/>
      <c r="DF74"/>
      <c r="DG74"/>
      <c r="DH74"/>
      <c r="DI74"/>
      <c r="DJ74"/>
      <c r="DK74"/>
      <c r="DL74"/>
      <c r="DM74"/>
      <c r="DN74"/>
      <c r="DO74"/>
      <c r="DP74"/>
      <c r="DQ74"/>
      <c r="DR74"/>
      <c r="DS74"/>
      <c r="DT74"/>
      <c r="DU74"/>
      <c r="DV74"/>
      <c r="DW74"/>
      <c r="DX74"/>
      <c r="DY74"/>
      <c r="DZ74"/>
      <c r="EA74"/>
      <c r="EB74"/>
      <c r="EC74"/>
      <c r="ED74"/>
      <c r="EE74"/>
      <c r="EF74"/>
      <c r="EG74"/>
      <c r="EH74"/>
      <c r="EI74"/>
      <c r="EJ74"/>
      <c r="EK74"/>
      <c r="EL74"/>
      <c r="EM74"/>
      <c r="EN74"/>
      <c r="EO74"/>
      <c r="EP74"/>
      <c r="EQ74"/>
      <c r="ER74"/>
      <c r="ES74"/>
      <c r="ET74"/>
      <c r="EU74"/>
      <c r="EV74"/>
      <c r="EW74"/>
      <c r="EX74"/>
      <c r="EY74"/>
      <c r="EZ74"/>
      <c r="FA74"/>
      <c r="FB74"/>
      <c r="FC74"/>
      <c r="FD74"/>
      <c r="FE74"/>
      <c r="FF74"/>
      <c r="FG74"/>
      <c r="FH74"/>
      <c r="FI74"/>
      <c r="FJ74"/>
      <c r="FK74"/>
      <c r="FL74"/>
      <c r="FM74"/>
      <c r="FN74"/>
      <c r="FO74"/>
      <c r="FP74"/>
      <c r="FQ74"/>
      <c r="FR74"/>
      <c r="FS74"/>
      <c r="FT74"/>
      <c r="FU74"/>
      <c r="FV74"/>
      <c r="FW74"/>
      <c r="FX74"/>
      <c r="FY74"/>
      <c r="FZ74"/>
      <c r="GA74"/>
      <c r="GB74"/>
      <c r="GC74"/>
      <c r="GD74"/>
      <c r="GE74"/>
      <c r="GF74"/>
      <c r="GG74"/>
      <c r="GH74"/>
      <c r="GI74"/>
      <c r="GJ74"/>
      <c r="GK74"/>
      <c r="GL74"/>
      <c r="GM74"/>
      <c r="GN74"/>
      <c r="GO74"/>
      <c r="GP74"/>
      <c r="GQ74"/>
      <c r="GR74"/>
      <c r="GS74"/>
      <c r="GT74"/>
      <c r="GU74"/>
      <c r="GV74"/>
      <c r="GW74"/>
      <c r="GX74"/>
      <c r="GY74"/>
      <c r="GZ74"/>
      <c r="HA74"/>
      <c r="HB74"/>
      <c r="HC74"/>
      <c r="HD74"/>
      <c r="HE74"/>
      <c r="HF74"/>
      <c r="HG74"/>
      <c r="HH74"/>
      <c r="HI74"/>
      <c r="HJ74"/>
      <c r="HK74"/>
      <c r="HL74"/>
      <c r="HM74"/>
      <c r="HN74"/>
      <c r="HO74"/>
      <c r="HP74"/>
      <c r="HQ74"/>
      <c r="HR74"/>
      <c r="HS74"/>
      <c r="HT74"/>
      <c r="HU74"/>
      <c r="HV74"/>
      <c r="HW74"/>
      <c r="HX74"/>
      <c r="HY74"/>
      <c r="HZ74"/>
      <c r="IA74"/>
      <c r="IB74"/>
      <c r="IC74"/>
      <c r="ID74"/>
      <c r="IE74"/>
      <c r="IF74"/>
      <c r="IG74"/>
      <c r="IH74"/>
      <c r="II74"/>
      <c r="IJ74"/>
      <c r="IK74"/>
      <c r="IL74"/>
      <c r="IM74"/>
      <c r="IN74"/>
      <c r="IO74"/>
      <c r="IP74"/>
      <c r="IQ74"/>
      <c r="IR74"/>
      <c r="IS74"/>
      <c r="IT74"/>
      <c r="IU74"/>
      <c r="IV74"/>
    </row>
    <row r="75" spans="1:256">
      <c r="A75" s="92" t="s">
        <v>214</v>
      </c>
      <c r="B75"/>
      <c r="C75"/>
      <c r="D75"/>
      <c r="E75"/>
      <c r="F75"/>
      <c r="G75"/>
      <c r="H75"/>
      <c r="I75"/>
      <c r="J75"/>
      <c r="K75"/>
      <c r="L75"/>
      <c r="M75"/>
      <c r="N75"/>
      <c r="O75"/>
      <c r="P75"/>
      <c r="Q75"/>
      <c r="R75"/>
      <c r="S75"/>
      <c r="T75"/>
      <c r="U75"/>
      <c r="V75"/>
      <c r="W75"/>
      <c r="X75"/>
      <c r="Y75"/>
      <c r="Z75"/>
      <c r="AA75"/>
      <c r="AB75"/>
      <c r="AC75"/>
      <c r="AD75"/>
      <c r="AE75"/>
      <c r="AF75"/>
      <c r="AG75"/>
      <c r="AH75"/>
      <c r="AI75"/>
      <c r="AJ75"/>
      <c r="AK75"/>
      <c r="AL75"/>
      <c r="AM75"/>
      <c r="AN75"/>
      <c r="AO75"/>
      <c r="AP75"/>
      <c r="AQ75"/>
      <c r="AR75"/>
      <c r="AS75"/>
      <c r="AT75"/>
      <c r="AU75"/>
      <c r="AV75"/>
      <c r="AW75"/>
      <c r="AX75"/>
      <c r="AY75"/>
      <c r="AZ75"/>
      <c r="BA75"/>
      <c r="BB75"/>
      <c r="BC75"/>
      <c r="BD75"/>
      <c r="BE75"/>
      <c r="BF75"/>
      <c r="BG75"/>
      <c r="BH75"/>
      <c r="BI75"/>
      <c r="BJ75"/>
      <c r="BK75"/>
      <c r="BL75"/>
      <c r="BM75"/>
      <c r="BN75"/>
      <c r="BO75"/>
      <c r="BP75"/>
      <c r="BQ75"/>
      <c r="BR75"/>
      <c r="BS75"/>
      <c r="BT75"/>
      <c r="BU75"/>
      <c r="BV75"/>
      <c r="BW75"/>
      <c r="BX75"/>
      <c r="BY75"/>
      <c r="BZ75"/>
      <c r="CA75"/>
      <c r="CB75"/>
      <c r="CC75"/>
      <c r="CD75"/>
      <c r="CE75"/>
      <c r="CF75"/>
      <c r="CG75"/>
      <c r="CH75"/>
      <c r="CI75"/>
      <c r="CJ75"/>
      <c r="CK75"/>
      <c r="CL75"/>
      <c r="CM75"/>
      <c r="CN75"/>
      <c r="CO75"/>
      <c r="CP75"/>
      <c r="CQ75"/>
      <c r="CR75"/>
      <c r="CS75"/>
      <c r="CT75"/>
      <c r="CU75"/>
      <c r="CV75"/>
      <c r="CW75"/>
      <c r="CX75"/>
      <c r="CY75"/>
      <c r="CZ75"/>
      <c r="DA75"/>
      <c r="DB75"/>
      <c r="DC75"/>
      <c r="DD75"/>
      <c r="DE75"/>
      <c r="DF75"/>
      <c r="DG75"/>
      <c r="DH75"/>
      <c r="DI75"/>
      <c r="DJ75"/>
      <c r="DK75"/>
      <c r="DL75"/>
      <c r="DM75"/>
      <c r="DN75"/>
      <c r="DO75"/>
      <c r="DP75"/>
      <c r="DQ75"/>
      <c r="DR75"/>
      <c r="DS75"/>
      <c r="DT75"/>
      <c r="DU75"/>
      <c r="DV75"/>
      <c r="DW75"/>
      <c r="DX75"/>
      <c r="DY75"/>
      <c r="DZ75"/>
      <c r="EA75"/>
      <c r="EB75"/>
      <c r="EC75"/>
      <c r="ED75"/>
      <c r="EE75"/>
      <c r="EF75"/>
      <c r="EG75"/>
      <c r="EH75"/>
      <c r="EI75"/>
      <c r="EJ75"/>
      <c r="EK75"/>
      <c r="EL75"/>
      <c r="EM75"/>
      <c r="EN75"/>
      <c r="EO75"/>
      <c r="EP75"/>
      <c r="EQ75"/>
      <c r="ER75"/>
      <c r="ES75"/>
      <c r="ET75"/>
      <c r="EU75"/>
      <c r="EV75"/>
      <c r="EW75"/>
      <c r="EX75"/>
      <c r="EY75"/>
      <c r="EZ75"/>
      <c r="FA75"/>
      <c r="FB75"/>
      <c r="FC75"/>
      <c r="FD75"/>
      <c r="FE75"/>
      <c r="FF75"/>
      <c r="FG75"/>
      <c r="FH75"/>
      <c r="FI75"/>
      <c r="FJ75"/>
      <c r="FK75"/>
      <c r="FL75"/>
      <c r="FM75"/>
      <c r="FN75"/>
      <c r="FO75"/>
      <c r="FP75"/>
      <c r="FQ75"/>
      <c r="FR75"/>
      <c r="FS75"/>
      <c r="FT75"/>
      <c r="FU75"/>
      <c r="FV75"/>
      <c r="FW75"/>
      <c r="FX75"/>
      <c r="FY75"/>
      <c r="FZ75"/>
      <c r="GA75"/>
      <c r="GB75"/>
      <c r="GC75"/>
      <c r="GD75"/>
      <c r="GE75"/>
      <c r="GF75"/>
      <c r="GG75"/>
      <c r="GH75"/>
      <c r="GI75"/>
      <c r="GJ75"/>
      <c r="GK75"/>
      <c r="GL75"/>
      <c r="GM75"/>
      <c r="GN75"/>
      <c r="GO75"/>
      <c r="GP75"/>
      <c r="GQ75"/>
      <c r="GR75"/>
      <c r="GS75"/>
      <c r="GT75"/>
      <c r="GU75"/>
      <c r="GV75"/>
      <c r="GW75"/>
      <c r="GX75"/>
      <c r="GY75"/>
      <c r="GZ75"/>
      <c r="HA75"/>
      <c r="HB75"/>
      <c r="HC75"/>
      <c r="HD75"/>
      <c r="HE75"/>
      <c r="HF75"/>
      <c r="HG75"/>
      <c r="HH75"/>
      <c r="HI75"/>
      <c r="HJ75"/>
      <c r="HK75"/>
      <c r="HL75"/>
      <c r="HM75"/>
      <c r="HN75"/>
      <c r="HO75"/>
      <c r="HP75"/>
      <c r="HQ75"/>
      <c r="HR75"/>
      <c r="HS75"/>
      <c r="HT75"/>
      <c r="HU75"/>
      <c r="HV75"/>
      <c r="HW75"/>
      <c r="HX75"/>
      <c r="HY75"/>
      <c r="HZ75"/>
      <c r="IA75"/>
      <c r="IB75"/>
      <c r="IC75"/>
      <c r="ID75"/>
      <c r="IE75"/>
      <c r="IF75"/>
      <c r="IG75"/>
      <c r="IH75"/>
      <c r="II75"/>
      <c r="IJ75"/>
      <c r="IK75"/>
      <c r="IL75"/>
      <c r="IM75"/>
      <c r="IN75"/>
      <c r="IO75"/>
      <c r="IP75"/>
      <c r="IQ75"/>
      <c r="IR75"/>
      <c r="IS75"/>
      <c r="IT75"/>
      <c r="IU75"/>
      <c r="IV75"/>
    </row>
    <row r="76" spans="1:256" s="96" customFormat="1">
      <c r="A76" s="93"/>
      <c r="B76" s="94" t="s">
        <v>215</v>
      </c>
      <c r="C76" s="95" t="s">
        <v>216</v>
      </c>
      <c r="D76" s="94" t="s">
        <v>217</v>
      </c>
      <c r="E76" s="95" t="s">
        <v>218</v>
      </c>
      <c r="F76" s="95" t="s">
        <v>219</v>
      </c>
      <c r="G76" s="95" t="s">
        <v>29</v>
      </c>
    </row>
    <row r="77" spans="1:256" s="100" customFormat="1" ht="25.5">
      <c r="A77" s="97" t="s">
        <v>29</v>
      </c>
      <c r="B77" s="98" t="s">
        <v>220</v>
      </c>
      <c r="C77" s="98" t="s">
        <v>221</v>
      </c>
      <c r="D77" s="98" t="s">
        <v>222</v>
      </c>
      <c r="E77" s="98" t="s">
        <v>223</v>
      </c>
      <c r="F77" s="99" t="s">
        <v>224</v>
      </c>
      <c r="G77" s="98" t="s">
        <v>225</v>
      </c>
    </row>
    <row r="78" spans="1:256" s="96" customFormat="1" ht="38.25">
      <c r="A78" s="101" t="s">
        <v>46</v>
      </c>
      <c r="B78" s="102" t="s">
        <v>226</v>
      </c>
      <c r="C78" s="103" t="s">
        <v>227</v>
      </c>
      <c r="D78" s="98" t="s">
        <v>228</v>
      </c>
      <c r="E78" s="53">
        <v>39</v>
      </c>
      <c r="F78" s="104">
        <v>40568</v>
      </c>
      <c r="G78" s="53"/>
    </row>
    <row r="79" spans="1:256" ht="38.25">
      <c r="A79" s="105" t="s">
        <v>59</v>
      </c>
      <c r="B79" s="98" t="s">
        <v>60</v>
      </c>
      <c r="C79" s="98" t="s">
        <v>60</v>
      </c>
      <c r="D79" s="98" t="s">
        <v>229</v>
      </c>
      <c r="E79" s="53" t="s">
        <v>62</v>
      </c>
      <c r="F79" s="53" t="s">
        <v>230</v>
      </c>
      <c r="G79" s="98" t="s">
        <v>60</v>
      </c>
      <c r="H79"/>
      <c r="I79"/>
      <c r="J79"/>
      <c r="K79"/>
      <c r="L79"/>
      <c r="M79"/>
      <c r="N79"/>
      <c r="O79"/>
      <c r="P79"/>
      <c r="Q79"/>
      <c r="R79"/>
      <c r="S79"/>
      <c r="T79"/>
      <c r="U79"/>
      <c r="V79"/>
      <c r="W79"/>
      <c r="X79"/>
      <c r="Y79"/>
      <c r="Z79"/>
      <c r="AA79"/>
      <c r="AB79"/>
      <c r="AC79"/>
      <c r="AD79"/>
      <c r="AE79"/>
      <c r="AF79"/>
      <c r="AG79"/>
      <c r="AH79"/>
      <c r="AI79"/>
      <c r="AJ79"/>
      <c r="AK79"/>
      <c r="AL79"/>
      <c r="AM79"/>
      <c r="AN79"/>
      <c r="AO79"/>
      <c r="AP79"/>
      <c r="AQ79"/>
      <c r="AR79"/>
      <c r="AS79"/>
      <c r="AT79"/>
      <c r="AU79"/>
      <c r="AV79"/>
      <c r="AW79"/>
      <c r="AX79"/>
      <c r="AY79"/>
      <c r="AZ79"/>
      <c r="BA79"/>
      <c r="BB79"/>
      <c r="BC79"/>
      <c r="BD79"/>
      <c r="BE79"/>
      <c r="BF79"/>
      <c r="BG79"/>
      <c r="BH79"/>
      <c r="BI79"/>
      <c r="BJ79"/>
      <c r="BK79"/>
      <c r="BL79"/>
      <c r="BM79"/>
      <c r="BN79"/>
      <c r="BO79"/>
      <c r="BP79"/>
      <c r="BQ79"/>
      <c r="BR79"/>
      <c r="BS79"/>
      <c r="BT79"/>
      <c r="BU79"/>
      <c r="BV79"/>
      <c r="BW79"/>
      <c r="BX79"/>
      <c r="BY79"/>
      <c r="BZ79"/>
      <c r="CA79"/>
      <c r="CB79"/>
      <c r="CC79"/>
      <c r="CD79"/>
      <c r="CE79"/>
      <c r="CF79"/>
      <c r="CG79"/>
      <c r="CH79"/>
      <c r="CI79"/>
      <c r="CJ79"/>
      <c r="CK79"/>
      <c r="CL79"/>
      <c r="CM79"/>
      <c r="CN79"/>
      <c r="CO79"/>
      <c r="CP79"/>
      <c r="CQ79"/>
      <c r="CR79"/>
      <c r="CS79"/>
      <c r="CT79"/>
      <c r="CU79"/>
      <c r="CV79"/>
      <c r="CW79"/>
      <c r="CX79"/>
      <c r="CY79"/>
      <c r="CZ79"/>
      <c r="DA79"/>
      <c r="DB79"/>
      <c r="DC79"/>
      <c r="DD79"/>
      <c r="DE79"/>
      <c r="DF79"/>
      <c r="DG79"/>
      <c r="DH79"/>
      <c r="DI79"/>
      <c r="DJ79"/>
      <c r="DK79"/>
      <c r="DL79"/>
      <c r="DM79"/>
      <c r="DN79"/>
      <c r="DO79"/>
      <c r="DP79"/>
      <c r="DQ79"/>
      <c r="DR79"/>
      <c r="DS79"/>
      <c r="DT79"/>
      <c r="DU79"/>
      <c r="DV79"/>
      <c r="DW79"/>
      <c r="DX79"/>
      <c r="DY79"/>
      <c r="DZ79"/>
      <c r="EA79"/>
      <c r="EB79"/>
      <c r="EC79"/>
      <c r="ED79"/>
      <c r="EE79"/>
      <c r="EF79"/>
      <c r="EG79"/>
      <c r="EH79"/>
      <c r="EI79"/>
      <c r="EJ79"/>
      <c r="EK79"/>
      <c r="EL79"/>
      <c r="EM79"/>
      <c r="EN79"/>
      <c r="EO79"/>
      <c r="EP79"/>
      <c r="EQ79"/>
      <c r="ER79"/>
      <c r="ES79"/>
      <c r="ET79"/>
      <c r="EU79"/>
      <c r="EV79"/>
      <c r="EW79"/>
      <c r="EX79"/>
      <c r="EY79"/>
      <c r="EZ79"/>
      <c r="FA79"/>
      <c r="FB79"/>
      <c r="FC79"/>
      <c r="FD79"/>
      <c r="FE79"/>
      <c r="FF79"/>
      <c r="FG79"/>
      <c r="FH79"/>
      <c r="FI79"/>
      <c r="FJ79"/>
      <c r="FK79"/>
      <c r="FL79"/>
      <c r="FM79"/>
      <c r="FN79"/>
      <c r="FO79"/>
      <c r="FP79"/>
      <c r="FQ79"/>
      <c r="FR79"/>
      <c r="FS79"/>
      <c r="FT79"/>
      <c r="FU79"/>
      <c r="FV79"/>
      <c r="FW79"/>
      <c r="FX79"/>
      <c r="FY79"/>
      <c r="FZ79"/>
      <c r="GA79"/>
      <c r="GB79"/>
      <c r="GC79"/>
      <c r="GD79"/>
      <c r="GE79"/>
      <c r="GF79"/>
      <c r="GG79"/>
      <c r="GH79"/>
      <c r="GI79"/>
      <c r="GJ79"/>
      <c r="GK79"/>
      <c r="GL79"/>
      <c r="GM79"/>
      <c r="GN79"/>
      <c r="GO79"/>
      <c r="GP79"/>
      <c r="GQ79"/>
      <c r="GR79"/>
      <c r="GS79"/>
      <c r="GT79"/>
      <c r="GU79"/>
      <c r="GV79"/>
      <c r="GW79"/>
      <c r="GX79"/>
      <c r="GY79"/>
      <c r="GZ79"/>
      <c r="HA79"/>
      <c r="HB79"/>
      <c r="HC79"/>
      <c r="HD79"/>
      <c r="HE79"/>
      <c r="HF79"/>
      <c r="HG79"/>
      <c r="HH79"/>
      <c r="HI79"/>
      <c r="HJ79"/>
      <c r="HK79"/>
      <c r="HL79"/>
      <c r="HM79"/>
      <c r="HN79"/>
      <c r="HO79"/>
      <c r="HP79"/>
      <c r="HQ79"/>
      <c r="HR79"/>
      <c r="HS79"/>
      <c r="HT79"/>
      <c r="HU79"/>
      <c r="HV79"/>
      <c r="HW79"/>
      <c r="HX79"/>
      <c r="HY79"/>
      <c r="HZ79"/>
      <c r="IA79"/>
      <c r="IB79"/>
      <c r="IC79"/>
      <c r="ID79"/>
      <c r="IE79"/>
      <c r="IF79"/>
      <c r="IG79"/>
      <c r="IH79"/>
      <c r="II79"/>
      <c r="IJ79"/>
      <c r="IK79"/>
      <c r="IL79"/>
      <c r="IM79"/>
      <c r="IN79"/>
      <c r="IO79"/>
      <c r="IP79"/>
      <c r="IQ79"/>
      <c r="IR79"/>
      <c r="IS79"/>
      <c r="IT79"/>
      <c r="IU79"/>
      <c r="IV79"/>
    </row>
    <row r="80" spans="1:256">
      <c r="A80" s="106"/>
      <c r="B80" s="107"/>
      <c r="C80" s="107"/>
      <c r="D80" s="107"/>
      <c r="E80" s="108"/>
      <c r="F80" s="108"/>
      <c r="G80" s="107"/>
      <c r="H80"/>
      <c r="I80"/>
      <c r="J80"/>
      <c r="K80"/>
      <c r="L80"/>
      <c r="M80"/>
      <c r="N80"/>
      <c r="O80"/>
      <c r="P80"/>
      <c r="Q80"/>
      <c r="R80"/>
      <c r="S80"/>
      <c r="T80"/>
      <c r="U80"/>
      <c r="V80"/>
      <c r="W80"/>
      <c r="X80"/>
      <c r="Y80"/>
      <c r="Z80"/>
      <c r="AA80"/>
      <c r="AB80"/>
      <c r="AC80"/>
      <c r="AD80"/>
      <c r="AE80"/>
      <c r="AF80"/>
      <c r="AG80"/>
      <c r="AH80"/>
      <c r="AI80"/>
      <c r="AJ80"/>
      <c r="AK80"/>
      <c r="AL80"/>
      <c r="AM80"/>
      <c r="AN80"/>
      <c r="AO80"/>
      <c r="AP80"/>
      <c r="AQ80"/>
      <c r="AR80"/>
      <c r="AS80"/>
      <c r="AT80"/>
      <c r="AU80"/>
      <c r="AV80"/>
      <c r="AW80"/>
      <c r="AX80"/>
      <c r="AY80"/>
      <c r="AZ80"/>
      <c r="BA80"/>
      <c r="BB80"/>
      <c r="BC80"/>
      <c r="BD80"/>
      <c r="BE80"/>
      <c r="BF80"/>
      <c r="BG80"/>
      <c r="BH80"/>
      <c r="BI80"/>
      <c r="BJ80"/>
      <c r="BK80"/>
      <c r="BL80"/>
      <c r="BM80"/>
      <c r="BN80"/>
      <c r="BO80"/>
      <c r="BP80"/>
      <c r="BQ80"/>
      <c r="BR80"/>
      <c r="BS80"/>
      <c r="BT80"/>
      <c r="BU80"/>
      <c r="BV80"/>
      <c r="BW80"/>
      <c r="BX80"/>
      <c r="BY80"/>
      <c r="BZ80"/>
      <c r="CA80"/>
      <c r="CB80"/>
      <c r="CC80"/>
      <c r="CD80"/>
      <c r="CE80"/>
      <c r="CF80"/>
      <c r="CG80"/>
      <c r="CH80"/>
      <c r="CI80"/>
      <c r="CJ80"/>
      <c r="CK80"/>
      <c r="CL80"/>
      <c r="CM80"/>
      <c r="CN80"/>
      <c r="CO80"/>
      <c r="CP80"/>
      <c r="CQ80"/>
      <c r="CR80"/>
      <c r="CS80"/>
      <c r="CT80"/>
      <c r="CU80"/>
      <c r="CV80"/>
      <c r="CW80"/>
      <c r="CX80"/>
      <c r="CY80"/>
      <c r="CZ80"/>
      <c r="DA80"/>
      <c r="DB80"/>
      <c r="DC80"/>
      <c r="DD80"/>
      <c r="DE80"/>
      <c r="DF80"/>
      <c r="DG80"/>
      <c r="DH80"/>
      <c r="DI80"/>
      <c r="DJ80"/>
      <c r="DK80"/>
      <c r="DL80"/>
      <c r="DM80"/>
      <c r="DN80"/>
      <c r="DO80"/>
      <c r="DP80"/>
      <c r="DQ80"/>
      <c r="DR80"/>
      <c r="DS80"/>
      <c r="DT80"/>
      <c r="DU80"/>
      <c r="DV80"/>
      <c r="DW80"/>
      <c r="DX80"/>
      <c r="DY80"/>
      <c r="DZ80"/>
      <c r="EA80"/>
      <c r="EB80"/>
      <c r="EC80"/>
      <c r="ED80"/>
      <c r="EE80"/>
      <c r="EF80"/>
      <c r="EG80"/>
      <c r="EH80"/>
      <c r="EI80"/>
      <c r="EJ80"/>
      <c r="EK80"/>
      <c r="EL80"/>
      <c r="EM80"/>
      <c r="EN80"/>
      <c r="EO80"/>
      <c r="EP80"/>
      <c r="EQ80"/>
      <c r="ER80"/>
      <c r="ES80"/>
      <c r="ET80"/>
      <c r="EU80"/>
      <c r="EV80"/>
      <c r="EW80"/>
      <c r="EX80"/>
      <c r="EY80"/>
      <c r="EZ80"/>
      <c r="FA80"/>
      <c r="FB80"/>
      <c r="FC80"/>
      <c r="FD80"/>
      <c r="FE80"/>
      <c r="FF80"/>
      <c r="FG80"/>
      <c r="FH80"/>
      <c r="FI80"/>
      <c r="FJ80"/>
      <c r="FK80"/>
      <c r="FL80"/>
      <c r="FM80"/>
      <c r="FN80"/>
      <c r="FO80"/>
      <c r="FP80"/>
      <c r="FQ80"/>
      <c r="FR80"/>
      <c r="FS80"/>
      <c r="FT80"/>
      <c r="FU80"/>
      <c r="FV80"/>
      <c r="FW80"/>
      <c r="FX80"/>
      <c r="FY80"/>
      <c r="FZ80"/>
      <c r="GA80"/>
      <c r="GB80"/>
      <c r="GC80"/>
      <c r="GD80"/>
      <c r="GE80"/>
      <c r="GF80"/>
      <c r="GG80"/>
      <c r="GH80"/>
      <c r="GI80"/>
      <c r="GJ80"/>
      <c r="GK80"/>
      <c r="GL80"/>
      <c r="GM80"/>
      <c r="GN80"/>
      <c r="GO80"/>
      <c r="GP80"/>
      <c r="GQ80"/>
      <c r="GR80"/>
      <c r="GS80"/>
      <c r="GT80"/>
      <c r="GU80"/>
      <c r="GV80"/>
      <c r="GW80"/>
      <c r="GX80"/>
      <c r="GY80"/>
      <c r="GZ80"/>
      <c r="HA80"/>
      <c r="HB80"/>
      <c r="HC80"/>
      <c r="HD80"/>
      <c r="HE80"/>
      <c r="HF80"/>
      <c r="HG80"/>
      <c r="HH80"/>
      <c r="HI80"/>
      <c r="HJ80"/>
      <c r="HK80"/>
      <c r="HL80"/>
      <c r="HM80"/>
      <c r="HN80"/>
      <c r="HO80"/>
      <c r="HP80"/>
      <c r="HQ80"/>
      <c r="HR80"/>
      <c r="HS80"/>
      <c r="HT80"/>
      <c r="HU80"/>
      <c r="HV80"/>
      <c r="HW80"/>
      <c r="HX80"/>
      <c r="HY80"/>
      <c r="HZ80"/>
      <c r="IA80"/>
      <c r="IB80"/>
      <c r="IC80"/>
      <c r="ID80"/>
      <c r="IE80"/>
      <c r="IF80"/>
      <c r="IG80"/>
      <c r="IH80"/>
      <c r="II80"/>
      <c r="IJ80"/>
      <c r="IK80"/>
      <c r="IL80"/>
      <c r="IM80"/>
      <c r="IN80"/>
      <c r="IO80"/>
      <c r="IP80"/>
      <c r="IQ80"/>
      <c r="IR80"/>
      <c r="IS80"/>
      <c r="IT80"/>
      <c r="IU80"/>
      <c r="IV80"/>
    </row>
    <row r="81" spans="1:256">
      <c r="A81" s="39"/>
      <c r="B81" s="40"/>
      <c r="C81" s="40"/>
      <c r="D81" s="40"/>
      <c r="E81" s="40"/>
      <c r="F81" s="40"/>
      <c r="G81"/>
      <c r="H81"/>
      <c r="I81"/>
      <c r="J81"/>
      <c r="K81"/>
      <c r="L81"/>
      <c r="M81"/>
      <c r="N81"/>
      <c r="O81"/>
      <c r="P81"/>
      <c r="Q81"/>
      <c r="R81"/>
      <c r="S81"/>
      <c r="T81"/>
      <c r="U81"/>
      <c r="V81"/>
      <c r="W81"/>
      <c r="X81"/>
      <c r="Y81"/>
      <c r="Z81"/>
      <c r="AA81"/>
      <c r="AB81"/>
      <c r="AC81"/>
      <c r="AD81"/>
      <c r="AE81"/>
      <c r="AF81"/>
      <c r="AG81"/>
      <c r="AH81"/>
      <c r="AI81"/>
      <c r="AJ81"/>
      <c r="AK81"/>
      <c r="AL81"/>
      <c r="AM81"/>
      <c r="AN81"/>
      <c r="AO81"/>
      <c r="AP81"/>
      <c r="AQ81"/>
      <c r="AR81"/>
      <c r="AS81"/>
      <c r="AT81"/>
      <c r="AU81"/>
      <c r="AV81"/>
      <c r="AW81"/>
      <c r="AX81"/>
      <c r="AY81"/>
      <c r="AZ81"/>
      <c r="BA81"/>
      <c r="BB81"/>
      <c r="BC81"/>
      <c r="BD81"/>
      <c r="BE81"/>
      <c r="BF81"/>
      <c r="BG81"/>
      <c r="BH81"/>
      <c r="BI81"/>
      <c r="BJ81"/>
      <c r="BK81"/>
      <c r="BL81"/>
      <c r="BM81"/>
      <c r="BN81"/>
      <c r="BO81"/>
      <c r="BP81"/>
      <c r="BQ81"/>
      <c r="BR81"/>
      <c r="BS81"/>
      <c r="BT81"/>
      <c r="BU81"/>
      <c r="BV81"/>
      <c r="BW81"/>
      <c r="BX81"/>
      <c r="BY81"/>
      <c r="BZ81"/>
      <c r="CA81"/>
      <c r="CB81"/>
      <c r="CC81"/>
      <c r="CD81"/>
      <c r="CE81"/>
      <c r="CF81"/>
      <c r="CG81"/>
      <c r="CH81"/>
      <c r="CI81"/>
      <c r="CJ81"/>
      <c r="CK81"/>
      <c r="CL81"/>
      <c r="CM81"/>
      <c r="CN81"/>
      <c r="CO81"/>
      <c r="CP81"/>
      <c r="CQ81"/>
      <c r="CR81"/>
      <c r="CS81"/>
      <c r="CT81"/>
      <c r="CU81"/>
      <c r="CV81"/>
      <c r="CW81"/>
      <c r="CX81"/>
      <c r="CY81"/>
      <c r="CZ81"/>
      <c r="DA81"/>
      <c r="DB81"/>
      <c r="DC81"/>
      <c r="DD81"/>
      <c r="DE81"/>
      <c r="DF81"/>
      <c r="DG81"/>
      <c r="DH81"/>
      <c r="DI81"/>
      <c r="DJ81"/>
      <c r="DK81"/>
      <c r="DL81"/>
      <c r="DM81"/>
      <c r="DN81"/>
      <c r="DO81"/>
      <c r="DP81"/>
      <c r="DQ81"/>
      <c r="DR81"/>
      <c r="DS81"/>
      <c r="DT81"/>
      <c r="DU81"/>
      <c r="DV81"/>
      <c r="DW81"/>
      <c r="DX81"/>
      <c r="DY81"/>
      <c r="DZ81"/>
      <c r="EA81"/>
      <c r="EB81"/>
      <c r="EC81"/>
      <c r="ED81"/>
      <c r="EE81"/>
      <c r="EF81"/>
      <c r="EG81"/>
      <c r="EH81"/>
      <c r="EI81"/>
      <c r="EJ81"/>
      <c r="EK81"/>
      <c r="EL81"/>
      <c r="EM81"/>
      <c r="EN81"/>
      <c r="EO81"/>
      <c r="EP81"/>
      <c r="EQ81"/>
      <c r="ER81"/>
      <c r="ES81"/>
      <c r="ET81"/>
      <c r="EU81"/>
      <c r="EV81"/>
      <c r="EW81"/>
      <c r="EX81"/>
      <c r="EY81"/>
      <c r="EZ81"/>
      <c r="FA81"/>
      <c r="FB81"/>
      <c r="FC81"/>
      <c r="FD81"/>
      <c r="FE81"/>
      <c r="FF81"/>
      <c r="FG81"/>
      <c r="FH81"/>
      <c r="FI81"/>
      <c r="FJ81"/>
      <c r="FK81"/>
      <c r="FL81"/>
      <c r="FM81"/>
      <c r="FN81"/>
      <c r="FO81"/>
      <c r="FP81"/>
      <c r="FQ81"/>
      <c r="FR81"/>
      <c r="FS81"/>
      <c r="FT81"/>
      <c r="FU81"/>
      <c r="FV81"/>
      <c r="FW81"/>
      <c r="FX81"/>
      <c r="FY81"/>
      <c r="FZ81"/>
      <c r="GA81"/>
      <c r="GB81"/>
      <c r="GC81"/>
      <c r="GD81"/>
      <c r="GE81"/>
      <c r="GF81"/>
      <c r="GG81"/>
      <c r="GH81"/>
      <c r="GI81"/>
      <c r="GJ81"/>
      <c r="GK81"/>
      <c r="GL81"/>
      <c r="GM81"/>
      <c r="GN81"/>
      <c r="GO81"/>
      <c r="GP81"/>
      <c r="GQ81"/>
      <c r="GR81"/>
      <c r="GS81"/>
      <c r="GT81"/>
      <c r="GU81"/>
      <c r="GV81"/>
      <c r="GW81"/>
      <c r="GX81"/>
      <c r="GY81"/>
      <c r="GZ81"/>
      <c r="HA81"/>
      <c r="HB81"/>
      <c r="HC81"/>
      <c r="HD81"/>
      <c r="HE81"/>
      <c r="HF81"/>
      <c r="HG81"/>
      <c r="HH81"/>
      <c r="HI81"/>
      <c r="HJ81"/>
      <c r="HK81"/>
      <c r="HL81"/>
      <c r="HM81"/>
      <c r="HN81"/>
      <c r="HO81"/>
      <c r="HP81"/>
      <c r="HQ81"/>
      <c r="HR81"/>
      <c r="HS81"/>
      <c r="HT81"/>
      <c r="HU81"/>
      <c r="HV81"/>
      <c r="HW81"/>
      <c r="HX81"/>
      <c r="HY81"/>
      <c r="HZ81"/>
      <c r="IA81"/>
      <c r="IB81"/>
      <c r="IC81"/>
      <c r="ID81"/>
      <c r="IE81"/>
      <c r="IF81"/>
      <c r="IG81"/>
      <c r="IH81"/>
      <c r="II81"/>
      <c r="IJ81"/>
      <c r="IK81"/>
      <c r="IL81"/>
      <c r="IM81"/>
      <c r="IN81"/>
      <c r="IO81"/>
      <c r="IP81"/>
      <c r="IQ81"/>
      <c r="IR81"/>
      <c r="IS81"/>
      <c r="IT81"/>
      <c r="IU81"/>
      <c r="IV81"/>
    </row>
    <row r="82" spans="1:256" s="44" customFormat="1" ht="12.75" customHeight="1">
      <c r="A82" s="81" t="s">
        <v>231</v>
      </c>
      <c r="B82" s="42" t="s">
        <v>232</v>
      </c>
      <c r="C82" s="43"/>
      <c r="D82" s="43"/>
      <c r="E82" s="43"/>
      <c r="F82" s="43"/>
      <c r="G82" s="43"/>
      <c r="H82" s="43"/>
      <c r="I82" s="43"/>
      <c r="J82" s="43"/>
      <c r="K82" s="43"/>
      <c r="L82" s="43"/>
      <c r="M82" s="43"/>
      <c r="N82" s="43"/>
      <c r="O82" s="43"/>
      <c r="P82" s="43"/>
      <c r="Q82" s="43"/>
      <c r="R82" s="43"/>
      <c r="S82" s="43"/>
      <c r="T82" s="43"/>
    </row>
    <row r="83" spans="1:256">
      <c r="A83" s="45"/>
      <c r="B83" s="109" t="s">
        <v>233</v>
      </c>
      <c r="C83" s="109" t="s">
        <v>234</v>
      </c>
      <c r="D83" s="109" t="s">
        <v>235</v>
      </c>
      <c r="E83"/>
      <c r="F83"/>
      <c r="G83"/>
      <c r="H83"/>
      <c r="I83"/>
      <c r="J83"/>
    </row>
    <row r="84" spans="1:256" ht="38.25" customHeight="1">
      <c r="A84" s="48" t="s">
        <v>29</v>
      </c>
      <c r="B84" s="21" t="s">
        <v>236</v>
      </c>
      <c r="C84" s="21" t="s">
        <v>237</v>
      </c>
      <c r="D84" s="21" t="s">
        <v>238</v>
      </c>
      <c r="E84"/>
      <c r="F84"/>
      <c r="G84"/>
      <c r="H84"/>
      <c r="I84"/>
      <c r="J84"/>
    </row>
    <row r="85" spans="1:256">
      <c r="A85" s="50" t="s">
        <v>89</v>
      </c>
      <c r="B85" s="31">
        <v>1</v>
      </c>
      <c r="C85" s="110">
        <v>3</v>
      </c>
      <c r="D85" s="31" t="s">
        <v>239</v>
      </c>
      <c r="E85"/>
      <c r="F85"/>
      <c r="G85"/>
      <c r="H85"/>
      <c r="I85"/>
      <c r="J85"/>
    </row>
    <row r="86" spans="1:256" ht="140.25">
      <c r="A86" s="26" t="s">
        <v>59</v>
      </c>
      <c r="B86" s="49" t="s">
        <v>240</v>
      </c>
      <c r="C86" s="49" t="s">
        <v>241</v>
      </c>
      <c r="D86" s="49" t="s">
        <v>242</v>
      </c>
      <c r="E86"/>
      <c r="F86"/>
      <c r="G86"/>
      <c r="H86"/>
      <c r="I86"/>
      <c r="J86"/>
    </row>
    <row r="89" spans="1:256" ht="12.75" customHeight="1"/>
    <row r="90" spans="1:256" ht="12.75" customHeight="1"/>
    <row r="92" spans="1:256" ht="12.75" customHeight="1"/>
    <row r="93" spans="1:256" ht="12.75" customHeight="1"/>
    <row r="95" spans="1:256" ht="12.75" customHeight="1"/>
  </sheetData>
  <sheetProtection selectLockedCells="1" selectUnlockedCells="1"/>
  <mergeCells count="12">
    <mergeCell ref="H69:H70"/>
    <mergeCell ref="A5:E5"/>
    <mergeCell ref="A7:A9"/>
    <mergeCell ref="B7:E7"/>
    <mergeCell ref="B8:E8"/>
    <mergeCell ref="B9:E9"/>
    <mergeCell ref="A62:A63"/>
    <mergeCell ref="A69:A70"/>
    <mergeCell ref="B69:B70"/>
    <mergeCell ref="E69:E70"/>
    <mergeCell ref="F69:F70"/>
    <mergeCell ref="G69:G70"/>
  </mergeCells>
  <hyperlinks>
    <hyperlink ref="G31" r:id="rId1"/>
    <hyperlink ref="C78" r:id="rId2"/>
  </hyperlink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2" enableFormatConditionsCalculation="0">
    <tabColor indexed="10"/>
  </sheetPr>
  <dimension ref="A1:W4"/>
  <sheetViews>
    <sheetView zoomScale="95" zoomScaleNormal="95" workbookViewId="0">
      <selection activeCell="L7" sqref="L7"/>
    </sheetView>
  </sheetViews>
  <sheetFormatPr baseColWidth="10" defaultColWidth="12.85546875" defaultRowHeight="12.75"/>
  <cols>
    <col min="1" max="1" width="18" style="111" bestFit="1" customWidth="1"/>
    <col min="2" max="2" width="10.5703125" style="111" customWidth="1"/>
    <col min="3" max="3" width="15.85546875" style="112" customWidth="1"/>
    <col min="4" max="4" width="13.85546875" style="112" customWidth="1"/>
    <col min="5" max="5" width="12.42578125" style="112" customWidth="1"/>
    <col min="6" max="6" width="15.85546875" style="112" customWidth="1"/>
    <col min="7" max="7" width="22.28515625" style="112" customWidth="1"/>
    <col min="8" max="8" width="6.28515625" style="112" customWidth="1"/>
    <col min="9" max="9" width="7.42578125" style="113" bestFit="1" customWidth="1"/>
    <col min="10" max="10" width="4" style="113" bestFit="1" customWidth="1"/>
    <col min="11" max="11" width="19.28515625" style="112" customWidth="1"/>
    <col min="12" max="13" width="12.42578125" style="112" customWidth="1"/>
    <col min="14" max="14" width="17" style="112" customWidth="1"/>
    <col min="15" max="15" width="8.7109375" style="112" customWidth="1"/>
    <col min="16" max="16" width="13.5703125" style="112" customWidth="1"/>
  </cols>
  <sheetData>
    <row r="1" spans="1:23" ht="13.5" thickBot="1">
      <c r="A1" s="114" t="s">
        <v>13</v>
      </c>
      <c r="B1" s="114" t="s">
        <v>14</v>
      </c>
      <c r="C1" s="115" t="s">
        <v>15</v>
      </c>
      <c r="D1" s="115" t="s">
        <v>16</v>
      </c>
      <c r="E1" s="115" t="s">
        <v>17</v>
      </c>
      <c r="F1" s="115" t="s">
        <v>18</v>
      </c>
      <c r="G1" s="115" t="s">
        <v>19</v>
      </c>
      <c r="H1" s="115" t="s">
        <v>20</v>
      </c>
      <c r="I1" s="116" t="s">
        <v>21</v>
      </c>
      <c r="J1" s="116" t="s">
        <v>22</v>
      </c>
      <c r="K1" s="115" t="s">
        <v>23</v>
      </c>
      <c r="L1" s="203" t="s">
        <v>24</v>
      </c>
      <c r="M1" s="115" t="s">
        <v>25</v>
      </c>
      <c r="N1" s="115" t="s">
        <v>26</v>
      </c>
      <c r="O1" s="115" t="s">
        <v>27</v>
      </c>
      <c r="P1" s="115" t="s">
        <v>28</v>
      </c>
    </row>
    <row r="2" spans="1:23" ht="15">
      <c r="A2" s="111" t="s">
        <v>7971</v>
      </c>
      <c r="B2" s="111" t="s">
        <v>7972</v>
      </c>
      <c r="C2" s="180" t="s">
        <v>8022</v>
      </c>
      <c r="D2" s="180" t="s">
        <v>8023</v>
      </c>
      <c r="G2" s="112" t="s">
        <v>8024</v>
      </c>
      <c r="I2" s="113" t="s">
        <v>55</v>
      </c>
      <c r="J2" s="113" t="s">
        <v>54</v>
      </c>
      <c r="L2" s="207" t="s">
        <v>8027</v>
      </c>
      <c r="N2" s="112" t="s">
        <v>7805</v>
      </c>
    </row>
    <row r="3" spans="1:23">
      <c r="R3" s="181"/>
      <c r="S3" s="181"/>
      <c r="T3" s="182"/>
      <c r="U3" s="182"/>
      <c r="V3" s="182"/>
      <c r="W3" s="182"/>
    </row>
    <row r="4" spans="1:23">
      <c r="R4" s="183"/>
      <c r="S4" s="183"/>
      <c r="T4" s="183"/>
      <c r="U4" s="183"/>
      <c r="V4" s="183"/>
      <c r="W4" s="183"/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firstPageNumber="0" orientation="portrait" horizontalDpi="300" verticalDpi="300"/>
  <headerFooter alignWithMargins="0">
    <oddHeader>&amp;C&amp;"Arial,Regular"&amp;10&amp;A</oddHeader>
    <oddFooter>&amp;C&amp;"Arial,Regular"&amp;10Page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Feuil3" enableFormatConditionsCalculation="0">
    <tabColor indexed="10"/>
  </sheetPr>
  <dimension ref="A1:L2"/>
  <sheetViews>
    <sheetView workbookViewId="0">
      <selection activeCell="I22" sqref="I22"/>
    </sheetView>
  </sheetViews>
  <sheetFormatPr baseColWidth="10" defaultColWidth="10.7109375" defaultRowHeight="12.75"/>
  <cols>
    <col min="1" max="1" width="11.85546875" style="117" customWidth="1"/>
    <col min="2" max="2" width="16.5703125" style="118" bestFit="1" customWidth="1"/>
    <col min="3" max="3" width="14" style="118" bestFit="1" customWidth="1"/>
    <col min="4" max="4" width="10.140625" style="118" customWidth="1"/>
    <col min="5" max="5" width="10.42578125" style="118" customWidth="1"/>
    <col min="6" max="6" width="6.5703125" style="118" customWidth="1"/>
    <col min="7" max="7" width="25.140625" style="117" customWidth="1"/>
    <col min="8" max="8" width="11.28515625" style="118" customWidth="1"/>
    <col min="9" max="9" width="12.140625" style="118" customWidth="1"/>
    <col min="10" max="10" width="10.42578125" style="118" customWidth="1"/>
    <col min="11" max="11" width="19.28515625" style="112" customWidth="1"/>
    <col min="12" max="12" width="22.42578125" style="112" customWidth="1"/>
  </cols>
  <sheetData>
    <row r="1" spans="1:12" s="92" customFormat="1">
      <c r="A1" s="119" t="s">
        <v>65</v>
      </c>
      <c r="B1" s="120" t="s">
        <v>66</v>
      </c>
      <c r="C1" s="120" t="s">
        <v>67</v>
      </c>
      <c r="D1" s="120" t="s">
        <v>68</v>
      </c>
      <c r="E1" s="120" t="s">
        <v>69</v>
      </c>
      <c r="F1" s="120" t="s">
        <v>70</v>
      </c>
      <c r="G1" s="119" t="s">
        <v>71</v>
      </c>
      <c r="H1" s="121" t="s">
        <v>72</v>
      </c>
      <c r="I1" s="121" t="s">
        <v>73</v>
      </c>
      <c r="J1" s="120" t="s">
        <v>74</v>
      </c>
      <c r="K1" s="122" t="s">
        <v>75</v>
      </c>
      <c r="L1" s="122" t="s">
        <v>76</v>
      </c>
    </row>
    <row r="2" spans="1:12" ht="15.75">
      <c r="A2" s="117" t="s">
        <v>8028</v>
      </c>
      <c r="B2" s="320" t="s">
        <v>8029</v>
      </c>
      <c r="C2" s="118" t="s">
        <v>8030</v>
      </c>
      <c r="G2" s="117" t="s">
        <v>8031</v>
      </c>
      <c r="H2" s="206"/>
      <c r="I2" s="206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 r:id="rId1"/>
  <headerFooter alignWithMargins="0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4" enableFormatConditionsCalculation="0">
    <tabColor indexed="10"/>
  </sheetPr>
  <dimension ref="A1:X10"/>
  <sheetViews>
    <sheetView zoomScale="95" zoomScaleNormal="95" workbookViewId="0">
      <selection activeCell="A4" sqref="A4"/>
    </sheetView>
  </sheetViews>
  <sheetFormatPr baseColWidth="10" defaultColWidth="10.7109375" defaultRowHeight="12.75"/>
  <cols>
    <col min="1" max="1" width="16.42578125" style="123" bestFit="1" customWidth="1"/>
    <col min="2" max="2" width="10.5703125" style="123" bestFit="1" customWidth="1"/>
    <col min="3" max="3" width="10.7109375" style="123" bestFit="1" customWidth="1"/>
    <col min="4" max="4" width="12.7109375" style="112" bestFit="1" customWidth="1"/>
    <col min="5" max="5" width="4.7109375" style="118" bestFit="1" customWidth="1"/>
    <col min="6" max="6" width="29.85546875" style="123" bestFit="1" customWidth="1"/>
    <col min="7" max="7" width="10.42578125" style="123" bestFit="1" customWidth="1"/>
    <col min="8" max="8" width="11.42578125" style="112" bestFit="1" customWidth="1"/>
  </cols>
  <sheetData>
    <row r="1" spans="1:24">
      <c r="A1" s="114" t="s">
        <v>97</v>
      </c>
      <c r="B1" s="114" t="s">
        <v>98</v>
      </c>
      <c r="C1" s="114" t="s">
        <v>99</v>
      </c>
      <c r="D1" s="115" t="s">
        <v>100</v>
      </c>
      <c r="E1" s="124" t="s">
        <v>101</v>
      </c>
      <c r="F1" s="114" t="s">
        <v>102</v>
      </c>
      <c r="G1" s="114" t="s">
        <v>103</v>
      </c>
      <c r="H1" s="115" t="s">
        <v>104</v>
      </c>
    </row>
    <row r="2" spans="1:24">
      <c r="A2" s="125" t="s">
        <v>113</v>
      </c>
      <c r="B2" s="125" t="s">
        <v>7722</v>
      </c>
      <c r="C2" s="125" t="s">
        <v>7723</v>
      </c>
      <c r="F2" s="204" t="s">
        <v>7724</v>
      </c>
      <c r="G2" s="125" t="s">
        <v>119</v>
      </c>
      <c r="H2" s="205" t="s">
        <v>7725</v>
      </c>
    </row>
    <row r="3" spans="1:24">
      <c r="D3"/>
      <c r="E3"/>
      <c r="H3" s="191"/>
    </row>
    <row r="4" spans="1:24">
      <c r="D4" s="194"/>
      <c r="E4"/>
      <c r="H4" s="191"/>
    </row>
    <row r="8" spans="1:24">
      <c r="K8" s="184"/>
      <c r="L8" s="185"/>
      <c r="M8" s="185"/>
      <c r="N8" s="185"/>
      <c r="O8" s="182"/>
      <c r="P8" s="186"/>
      <c r="Q8" s="187"/>
      <c r="R8" s="188"/>
      <c r="S8" s="188"/>
      <c r="T8" s="188"/>
      <c r="U8" s="187"/>
      <c r="V8" s="188"/>
      <c r="W8" s="188"/>
      <c r="X8" s="187"/>
    </row>
    <row r="9" spans="1:24">
      <c r="L9" s="189"/>
      <c r="M9" s="189"/>
      <c r="N9" s="190"/>
      <c r="Q9" s="191"/>
      <c r="R9" s="191"/>
      <c r="S9" s="191"/>
      <c r="T9" s="192"/>
      <c r="U9" s="191"/>
      <c r="V9" s="191"/>
      <c r="W9" s="191"/>
      <c r="X9" s="193"/>
    </row>
    <row r="10" spans="1:24">
      <c r="K10" s="194"/>
      <c r="L10" s="189"/>
      <c r="M10" s="189"/>
      <c r="N10" s="190"/>
      <c r="O10" s="194"/>
      <c r="Q10" s="191"/>
      <c r="R10" s="191"/>
      <c r="S10" s="191"/>
      <c r="T10" s="192"/>
      <c r="U10" s="191"/>
      <c r="V10" s="191"/>
      <c r="W10" s="191"/>
      <c r="X10" s="193"/>
    </row>
  </sheetData>
  <sheetProtection selectLockedCells="1" selectUnlockedCells="1"/>
  <dataValidations count="1">
    <dataValidation type="list" allowBlank="1" showErrorMessage="1" sqref="G2">
      <formula1>InstitutionName</formula1>
      <formula2>0</formula2>
    </dataValidation>
  </dataValidations>
  <hyperlinks>
    <hyperlink ref="F2" r:id="rId1"/>
  </hyperlink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5" enableFormatConditionsCalculation="0">
    <tabColor indexed="10"/>
  </sheetPr>
  <dimension ref="A1:H48"/>
  <sheetViews>
    <sheetView topLeftCell="B1" zoomScale="70" zoomScaleNormal="70" workbookViewId="0">
      <selection activeCell="D21" sqref="D21"/>
    </sheetView>
  </sheetViews>
  <sheetFormatPr baseColWidth="10" defaultColWidth="12.7109375" defaultRowHeight="12.75"/>
  <cols>
    <col min="1" max="1" width="41.42578125" style="123" customWidth="1"/>
    <col min="2" max="2" width="30.28515625" style="123" bestFit="1" customWidth="1"/>
    <col min="3" max="3" width="28.140625" style="112" bestFit="1" customWidth="1"/>
    <col min="4" max="4" width="85.28515625" style="112" bestFit="1" customWidth="1"/>
    <col min="5" max="5" width="17.28515625" style="112" customWidth="1"/>
    <col min="6" max="6" width="49.5703125" style="112" customWidth="1"/>
    <col min="7" max="7" width="15.42578125" style="112" customWidth="1"/>
    <col min="8" max="8" width="10.42578125" style="112" customWidth="1"/>
    <col min="9" max="16384" width="12.7109375" style="126"/>
  </cols>
  <sheetData>
    <row r="1" spans="1:8" s="127" customFormat="1" ht="13.5" thickBot="1">
      <c r="A1" s="156" t="s">
        <v>126</v>
      </c>
      <c r="B1" s="156" t="s">
        <v>127</v>
      </c>
      <c r="C1" s="157" t="s">
        <v>128</v>
      </c>
      <c r="D1" s="158" t="s">
        <v>29</v>
      </c>
      <c r="E1" s="158" t="s">
        <v>129</v>
      </c>
      <c r="F1" s="158" t="s">
        <v>130</v>
      </c>
      <c r="G1" s="159" t="s">
        <v>131</v>
      </c>
      <c r="H1" s="159" t="s">
        <v>74</v>
      </c>
    </row>
    <row r="2" spans="1:8" s="138" customFormat="1" ht="90" thickBot="1">
      <c r="A2" s="167" t="s">
        <v>244</v>
      </c>
      <c r="B2" s="167" t="s">
        <v>7447</v>
      </c>
      <c r="C2" s="168" t="s">
        <v>7448</v>
      </c>
      <c r="D2" s="169" t="s">
        <v>7449</v>
      </c>
      <c r="E2" s="169" t="s">
        <v>7450</v>
      </c>
      <c r="F2" s="169" t="s">
        <v>7451</v>
      </c>
      <c r="G2" s="170"/>
      <c r="H2" s="170"/>
    </row>
    <row r="3" spans="1:8" ht="38.25">
      <c r="A3" s="160" t="s">
        <v>244</v>
      </c>
      <c r="B3" s="160" t="s">
        <v>7452</v>
      </c>
      <c r="C3" s="161" t="s">
        <v>7453</v>
      </c>
      <c r="D3" s="162" t="s">
        <v>7454</v>
      </c>
      <c r="E3" s="162" t="s">
        <v>7455</v>
      </c>
      <c r="F3" s="163" t="s">
        <v>7456</v>
      </c>
      <c r="G3" s="164"/>
      <c r="H3" s="164"/>
    </row>
    <row r="4" spans="1:8" ht="38.25">
      <c r="A4" s="160" t="s">
        <v>244</v>
      </c>
      <c r="B4" s="160" t="s">
        <v>7457</v>
      </c>
      <c r="C4" s="161" t="s">
        <v>7458</v>
      </c>
      <c r="D4" s="162" t="s">
        <v>7459</v>
      </c>
      <c r="E4" s="162" t="s">
        <v>246</v>
      </c>
      <c r="F4" s="163" t="s">
        <v>7460</v>
      </c>
      <c r="G4" s="164"/>
      <c r="H4" s="164"/>
    </row>
    <row r="5" spans="1:8" ht="63.75">
      <c r="A5" s="160" t="s">
        <v>244</v>
      </c>
      <c r="B5" s="160" t="s">
        <v>7461</v>
      </c>
      <c r="C5" s="161" t="s">
        <v>7462</v>
      </c>
      <c r="D5" s="162" t="s">
        <v>7463</v>
      </c>
      <c r="E5" s="162" t="s">
        <v>247</v>
      </c>
      <c r="F5" s="163" t="s">
        <v>7464</v>
      </c>
      <c r="G5" s="164"/>
      <c r="H5" s="164"/>
    </row>
    <row r="6" spans="1:8" ht="38.25">
      <c r="A6" s="160" t="s">
        <v>244</v>
      </c>
      <c r="B6" s="160" t="s">
        <v>7465</v>
      </c>
      <c r="C6" s="161" t="s">
        <v>7466</v>
      </c>
      <c r="D6" s="162" t="s">
        <v>7467</v>
      </c>
      <c r="E6" s="162" t="s">
        <v>247</v>
      </c>
      <c r="F6" s="163" t="s">
        <v>7468</v>
      </c>
      <c r="G6" s="164"/>
      <c r="H6" s="164"/>
    </row>
    <row r="7" spans="1:8">
      <c r="A7" s="160" t="s">
        <v>244</v>
      </c>
      <c r="B7" s="160" t="s">
        <v>254</v>
      </c>
      <c r="C7" s="161" t="s">
        <v>7442</v>
      </c>
      <c r="D7" s="162" t="s">
        <v>7469</v>
      </c>
      <c r="E7" s="162" t="s">
        <v>7470</v>
      </c>
      <c r="F7" s="163" t="s">
        <v>7471</v>
      </c>
      <c r="G7" s="164"/>
      <c r="H7" s="164"/>
    </row>
    <row r="8" spans="1:8" ht="38.25">
      <c r="A8" s="160" t="s">
        <v>244</v>
      </c>
      <c r="B8" s="160" t="s">
        <v>7472</v>
      </c>
      <c r="C8" s="161" t="s">
        <v>7473</v>
      </c>
      <c r="D8" s="162" t="s">
        <v>7474</v>
      </c>
      <c r="E8" s="162" t="s">
        <v>245</v>
      </c>
      <c r="F8" s="163" t="s">
        <v>7475</v>
      </c>
      <c r="G8" s="164"/>
      <c r="H8" s="164"/>
    </row>
    <row r="9" spans="1:8" ht="25.5">
      <c r="A9" s="160" t="s">
        <v>244</v>
      </c>
      <c r="B9" s="160" t="s">
        <v>7476</v>
      </c>
      <c r="C9" s="161" t="s">
        <v>7477</v>
      </c>
      <c r="D9" s="162" t="s">
        <v>7478</v>
      </c>
      <c r="E9" s="162" t="s">
        <v>7455</v>
      </c>
      <c r="F9" s="163" t="s">
        <v>7479</v>
      </c>
      <c r="G9" s="164"/>
      <c r="H9" s="164"/>
    </row>
    <row r="10" spans="1:8">
      <c r="A10" s="160" t="s">
        <v>244</v>
      </c>
      <c r="B10" s="160" t="s">
        <v>253</v>
      </c>
      <c r="C10" s="161" t="s">
        <v>7441</v>
      </c>
      <c r="D10" s="162" t="s">
        <v>7480</v>
      </c>
      <c r="E10" s="162" t="s">
        <v>7470</v>
      </c>
      <c r="F10" s="163" t="s">
        <v>7481</v>
      </c>
      <c r="G10" s="164"/>
      <c r="H10" s="164"/>
    </row>
    <row r="11" spans="1:8">
      <c r="A11" s="160" t="s">
        <v>244</v>
      </c>
      <c r="B11" s="160" t="s">
        <v>251</v>
      </c>
      <c r="C11" s="161" t="s">
        <v>7482</v>
      </c>
      <c r="D11" s="162" t="s">
        <v>7483</v>
      </c>
      <c r="E11" s="162" t="s">
        <v>7484</v>
      </c>
      <c r="F11" s="163" t="s">
        <v>7485</v>
      </c>
      <c r="G11" s="164"/>
      <c r="H11" s="164"/>
    </row>
    <row r="12" spans="1:8" ht="25.5">
      <c r="A12" s="160" t="s">
        <v>244</v>
      </c>
      <c r="B12" s="160" t="s">
        <v>248</v>
      </c>
      <c r="C12" s="161" t="s">
        <v>7486</v>
      </c>
      <c r="D12" s="162" t="s">
        <v>7487</v>
      </c>
      <c r="E12" s="162" t="s">
        <v>7470</v>
      </c>
      <c r="F12" s="163" t="s">
        <v>7488</v>
      </c>
      <c r="G12" s="164"/>
      <c r="H12" s="164"/>
    </row>
    <row r="13" spans="1:8" ht="38.25">
      <c r="A13" s="160" t="s">
        <v>244</v>
      </c>
      <c r="B13" s="160" t="s">
        <v>7489</v>
      </c>
      <c r="C13" s="161" t="s">
        <v>7490</v>
      </c>
      <c r="D13" s="162" t="s">
        <v>7491</v>
      </c>
      <c r="E13" s="162" t="s">
        <v>7470</v>
      </c>
      <c r="F13" s="163" t="s">
        <v>7492</v>
      </c>
      <c r="G13" s="164"/>
      <c r="H13" s="164"/>
    </row>
    <row r="14" spans="1:8" ht="60.75" customHeight="1">
      <c r="A14" s="160" t="s">
        <v>244</v>
      </c>
      <c r="B14" s="160" t="s">
        <v>249</v>
      </c>
      <c r="C14" s="161" t="s">
        <v>7493</v>
      </c>
      <c r="D14" s="162" t="s">
        <v>7494</v>
      </c>
      <c r="E14" s="162" t="s">
        <v>250</v>
      </c>
      <c r="F14" s="163" t="s">
        <v>7599</v>
      </c>
      <c r="G14" s="164"/>
      <c r="H14" s="164"/>
    </row>
    <row r="15" spans="1:8" ht="25.5">
      <c r="A15" s="160" t="s">
        <v>244</v>
      </c>
      <c r="B15" s="160" t="s">
        <v>7600</v>
      </c>
      <c r="C15" s="161" t="s">
        <v>7495</v>
      </c>
      <c r="D15" s="162" t="s">
        <v>7496</v>
      </c>
      <c r="E15" s="162" t="s">
        <v>143</v>
      </c>
      <c r="F15" s="163" t="s">
        <v>7497</v>
      </c>
      <c r="G15" s="164"/>
      <c r="H15" s="164"/>
    </row>
    <row r="16" spans="1:8" ht="60">
      <c r="A16" s="160" t="s">
        <v>244</v>
      </c>
      <c r="B16" s="160" t="s">
        <v>7498</v>
      </c>
      <c r="C16" s="161" t="s">
        <v>7499</v>
      </c>
      <c r="D16" s="162" t="s">
        <v>7500</v>
      </c>
      <c r="E16" s="162" t="s">
        <v>7501</v>
      </c>
      <c r="F16" s="163" t="s">
        <v>7502</v>
      </c>
      <c r="G16" s="164"/>
      <c r="H16" s="165"/>
    </row>
    <row r="17" spans="1:8" ht="36">
      <c r="A17" s="160" t="s">
        <v>244</v>
      </c>
      <c r="B17" s="160" t="s">
        <v>7503</v>
      </c>
      <c r="C17" s="161" t="s">
        <v>7504</v>
      </c>
      <c r="D17" s="162" t="s">
        <v>7505</v>
      </c>
      <c r="E17" s="162" t="s">
        <v>7506</v>
      </c>
      <c r="F17" s="163" t="s">
        <v>7502</v>
      </c>
      <c r="G17" s="164"/>
      <c r="H17" s="164"/>
    </row>
    <row r="18" spans="1:8" ht="36">
      <c r="A18" s="160" t="s">
        <v>244</v>
      </c>
      <c r="B18" s="160" t="s">
        <v>7507</v>
      </c>
      <c r="C18" s="161" t="s">
        <v>7508</v>
      </c>
      <c r="D18" s="162" t="s">
        <v>7509</v>
      </c>
      <c r="E18" s="162" t="s">
        <v>7506</v>
      </c>
      <c r="F18" s="163" t="s">
        <v>7502</v>
      </c>
      <c r="G18" s="164"/>
      <c r="H18" s="164"/>
    </row>
    <row r="19" spans="1:8" ht="114.75">
      <c r="A19" s="171" t="s">
        <v>244</v>
      </c>
      <c r="B19" s="171" t="s">
        <v>7510</v>
      </c>
      <c r="C19" s="172" t="s">
        <v>7511</v>
      </c>
      <c r="D19" s="173" t="s">
        <v>7512</v>
      </c>
      <c r="E19" s="173" t="s">
        <v>7506</v>
      </c>
      <c r="F19" s="174" t="s">
        <v>7513</v>
      </c>
      <c r="G19" s="175"/>
      <c r="H19" s="175"/>
    </row>
    <row r="20" spans="1:8" ht="36">
      <c r="A20" s="160" t="s">
        <v>244</v>
      </c>
      <c r="B20" s="160" t="s">
        <v>7514</v>
      </c>
      <c r="C20" s="161" t="s">
        <v>7515</v>
      </c>
      <c r="D20" s="166" t="s">
        <v>7516</v>
      </c>
      <c r="E20" s="162" t="s">
        <v>7506</v>
      </c>
      <c r="F20" s="163" t="s">
        <v>7502</v>
      </c>
      <c r="G20" s="164"/>
      <c r="H20" s="164"/>
    </row>
    <row r="21" spans="1:8" ht="36">
      <c r="A21" s="160" t="s">
        <v>244</v>
      </c>
      <c r="B21" s="160" t="s">
        <v>7517</v>
      </c>
      <c r="C21" s="161" t="s">
        <v>7518</v>
      </c>
      <c r="D21" s="162" t="s">
        <v>7519</v>
      </c>
      <c r="E21" s="162" t="s">
        <v>7506</v>
      </c>
      <c r="F21" s="163" t="s">
        <v>7502</v>
      </c>
      <c r="G21" s="164"/>
      <c r="H21" s="164"/>
    </row>
    <row r="22" spans="1:8" ht="36">
      <c r="A22" s="160" t="s">
        <v>244</v>
      </c>
      <c r="B22" s="160" t="s">
        <v>7520</v>
      </c>
      <c r="C22" s="161" t="s">
        <v>7521</v>
      </c>
      <c r="D22" s="162" t="s">
        <v>7522</v>
      </c>
      <c r="E22" s="162" t="s">
        <v>7506</v>
      </c>
      <c r="F22" s="163" t="s">
        <v>7502</v>
      </c>
      <c r="G22" s="164"/>
      <c r="H22" s="164"/>
    </row>
    <row r="23" spans="1:8" ht="76.5">
      <c r="A23" s="160" t="s">
        <v>244</v>
      </c>
      <c r="B23" s="160" t="s">
        <v>7523</v>
      </c>
      <c r="C23" s="161" t="s">
        <v>7524</v>
      </c>
      <c r="D23" s="162" t="s">
        <v>7525</v>
      </c>
      <c r="E23" s="162" t="s">
        <v>7506</v>
      </c>
      <c r="F23" s="163" t="s">
        <v>7526</v>
      </c>
      <c r="G23" s="164"/>
      <c r="H23" s="164"/>
    </row>
    <row r="24" spans="1:8" ht="36">
      <c r="A24" s="160" t="s">
        <v>244</v>
      </c>
      <c r="B24" s="160" t="s">
        <v>7527</v>
      </c>
      <c r="C24" s="161" t="s">
        <v>7528</v>
      </c>
      <c r="D24" s="162" t="s">
        <v>7529</v>
      </c>
      <c r="E24" s="162" t="s">
        <v>7506</v>
      </c>
      <c r="F24" s="163" t="s">
        <v>7502</v>
      </c>
      <c r="G24" s="164"/>
      <c r="H24" s="165"/>
    </row>
    <row r="25" spans="1:8" ht="89.25">
      <c r="A25" s="160" t="s">
        <v>244</v>
      </c>
      <c r="B25" s="160" t="s">
        <v>7530</v>
      </c>
      <c r="C25" s="161" t="s">
        <v>7531</v>
      </c>
      <c r="D25" s="162" t="s">
        <v>7532</v>
      </c>
      <c r="E25" s="162" t="s">
        <v>7506</v>
      </c>
      <c r="F25" s="163" t="s">
        <v>7533</v>
      </c>
      <c r="G25" s="164"/>
      <c r="H25" s="165"/>
    </row>
    <row r="26" spans="1:8" ht="38.25">
      <c r="A26" s="160" t="s">
        <v>244</v>
      </c>
      <c r="B26" s="160" t="s">
        <v>7534</v>
      </c>
      <c r="C26" s="161" t="s">
        <v>7535</v>
      </c>
      <c r="D26" s="162" t="s">
        <v>7536</v>
      </c>
      <c r="E26" s="162" t="s">
        <v>247</v>
      </c>
      <c r="F26" s="163" t="s">
        <v>7537</v>
      </c>
      <c r="G26" s="164"/>
      <c r="H26" s="165"/>
    </row>
    <row r="27" spans="1:8">
      <c r="A27" s="160" t="s">
        <v>244</v>
      </c>
      <c r="B27" s="160" t="s">
        <v>7538</v>
      </c>
      <c r="C27" s="161" t="s">
        <v>7539</v>
      </c>
      <c r="D27" s="162" t="s">
        <v>7540</v>
      </c>
      <c r="E27" s="162" t="s">
        <v>7541</v>
      </c>
      <c r="F27" s="163" t="s">
        <v>7542</v>
      </c>
      <c r="G27" s="164"/>
      <c r="H27" s="165"/>
    </row>
    <row r="28" spans="1:8">
      <c r="A28" s="160" t="s">
        <v>244</v>
      </c>
      <c r="B28" s="160" t="s">
        <v>7543</v>
      </c>
      <c r="C28" s="161" t="s">
        <v>7544</v>
      </c>
      <c r="D28" s="162" t="s">
        <v>7545</v>
      </c>
      <c r="E28" s="162" t="s">
        <v>7541</v>
      </c>
      <c r="F28" s="163" t="s">
        <v>7542</v>
      </c>
      <c r="G28" s="164"/>
      <c r="H28" s="165"/>
    </row>
    <row r="29" spans="1:8">
      <c r="A29" s="160" t="s">
        <v>244</v>
      </c>
      <c r="B29" s="160" t="s">
        <v>7546</v>
      </c>
      <c r="C29" s="161" t="s">
        <v>7547</v>
      </c>
      <c r="D29" s="162" t="s">
        <v>7548</v>
      </c>
      <c r="E29" s="162" t="s">
        <v>7541</v>
      </c>
      <c r="F29" s="163" t="s">
        <v>7542</v>
      </c>
      <c r="G29" s="164"/>
      <c r="H29" s="165"/>
    </row>
    <row r="30" spans="1:8">
      <c r="A30" s="160" t="s">
        <v>244</v>
      </c>
      <c r="B30" s="160" t="s">
        <v>7549</v>
      </c>
      <c r="C30" s="161" t="s">
        <v>7550</v>
      </c>
      <c r="D30" s="162" t="s">
        <v>7551</v>
      </c>
      <c r="E30" s="162" t="s">
        <v>7541</v>
      </c>
      <c r="F30" s="163" t="s">
        <v>7542</v>
      </c>
      <c r="G30" s="164"/>
      <c r="H30" s="165"/>
    </row>
    <row r="31" spans="1:8">
      <c r="A31" s="160" t="s">
        <v>244</v>
      </c>
      <c r="B31" s="160" t="s">
        <v>7552</v>
      </c>
      <c r="C31" s="161" t="s">
        <v>7553</v>
      </c>
      <c r="D31" s="162" t="s">
        <v>7554</v>
      </c>
      <c r="E31" s="162" t="s">
        <v>7541</v>
      </c>
      <c r="F31" s="163" t="s">
        <v>7542</v>
      </c>
      <c r="G31" s="164"/>
      <c r="H31" s="165"/>
    </row>
    <row r="32" spans="1:8">
      <c r="A32" s="160" t="s">
        <v>244</v>
      </c>
      <c r="B32" s="160" t="s">
        <v>7555</v>
      </c>
      <c r="C32" s="161" t="s">
        <v>7556</v>
      </c>
      <c r="D32" s="162" t="s">
        <v>7557</v>
      </c>
      <c r="E32" s="162" t="s">
        <v>7541</v>
      </c>
      <c r="F32" s="163" t="s">
        <v>7542</v>
      </c>
      <c r="G32" s="164"/>
      <c r="H32" s="165"/>
    </row>
    <row r="33" spans="1:8" ht="24">
      <c r="A33" s="160" t="s">
        <v>244</v>
      </c>
      <c r="B33" s="160" t="s">
        <v>252</v>
      </c>
      <c r="C33" s="161" t="s">
        <v>7558</v>
      </c>
      <c r="D33" s="162" t="s">
        <v>7559</v>
      </c>
      <c r="E33" s="162" t="s">
        <v>7560</v>
      </c>
      <c r="F33" s="163" t="s">
        <v>7542</v>
      </c>
      <c r="G33" s="164"/>
      <c r="H33" s="165"/>
    </row>
    <row r="34" spans="1:8" ht="24">
      <c r="A34" s="160" t="s">
        <v>244</v>
      </c>
      <c r="B34" s="160" t="s">
        <v>7561</v>
      </c>
      <c r="C34" s="161" t="s">
        <v>7562</v>
      </c>
      <c r="D34" s="162" t="s">
        <v>7563</v>
      </c>
      <c r="E34" s="162" t="s">
        <v>7560</v>
      </c>
      <c r="F34" s="163" t="s">
        <v>7542</v>
      </c>
      <c r="G34" s="164"/>
      <c r="H34" s="165"/>
    </row>
    <row r="35" spans="1:8">
      <c r="A35" s="160" t="s">
        <v>244</v>
      </c>
      <c r="B35" s="160" t="s">
        <v>7564</v>
      </c>
      <c r="C35" s="161" t="s">
        <v>7446</v>
      </c>
      <c r="D35" s="162" t="s">
        <v>7565</v>
      </c>
      <c r="E35" s="162" t="s">
        <v>7566</v>
      </c>
      <c r="F35" s="163" t="s">
        <v>7542</v>
      </c>
      <c r="G35" s="164"/>
      <c r="H35" s="165"/>
    </row>
    <row r="36" spans="1:8">
      <c r="A36" s="160" t="s">
        <v>244</v>
      </c>
      <c r="B36" s="160" t="s">
        <v>7567</v>
      </c>
      <c r="C36" s="161" t="s">
        <v>7568</v>
      </c>
      <c r="D36" s="162" t="s">
        <v>7569</v>
      </c>
      <c r="E36" s="162" t="s">
        <v>247</v>
      </c>
      <c r="F36" s="163" t="s">
        <v>7542</v>
      </c>
      <c r="G36" s="164"/>
      <c r="H36" s="164"/>
    </row>
    <row r="37" spans="1:8" ht="24">
      <c r="A37" s="160" t="s">
        <v>244</v>
      </c>
      <c r="B37" s="160" t="s">
        <v>7570</v>
      </c>
      <c r="C37" s="161" t="s">
        <v>7571</v>
      </c>
      <c r="D37" s="162" t="s">
        <v>7572</v>
      </c>
      <c r="E37" s="162" t="s">
        <v>7560</v>
      </c>
      <c r="F37" s="163" t="s">
        <v>7542</v>
      </c>
      <c r="G37" s="164"/>
      <c r="H37" s="164"/>
    </row>
    <row r="38" spans="1:8">
      <c r="A38" s="160" t="s">
        <v>244</v>
      </c>
      <c r="B38" s="160" t="s">
        <v>7573</v>
      </c>
      <c r="C38" s="161" t="s">
        <v>7574</v>
      </c>
      <c r="D38" s="162" t="s">
        <v>7575</v>
      </c>
      <c r="E38" s="162" t="s">
        <v>247</v>
      </c>
      <c r="F38" s="163" t="s">
        <v>7576</v>
      </c>
      <c r="G38" s="164"/>
      <c r="H38" s="164"/>
    </row>
    <row r="39" spans="1:8" ht="63.75">
      <c r="A39" s="160" t="s">
        <v>244</v>
      </c>
      <c r="B39" s="160" t="s">
        <v>7577</v>
      </c>
      <c r="C39" s="161" t="s">
        <v>7578</v>
      </c>
      <c r="D39" s="162" t="s">
        <v>7579</v>
      </c>
      <c r="E39" s="162" t="s">
        <v>247</v>
      </c>
      <c r="F39" s="163" t="s">
        <v>7580</v>
      </c>
      <c r="G39" s="164"/>
      <c r="H39" s="164"/>
    </row>
    <row r="40" spans="1:8" ht="63.75">
      <c r="A40" s="160" t="s">
        <v>244</v>
      </c>
      <c r="B40" s="160" t="s">
        <v>7581</v>
      </c>
      <c r="C40" s="161" t="s">
        <v>7445</v>
      </c>
      <c r="D40" s="162" t="s">
        <v>7582</v>
      </c>
      <c r="E40" s="162" t="s">
        <v>247</v>
      </c>
      <c r="F40" s="163" t="s">
        <v>7583</v>
      </c>
      <c r="G40" s="164"/>
      <c r="H40" s="164"/>
    </row>
    <row r="41" spans="1:8" ht="36">
      <c r="A41" s="160" t="s">
        <v>244</v>
      </c>
      <c r="B41" s="160" t="s">
        <v>7584</v>
      </c>
      <c r="C41" s="161" t="s">
        <v>7585</v>
      </c>
      <c r="D41" s="162" t="s">
        <v>7586</v>
      </c>
      <c r="E41" s="162" t="s">
        <v>7587</v>
      </c>
      <c r="F41" s="163" t="s">
        <v>7588</v>
      </c>
      <c r="G41" s="164"/>
      <c r="H41" s="164"/>
    </row>
    <row r="42" spans="1:8" ht="36">
      <c r="A42" s="160" t="s">
        <v>244</v>
      </c>
      <c r="B42" s="160" t="s">
        <v>7443</v>
      </c>
      <c r="C42" s="161" t="s">
        <v>7444</v>
      </c>
      <c r="D42" s="162" t="s">
        <v>7589</v>
      </c>
      <c r="E42" s="162" t="s">
        <v>7590</v>
      </c>
      <c r="F42" s="163" t="s">
        <v>7588</v>
      </c>
      <c r="G42" s="164"/>
      <c r="H42" s="164"/>
    </row>
    <row r="43" spans="1:8" ht="36">
      <c r="A43" s="160" t="s">
        <v>244</v>
      </c>
      <c r="B43" s="160" t="s">
        <v>7591</v>
      </c>
      <c r="C43" s="161" t="s">
        <v>7592</v>
      </c>
      <c r="D43" s="162" t="s">
        <v>7593</v>
      </c>
      <c r="E43" s="162" t="s">
        <v>7594</v>
      </c>
      <c r="F43" s="163" t="s">
        <v>7588</v>
      </c>
      <c r="G43" s="164"/>
      <c r="H43" s="164"/>
    </row>
    <row r="44" spans="1:8" ht="102">
      <c r="A44" s="160" t="s">
        <v>244</v>
      </c>
      <c r="B44" s="160" t="s">
        <v>7595</v>
      </c>
      <c r="C44" s="161" t="s">
        <v>7596</v>
      </c>
      <c r="D44" s="162" t="s">
        <v>7597</v>
      </c>
      <c r="E44" s="162" t="s">
        <v>7455</v>
      </c>
      <c r="F44" s="163" t="s">
        <v>7598</v>
      </c>
      <c r="G44" s="176"/>
      <c r="H44" s="176"/>
    </row>
    <row r="45" spans="1:8">
      <c r="A45" s="177"/>
      <c r="B45" s="177"/>
      <c r="C45" s="178"/>
      <c r="D45" s="178"/>
      <c r="E45" s="178"/>
      <c r="F45" s="178"/>
    </row>
    <row r="48" spans="1:8" ht="25.5" customHeight="1"/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6" enableFormatConditionsCalculation="0">
    <tabColor indexed="10"/>
  </sheetPr>
  <dimension ref="A1:E118"/>
  <sheetViews>
    <sheetView zoomScale="95" zoomScaleNormal="95" workbookViewId="0">
      <selection activeCell="D87" sqref="D87"/>
    </sheetView>
  </sheetViews>
  <sheetFormatPr baseColWidth="10" defaultColWidth="12.7109375" defaultRowHeight="12.75"/>
  <cols>
    <col min="1" max="1" width="21.85546875" style="123" customWidth="1"/>
    <col min="2" max="2" width="24.42578125" style="123" customWidth="1"/>
    <col min="3" max="3" width="26" style="123" customWidth="1"/>
    <col min="4" max="4" width="18.5703125" style="128" customWidth="1"/>
    <col min="5" max="5" width="12.140625" style="123" bestFit="1" customWidth="1"/>
    <col min="6" max="16384" width="12.7109375" style="129"/>
  </cols>
  <sheetData>
    <row r="1" spans="1:5" s="131" customFormat="1" ht="13.5" thickBot="1">
      <c r="A1" s="114" t="s">
        <v>146</v>
      </c>
      <c r="B1" s="114" t="s">
        <v>147</v>
      </c>
      <c r="C1" s="114" t="s">
        <v>148</v>
      </c>
      <c r="D1" s="130" t="s">
        <v>149</v>
      </c>
      <c r="E1" s="114" t="s">
        <v>150</v>
      </c>
    </row>
    <row r="2" spans="1:5">
      <c r="A2" s="132" t="s">
        <v>255</v>
      </c>
      <c r="B2" s="123" t="s">
        <v>7844</v>
      </c>
      <c r="C2" s="123" t="s">
        <v>7726</v>
      </c>
      <c r="D2" s="133"/>
      <c r="E2" s="123" t="s">
        <v>7844</v>
      </c>
    </row>
    <row r="3" spans="1:5">
      <c r="A3" s="132" t="s">
        <v>255</v>
      </c>
      <c r="B3" s="123" t="s">
        <v>7887</v>
      </c>
      <c r="C3" s="123" t="s">
        <v>7727</v>
      </c>
      <c r="E3" s="123" t="s">
        <v>7887</v>
      </c>
    </row>
    <row r="4" spans="1:5">
      <c r="A4" s="132" t="s">
        <v>255</v>
      </c>
      <c r="B4" s="123" t="s">
        <v>7888</v>
      </c>
      <c r="C4" s="123" t="s">
        <v>7728</v>
      </c>
      <c r="E4" s="123" t="s">
        <v>7888</v>
      </c>
    </row>
    <row r="5" spans="1:5">
      <c r="A5" s="132" t="s">
        <v>255</v>
      </c>
      <c r="B5" s="123" t="s">
        <v>7812</v>
      </c>
      <c r="C5" s="123" t="s">
        <v>7850</v>
      </c>
      <c r="E5" s="123" t="s">
        <v>7812</v>
      </c>
    </row>
    <row r="6" spans="1:5">
      <c r="A6" s="132" t="s">
        <v>255</v>
      </c>
      <c r="B6" s="123" t="s">
        <v>7889</v>
      </c>
      <c r="C6" s="123" t="s">
        <v>7729</v>
      </c>
      <c r="E6" s="123" t="s">
        <v>7889</v>
      </c>
    </row>
    <row r="7" spans="1:5">
      <c r="A7" s="132" t="s">
        <v>255</v>
      </c>
      <c r="B7" s="123" t="s">
        <v>7890</v>
      </c>
      <c r="C7" s="123" t="s">
        <v>7730</v>
      </c>
      <c r="E7" s="123" t="s">
        <v>7890</v>
      </c>
    </row>
    <row r="8" spans="1:5">
      <c r="A8" s="132" t="s">
        <v>255</v>
      </c>
      <c r="B8" s="123" t="s">
        <v>7815</v>
      </c>
      <c r="C8" s="123" t="s">
        <v>7731</v>
      </c>
      <c r="E8" s="123" t="s">
        <v>7815</v>
      </c>
    </row>
    <row r="9" spans="1:5">
      <c r="A9" s="132" t="s">
        <v>255</v>
      </c>
      <c r="B9" s="123" t="s">
        <v>7891</v>
      </c>
      <c r="C9" s="123" t="s">
        <v>7732</v>
      </c>
      <c r="E9" s="123" t="s">
        <v>7891</v>
      </c>
    </row>
    <row r="10" spans="1:5">
      <c r="A10" s="132" t="s">
        <v>255</v>
      </c>
      <c r="B10" s="123" t="s">
        <v>7892</v>
      </c>
      <c r="C10" s="123" t="s">
        <v>7733</v>
      </c>
      <c r="E10" s="123" t="s">
        <v>7892</v>
      </c>
    </row>
    <row r="11" spans="1:5">
      <c r="A11" s="132" t="s">
        <v>255</v>
      </c>
      <c r="B11" s="123" t="s">
        <v>7839</v>
      </c>
      <c r="C11" s="123" t="s">
        <v>7734</v>
      </c>
      <c r="E11" s="123" t="s">
        <v>7839</v>
      </c>
    </row>
    <row r="12" spans="1:5">
      <c r="A12" s="132" t="s">
        <v>255</v>
      </c>
      <c r="B12" s="123" t="s">
        <v>7893</v>
      </c>
      <c r="C12" s="123" t="s">
        <v>7735</v>
      </c>
      <c r="E12" s="123" t="s">
        <v>7893</v>
      </c>
    </row>
    <row r="13" spans="1:5">
      <c r="A13" s="132" t="s">
        <v>255</v>
      </c>
      <c r="B13" s="123" t="s">
        <v>7894</v>
      </c>
      <c r="C13" s="123" t="s">
        <v>7863</v>
      </c>
      <c r="E13" s="123" t="s">
        <v>7894</v>
      </c>
    </row>
    <row r="14" spans="1:5">
      <c r="A14" s="132" t="s">
        <v>255</v>
      </c>
      <c r="B14" s="123" t="s">
        <v>7830</v>
      </c>
      <c r="C14" s="123" t="s">
        <v>7736</v>
      </c>
      <c r="E14" s="123" t="s">
        <v>7830</v>
      </c>
    </row>
    <row r="15" spans="1:5">
      <c r="A15" s="132" t="s">
        <v>255</v>
      </c>
      <c r="B15" s="123" t="s">
        <v>7895</v>
      </c>
      <c r="C15" s="123" t="s">
        <v>7864</v>
      </c>
      <c r="E15" s="123" t="s">
        <v>7895</v>
      </c>
    </row>
    <row r="16" spans="1:5">
      <c r="A16" s="132" t="s">
        <v>255</v>
      </c>
      <c r="B16" s="123" t="s">
        <v>7896</v>
      </c>
      <c r="C16" s="123" t="s">
        <v>7737</v>
      </c>
      <c r="E16" s="123" t="s">
        <v>7896</v>
      </c>
    </row>
    <row r="17" spans="1:5">
      <c r="A17" s="132" t="s">
        <v>255</v>
      </c>
      <c r="B17" s="123" t="s">
        <v>7834</v>
      </c>
      <c r="C17" s="123" t="s">
        <v>7851</v>
      </c>
      <c r="E17" s="123" t="s">
        <v>7834</v>
      </c>
    </row>
    <row r="18" spans="1:5">
      <c r="A18" s="132" t="s">
        <v>255</v>
      </c>
      <c r="B18" s="123" t="s">
        <v>7897</v>
      </c>
      <c r="C18" s="123" t="s">
        <v>7865</v>
      </c>
      <c r="E18" s="123" t="s">
        <v>7897</v>
      </c>
    </row>
    <row r="19" spans="1:5">
      <c r="A19" s="132" t="s">
        <v>255</v>
      </c>
      <c r="B19" s="123" t="s">
        <v>7898</v>
      </c>
      <c r="C19" s="123" t="s">
        <v>7738</v>
      </c>
      <c r="E19" s="123" t="s">
        <v>7898</v>
      </c>
    </row>
    <row r="20" spans="1:5">
      <c r="A20" s="132" t="s">
        <v>255</v>
      </c>
      <c r="B20" s="123" t="s">
        <v>7822</v>
      </c>
      <c r="C20" s="123" t="s">
        <v>7739</v>
      </c>
      <c r="E20" s="123" t="s">
        <v>7822</v>
      </c>
    </row>
    <row r="21" spans="1:5">
      <c r="A21" s="132" t="s">
        <v>255</v>
      </c>
      <c r="B21" s="123" t="s">
        <v>7899</v>
      </c>
      <c r="C21" s="123" t="s">
        <v>7866</v>
      </c>
      <c r="E21" s="123" t="s">
        <v>7899</v>
      </c>
    </row>
    <row r="22" spans="1:5">
      <c r="A22" s="132" t="s">
        <v>255</v>
      </c>
      <c r="B22" s="123" t="s">
        <v>7900</v>
      </c>
      <c r="C22" s="123" t="s">
        <v>7740</v>
      </c>
      <c r="E22" s="123" t="s">
        <v>7900</v>
      </c>
    </row>
    <row r="23" spans="1:5">
      <c r="A23" s="132" t="s">
        <v>255</v>
      </c>
      <c r="B23" s="123" t="s">
        <v>7848</v>
      </c>
      <c r="C23" s="123" t="s">
        <v>7852</v>
      </c>
      <c r="E23" s="123" t="s">
        <v>7848</v>
      </c>
    </row>
    <row r="24" spans="1:5">
      <c r="A24" s="132" t="s">
        <v>255</v>
      </c>
      <c r="B24" s="123" t="s">
        <v>7901</v>
      </c>
      <c r="C24" s="123" t="s">
        <v>7867</v>
      </c>
      <c r="E24" s="123" t="s">
        <v>7901</v>
      </c>
    </row>
    <row r="25" spans="1:5">
      <c r="A25" s="132" t="s">
        <v>255</v>
      </c>
      <c r="B25" s="123" t="s">
        <v>7902</v>
      </c>
      <c r="C25" s="123" t="s">
        <v>7741</v>
      </c>
      <c r="E25" s="123" t="s">
        <v>7902</v>
      </c>
    </row>
    <row r="26" spans="1:5">
      <c r="A26" s="132" t="s">
        <v>255</v>
      </c>
      <c r="B26" s="123" t="s">
        <v>7840</v>
      </c>
      <c r="C26" s="123" t="s">
        <v>7742</v>
      </c>
      <c r="E26" s="123" t="s">
        <v>7840</v>
      </c>
    </row>
    <row r="27" spans="1:5">
      <c r="A27" s="132" t="s">
        <v>255</v>
      </c>
      <c r="B27" s="123" t="s">
        <v>7903</v>
      </c>
      <c r="C27" s="123" t="s">
        <v>7868</v>
      </c>
      <c r="E27" s="123" t="s">
        <v>7903</v>
      </c>
    </row>
    <row r="28" spans="1:5">
      <c r="A28" s="132" t="s">
        <v>255</v>
      </c>
      <c r="B28" s="123" t="s">
        <v>7904</v>
      </c>
      <c r="C28" s="123" t="s">
        <v>7743</v>
      </c>
      <c r="E28" s="123" t="s">
        <v>7904</v>
      </c>
    </row>
    <row r="29" spans="1:5">
      <c r="A29" s="132" t="s">
        <v>255</v>
      </c>
      <c r="B29" s="123" t="s">
        <v>7842</v>
      </c>
      <c r="C29" s="123" t="s">
        <v>7744</v>
      </c>
      <c r="E29" s="123" t="s">
        <v>7842</v>
      </c>
    </row>
    <row r="30" spans="1:5">
      <c r="A30" s="132" t="s">
        <v>255</v>
      </c>
      <c r="B30" s="123" t="s">
        <v>7905</v>
      </c>
      <c r="C30" s="123" t="s">
        <v>7745</v>
      </c>
      <c r="E30" s="123" t="s">
        <v>7905</v>
      </c>
    </row>
    <row r="31" spans="1:5">
      <c r="A31" s="132" t="s">
        <v>255</v>
      </c>
      <c r="B31" s="123" t="s">
        <v>7906</v>
      </c>
      <c r="C31" s="123" t="s">
        <v>7746</v>
      </c>
      <c r="E31" s="123" t="s">
        <v>7906</v>
      </c>
    </row>
    <row r="32" spans="1:5">
      <c r="A32" s="132" t="s">
        <v>255</v>
      </c>
      <c r="B32" s="123" t="s">
        <v>7825</v>
      </c>
      <c r="C32" s="123" t="s">
        <v>7747</v>
      </c>
      <c r="E32" s="123" t="s">
        <v>7825</v>
      </c>
    </row>
    <row r="33" spans="1:5">
      <c r="A33" s="132" t="s">
        <v>255</v>
      </c>
      <c r="B33" s="123" t="s">
        <v>7907</v>
      </c>
      <c r="C33" s="123" t="s">
        <v>7748</v>
      </c>
      <c r="E33" s="123" t="s">
        <v>7907</v>
      </c>
    </row>
    <row r="34" spans="1:5">
      <c r="A34" s="132" t="s">
        <v>255</v>
      </c>
      <c r="B34" s="123" t="s">
        <v>7908</v>
      </c>
      <c r="C34" s="123" t="s">
        <v>7869</v>
      </c>
      <c r="E34" s="123" t="s">
        <v>7908</v>
      </c>
    </row>
    <row r="35" spans="1:5">
      <c r="A35" s="132" t="s">
        <v>255</v>
      </c>
      <c r="B35" s="123" t="s">
        <v>7826</v>
      </c>
      <c r="C35" s="123" t="s">
        <v>7749</v>
      </c>
      <c r="E35" s="123" t="s">
        <v>7826</v>
      </c>
    </row>
    <row r="36" spans="1:5">
      <c r="A36" s="132" t="s">
        <v>255</v>
      </c>
      <c r="B36" s="123" t="s">
        <v>7909</v>
      </c>
      <c r="C36" s="123" t="s">
        <v>7750</v>
      </c>
      <c r="E36" s="123" t="s">
        <v>7909</v>
      </c>
    </row>
    <row r="37" spans="1:5">
      <c r="A37" s="132" t="s">
        <v>255</v>
      </c>
      <c r="B37" s="123" t="s">
        <v>7910</v>
      </c>
      <c r="C37" s="123" t="s">
        <v>7751</v>
      </c>
      <c r="E37" s="123" t="s">
        <v>7910</v>
      </c>
    </row>
    <row r="38" spans="1:5">
      <c r="A38" s="132" t="s">
        <v>255</v>
      </c>
      <c r="B38" s="123" t="s">
        <v>7829</v>
      </c>
      <c r="C38" s="123" t="s">
        <v>7752</v>
      </c>
      <c r="E38" s="123" t="s">
        <v>7829</v>
      </c>
    </row>
    <row r="39" spans="1:5">
      <c r="A39" s="132" t="s">
        <v>255</v>
      </c>
      <c r="B39" s="123" t="s">
        <v>7911</v>
      </c>
      <c r="C39" s="123" t="s">
        <v>7870</v>
      </c>
      <c r="E39" s="123" t="s">
        <v>7911</v>
      </c>
    </row>
    <row r="40" spans="1:5">
      <c r="A40" s="132" t="s">
        <v>255</v>
      </c>
      <c r="B40" s="123" t="s">
        <v>7912</v>
      </c>
      <c r="C40" s="123" t="s">
        <v>7871</v>
      </c>
      <c r="E40" s="123" t="s">
        <v>7912</v>
      </c>
    </row>
    <row r="41" spans="1:5">
      <c r="A41" s="132" t="s">
        <v>255</v>
      </c>
      <c r="B41" s="125" t="s">
        <v>7841</v>
      </c>
      <c r="C41" s="125" t="s">
        <v>7853</v>
      </c>
      <c r="E41" s="125" t="s">
        <v>7841</v>
      </c>
    </row>
    <row r="42" spans="1:5">
      <c r="A42" s="132" t="s">
        <v>255</v>
      </c>
      <c r="B42" s="123" t="s">
        <v>7913</v>
      </c>
      <c r="C42" s="123" t="s">
        <v>7753</v>
      </c>
      <c r="E42" s="123" t="s">
        <v>7913</v>
      </c>
    </row>
    <row r="43" spans="1:5">
      <c r="A43" s="132" t="s">
        <v>255</v>
      </c>
      <c r="B43" s="123" t="s">
        <v>7914</v>
      </c>
      <c r="C43" s="123" t="s">
        <v>7754</v>
      </c>
      <c r="E43" s="123" t="s">
        <v>7914</v>
      </c>
    </row>
    <row r="44" spans="1:5">
      <c r="A44" s="132" t="s">
        <v>255</v>
      </c>
      <c r="B44" s="123" t="s">
        <v>7828</v>
      </c>
      <c r="C44" s="123" t="s">
        <v>7755</v>
      </c>
      <c r="E44" s="123" t="s">
        <v>7828</v>
      </c>
    </row>
    <row r="45" spans="1:5">
      <c r="A45" s="132" t="s">
        <v>255</v>
      </c>
      <c r="B45" s="123" t="s">
        <v>7915</v>
      </c>
      <c r="C45" s="123" t="s">
        <v>7872</v>
      </c>
      <c r="E45" s="123" t="s">
        <v>7915</v>
      </c>
    </row>
    <row r="46" spans="1:5">
      <c r="A46" s="132" t="s">
        <v>255</v>
      </c>
      <c r="B46" s="123" t="s">
        <v>7916</v>
      </c>
      <c r="C46" s="123" t="s">
        <v>7873</v>
      </c>
      <c r="E46" s="123" t="s">
        <v>7916</v>
      </c>
    </row>
    <row r="47" spans="1:5">
      <c r="A47" s="132" t="s">
        <v>255</v>
      </c>
      <c r="B47" s="123" t="s">
        <v>7849</v>
      </c>
      <c r="C47" s="123" t="s">
        <v>7756</v>
      </c>
      <c r="E47" s="123" t="s">
        <v>7849</v>
      </c>
    </row>
    <row r="48" spans="1:5">
      <c r="A48" s="132" t="s">
        <v>255</v>
      </c>
      <c r="B48" s="123" t="s">
        <v>7917</v>
      </c>
      <c r="C48" s="123" t="s">
        <v>7757</v>
      </c>
      <c r="E48" s="123" t="s">
        <v>7917</v>
      </c>
    </row>
    <row r="49" spans="1:5">
      <c r="A49" s="132" t="s">
        <v>255</v>
      </c>
      <c r="B49" s="123" t="s">
        <v>7918</v>
      </c>
      <c r="C49" s="123" t="s">
        <v>7874</v>
      </c>
      <c r="E49" s="123" t="s">
        <v>7918</v>
      </c>
    </row>
    <row r="50" spans="1:5">
      <c r="A50" s="132" t="s">
        <v>255</v>
      </c>
      <c r="B50" s="123" t="s">
        <v>7820</v>
      </c>
      <c r="C50" s="123" t="s">
        <v>7758</v>
      </c>
      <c r="E50" s="123" t="s">
        <v>7820</v>
      </c>
    </row>
    <row r="51" spans="1:5">
      <c r="A51" s="132" t="s">
        <v>255</v>
      </c>
      <c r="B51" s="123" t="s">
        <v>7919</v>
      </c>
      <c r="C51" s="123" t="s">
        <v>7759</v>
      </c>
      <c r="E51" s="123" t="s">
        <v>7919</v>
      </c>
    </row>
    <row r="52" spans="1:5">
      <c r="A52" s="132" t="s">
        <v>255</v>
      </c>
      <c r="B52" s="123" t="s">
        <v>7920</v>
      </c>
      <c r="C52" s="123" t="s">
        <v>7760</v>
      </c>
      <c r="E52" s="123" t="s">
        <v>7920</v>
      </c>
    </row>
    <row r="53" spans="1:5">
      <c r="A53" s="132" t="s">
        <v>255</v>
      </c>
      <c r="B53" s="123" t="s">
        <v>7821</v>
      </c>
      <c r="C53" s="123" t="s">
        <v>7854</v>
      </c>
      <c r="E53" s="123" t="s">
        <v>7821</v>
      </c>
    </row>
    <row r="54" spans="1:5">
      <c r="A54" s="132" t="s">
        <v>255</v>
      </c>
      <c r="B54" s="123" t="s">
        <v>7921</v>
      </c>
      <c r="C54" s="123" t="s">
        <v>7761</v>
      </c>
      <c r="E54" s="123" t="s">
        <v>7921</v>
      </c>
    </row>
    <row r="55" spans="1:5">
      <c r="A55" s="132" t="s">
        <v>255</v>
      </c>
      <c r="B55" s="123" t="s">
        <v>7922</v>
      </c>
      <c r="C55" s="123" t="s">
        <v>7875</v>
      </c>
      <c r="E55" s="123" t="s">
        <v>7922</v>
      </c>
    </row>
    <row r="56" spans="1:5">
      <c r="A56" s="132" t="s">
        <v>255</v>
      </c>
      <c r="B56" s="123" t="s">
        <v>7832</v>
      </c>
      <c r="C56" s="123" t="s">
        <v>7762</v>
      </c>
      <c r="E56" s="123" t="s">
        <v>7832</v>
      </c>
    </row>
    <row r="57" spans="1:5">
      <c r="A57" s="132" t="s">
        <v>255</v>
      </c>
      <c r="B57" s="123" t="s">
        <v>7923</v>
      </c>
      <c r="C57" s="123" t="s">
        <v>7763</v>
      </c>
      <c r="E57" s="123" t="s">
        <v>7923</v>
      </c>
    </row>
    <row r="58" spans="1:5">
      <c r="A58" s="132" t="s">
        <v>255</v>
      </c>
      <c r="B58" s="123" t="s">
        <v>7924</v>
      </c>
      <c r="C58" s="123" t="s">
        <v>7764</v>
      </c>
      <c r="E58" s="123" t="s">
        <v>7924</v>
      </c>
    </row>
    <row r="59" spans="1:5">
      <c r="A59" s="132" t="s">
        <v>255</v>
      </c>
      <c r="B59" s="123" t="s">
        <v>7817</v>
      </c>
      <c r="C59" s="123" t="s">
        <v>7855</v>
      </c>
      <c r="E59" s="123" t="s">
        <v>7817</v>
      </c>
    </row>
    <row r="60" spans="1:5">
      <c r="A60" s="132" t="s">
        <v>255</v>
      </c>
      <c r="B60" s="123" t="s">
        <v>7925</v>
      </c>
      <c r="C60" s="123" t="s">
        <v>7765</v>
      </c>
      <c r="E60" s="123" t="s">
        <v>7925</v>
      </c>
    </row>
    <row r="61" spans="1:5">
      <c r="A61" s="132" t="s">
        <v>255</v>
      </c>
      <c r="B61" s="123" t="s">
        <v>7926</v>
      </c>
      <c r="C61" s="123" t="s">
        <v>7766</v>
      </c>
      <c r="E61" s="123" t="s">
        <v>7926</v>
      </c>
    </row>
    <row r="62" spans="1:5">
      <c r="A62" s="132" t="s">
        <v>255</v>
      </c>
      <c r="B62" s="123" t="s">
        <v>7818</v>
      </c>
      <c r="C62" s="123" t="s">
        <v>7767</v>
      </c>
      <c r="E62" s="123" t="s">
        <v>7818</v>
      </c>
    </row>
    <row r="63" spans="1:5">
      <c r="A63" s="132" t="s">
        <v>255</v>
      </c>
      <c r="B63" s="123" t="s">
        <v>7927</v>
      </c>
      <c r="C63" s="123" t="s">
        <v>7768</v>
      </c>
      <c r="E63" s="123" t="s">
        <v>7927</v>
      </c>
    </row>
    <row r="64" spans="1:5">
      <c r="A64" s="132" t="s">
        <v>255</v>
      </c>
      <c r="B64" s="123" t="s">
        <v>7928</v>
      </c>
      <c r="C64" s="123" t="s">
        <v>7769</v>
      </c>
      <c r="E64" s="123" t="s">
        <v>7928</v>
      </c>
    </row>
    <row r="65" spans="1:5">
      <c r="A65" s="132" t="s">
        <v>255</v>
      </c>
      <c r="B65" s="123" t="s">
        <v>7809</v>
      </c>
      <c r="C65" s="123" t="s">
        <v>7770</v>
      </c>
      <c r="E65" s="123" t="s">
        <v>7809</v>
      </c>
    </row>
    <row r="66" spans="1:5">
      <c r="A66" s="132" t="s">
        <v>255</v>
      </c>
      <c r="B66" s="123" t="s">
        <v>7929</v>
      </c>
      <c r="C66" s="123" t="s">
        <v>7771</v>
      </c>
      <c r="E66" s="123" t="s">
        <v>7929</v>
      </c>
    </row>
    <row r="67" spans="1:5">
      <c r="A67" s="132" t="s">
        <v>255</v>
      </c>
      <c r="B67" s="123" t="s">
        <v>7930</v>
      </c>
      <c r="C67" s="123" t="s">
        <v>7876</v>
      </c>
      <c r="E67" s="123" t="s">
        <v>7930</v>
      </c>
    </row>
    <row r="68" spans="1:5">
      <c r="A68" s="132" t="s">
        <v>255</v>
      </c>
      <c r="B68" s="123" t="s">
        <v>7810</v>
      </c>
      <c r="C68" s="123" t="s">
        <v>7772</v>
      </c>
      <c r="E68" s="123" t="s">
        <v>7810</v>
      </c>
    </row>
    <row r="69" spans="1:5">
      <c r="A69" s="132" t="s">
        <v>255</v>
      </c>
      <c r="B69" s="123" t="s">
        <v>7931</v>
      </c>
      <c r="C69" s="123" t="s">
        <v>7773</v>
      </c>
      <c r="E69" s="123" t="s">
        <v>7931</v>
      </c>
    </row>
    <row r="70" spans="1:5">
      <c r="A70" s="132" t="s">
        <v>255</v>
      </c>
      <c r="B70" s="123" t="s">
        <v>7932</v>
      </c>
      <c r="C70" s="123" t="s">
        <v>7774</v>
      </c>
      <c r="E70" s="123" t="s">
        <v>7932</v>
      </c>
    </row>
    <row r="71" spans="1:5">
      <c r="A71" s="132" t="s">
        <v>255</v>
      </c>
      <c r="B71" s="123" t="s">
        <v>7845</v>
      </c>
      <c r="C71" s="123" t="s">
        <v>7775</v>
      </c>
      <c r="E71" s="123" t="s">
        <v>7845</v>
      </c>
    </row>
    <row r="72" spans="1:5">
      <c r="A72" s="132" t="s">
        <v>255</v>
      </c>
      <c r="B72" s="123" t="s">
        <v>7933</v>
      </c>
      <c r="C72" s="123" t="s">
        <v>7776</v>
      </c>
      <c r="E72" s="123" t="s">
        <v>7933</v>
      </c>
    </row>
    <row r="73" spans="1:5">
      <c r="A73" s="132" t="s">
        <v>255</v>
      </c>
      <c r="B73" s="123" t="s">
        <v>7934</v>
      </c>
      <c r="C73" s="123" t="s">
        <v>7777</v>
      </c>
      <c r="E73" s="123" t="s">
        <v>7934</v>
      </c>
    </row>
    <row r="74" spans="1:5">
      <c r="A74" s="132" t="s">
        <v>255</v>
      </c>
      <c r="B74" s="123" t="s">
        <v>7827</v>
      </c>
      <c r="C74" s="123" t="s">
        <v>7856</v>
      </c>
      <c r="E74" s="123" t="s">
        <v>7827</v>
      </c>
    </row>
    <row r="75" spans="1:5">
      <c r="A75" s="132" t="s">
        <v>255</v>
      </c>
      <c r="B75" s="123" t="s">
        <v>7935</v>
      </c>
      <c r="C75" s="123" t="s">
        <v>7877</v>
      </c>
      <c r="E75" s="123" t="s">
        <v>7935</v>
      </c>
    </row>
    <row r="76" spans="1:5">
      <c r="A76" s="132" t="s">
        <v>255</v>
      </c>
      <c r="B76" s="123" t="s">
        <v>7936</v>
      </c>
      <c r="C76" s="123" t="s">
        <v>7778</v>
      </c>
      <c r="E76" s="123" t="s">
        <v>7936</v>
      </c>
    </row>
    <row r="77" spans="1:5">
      <c r="A77" s="132" t="s">
        <v>255</v>
      </c>
      <c r="B77" s="123" t="s">
        <v>7847</v>
      </c>
      <c r="C77" s="123" t="s">
        <v>7779</v>
      </c>
      <c r="E77" s="123" t="s">
        <v>7847</v>
      </c>
    </row>
    <row r="78" spans="1:5">
      <c r="A78" s="132" t="s">
        <v>255</v>
      </c>
      <c r="B78" s="123" t="s">
        <v>7937</v>
      </c>
      <c r="C78" s="123" t="s">
        <v>7780</v>
      </c>
      <c r="E78" s="123" t="s">
        <v>7937</v>
      </c>
    </row>
    <row r="79" spans="1:5">
      <c r="A79" s="132" t="s">
        <v>255</v>
      </c>
      <c r="B79" s="123" t="s">
        <v>7938</v>
      </c>
      <c r="C79" s="123" t="s">
        <v>7781</v>
      </c>
      <c r="E79" s="123" t="s">
        <v>7938</v>
      </c>
    </row>
    <row r="80" spans="1:5">
      <c r="A80" s="132" t="s">
        <v>255</v>
      </c>
      <c r="B80" s="123" t="s">
        <v>7836</v>
      </c>
      <c r="C80" s="123" t="s">
        <v>7782</v>
      </c>
      <c r="E80" s="123" t="s">
        <v>7836</v>
      </c>
    </row>
    <row r="81" spans="1:5">
      <c r="A81" s="132" t="s">
        <v>255</v>
      </c>
      <c r="B81" s="123" t="s">
        <v>7939</v>
      </c>
      <c r="C81" s="123" t="s">
        <v>7783</v>
      </c>
      <c r="E81" s="123" t="s">
        <v>7939</v>
      </c>
    </row>
    <row r="82" spans="1:5">
      <c r="A82" s="132" t="s">
        <v>255</v>
      </c>
      <c r="B82" s="123" t="s">
        <v>7940</v>
      </c>
      <c r="C82" s="123" t="s">
        <v>7878</v>
      </c>
      <c r="E82" s="123" t="s">
        <v>7940</v>
      </c>
    </row>
    <row r="83" spans="1:5">
      <c r="A83" s="132" t="s">
        <v>255</v>
      </c>
      <c r="B83" s="123" t="s">
        <v>7814</v>
      </c>
      <c r="C83" s="123" t="s">
        <v>7784</v>
      </c>
      <c r="E83" s="123" t="s">
        <v>7814</v>
      </c>
    </row>
    <row r="84" spans="1:5">
      <c r="A84" s="132" t="s">
        <v>255</v>
      </c>
      <c r="B84" s="123" t="s">
        <v>7941</v>
      </c>
      <c r="C84" s="123" t="s">
        <v>7785</v>
      </c>
      <c r="E84" s="123" t="s">
        <v>7941</v>
      </c>
    </row>
    <row r="85" spans="1:5">
      <c r="A85" s="132" t="s">
        <v>255</v>
      </c>
      <c r="B85" s="123" t="s">
        <v>7942</v>
      </c>
      <c r="C85" s="123" t="s">
        <v>7879</v>
      </c>
      <c r="E85" s="123" t="s">
        <v>7942</v>
      </c>
    </row>
    <row r="86" spans="1:5">
      <c r="A86" s="132" t="s">
        <v>255</v>
      </c>
      <c r="B86" s="123" t="s">
        <v>7823</v>
      </c>
      <c r="C86" s="123" t="s">
        <v>7857</v>
      </c>
      <c r="E86" s="123" t="s">
        <v>7823</v>
      </c>
    </row>
    <row r="87" spans="1:5">
      <c r="A87" s="132" t="s">
        <v>255</v>
      </c>
      <c r="B87" s="123" t="s">
        <v>7943</v>
      </c>
      <c r="C87" s="123" t="s">
        <v>7786</v>
      </c>
      <c r="E87" s="123" t="s">
        <v>7943</v>
      </c>
    </row>
    <row r="88" spans="1:5">
      <c r="A88" s="132" t="s">
        <v>255</v>
      </c>
      <c r="B88" s="123" t="s">
        <v>7944</v>
      </c>
      <c r="C88" s="123" t="s">
        <v>7880</v>
      </c>
      <c r="E88" s="123" t="s">
        <v>7944</v>
      </c>
    </row>
    <row r="89" spans="1:5">
      <c r="A89" s="132" t="s">
        <v>255</v>
      </c>
      <c r="B89" s="123" t="s">
        <v>7837</v>
      </c>
      <c r="C89" s="123" t="s">
        <v>7858</v>
      </c>
      <c r="E89" s="123" t="s">
        <v>7837</v>
      </c>
    </row>
    <row r="90" spans="1:5">
      <c r="A90" s="132" t="s">
        <v>255</v>
      </c>
      <c r="B90" s="123" t="s">
        <v>7945</v>
      </c>
      <c r="C90" s="123" t="s">
        <v>7787</v>
      </c>
      <c r="E90" s="123" t="s">
        <v>7945</v>
      </c>
    </row>
    <row r="91" spans="1:5">
      <c r="A91" s="132" t="s">
        <v>255</v>
      </c>
      <c r="B91" s="123" t="s">
        <v>7946</v>
      </c>
      <c r="C91" s="123" t="s">
        <v>7788</v>
      </c>
      <c r="E91" s="123" t="s">
        <v>7946</v>
      </c>
    </row>
    <row r="92" spans="1:5">
      <c r="A92" s="132" t="s">
        <v>255</v>
      </c>
      <c r="B92" s="123" t="s">
        <v>7824</v>
      </c>
      <c r="C92" s="123" t="s">
        <v>7789</v>
      </c>
      <c r="E92" s="123" t="s">
        <v>7824</v>
      </c>
    </row>
    <row r="93" spans="1:5">
      <c r="A93" s="132" t="s">
        <v>255</v>
      </c>
      <c r="B93" s="123" t="s">
        <v>7947</v>
      </c>
      <c r="C93" s="123" t="s">
        <v>7881</v>
      </c>
      <c r="E93" s="123" t="s">
        <v>7947</v>
      </c>
    </row>
    <row r="94" spans="1:5">
      <c r="A94" s="132" t="s">
        <v>255</v>
      </c>
      <c r="B94" s="123" t="s">
        <v>7948</v>
      </c>
      <c r="C94" s="123" t="s">
        <v>7790</v>
      </c>
      <c r="E94" s="123" t="s">
        <v>7948</v>
      </c>
    </row>
    <row r="95" spans="1:5">
      <c r="A95" s="132" t="s">
        <v>255</v>
      </c>
      <c r="B95" s="123" t="s">
        <v>7813</v>
      </c>
      <c r="C95" s="123" t="s">
        <v>7791</v>
      </c>
      <c r="E95" s="123" t="s">
        <v>7813</v>
      </c>
    </row>
    <row r="96" spans="1:5">
      <c r="A96" s="132" t="s">
        <v>255</v>
      </c>
      <c r="B96" s="123" t="s">
        <v>7949</v>
      </c>
      <c r="C96" s="123" t="s">
        <v>7792</v>
      </c>
      <c r="E96" s="123" t="s">
        <v>7949</v>
      </c>
    </row>
    <row r="97" spans="1:5">
      <c r="A97" s="132" t="s">
        <v>255</v>
      </c>
      <c r="B97" s="123" t="s">
        <v>7950</v>
      </c>
      <c r="C97" s="123" t="s">
        <v>7882</v>
      </c>
      <c r="E97" s="123" t="s">
        <v>7950</v>
      </c>
    </row>
    <row r="98" spans="1:5">
      <c r="A98" s="132" t="s">
        <v>255</v>
      </c>
      <c r="B98" s="123" t="s">
        <v>7833</v>
      </c>
      <c r="C98" s="123" t="s">
        <v>7859</v>
      </c>
      <c r="E98" s="123" t="s">
        <v>7833</v>
      </c>
    </row>
    <row r="99" spans="1:5">
      <c r="A99" s="132" t="s">
        <v>255</v>
      </c>
      <c r="B99" s="123" t="s">
        <v>7951</v>
      </c>
      <c r="C99" s="123" t="s">
        <v>7883</v>
      </c>
      <c r="E99" s="123" t="s">
        <v>7951</v>
      </c>
    </row>
    <row r="100" spans="1:5">
      <c r="A100" s="132" t="s">
        <v>255</v>
      </c>
      <c r="B100" s="123" t="s">
        <v>7952</v>
      </c>
      <c r="C100" s="123" t="s">
        <v>7793</v>
      </c>
      <c r="E100" s="123" t="s">
        <v>7952</v>
      </c>
    </row>
    <row r="101" spans="1:5">
      <c r="A101" s="132" t="s">
        <v>255</v>
      </c>
      <c r="B101" s="123" t="s">
        <v>7843</v>
      </c>
      <c r="C101" s="123" t="s">
        <v>7794</v>
      </c>
      <c r="E101" s="123" t="s">
        <v>7843</v>
      </c>
    </row>
    <row r="102" spans="1:5">
      <c r="A102" s="132" t="s">
        <v>255</v>
      </c>
      <c r="B102" s="123" t="s">
        <v>7953</v>
      </c>
      <c r="C102" s="123" t="s">
        <v>7795</v>
      </c>
      <c r="E102" s="123" t="s">
        <v>7953</v>
      </c>
    </row>
    <row r="103" spans="1:5">
      <c r="A103" s="132" t="s">
        <v>255</v>
      </c>
      <c r="B103" s="123" t="s">
        <v>7954</v>
      </c>
      <c r="C103" s="123" t="s">
        <v>7796</v>
      </c>
      <c r="E103" s="123" t="s">
        <v>7954</v>
      </c>
    </row>
    <row r="104" spans="1:5">
      <c r="A104" s="132" t="s">
        <v>255</v>
      </c>
      <c r="B104" s="123" t="s">
        <v>7831</v>
      </c>
      <c r="C104" s="123" t="s">
        <v>7797</v>
      </c>
      <c r="E104" s="123" t="s">
        <v>7831</v>
      </c>
    </row>
    <row r="105" spans="1:5">
      <c r="A105" s="132" t="s">
        <v>255</v>
      </c>
      <c r="B105" s="123" t="s">
        <v>7955</v>
      </c>
      <c r="C105" s="123" t="s">
        <v>7884</v>
      </c>
      <c r="E105" s="123" t="s">
        <v>7955</v>
      </c>
    </row>
    <row r="106" spans="1:5">
      <c r="A106" s="132" t="s">
        <v>255</v>
      </c>
      <c r="B106" s="123" t="s">
        <v>7956</v>
      </c>
      <c r="C106" s="123" t="s">
        <v>7885</v>
      </c>
      <c r="E106" s="123" t="s">
        <v>7956</v>
      </c>
    </row>
    <row r="107" spans="1:5">
      <c r="A107" s="132" t="s">
        <v>255</v>
      </c>
      <c r="B107" s="123" t="s">
        <v>7816</v>
      </c>
      <c r="C107" s="123" t="s">
        <v>7798</v>
      </c>
      <c r="E107" s="123" t="s">
        <v>7816</v>
      </c>
    </row>
    <row r="108" spans="1:5">
      <c r="A108" s="132" t="s">
        <v>255</v>
      </c>
      <c r="B108" s="123" t="s">
        <v>7957</v>
      </c>
      <c r="C108" s="123" t="s">
        <v>7799</v>
      </c>
      <c r="E108" s="123" t="s">
        <v>7957</v>
      </c>
    </row>
    <row r="109" spans="1:5">
      <c r="A109" s="132" t="s">
        <v>255</v>
      </c>
      <c r="B109" s="123" t="s">
        <v>7958</v>
      </c>
      <c r="C109" s="123" t="s">
        <v>7800</v>
      </c>
      <c r="E109" s="123" t="s">
        <v>7958</v>
      </c>
    </row>
    <row r="110" spans="1:5">
      <c r="A110" s="132" t="s">
        <v>255</v>
      </c>
      <c r="B110" s="123" t="s">
        <v>7846</v>
      </c>
      <c r="C110" s="123" t="s">
        <v>7860</v>
      </c>
      <c r="E110" s="123" t="s">
        <v>7846</v>
      </c>
    </row>
    <row r="111" spans="1:5">
      <c r="A111" s="132" t="s">
        <v>255</v>
      </c>
      <c r="B111" s="123" t="s">
        <v>7959</v>
      </c>
      <c r="C111" s="123" t="s">
        <v>7886</v>
      </c>
      <c r="E111" s="123" t="s">
        <v>7959</v>
      </c>
    </row>
    <row r="112" spans="1:5">
      <c r="A112" s="132" t="s">
        <v>255</v>
      </c>
      <c r="B112" s="123" t="s">
        <v>7960</v>
      </c>
      <c r="C112" s="123" t="s">
        <v>7801</v>
      </c>
      <c r="E112" s="123" t="s">
        <v>7960</v>
      </c>
    </row>
    <row r="113" spans="1:5">
      <c r="A113" s="132" t="s">
        <v>255</v>
      </c>
      <c r="B113" s="123" t="s">
        <v>7838</v>
      </c>
      <c r="C113" s="123" t="s">
        <v>7861</v>
      </c>
      <c r="E113" s="123" t="s">
        <v>7838</v>
      </c>
    </row>
    <row r="114" spans="1:5">
      <c r="A114" s="132" t="s">
        <v>255</v>
      </c>
      <c r="B114" s="123" t="s">
        <v>7961</v>
      </c>
      <c r="C114" s="123" t="s">
        <v>7802</v>
      </c>
      <c r="E114" s="123" t="s">
        <v>7961</v>
      </c>
    </row>
    <row r="115" spans="1:5">
      <c r="A115" s="132" t="s">
        <v>255</v>
      </c>
      <c r="B115" s="123" t="s">
        <v>7962</v>
      </c>
      <c r="C115" s="123" t="s">
        <v>7803</v>
      </c>
      <c r="E115" s="123" t="s">
        <v>7962</v>
      </c>
    </row>
    <row r="116" spans="1:5">
      <c r="A116" s="132" t="s">
        <v>255</v>
      </c>
      <c r="B116" s="123" t="s">
        <v>7835</v>
      </c>
      <c r="C116" s="123" t="s">
        <v>7862</v>
      </c>
      <c r="E116" s="123" t="s">
        <v>7835</v>
      </c>
    </row>
    <row r="117" spans="1:5">
      <c r="A117" s="132" t="s">
        <v>255</v>
      </c>
      <c r="B117" s="123" t="s">
        <v>7819</v>
      </c>
      <c r="C117" s="123" t="s">
        <v>7440</v>
      </c>
      <c r="E117" s="123" t="s">
        <v>7819</v>
      </c>
    </row>
    <row r="118" spans="1:5">
      <c r="A118" s="132" t="s">
        <v>255</v>
      </c>
      <c r="B118" s="123" t="s">
        <v>7811</v>
      </c>
      <c r="C118" s="123" t="s">
        <v>7439</v>
      </c>
      <c r="E118" s="123" t="s">
        <v>7811</v>
      </c>
    </row>
  </sheetData>
  <sheetProtection selectLockedCells="1" selectUnlockedCells="1"/>
  <sortState ref="B3:B42">
    <sortCondition ref="B42"/>
  </sortState>
  <dataValidations count="2">
    <dataValidation type="list" allowBlank="1" showErrorMessage="1" sqref="D2:D17">
      <formula1>HoldingInstitution</formula1>
      <formula2>0</formula2>
    </dataValidation>
    <dataValidation type="list" allowBlank="1" showErrorMessage="1" sqref="A2:A118">
      <formula1>TaxonScientificName</formula1>
      <formula2>0</formula2>
    </dataValidation>
  </dataValidations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Feuil7" enableFormatConditionsCalculation="0">
    <tabColor indexed="9"/>
  </sheetPr>
  <dimension ref="A1:J6"/>
  <sheetViews>
    <sheetView zoomScale="89" zoomScaleNormal="89" workbookViewId="0">
      <selection activeCell="F14" sqref="F14"/>
    </sheetView>
  </sheetViews>
  <sheetFormatPr baseColWidth="10" defaultColWidth="10.7109375" defaultRowHeight="12.75"/>
  <cols>
    <col min="1" max="1" width="7.42578125" style="123" customWidth="1"/>
    <col min="2" max="2" width="11.7109375" style="123" customWidth="1"/>
    <col min="3" max="3" width="12.85546875" style="123" bestFit="1" customWidth="1"/>
    <col min="4" max="4" width="23.5703125" style="112" bestFit="1" customWidth="1"/>
    <col min="9" max="9" width="58.42578125" bestFit="1" customWidth="1"/>
  </cols>
  <sheetData>
    <row r="1" spans="1:10">
      <c r="A1" s="114" t="s">
        <v>163</v>
      </c>
      <c r="B1" s="114" t="s">
        <v>164</v>
      </c>
      <c r="C1" s="114" t="s">
        <v>165</v>
      </c>
      <c r="D1" s="115" t="s">
        <v>166</v>
      </c>
      <c r="G1" s="195"/>
      <c r="H1" s="195"/>
      <c r="I1" s="182"/>
      <c r="J1" s="195"/>
    </row>
    <row r="2" spans="1:10">
      <c r="A2" s="125" t="s">
        <v>256</v>
      </c>
      <c r="B2" s="125" t="s">
        <v>257</v>
      </c>
      <c r="C2" s="125" t="s">
        <v>258</v>
      </c>
      <c r="D2" s="112" t="s">
        <v>8025</v>
      </c>
      <c r="J2" s="196"/>
    </row>
    <row r="3" spans="1:10">
      <c r="A3" s="123" t="s">
        <v>256</v>
      </c>
      <c r="B3" s="123" t="s">
        <v>259</v>
      </c>
      <c r="C3" s="123" t="s">
        <v>260</v>
      </c>
      <c r="D3" s="112" t="s">
        <v>8026</v>
      </c>
      <c r="J3" s="196"/>
    </row>
    <row r="4" spans="1:10">
      <c r="J4" s="196"/>
    </row>
    <row r="5" spans="1:10">
      <c r="G5" s="140"/>
      <c r="H5" s="140"/>
      <c r="J5" s="196"/>
    </row>
    <row r="6" spans="1:10">
      <c r="G6" s="195"/>
      <c r="H6" s="195"/>
      <c r="I6" s="182"/>
      <c r="J6" s="195"/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8" enableFormatConditionsCalculation="0">
    <tabColor indexed="9"/>
  </sheetPr>
  <dimension ref="A1:D4"/>
  <sheetViews>
    <sheetView zoomScale="95" zoomScaleNormal="95" workbookViewId="0">
      <selection activeCell="B5" sqref="B5"/>
    </sheetView>
  </sheetViews>
  <sheetFormatPr baseColWidth="10" defaultColWidth="12.85546875" defaultRowHeight="12.75"/>
  <cols>
    <col min="1" max="1" width="13.28515625" style="123" customWidth="1"/>
    <col min="2" max="2" width="13.7109375" style="112" customWidth="1"/>
    <col min="3" max="3" width="12.42578125" style="112" customWidth="1"/>
    <col min="4" max="4" width="13" style="112" customWidth="1"/>
  </cols>
  <sheetData>
    <row r="1" spans="1:4">
      <c r="A1" s="114" t="s">
        <v>178</v>
      </c>
      <c r="B1" s="115" t="s">
        <v>179</v>
      </c>
      <c r="C1" s="115" t="s">
        <v>29</v>
      </c>
      <c r="D1" s="115" t="s">
        <v>180</v>
      </c>
    </row>
    <row r="2" spans="1:4">
      <c r="A2" s="125" t="s">
        <v>261</v>
      </c>
      <c r="B2" s="112" t="s">
        <v>261</v>
      </c>
    </row>
    <row r="3" spans="1:4">
      <c r="A3" s="134" t="s">
        <v>262</v>
      </c>
      <c r="B3" s="135" t="s">
        <v>263</v>
      </c>
      <c r="D3" s="112" t="s">
        <v>261</v>
      </c>
    </row>
    <row r="4" spans="1:4">
      <c r="A4" s="123" t="s">
        <v>7670</v>
      </c>
      <c r="B4" s="112" t="s">
        <v>7671</v>
      </c>
    </row>
  </sheetData>
  <sheetProtection selectLockedCells="1" selectUnlockedCells="1"/>
  <pageMargins left="0.78749999999999998" right="0.78749999999999998" top="1.0249999999999999" bottom="1.0249999999999999" header="0.78749999999999998" footer="0.78749999999999998"/>
  <pageSetup paperSize="9" firstPageNumber="0" orientation="portrait" horizontalDpi="300" verticalDpi="300"/>
  <headerFooter alignWithMargins="0">
    <oddHeader>&amp;C&amp;"Arial,Regular"&amp;10&amp;A</oddHeader>
    <oddFooter>&amp;C&amp;"Arial,Regular"&amp;10Page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Feuil9" enableFormatConditionsCalculation="0">
    <tabColor indexed="9"/>
  </sheetPr>
  <dimension ref="A1:CM969"/>
  <sheetViews>
    <sheetView zoomScale="95" zoomScaleNormal="95" workbookViewId="0">
      <pane xSplit="8" ySplit="1" topLeftCell="I2" activePane="bottomRight" state="frozen"/>
      <selection pane="topRight" activeCell="I1" sqref="I1"/>
      <selection pane="bottomLeft" activeCell="A2" sqref="A2"/>
      <selection pane="bottomRight" activeCell="I28" sqref="I28"/>
    </sheetView>
  </sheetViews>
  <sheetFormatPr baseColWidth="10" defaultColWidth="11.28515625" defaultRowHeight="12.75"/>
  <cols>
    <col min="1" max="1" width="12.140625" style="154" bestFit="1" customWidth="1"/>
    <col min="2" max="2" width="8.140625" bestFit="1" customWidth="1"/>
    <col min="3" max="3" width="5.28515625" bestFit="1" customWidth="1"/>
    <col min="4" max="4" width="9" bestFit="1" customWidth="1"/>
    <col min="5" max="5" width="7.140625" style="113" bestFit="1" customWidth="1"/>
    <col min="6" max="6" width="7" style="113" bestFit="1" customWidth="1"/>
    <col min="7" max="7" width="5.42578125" style="113" bestFit="1" customWidth="1"/>
    <col min="8" max="8" width="5.28515625" style="113" bestFit="1" customWidth="1"/>
    <col min="9" max="9" width="18.140625" style="112" bestFit="1" customWidth="1"/>
    <col min="10" max="10" width="17.5703125" style="112" bestFit="1" customWidth="1"/>
    <col min="11" max="11" width="17.28515625" style="112" bestFit="1" customWidth="1"/>
    <col min="12" max="12" width="16.7109375" style="179" bestFit="1" customWidth="1"/>
    <col min="13" max="13" width="20.85546875" style="136" bestFit="1" customWidth="1"/>
    <col min="14" max="14" width="20.28515625" style="136" bestFit="1" customWidth="1"/>
    <col min="15" max="15" width="12.140625" style="136" bestFit="1" customWidth="1"/>
    <col min="16" max="16" width="7.7109375" style="153" bestFit="1" customWidth="1"/>
    <col min="17" max="17" width="9.5703125" style="153" bestFit="1" customWidth="1"/>
    <col min="18" max="18" width="9" style="153" bestFit="1" customWidth="1"/>
    <col min="19" max="19" width="9.28515625" style="153" bestFit="1" customWidth="1"/>
    <col min="20" max="20" width="11.140625" style="153" bestFit="1" customWidth="1"/>
    <col min="21" max="21" width="16.85546875" style="136" bestFit="1" customWidth="1"/>
    <col min="22" max="22" width="16.28515625" style="136" bestFit="1" customWidth="1"/>
    <col min="23" max="23" width="16" style="153" bestFit="1" customWidth="1"/>
    <col min="24" max="24" width="15.28515625" style="153" bestFit="1" customWidth="1"/>
    <col min="25" max="25" width="9.7109375" style="136" bestFit="1" customWidth="1"/>
    <col min="26" max="26" width="9.140625" style="136" bestFit="1" customWidth="1"/>
    <col min="27" max="27" width="12.28515625" style="153" bestFit="1" customWidth="1"/>
    <col min="28" max="28" width="11" style="153" bestFit="1" customWidth="1"/>
    <col min="29" max="29" width="10" style="136" bestFit="1" customWidth="1"/>
    <col min="30" max="30" width="10.5703125" style="136" bestFit="1" customWidth="1"/>
    <col min="31" max="31" width="15.140625" style="219" bestFit="1" customWidth="1"/>
    <col min="32" max="32" width="14.42578125" style="227" bestFit="1" customWidth="1"/>
    <col min="33" max="33" width="16.7109375" style="225" bestFit="1" customWidth="1"/>
    <col min="34" max="34" width="10.28515625" style="136" bestFit="1" customWidth="1"/>
    <col min="35" max="35" width="17" style="153" bestFit="1" customWidth="1"/>
    <col min="36" max="36" width="16.42578125" style="153" bestFit="1" customWidth="1"/>
    <col min="37" max="37" width="18.85546875" style="136" bestFit="1" customWidth="1"/>
    <col min="38" max="38" width="18.140625" style="136" bestFit="1" customWidth="1"/>
    <col min="39" max="39" width="18.5703125" style="153" bestFit="1" customWidth="1"/>
    <col min="40" max="40" width="18" style="153" bestFit="1" customWidth="1"/>
    <col min="41" max="41" width="18.5703125" style="136" bestFit="1" customWidth="1"/>
    <col min="42" max="42" width="18" style="136" bestFit="1" customWidth="1"/>
    <col min="43" max="43" width="20.28515625" style="153" bestFit="1" customWidth="1"/>
    <col min="44" max="44" width="19.7109375" style="153" bestFit="1" customWidth="1"/>
    <col min="45" max="45" width="24.5703125" style="136" bestFit="1" customWidth="1"/>
    <col min="46" max="46" width="23.7109375" style="136" bestFit="1" customWidth="1"/>
    <col min="47" max="47" width="19" style="153" bestFit="1" customWidth="1"/>
    <col min="48" max="48" width="18.28515625" style="153" bestFit="1" customWidth="1"/>
    <col min="49" max="49" width="19" style="136" bestFit="1" customWidth="1"/>
    <col min="50" max="50" width="18.28515625" style="136" bestFit="1" customWidth="1"/>
    <col min="51" max="51" width="25" style="153" bestFit="1" customWidth="1"/>
    <col min="52" max="52" width="24.28515625" style="153" bestFit="1" customWidth="1"/>
    <col min="53" max="53" width="19" style="136" bestFit="1" customWidth="1"/>
    <col min="54" max="54" width="18.28515625" style="136" bestFit="1" customWidth="1"/>
    <col min="55" max="55" width="30.7109375" style="153" bestFit="1" customWidth="1"/>
    <col min="56" max="56" width="30" style="153" bestFit="1" customWidth="1"/>
    <col min="57" max="57" width="13.7109375" style="153" bestFit="1" customWidth="1"/>
    <col min="58" max="58" width="13.140625" style="153" bestFit="1" customWidth="1"/>
    <col min="59" max="59" width="13.7109375" style="153" bestFit="1" customWidth="1"/>
    <col min="60" max="60" width="13.140625" style="153" bestFit="1" customWidth="1"/>
    <col min="61" max="61" width="15.28515625" style="153" bestFit="1" customWidth="1"/>
    <col min="62" max="62" width="14.140625" style="153" bestFit="1" customWidth="1"/>
    <col min="63" max="63" width="14.85546875" style="153" bestFit="1" customWidth="1"/>
    <col min="64" max="64" width="14.140625" style="153" bestFit="1" customWidth="1"/>
    <col min="65" max="65" width="12.140625" style="136" bestFit="1" customWidth="1"/>
    <col min="66" max="66" width="11.5703125" style="136" bestFit="1" customWidth="1"/>
    <col min="67" max="67" width="15.140625" style="153" bestFit="1" customWidth="1"/>
    <col min="68" max="68" width="14.42578125" style="153" bestFit="1" customWidth="1"/>
    <col min="69" max="69" width="16.5703125" style="136" bestFit="1" customWidth="1"/>
    <col min="70" max="70" width="16" style="136" bestFit="1" customWidth="1"/>
    <col min="71" max="71" width="10.7109375" style="153" bestFit="1" customWidth="1"/>
    <col min="72" max="72" width="9.85546875" style="153" bestFit="1" customWidth="1"/>
    <col min="73" max="74" width="10.28515625" style="136" bestFit="1" customWidth="1"/>
    <col min="75" max="75" width="14.42578125" style="136" bestFit="1" customWidth="1"/>
    <col min="76" max="76" width="9.7109375" style="136" bestFit="1" customWidth="1"/>
    <col min="77" max="77" width="21.7109375" style="136" bestFit="1" customWidth="1"/>
    <col min="78" max="78" width="21" style="136" bestFit="1" customWidth="1"/>
    <col min="79" max="79" width="14.7109375" style="136" bestFit="1" customWidth="1"/>
    <col min="80" max="80" width="14" style="136" bestFit="1" customWidth="1"/>
    <col min="81" max="81" width="22.5703125" style="136" bestFit="1" customWidth="1"/>
    <col min="82" max="82" width="22" style="136" bestFit="1" customWidth="1"/>
    <col min="83" max="83" width="20.85546875" style="136" bestFit="1" customWidth="1"/>
    <col min="84" max="84" width="20.28515625" style="136" bestFit="1" customWidth="1"/>
    <col min="85" max="85" width="18.140625" style="136" bestFit="1" customWidth="1"/>
    <col min="86" max="86" width="17.5703125" style="136" bestFit="1" customWidth="1"/>
    <col min="87" max="87" width="7.140625" style="136" bestFit="1" customWidth="1"/>
    <col min="88" max="88" width="6.5703125" style="136" bestFit="1" customWidth="1"/>
    <col min="89" max="89" width="9.7109375" style="136" bestFit="1" customWidth="1"/>
    <col min="90" max="90" width="15.28515625" style="136" bestFit="1" customWidth="1"/>
    <col min="91" max="91" width="14.7109375" style="136" bestFit="1" customWidth="1"/>
    <col min="92" max="16384" width="11.28515625" style="137"/>
  </cols>
  <sheetData>
    <row r="1" spans="1:91" s="139" customFormat="1" ht="13.5" thickBot="1">
      <c r="A1" s="155" t="s">
        <v>150</v>
      </c>
      <c r="B1" s="115" t="s">
        <v>171</v>
      </c>
      <c r="C1" s="115" t="s">
        <v>187</v>
      </c>
      <c r="D1" s="115" t="s">
        <v>264</v>
      </c>
      <c r="E1" s="113" t="s">
        <v>21</v>
      </c>
      <c r="F1" s="113" t="s">
        <v>22</v>
      </c>
      <c r="G1" s="116" t="s">
        <v>192</v>
      </c>
      <c r="H1" s="116" t="s">
        <v>193</v>
      </c>
      <c r="I1" s="138" t="s">
        <v>7601</v>
      </c>
      <c r="J1" s="138" t="s">
        <v>7602</v>
      </c>
      <c r="K1" s="138" t="s">
        <v>7603</v>
      </c>
      <c r="L1" s="138" t="s">
        <v>7604</v>
      </c>
      <c r="M1" s="138" t="s">
        <v>7605</v>
      </c>
      <c r="N1" s="138" t="s">
        <v>7606</v>
      </c>
      <c r="O1" s="138" t="s">
        <v>7607</v>
      </c>
      <c r="P1" s="138" t="s">
        <v>7608</v>
      </c>
      <c r="Q1" s="138" t="s">
        <v>7609</v>
      </c>
      <c r="R1" s="138" t="s">
        <v>7610</v>
      </c>
      <c r="S1" s="138" t="s">
        <v>274</v>
      </c>
      <c r="T1" s="138" t="s">
        <v>275</v>
      </c>
      <c r="U1" s="138" t="s">
        <v>7611</v>
      </c>
      <c r="V1" s="138" t="s">
        <v>7612</v>
      </c>
      <c r="W1" s="138" t="s">
        <v>7613</v>
      </c>
      <c r="X1" s="138" t="s">
        <v>7614</v>
      </c>
      <c r="Y1" s="138" t="s">
        <v>272</v>
      </c>
      <c r="Z1" s="138" t="s">
        <v>273</v>
      </c>
      <c r="AA1" s="138" t="s">
        <v>268</v>
      </c>
      <c r="AB1" s="138" t="s">
        <v>269</v>
      </c>
      <c r="AC1" s="138" t="s">
        <v>265</v>
      </c>
      <c r="AD1" s="138" t="s">
        <v>7615</v>
      </c>
      <c r="AE1" s="220" t="s">
        <v>7616</v>
      </c>
      <c r="AF1" s="228" t="s">
        <v>7617</v>
      </c>
      <c r="AG1" s="274" t="s">
        <v>266</v>
      </c>
      <c r="AH1" s="138" t="s">
        <v>267</v>
      </c>
      <c r="AI1" s="138" t="s">
        <v>7618</v>
      </c>
      <c r="AJ1" s="138" t="s">
        <v>7619</v>
      </c>
      <c r="AK1" s="138" t="s">
        <v>7621</v>
      </c>
      <c r="AL1" s="138" t="s">
        <v>7620</v>
      </c>
      <c r="AM1" s="138" t="s">
        <v>7622</v>
      </c>
      <c r="AN1" s="226" t="s">
        <v>7623</v>
      </c>
      <c r="AO1" s="138" t="s">
        <v>7624</v>
      </c>
      <c r="AP1" s="138" t="s">
        <v>7625</v>
      </c>
      <c r="AQ1" s="138" t="s">
        <v>7626</v>
      </c>
      <c r="AR1" s="138" t="s">
        <v>7627</v>
      </c>
      <c r="AS1" s="138" t="s">
        <v>7628</v>
      </c>
      <c r="AT1" s="138" t="s">
        <v>7629</v>
      </c>
      <c r="AU1" s="138" t="s">
        <v>7630</v>
      </c>
      <c r="AV1" s="138" t="s">
        <v>7631</v>
      </c>
      <c r="AW1" s="138" t="s">
        <v>7632</v>
      </c>
      <c r="AX1" s="138" t="s">
        <v>7633</v>
      </c>
      <c r="AY1" s="138" t="s">
        <v>7634</v>
      </c>
      <c r="AZ1" s="138" t="s">
        <v>7635</v>
      </c>
      <c r="BA1" s="138" t="s">
        <v>7637</v>
      </c>
      <c r="BB1" s="138" t="s">
        <v>7636</v>
      </c>
      <c r="BC1" s="138" t="s">
        <v>7638</v>
      </c>
      <c r="BD1" s="138" t="s">
        <v>7639</v>
      </c>
      <c r="BE1" s="138" t="s">
        <v>7640</v>
      </c>
      <c r="BF1" s="138" t="s">
        <v>7641</v>
      </c>
      <c r="BG1" s="138" t="s">
        <v>7642</v>
      </c>
      <c r="BH1" s="138" t="s">
        <v>7643</v>
      </c>
      <c r="BI1" s="138" t="s">
        <v>7644</v>
      </c>
      <c r="BJ1" s="138" t="s">
        <v>7645</v>
      </c>
      <c r="BK1" s="138" t="s">
        <v>7646</v>
      </c>
      <c r="BL1" s="138" t="s">
        <v>7647</v>
      </c>
      <c r="BM1" s="138" t="s">
        <v>7648</v>
      </c>
      <c r="BN1" s="138" t="s">
        <v>7649</v>
      </c>
      <c r="BO1" s="138" t="s">
        <v>7650</v>
      </c>
      <c r="BP1" s="138" t="s">
        <v>7651</v>
      </c>
      <c r="BQ1" s="138" t="s">
        <v>7652</v>
      </c>
      <c r="BR1" s="138" t="s">
        <v>7653</v>
      </c>
      <c r="BS1" s="138" t="s">
        <v>270</v>
      </c>
      <c r="BT1" s="138" t="s">
        <v>271</v>
      </c>
      <c r="BU1" s="138" t="s">
        <v>7654</v>
      </c>
      <c r="BV1" s="138" t="s">
        <v>7655</v>
      </c>
      <c r="BW1" s="138" t="s">
        <v>7656</v>
      </c>
      <c r="BX1" s="138" t="s">
        <v>7657</v>
      </c>
      <c r="BY1" s="138" t="s">
        <v>7658</v>
      </c>
      <c r="BZ1" s="138" t="s">
        <v>7659</v>
      </c>
      <c r="CA1" s="138" t="s">
        <v>7660</v>
      </c>
      <c r="CB1" s="138" t="s">
        <v>7661</v>
      </c>
      <c r="CC1" s="138" t="s">
        <v>7662</v>
      </c>
      <c r="CD1" s="138" t="s">
        <v>7663</v>
      </c>
      <c r="CE1" s="138" t="s">
        <v>7664</v>
      </c>
      <c r="CF1" s="138" t="s">
        <v>7665</v>
      </c>
      <c r="CG1" s="138" t="s">
        <v>7666</v>
      </c>
      <c r="CH1" s="138" t="s">
        <v>7667</v>
      </c>
      <c r="CI1" s="138" t="s">
        <v>7584</v>
      </c>
      <c r="CJ1" s="138" t="s">
        <v>7443</v>
      </c>
      <c r="CK1" s="138" t="s">
        <v>7591</v>
      </c>
      <c r="CL1" s="138" t="s">
        <v>7668</v>
      </c>
      <c r="CM1" s="138" t="s">
        <v>7669</v>
      </c>
    </row>
    <row r="2" spans="1:91">
      <c r="A2" s="123" t="s">
        <v>7440</v>
      </c>
      <c r="B2" s="231" t="s">
        <v>257</v>
      </c>
      <c r="C2" s="231" t="s">
        <v>405</v>
      </c>
      <c r="D2" s="231"/>
      <c r="E2" s="229" t="s">
        <v>7965</v>
      </c>
      <c r="F2" s="232" t="s">
        <v>7965</v>
      </c>
      <c r="G2" s="230"/>
      <c r="S2" s="225">
        <v>983.55473080000002</v>
      </c>
      <c r="T2" s="180" t="s">
        <v>8023</v>
      </c>
      <c r="Y2" s="225">
        <v>433.98</v>
      </c>
      <c r="Z2" s="180" t="s">
        <v>8023</v>
      </c>
      <c r="AA2" s="225">
        <v>41867.599999999999</v>
      </c>
      <c r="AB2" s="180" t="s">
        <v>8023</v>
      </c>
      <c r="AC2">
        <v>20.86</v>
      </c>
      <c r="AD2" s="180" t="s">
        <v>8023</v>
      </c>
      <c r="AG2" s="225">
        <v>4.9834619629999999</v>
      </c>
      <c r="AH2" s="180" t="s">
        <v>8023</v>
      </c>
      <c r="AM2">
        <v>87</v>
      </c>
      <c r="BS2" s="225">
        <v>47.14</v>
      </c>
      <c r="BT2" s="180" t="s">
        <v>8023</v>
      </c>
      <c r="BU2" s="136">
        <v>20.8</v>
      </c>
      <c r="BV2" s="180" t="s">
        <v>8023</v>
      </c>
    </row>
    <row r="3" spans="1:91">
      <c r="A3" s="123" t="s">
        <v>7440</v>
      </c>
      <c r="B3" s="231" t="s">
        <v>257</v>
      </c>
      <c r="C3" s="231" t="s">
        <v>405</v>
      </c>
      <c r="D3" s="231"/>
      <c r="E3" s="229" t="s">
        <v>7965</v>
      </c>
      <c r="F3" s="232" t="s">
        <v>7965</v>
      </c>
      <c r="G3" s="230"/>
      <c r="S3" s="225">
        <v>1348.9043879999999</v>
      </c>
      <c r="T3" s="180" t="s">
        <v>8023</v>
      </c>
      <c r="Y3" s="225">
        <v>581.91</v>
      </c>
      <c r="Z3" s="180" t="s">
        <v>8023</v>
      </c>
      <c r="AA3" s="225">
        <v>57056.57</v>
      </c>
      <c r="AB3" s="180" t="s">
        <v>8023</v>
      </c>
      <c r="AC3">
        <v>28.28</v>
      </c>
      <c r="AD3" s="180" t="s">
        <v>8023</v>
      </c>
      <c r="AG3" s="225">
        <v>4.9561403510000002</v>
      </c>
      <c r="AH3" s="180" t="s">
        <v>8023</v>
      </c>
      <c r="AM3">
        <v>88</v>
      </c>
      <c r="BS3" s="225">
        <v>47.7</v>
      </c>
      <c r="BT3" s="180" t="s">
        <v>8023</v>
      </c>
      <c r="BU3" s="136">
        <v>20.58</v>
      </c>
      <c r="BV3" s="180" t="s">
        <v>8023</v>
      </c>
    </row>
    <row r="4" spans="1:91">
      <c r="A4" s="123" t="s">
        <v>7440</v>
      </c>
      <c r="B4" s="231" t="s">
        <v>257</v>
      </c>
      <c r="C4" s="231" t="s">
        <v>405</v>
      </c>
      <c r="D4" s="231"/>
      <c r="E4" s="229">
        <v>4</v>
      </c>
      <c r="F4" s="232">
        <v>13</v>
      </c>
      <c r="G4" s="230"/>
      <c r="S4" s="225">
        <v>1251.6283020000001</v>
      </c>
      <c r="T4" s="180" t="s">
        <v>8023</v>
      </c>
      <c r="Y4" s="225">
        <v>589.42999999999995</v>
      </c>
      <c r="Z4" s="180" t="s">
        <v>8023</v>
      </c>
      <c r="AA4" s="225">
        <v>55220.1</v>
      </c>
      <c r="AB4" s="180" t="s">
        <v>8023</v>
      </c>
      <c r="AC4">
        <v>27.61</v>
      </c>
      <c r="AD4" s="180" t="s">
        <v>8023</v>
      </c>
      <c r="AG4" s="225">
        <v>5</v>
      </c>
      <c r="AH4" s="180" t="s">
        <v>8023</v>
      </c>
      <c r="AM4">
        <v>88</v>
      </c>
      <c r="BS4" s="225">
        <v>45.33</v>
      </c>
      <c r="BT4" s="180" t="s">
        <v>8023</v>
      </c>
      <c r="BU4" s="136">
        <v>21.35</v>
      </c>
      <c r="BV4" s="180" t="s">
        <v>8023</v>
      </c>
    </row>
    <row r="5" spans="1:91">
      <c r="A5" s="123" t="s">
        <v>7440</v>
      </c>
      <c r="B5" s="231" t="s">
        <v>259</v>
      </c>
      <c r="C5" s="231" t="s">
        <v>405</v>
      </c>
      <c r="D5" s="231"/>
      <c r="E5" s="229" t="s">
        <v>7965</v>
      </c>
      <c r="F5" s="232" t="s">
        <v>7965</v>
      </c>
      <c r="G5" s="230"/>
      <c r="S5" s="225">
        <v>1464.874028</v>
      </c>
      <c r="T5" s="180" t="s">
        <v>8023</v>
      </c>
      <c r="Y5" s="225">
        <v>668.09</v>
      </c>
      <c r="Z5" s="180" t="s">
        <v>8023</v>
      </c>
      <c r="AA5" s="225">
        <v>67847.45</v>
      </c>
      <c r="AB5" s="180" t="s">
        <v>8023</v>
      </c>
      <c r="AC5">
        <v>31.22</v>
      </c>
      <c r="AD5" s="180" t="s">
        <v>8023</v>
      </c>
      <c r="AG5" s="225">
        <v>4.6022155089999996</v>
      </c>
      <c r="AH5" s="180" t="s">
        <v>8023</v>
      </c>
      <c r="AM5">
        <v>90</v>
      </c>
      <c r="BS5" s="225">
        <v>46.91</v>
      </c>
      <c r="BT5" s="180" t="s">
        <v>8023</v>
      </c>
      <c r="BU5" s="136">
        <v>21.4</v>
      </c>
      <c r="BV5" s="180" t="s">
        <v>8023</v>
      </c>
    </row>
    <row r="6" spans="1:91">
      <c r="A6" s="123" t="s">
        <v>7440</v>
      </c>
      <c r="B6" s="231" t="s">
        <v>259</v>
      </c>
      <c r="C6" s="231" t="s">
        <v>405</v>
      </c>
      <c r="D6" s="231"/>
      <c r="E6" s="230">
        <v>2</v>
      </c>
      <c r="F6" s="232">
        <v>58</v>
      </c>
      <c r="G6" s="230"/>
      <c r="S6" s="225">
        <v>1631.7093359999999</v>
      </c>
      <c r="T6" s="180" t="s">
        <v>8023</v>
      </c>
      <c r="Y6" s="225">
        <v>745.53</v>
      </c>
      <c r="Z6" s="180" t="s">
        <v>8023</v>
      </c>
      <c r="AA6" s="225">
        <v>69128.899999999994</v>
      </c>
      <c r="AB6" s="180" t="s">
        <v>8023</v>
      </c>
      <c r="AC6">
        <v>34.979999999999997</v>
      </c>
      <c r="AD6" s="180" t="s">
        <v>8023</v>
      </c>
      <c r="AG6" s="225">
        <v>5.060773481</v>
      </c>
      <c r="AH6" s="180" t="s">
        <v>8023</v>
      </c>
      <c r="AM6">
        <v>88</v>
      </c>
      <c r="BS6" s="225">
        <v>46.64</v>
      </c>
      <c r="BT6" s="180" t="s">
        <v>8023</v>
      </c>
      <c r="BU6" s="136">
        <v>21.31</v>
      </c>
      <c r="BV6" s="180" t="s">
        <v>8023</v>
      </c>
    </row>
    <row r="7" spans="1:91">
      <c r="A7" s="123" t="s">
        <v>7440</v>
      </c>
      <c r="B7" s="231" t="s">
        <v>259</v>
      </c>
      <c r="C7" s="231" t="s">
        <v>405</v>
      </c>
      <c r="D7" s="231"/>
      <c r="E7" s="230" t="s">
        <v>7965</v>
      </c>
      <c r="F7" s="232" t="s">
        <v>7965</v>
      </c>
      <c r="G7" s="230"/>
      <c r="S7" s="225">
        <v>1496.2688579999999</v>
      </c>
      <c r="T7" s="180" t="s">
        <v>8023</v>
      </c>
      <c r="Y7" s="225">
        <v>699.34</v>
      </c>
      <c r="Z7" s="180" t="s">
        <v>8023</v>
      </c>
      <c r="AA7" s="225">
        <v>68153.56</v>
      </c>
      <c r="AB7" s="180" t="s">
        <v>8023</v>
      </c>
      <c r="AC7">
        <v>32.340000000000003</v>
      </c>
      <c r="AD7" s="180" t="s">
        <v>8023</v>
      </c>
      <c r="AG7" s="225">
        <v>4.7455867080000003</v>
      </c>
      <c r="AH7" s="180" t="s">
        <v>8023</v>
      </c>
      <c r="AM7">
        <v>90</v>
      </c>
      <c r="BS7" s="225">
        <v>46.26</v>
      </c>
      <c r="BT7" s="180" t="s">
        <v>8023</v>
      </c>
      <c r="BU7" s="136">
        <v>21.62</v>
      </c>
      <c r="BV7" s="180" t="s">
        <v>8023</v>
      </c>
    </row>
    <row r="8" spans="1:91">
      <c r="A8" s="123" t="s">
        <v>7440</v>
      </c>
      <c r="B8" s="231" t="s">
        <v>257</v>
      </c>
      <c r="C8" s="231" t="s">
        <v>7963</v>
      </c>
      <c r="D8" s="231"/>
      <c r="E8" s="229" t="s">
        <v>7965</v>
      </c>
      <c r="F8" s="232" t="s">
        <v>7965</v>
      </c>
      <c r="G8" s="230"/>
      <c r="S8" s="225">
        <v>1406.0248859999999</v>
      </c>
      <c r="T8" s="180" t="s">
        <v>8023</v>
      </c>
      <c r="Y8" s="225">
        <v>586.79</v>
      </c>
      <c r="Z8" s="180" t="s">
        <v>8023</v>
      </c>
      <c r="AA8" s="225">
        <v>58024.78</v>
      </c>
      <c r="AB8" s="180" t="s">
        <v>8023</v>
      </c>
      <c r="AC8">
        <v>29.14</v>
      </c>
      <c r="AD8" s="180" t="s">
        <v>8023</v>
      </c>
      <c r="AG8" s="225">
        <v>5.0217864920000004</v>
      </c>
      <c r="AH8" s="180" t="s">
        <v>8023</v>
      </c>
      <c r="AM8">
        <v>87</v>
      </c>
      <c r="BS8" s="225">
        <v>48.25</v>
      </c>
      <c r="BT8" s="180" t="s">
        <v>8023</v>
      </c>
      <c r="BU8" s="136">
        <v>20.14</v>
      </c>
      <c r="BV8" s="180" t="s">
        <v>8023</v>
      </c>
    </row>
    <row r="9" spans="1:91">
      <c r="A9" s="123" t="s">
        <v>7440</v>
      </c>
      <c r="B9" s="231" t="s">
        <v>257</v>
      </c>
      <c r="C9" s="231" t="s">
        <v>7963</v>
      </c>
      <c r="D9" s="231"/>
      <c r="E9" s="229" t="s">
        <v>7965</v>
      </c>
      <c r="F9" s="232" t="s">
        <v>7965</v>
      </c>
      <c r="G9" s="230"/>
      <c r="S9" s="225">
        <v>1333.1050110000001</v>
      </c>
      <c r="T9" s="180" t="s">
        <v>8023</v>
      </c>
      <c r="Y9" s="225">
        <v>559.69000000000005</v>
      </c>
      <c r="Z9" s="180" t="s">
        <v>8023</v>
      </c>
      <c r="AA9" s="225">
        <v>58111.91</v>
      </c>
      <c r="AB9" s="180" t="s">
        <v>8023</v>
      </c>
      <c r="AC9">
        <v>28.04</v>
      </c>
      <c r="AD9" s="180" t="s">
        <v>8023</v>
      </c>
      <c r="AG9" s="225">
        <v>4.8257655760000002</v>
      </c>
      <c r="AH9" s="180" t="s">
        <v>8023</v>
      </c>
      <c r="AM9">
        <v>88</v>
      </c>
      <c r="BS9" s="225">
        <v>47.54</v>
      </c>
      <c r="BT9" s="180" t="s">
        <v>8023</v>
      </c>
      <c r="BU9" s="136">
        <v>19.96</v>
      </c>
      <c r="BV9" s="180" t="s">
        <v>8023</v>
      </c>
    </row>
    <row r="10" spans="1:91">
      <c r="A10" s="123" t="s">
        <v>7440</v>
      </c>
      <c r="B10" s="231" t="s">
        <v>257</v>
      </c>
      <c r="C10" s="231" t="s">
        <v>7963</v>
      </c>
      <c r="D10" s="231"/>
      <c r="E10" s="229">
        <v>8</v>
      </c>
      <c r="F10" s="232">
        <v>62</v>
      </c>
      <c r="G10" s="230"/>
      <c r="S10" s="225">
        <v>1624.5683120000001</v>
      </c>
      <c r="T10" s="180" t="s">
        <v>8023</v>
      </c>
      <c r="Y10" s="225">
        <v>704.21</v>
      </c>
      <c r="Z10" s="180" t="s">
        <v>8023</v>
      </c>
      <c r="AA10" s="225">
        <v>68174.42</v>
      </c>
      <c r="AB10" s="180" t="s">
        <v>8023</v>
      </c>
      <c r="AC10">
        <v>34.61</v>
      </c>
      <c r="AD10" s="180" t="s">
        <v>8023</v>
      </c>
      <c r="AG10" s="225">
        <v>5.076923077</v>
      </c>
      <c r="AH10" s="180" t="s">
        <v>8023</v>
      </c>
      <c r="AM10">
        <v>88</v>
      </c>
      <c r="BS10" s="225">
        <v>46.94</v>
      </c>
      <c r="BT10" s="180" t="s">
        <v>8023</v>
      </c>
      <c r="BU10" s="136">
        <v>20.350000000000001</v>
      </c>
      <c r="BV10" s="180" t="s">
        <v>8023</v>
      </c>
    </row>
    <row r="11" spans="1:91">
      <c r="A11" s="123" t="s">
        <v>7440</v>
      </c>
      <c r="B11" s="231" t="s">
        <v>259</v>
      </c>
      <c r="C11" s="231" t="s">
        <v>7963</v>
      </c>
      <c r="D11" s="231"/>
      <c r="E11" s="229" t="s">
        <v>7965</v>
      </c>
      <c r="F11" s="232" t="s">
        <v>7965</v>
      </c>
      <c r="G11" s="230"/>
      <c r="S11" s="225">
        <v>1209.449611</v>
      </c>
      <c r="T11" s="180" t="s">
        <v>8023</v>
      </c>
      <c r="Y11" s="225">
        <v>594.82000000000005</v>
      </c>
      <c r="Z11" s="180" t="s">
        <v>8023</v>
      </c>
      <c r="AA11" s="225">
        <v>55531.4</v>
      </c>
      <c r="AB11" s="180" t="s">
        <v>8023</v>
      </c>
      <c r="AC11">
        <v>26.94</v>
      </c>
      <c r="AD11" s="180" t="s">
        <v>8023</v>
      </c>
      <c r="AG11" s="225">
        <v>4.8520084570000002</v>
      </c>
      <c r="AH11" s="180" t="s">
        <v>8023</v>
      </c>
      <c r="AM11">
        <v>90</v>
      </c>
      <c r="BS11" s="225">
        <v>44.89</v>
      </c>
      <c r="BT11" s="180" t="s">
        <v>8023</v>
      </c>
      <c r="BU11" s="136">
        <v>22.08</v>
      </c>
      <c r="BV11" s="180" t="s">
        <v>8023</v>
      </c>
    </row>
    <row r="12" spans="1:91">
      <c r="A12" s="123" t="s">
        <v>7440</v>
      </c>
      <c r="B12" s="231" t="s">
        <v>259</v>
      </c>
      <c r="C12" s="231" t="s">
        <v>7963</v>
      </c>
      <c r="D12" s="231"/>
      <c r="E12" s="230">
        <v>7</v>
      </c>
      <c r="F12" s="232">
        <v>11</v>
      </c>
      <c r="G12" s="230"/>
      <c r="S12" s="225">
        <v>1439.5187410000001</v>
      </c>
      <c r="T12" s="180" t="s">
        <v>8023</v>
      </c>
      <c r="Y12" s="225">
        <v>685.72</v>
      </c>
      <c r="Z12" s="180" t="s">
        <v>8023</v>
      </c>
      <c r="AA12" s="225">
        <v>64856.41</v>
      </c>
      <c r="AB12" s="180" t="s">
        <v>8023</v>
      </c>
      <c r="AC12">
        <v>31.6</v>
      </c>
      <c r="AD12" s="180" t="s">
        <v>8023</v>
      </c>
      <c r="AG12" s="225">
        <v>4.8728813559999997</v>
      </c>
      <c r="AH12" s="180" t="s">
        <v>8023</v>
      </c>
      <c r="AM12">
        <v>90</v>
      </c>
      <c r="BS12" s="225">
        <v>45.55</v>
      </c>
      <c r="BT12" s="180" t="s">
        <v>8023</v>
      </c>
      <c r="BU12" s="136">
        <v>21.7</v>
      </c>
      <c r="BV12" s="180" t="s">
        <v>8023</v>
      </c>
    </row>
    <row r="13" spans="1:91">
      <c r="A13" s="123" t="s">
        <v>7440</v>
      </c>
      <c r="B13" s="231" t="s">
        <v>259</v>
      </c>
      <c r="C13" s="231" t="s">
        <v>7963</v>
      </c>
      <c r="D13" s="231"/>
      <c r="E13" s="230">
        <v>12</v>
      </c>
      <c r="F13" s="232">
        <v>6</v>
      </c>
      <c r="G13" s="230"/>
      <c r="S13" s="225">
        <v>1126.653636</v>
      </c>
      <c r="T13" s="180" t="s">
        <v>8023</v>
      </c>
      <c r="Y13" s="225">
        <v>546.08000000000004</v>
      </c>
      <c r="Z13" s="180" t="s">
        <v>8023</v>
      </c>
      <c r="AA13" s="225">
        <v>56952.76</v>
      </c>
      <c r="AB13" s="180" t="s">
        <v>8023</v>
      </c>
      <c r="AC13">
        <v>25.16</v>
      </c>
      <c r="AD13" s="180" t="s">
        <v>8023</v>
      </c>
      <c r="AG13" s="225">
        <v>4.4168260039999998</v>
      </c>
      <c r="AH13" s="180" t="s">
        <v>8023</v>
      </c>
      <c r="AM13">
        <v>90</v>
      </c>
      <c r="BS13" s="225">
        <v>44.79</v>
      </c>
      <c r="BT13" s="180" t="s">
        <v>8023</v>
      </c>
      <c r="BU13" s="136">
        <v>21.71</v>
      </c>
      <c r="BV13" s="180" t="s">
        <v>8023</v>
      </c>
    </row>
    <row r="14" spans="1:91">
      <c r="A14" s="123" t="s">
        <v>7440</v>
      </c>
      <c r="B14" s="231" t="s">
        <v>257</v>
      </c>
      <c r="C14" s="231" t="s">
        <v>7964</v>
      </c>
      <c r="D14" s="231"/>
      <c r="E14" s="229" t="s">
        <v>7965</v>
      </c>
      <c r="F14" s="232" t="s">
        <v>7965</v>
      </c>
      <c r="G14" s="230"/>
      <c r="S14" s="225">
        <v>1427.838886</v>
      </c>
      <c r="T14" s="180" t="s">
        <v>8023</v>
      </c>
      <c r="Y14" s="225">
        <v>660.98</v>
      </c>
      <c r="Z14" s="180" t="s">
        <v>8023</v>
      </c>
      <c r="AA14" s="225">
        <v>69307.19</v>
      </c>
      <c r="AB14" s="180" t="s">
        <v>8023</v>
      </c>
      <c r="AC14">
        <v>30.86</v>
      </c>
      <c r="AD14" s="180" t="s">
        <v>8023</v>
      </c>
      <c r="AG14" s="225">
        <v>4.451923077</v>
      </c>
      <c r="AH14" s="180" t="s">
        <v>8023</v>
      </c>
      <c r="AM14">
        <v>88</v>
      </c>
      <c r="BS14" s="225">
        <v>46.28</v>
      </c>
      <c r="BT14" s="180" t="s">
        <v>8023</v>
      </c>
      <c r="BU14" s="136">
        <v>21.42</v>
      </c>
      <c r="BV14" s="180" t="s">
        <v>8023</v>
      </c>
    </row>
    <row r="15" spans="1:91">
      <c r="A15" s="123" t="s">
        <v>7440</v>
      </c>
      <c r="B15" s="231" t="s">
        <v>257</v>
      </c>
      <c r="C15" s="231" t="s">
        <v>7964</v>
      </c>
      <c r="D15" s="231"/>
      <c r="E15" s="229" t="s">
        <v>7965</v>
      </c>
      <c r="F15" s="232" t="s">
        <v>7965</v>
      </c>
      <c r="G15" s="230"/>
      <c r="S15" s="225">
        <v>1549.822617</v>
      </c>
      <c r="T15" s="180" t="s">
        <v>8023</v>
      </c>
      <c r="Y15" s="225">
        <v>705.34</v>
      </c>
      <c r="Z15" s="180" t="s">
        <v>8023</v>
      </c>
      <c r="AA15" s="225">
        <v>72675.41</v>
      </c>
      <c r="AB15" s="180" t="s">
        <v>8023</v>
      </c>
      <c r="AC15">
        <v>33.47</v>
      </c>
      <c r="AD15" s="180" t="s">
        <v>8023</v>
      </c>
      <c r="AG15" s="225">
        <v>4.6053946049999999</v>
      </c>
      <c r="AH15" s="180" t="s">
        <v>8023</v>
      </c>
      <c r="AM15">
        <v>88</v>
      </c>
      <c r="BS15" s="225">
        <v>46.3</v>
      </c>
      <c r="BT15" s="180" t="s">
        <v>8023</v>
      </c>
      <c r="BU15" s="136">
        <v>21.07</v>
      </c>
      <c r="BV15" s="180" t="s">
        <v>8023</v>
      </c>
    </row>
    <row r="16" spans="1:91">
      <c r="A16" s="123" t="s">
        <v>7440</v>
      </c>
      <c r="B16" s="231" t="s">
        <v>257</v>
      </c>
      <c r="C16" s="231" t="s">
        <v>7964</v>
      </c>
      <c r="D16" s="231"/>
      <c r="E16" s="229" t="s">
        <v>7965</v>
      </c>
      <c r="F16" s="232" t="s">
        <v>7965</v>
      </c>
      <c r="G16" s="230"/>
      <c r="S16" s="225">
        <v>1368.473618</v>
      </c>
      <c r="T16" s="180" t="s">
        <v>8023</v>
      </c>
      <c r="Y16" s="225">
        <v>658.74</v>
      </c>
      <c r="Z16" s="180" t="s">
        <v>8023</v>
      </c>
      <c r="AA16" s="225">
        <v>60689.1</v>
      </c>
      <c r="AB16" s="180" t="s">
        <v>8023</v>
      </c>
      <c r="AC16">
        <v>30.12</v>
      </c>
      <c r="AD16" s="180" t="s">
        <v>8023</v>
      </c>
      <c r="AG16" s="225">
        <v>4.9625668449999996</v>
      </c>
      <c r="AH16" s="180" t="s">
        <v>8023</v>
      </c>
      <c r="AM16">
        <v>88</v>
      </c>
      <c r="BS16" s="225">
        <v>45.44</v>
      </c>
      <c r="BT16" s="180" t="s">
        <v>8023</v>
      </c>
      <c r="BU16" s="136">
        <v>21.87</v>
      </c>
      <c r="BV16" s="180" t="s">
        <v>8023</v>
      </c>
    </row>
    <row r="17" spans="1:74">
      <c r="A17" s="123" t="s">
        <v>7440</v>
      </c>
      <c r="B17" s="231" t="s">
        <v>259</v>
      </c>
      <c r="C17" s="231" t="s">
        <v>7964</v>
      </c>
      <c r="D17" s="231"/>
      <c r="E17" s="229">
        <v>9</v>
      </c>
      <c r="F17" s="232">
        <v>39</v>
      </c>
      <c r="G17" s="230"/>
      <c r="S17" s="225">
        <v>1280.570696</v>
      </c>
      <c r="T17" s="180" t="s">
        <v>8023</v>
      </c>
      <c r="Y17" s="225">
        <v>647.44000000000005</v>
      </c>
      <c r="Z17" s="180" t="s">
        <v>8023</v>
      </c>
      <c r="AA17" s="225">
        <v>58876.61</v>
      </c>
      <c r="AB17" s="180" t="s">
        <v>8023</v>
      </c>
      <c r="AC17">
        <v>28.35</v>
      </c>
      <c r="AD17" s="180" t="s">
        <v>8023</v>
      </c>
      <c r="AG17" s="225">
        <v>4.815595364</v>
      </c>
      <c r="AH17" s="180" t="s">
        <v>8023</v>
      </c>
      <c r="AM17">
        <v>91</v>
      </c>
      <c r="BS17" s="225">
        <v>45.17</v>
      </c>
      <c r="BT17" s="180" t="s">
        <v>8023</v>
      </c>
      <c r="BU17" s="136">
        <v>22.84</v>
      </c>
      <c r="BV17" s="180" t="s">
        <v>8023</v>
      </c>
    </row>
    <row r="18" spans="1:74">
      <c r="A18" s="123" t="s">
        <v>7440</v>
      </c>
      <c r="B18" s="231" t="s">
        <v>259</v>
      </c>
      <c r="C18" s="231" t="s">
        <v>7964</v>
      </c>
      <c r="D18" s="231"/>
      <c r="E18" s="230" t="s">
        <v>7965</v>
      </c>
      <c r="F18" s="232" t="s">
        <v>7965</v>
      </c>
      <c r="G18" s="230"/>
      <c r="S18" s="225">
        <v>1436.1455759999999</v>
      </c>
      <c r="T18" s="180" t="s">
        <v>8023</v>
      </c>
      <c r="Y18" s="225">
        <v>715.7</v>
      </c>
      <c r="Z18" s="180" t="s">
        <v>8023</v>
      </c>
      <c r="AA18" s="225">
        <v>69399.33</v>
      </c>
      <c r="AB18" s="180" t="s">
        <v>8023</v>
      </c>
      <c r="AC18">
        <v>31.91</v>
      </c>
      <c r="AD18" s="180" t="s">
        <v>8023</v>
      </c>
      <c r="AG18" s="225">
        <v>4.597815293</v>
      </c>
      <c r="AH18" s="180" t="s">
        <v>8023</v>
      </c>
      <c r="AM18">
        <v>88</v>
      </c>
      <c r="BS18" s="225">
        <v>45.01</v>
      </c>
      <c r="BT18" s="180" t="s">
        <v>8023</v>
      </c>
      <c r="BU18" s="136">
        <v>22.43</v>
      </c>
      <c r="BV18" s="180" t="s">
        <v>8023</v>
      </c>
    </row>
    <row r="19" spans="1:74">
      <c r="A19" s="123" t="s">
        <v>7440</v>
      </c>
      <c r="B19" s="231" t="s">
        <v>259</v>
      </c>
      <c r="C19" s="231" t="s">
        <v>7964</v>
      </c>
      <c r="D19" s="231"/>
      <c r="E19" s="230" t="s">
        <v>7965</v>
      </c>
      <c r="F19" s="232" t="s">
        <v>7965</v>
      </c>
      <c r="G19" s="230"/>
      <c r="S19" s="225">
        <v>1180.20868</v>
      </c>
      <c r="T19" s="180" t="s">
        <v>8023</v>
      </c>
      <c r="Y19" s="225">
        <v>600.11</v>
      </c>
      <c r="Z19" s="180" t="s">
        <v>8023</v>
      </c>
      <c r="AA19" s="225">
        <v>55541.4</v>
      </c>
      <c r="AB19" s="180" t="s">
        <v>8023</v>
      </c>
      <c r="AC19">
        <v>26.28</v>
      </c>
      <c r="AD19" s="180" t="s">
        <v>8023</v>
      </c>
      <c r="AG19" s="225">
        <v>4.7315096250000002</v>
      </c>
      <c r="AH19" s="180" t="s">
        <v>8023</v>
      </c>
      <c r="AM19">
        <v>92</v>
      </c>
      <c r="BS19" s="225">
        <v>44.91</v>
      </c>
      <c r="BT19" s="180" t="s">
        <v>8023</v>
      </c>
      <c r="BU19" s="136">
        <v>22.84</v>
      </c>
      <c r="BV19" s="180" t="s">
        <v>8023</v>
      </c>
    </row>
    <row r="20" spans="1:74">
      <c r="A20" s="123" t="s">
        <v>7440</v>
      </c>
      <c r="B20" s="231" t="s">
        <v>257</v>
      </c>
      <c r="C20" s="231" t="s">
        <v>7982</v>
      </c>
      <c r="D20" s="231"/>
      <c r="E20" s="229" t="s">
        <v>7965</v>
      </c>
      <c r="F20" s="232" t="s">
        <v>7965</v>
      </c>
      <c r="G20" s="230"/>
      <c r="S20" s="225">
        <v>1390.901476</v>
      </c>
      <c r="T20" s="180" t="s">
        <v>8023</v>
      </c>
      <c r="Y20" s="225">
        <v>613.75</v>
      </c>
      <c r="Z20" s="180" t="s">
        <v>8023</v>
      </c>
      <c r="AA20" s="225">
        <v>60501.95</v>
      </c>
      <c r="AB20" s="180" t="s">
        <v>8023</v>
      </c>
      <c r="AC20">
        <v>29.93</v>
      </c>
      <c r="AD20" s="180" t="s">
        <v>8023</v>
      </c>
      <c r="AG20" s="225">
        <v>4.9472573840000003</v>
      </c>
      <c r="AH20" s="180" t="s">
        <v>8023</v>
      </c>
      <c r="AM20">
        <v>88</v>
      </c>
      <c r="BS20" s="225">
        <v>46.47</v>
      </c>
      <c r="BT20" s="180" t="s">
        <v>8023</v>
      </c>
      <c r="BU20" s="136">
        <v>20.51</v>
      </c>
      <c r="BV20" s="180" t="s">
        <v>8023</v>
      </c>
    </row>
    <row r="21" spans="1:74">
      <c r="A21" s="123" t="s">
        <v>7440</v>
      </c>
      <c r="B21" s="231" t="s">
        <v>257</v>
      </c>
      <c r="C21" s="231" t="s">
        <v>7982</v>
      </c>
      <c r="D21" s="231"/>
      <c r="E21" s="229" t="s">
        <v>7965</v>
      </c>
      <c r="F21" s="232" t="s">
        <v>7965</v>
      </c>
      <c r="G21" s="230"/>
      <c r="S21" s="225">
        <v>1478.350801</v>
      </c>
      <c r="T21" s="180" t="s">
        <v>8023</v>
      </c>
      <c r="Y21" s="225">
        <v>660.12</v>
      </c>
      <c r="Z21" s="180" t="s">
        <v>8023</v>
      </c>
      <c r="AA21" s="225">
        <v>68587.399999999994</v>
      </c>
      <c r="AB21" s="180" t="s">
        <v>8023</v>
      </c>
      <c r="AC21">
        <v>31.55</v>
      </c>
      <c r="AD21" s="180" t="s">
        <v>8023</v>
      </c>
      <c r="AG21" s="225">
        <v>4.5994065280000003</v>
      </c>
      <c r="AH21" s="180" t="s">
        <v>8023</v>
      </c>
      <c r="AM21">
        <v>88</v>
      </c>
      <c r="BS21" s="225">
        <v>46.86</v>
      </c>
      <c r="BT21" s="180" t="s">
        <v>8023</v>
      </c>
      <c r="BU21" s="136">
        <v>20.93</v>
      </c>
      <c r="BV21" s="180" t="s">
        <v>8023</v>
      </c>
    </row>
    <row r="22" spans="1:74">
      <c r="A22" s="123" t="s">
        <v>7440</v>
      </c>
      <c r="B22" s="231" t="s">
        <v>257</v>
      </c>
      <c r="C22" s="231" t="s">
        <v>7982</v>
      </c>
      <c r="D22" s="231"/>
      <c r="E22" s="229">
        <v>16</v>
      </c>
      <c r="F22" s="232">
        <v>35</v>
      </c>
      <c r="G22" s="230"/>
      <c r="S22" s="225">
        <v>1538.0540450000001</v>
      </c>
      <c r="T22" s="180" t="s">
        <v>8023</v>
      </c>
      <c r="Y22" s="225">
        <v>709.39</v>
      </c>
      <c r="Z22" s="180" t="s">
        <v>8023</v>
      </c>
      <c r="AA22" s="225">
        <v>73419.789999999994</v>
      </c>
      <c r="AB22" s="180" t="s">
        <v>8023</v>
      </c>
      <c r="AC22">
        <v>33.58</v>
      </c>
      <c r="AD22" s="180" t="s">
        <v>8023</v>
      </c>
      <c r="AG22" s="225">
        <v>4.5736434109999999</v>
      </c>
      <c r="AH22" s="180" t="s">
        <v>8023</v>
      </c>
      <c r="AM22">
        <v>88</v>
      </c>
      <c r="BS22" s="225">
        <v>45.8</v>
      </c>
      <c r="BT22" s="180" t="s">
        <v>8023</v>
      </c>
      <c r="BU22" s="136">
        <v>21.13</v>
      </c>
      <c r="BV22" s="180" t="s">
        <v>8023</v>
      </c>
    </row>
    <row r="23" spans="1:74">
      <c r="A23" s="123" t="s">
        <v>7440</v>
      </c>
      <c r="B23" s="231" t="s">
        <v>259</v>
      </c>
      <c r="C23" s="231" t="s">
        <v>7982</v>
      </c>
      <c r="D23" s="231"/>
      <c r="E23" s="229">
        <v>14</v>
      </c>
      <c r="F23" s="232">
        <v>17</v>
      </c>
      <c r="G23" s="230"/>
      <c r="S23" s="225">
        <v>1399.995279</v>
      </c>
      <c r="T23" s="180" t="s">
        <v>8023</v>
      </c>
      <c r="Y23" s="225">
        <v>759.48</v>
      </c>
      <c r="Z23" s="180" t="s">
        <v>8023</v>
      </c>
      <c r="AA23" s="225">
        <v>76421.279999999999</v>
      </c>
      <c r="AB23" s="180" t="s">
        <v>8023</v>
      </c>
      <c r="AC23">
        <v>32.78</v>
      </c>
      <c r="AD23" s="180" t="s">
        <v>8023</v>
      </c>
      <c r="AG23" s="225">
        <v>4.289617486</v>
      </c>
      <c r="AH23" s="180" t="s">
        <v>8023</v>
      </c>
      <c r="AM23">
        <v>91</v>
      </c>
      <c r="BS23" s="225">
        <v>42.71</v>
      </c>
      <c r="BT23" s="180" t="s">
        <v>8023</v>
      </c>
      <c r="BU23" s="136">
        <v>23.17</v>
      </c>
      <c r="BV23" s="180" t="s">
        <v>8023</v>
      </c>
    </row>
    <row r="24" spans="1:74">
      <c r="A24" s="123" t="s">
        <v>7440</v>
      </c>
      <c r="B24" s="231" t="s">
        <v>259</v>
      </c>
      <c r="C24" s="231" t="s">
        <v>7982</v>
      </c>
      <c r="D24" s="231"/>
      <c r="E24" s="230" t="s">
        <v>7965</v>
      </c>
      <c r="F24" s="232" t="s">
        <v>7965</v>
      </c>
      <c r="G24" s="230"/>
      <c r="S24" s="225">
        <v>1455.4708430000001</v>
      </c>
      <c r="T24" s="180" t="s">
        <v>8023</v>
      </c>
      <c r="Y24" s="225">
        <v>757.27</v>
      </c>
      <c r="Z24" s="180" t="s">
        <v>8023</v>
      </c>
      <c r="AA24" s="225">
        <v>70234.5</v>
      </c>
      <c r="AB24" s="180" t="s">
        <v>8023</v>
      </c>
      <c r="AC24">
        <v>32.83</v>
      </c>
      <c r="AD24" s="180" t="s">
        <v>8023</v>
      </c>
      <c r="AG24" s="225">
        <v>4.674022066</v>
      </c>
      <c r="AH24" s="180" t="s">
        <v>8023</v>
      </c>
      <c r="AM24">
        <v>92</v>
      </c>
      <c r="BS24" s="225">
        <v>44.34</v>
      </c>
      <c r="BT24" s="180" t="s">
        <v>8023</v>
      </c>
      <c r="BU24" s="136">
        <v>23.07</v>
      </c>
      <c r="BV24" s="180" t="s">
        <v>8023</v>
      </c>
    </row>
    <row r="25" spans="1:74">
      <c r="A25" s="123" t="s">
        <v>7440</v>
      </c>
      <c r="B25" s="231" t="s">
        <v>259</v>
      </c>
      <c r="C25" s="231" t="s">
        <v>7982</v>
      </c>
      <c r="D25" s="231"/>
      <c r="E25" s="230" t="s">
        <v>7965</v>
      </c>
      <c r="F25" s="232" t="s">
        <v>7965</v>
      </c>
      <c r="G25" s="230"/>
      <c r="S25" s="225">
        <v>1124.182773</v>
      </c>
      <c r="T25" s="180" t="s">
        <v>8023</v>
      </c>
      <c r="Y25" s="225">
        <v>636.91</v>
      </c>
      <c r="Z25" s="180" t="s">
        <v>8023</v>
      </c>
      <c r="AA25" s="225">
        <v>59359.76</v>
      </c>
      <c r="AB25" s="180" t="s">
        <v>8023</v>
      </c>
      <c r="AC25">
        <v>26.26</v>
      </c>
      <c r="AD25" s="180" t="s">
        <v>8023</v>
      </c>
      <c r="AG25" s="225">
        <v>4.4245283019999997</v>
      </c>
      <c r="AH25" s="180" t="s">
        <v>8023</v>
      </c>
      <c r="AM25">
        <v>92</v>
      </c>
      <c r="BS25" s="225">
        <v>42.8</v>
      </c>
      <c r="BT25" s="180" t="s">
        <v>8023</v>
      </c>
      <c r="BU25" s="136">
        <v>24.25</v>
      </c>
      <c r="BV25" s="180" t="s">
        <v>8023</v>
      </c>
    </row>
    <row r="26" spans="1:74">
      <c r="A26" s="123" t="s">
        <v>7439</v>
      </c>
      <c r="B26" s="231" t="s">
        <v>257</v>
      </c>
      <c r="C26" s="231" t="s">
        <v>405</v>
      </c>
      <c r="D26" s="231"/>
      <c r="E26" s="229" t="s">
        <v>7965</v>
      </c>
      <c r="F26" s="232" t="s">
        <v>7965</v>
      </c>
      <c r="G26" s="230"/>
      <c r="S26" s="225">
        <v>1621.3701579999999</v>
      </c>
      <c r="T26" s="180" t="s">
        <v>8023</v>
      </c>
      <c r="Y26" s="225">
        <v>675.75</v>
      </c>
      <c r="Z26" s="180" t="s">
        <v>8023</v>
      </c>
      <c r="AA26" s="225">
        <v>75490.61</v>
      </c>
      <c r="AB26" s="180" t="s">
        <v>8023</v>
      </c>
      <c r="AC26">
        <v>33</v>
      </c>
      <c r="AD26" s="180" t="s">
        <v>8023</v>
      </c>
      <c r="AG26" s="225">
        <v>4.3707973100000004</v>
      </c>
      <c r="AH26" s="180" t="s">
        <v>8023</v>
      </c>
      <c r="AM26">
        <v>83</v>
      </c>
      <c r="BS26" s="225">
        <v>49.14</v>
      </c>
      <c r="BT26" s="180" t="s">
        <v>8023</v>
      </c>
      <c r="BU26" s="136">
        <v>20.48</v>
      </c>
      <c r="BV26" s="180" t="s">
        <v>8023</v>
      </c>
    </row>
    <row r="27" spans="1:74">
      <c r="A27" s="123" t="s">
        <v>7439</v>
      </c>
      <c r="B27" s="231" t="s">
        <v>257</v>
      </c>
      <c r="C27" s="231" t="s">
        <v>405</v>
      </c>
      <c r="D27" s="231"/>
      <c r="E27" s="229" t="s">
        <v>7965</v>
      </c>
      <c r="F27" s="232" t="s">
        <v>7965</v>
      </c>
      <c r="G27" s="230"/>
      <c r="S27" s="225">
        <v>1995.2245190000001</v>
      </c>
      <c r="T27" s="180" t="s">
        <v>8023</v>
      </c>
      <c r="Y27" s="225">
        <v>837.36</v>
      </c>
      <c r="Z27" s="180" t="s">
        <v>8023</v>
      </c>
      <c r="AA27" s="225">
        <v>88933.31</v>
      </c>
      <c r="AB27" s="180" t="s">
        <v>8023</v>
      </c>
      <c r="AC27">
        <v>40.549999999999997</v>
      </c>
      <c r="AD27" s="180" t="s">
        <v>8023</v>
      </c>
      <c r="AG27" s="225">
        <v>4.5591182359999998</v>
      </c>
      <c r="AH27" s="180" t="s">
        <v>8023</v>
      </c>
      <c r="AM27">
        <v>83</v>
      </c>
      <c r="BS27" s="225">
        <v>49.21</v>
      </c>
      <c r="BT27" s="180" t="s">
        <v>8023</v>
      </c>
      <c r="BU27" s="136">
        <v>20.65</v>
      </c>
      <c r="BV27" s="180" t="s">
        <v>8023</v>
      </c>
    </row>
    <row r="28" spans="1:74">
      <c r="A28" s="123" t="s">
        <v>7439</v>
      </c>
      <c r="B28" s="231" t="s">
        <v>257</v>
      </c>
      <c r="C28" s="231" t="s">
        <v>405</v>
      </c>
      <c r="D28" s="231"/>
      <c r="E28" s="229">
        <v>4</v>
      </c>
      <c r="F28" s="232">
        <v>10</v>
      </c>
      <c r="G28" s="230"/>
      <c r="S28" s="225">
        <v>1806.435174</v>
      </c>
      <c r="T28" s="180" t="s">
        <v>8023</v>
      </c>
      <c r="Y28" s="225">
        <v>779.42</v>
      </c>
      <c r="Z28" s="180" t="s">
        <v>8023</v>
      </c>
      <c r="AA28" s="225">
        <v>83257.350000000006</v>
      </c>
      <c r="AB28" s="180" t="s">
        <v>8023</v>
      </c>
      <c r="AC28">
        <v>37.340000000000003</v>
      </c>
      <c r="AD28" s="180" t="s">
        <v>8023</v>
      </c>
      <c r="AG28" s="225">
        <v>4.4844357979999998</v>
      </c>
      <c r="AH28" s="180" t="s">
        <v>8023</v>
      </c>
      <c r="AM28">
        <v>84</v>
      </c>
      <c r="BS28" s="225">
        <v>48.38</v>
      </c>
      <c r="BT28" s="180" t="s">
        <v>8023</v>
      </c>
      <c r="BU28" s="136">
        <v>20.88</v>
      </c>
      <c r="BV28" s="180" t="s">
        <v>8023</v>
      </c>
    </row>
    <row r="29" spans="1:74">
      <c r="A29" s="123" t="s">
        <v>7439</v>
      </c>
      <c r="B29" s="231" t="s">
        <v>259</v>
      </c>
      <c r="C29" s="231" t="s">
        <v>405</v>
      </c>
      <c r="D29" s="231"/>
      <c r="E29" s="229" t="s">
        <v>7965</v>
      </c>
      <c r="F29" s="232" t="s">
        <v>7965</v>
      </c>
      <c r="G29" s="230"/>
      <c r="S29" s="225">
        <v>1891.74218</v>
      </c>
      <c r="T29" s="180" t="s">
        <v>8023</v>
      </c>
      <c r="Y29" s="225">
        <v>871.04</v>
      </c>
      <c r="Z29" s="180" t="s">
        <v>8023</v>
      </c>
      <c r="AA29" s="225">
        <v>95067.14</v>
      </c>
      <c r="AB29" s="180" t="s">
        <v>8023</v>
      </c>
      <c r="AC29">
        <v>40.119999999999997</v>
      </c>
      <c r="AD29" s="180" t="s">
        <v>8023</v>
      </c>
      <c r="AG29" s="225">
        <v>4.219759926</v>
      </c>
      <c r="AH29" s="180" t="s">
        <v>8023</v>
      </c>
      <c r="AM29">
        <v>85</v>
      </c>
      <c r="BS29" s="225">
        <v>47.16</v>
      </c>
      <c r="BT29" s="180" t="s">
        <v>8023</v>
      </c>
      <c r="BU29" s="136">
        <v>21.71</v>
      </c>
      <c r="BV29" s="180" t="s">
        <v>8023</v>
      </c>
    </row>
    <row r="30" spans="1:74">
      <c r="A30" s="123" t="s">
        <v>7439</v>
      </c>
      <c r="B30" s="231" t="s">
        <v>259</v>
      </c>
      <c r="C30" s="231" t="s">
        <v>405</v>
      </c>
      <c r="D30" s="231"/>
      <c r="E30" s="230" t="s">
        <v>7965</v>
      </c>
      <c r="F30" s="232" t="s">
        <v>7965</v>
      </c>
      <c r="G30" s="230"/>
      <c r="S30" s="225">
        <v>2137.125485</v>
      </c>
      <c r="T30" s="180" t="s">
        <v>8023</v>
      </c>
      <c r="Y30" s="225">
        <v>866.67</v>
      </c>
      <c r="Z30" s="180" t="s">
        <v>8023</v>
      </c>
      <c r="AA30" s="225">
        <v>96205.64</v>
      </c>
      <c r="AB30" s="180" t="s">
        <v>8023</v>
      </c>
      <c r="AC30">
        <v>43.02</v>
      </c>
      <c r="AD30" s="180" t="s">
        <v>8023</v>
      </c>
      <c r="AG30" s="225">
        <v>4.4713870030000002</v>
      </c>
      <c r="AH30" s="180" t="s">
        <v>8023</v>
      </c>
      <c r="AM30">
        <v>85</v>
      </c>
      <c r="BS30" s="225">
        <v>49.68</v>
      </c>
      <c r="BT30" s="180" t="s">
        <v>8023</v>
      </c>
      <c r="BU30" s="136">
        <v>20.149999999999999</v>
      </c>
      <c r="BV30" s="180" t="s">
        <v>8023</v>
      </c>
    </row>
    <row r="31" spans="1:74">
      <c r="A31" s="123" t="s">
        <v>7439</v>
      </c>
      <c r="B31" s="231" t="s">
        <v>259</v>
      </c>
      <c r="C31" s="231" t="s">
        <v>405</v>
      </c>
      <c r="D31" s="231"/>
      <c r="E31" s="230">
        <v>4</v>
      </c>
      <c r="F31" s="232">
        <v>63</v>
      </c>
      <c r="G31" s="230"/>
      <c r="S31" s="225">
        <v>1960.7790359999999</v>
      </c>
      <c r="T31" s="180" t="s">
        <v>8023</v>
      </c>
      <c r="Y31" s="225">
        <v>816.98</v>
      </c>
      <c r="Z31" s="180" t="s">
        <v>8023</v>
      </c>
      <c r="AA31" s="225">
        <v>90141.78</v>
      </c>
      <c r="AB31" s="180" t="s">
        <v>8023</v>
      </c>
      <c r="AC31">
        <v>39.58</v>
      </c>
      <c r="AD31" s="180" t="s">
        <v>8023</v>
      </c>
      <c r="AG31" s="225">
        <v>4.3907156670000003</v>
      </c>
      <c r="AH31" s="180" t="s">
        <v>8023</v>
      </c>
      <c r="AM31">
        <v>85</v>
      </c>
      <c r="BS31" s="225">
        <v>49.54</v>
      </c>
      <c r="BT31" s="180" t="s">
        <v>8023</v>
      </c>
      <c r="BU31" s="136">
        <v>20.64</v>
      </c>
      <c r="BV31" s="180" t="s">
        <v>8023</v>
      </c>
    </row>
    <row r="32" spans="1:74">
      <c r="A32" s="123" t="s">
        <v>7439</v>
      </c>
      <c r="B32" s="231" t="s">
        <v>257</v>
      </c>
      <c r="C32" s="231" t="s">
        <v>7963</v>
      </c>
      <c r="D32" s="231"/>
      <c r="E32" s="229" t="s">
        <v>7965</v>
      </c>
      <c r="F32" s="232" t="s">
        <v>7965</v>
      </c>
      <c r="G32" s="230"/>
      <c r="S32" s="225">
        <v>1976.4489639999999</v>
      </c>
      <c r="T32" s="180" t="s">
        <v>8023</v>
      </c>
      <c r="Y32" s="225">
        <v>754.93</v>
      </c>
      <c r="Z32" s="180" t="s">
        <v>8023</v>
      </c>
      <c r="AA32" s="225">
        <v>87473.9</v>
      </c>
      <c r="AB32" s="180" t="s">
        <v>8023</v>
      </c>
      <c r="AC32">
        <v>38.909999999999997</v>
      </c>
      <c r="AD32" s="180" t="s">
        <v>8023</v>
      </c>
      <c r="AG32" s="225">
        <v>4.4487056569999996</v>
      </c>
      <c r="AH32" s="180" t="s">
        <v>8023</v>
      </c>
      <c r="AM32">
        <v>84</v>
      </c>
      <c r="BS32" s="225">
        <v>50.79</v>
      </c>
      <c r="BT32" s="180" t="s">
        <v>8023</v>
      </c>
      <c r="BU32" s="136">
        <v>19.399999999999999</v>
      </c>
      <c r="BV32" s="180" t="s">
        <v>8023</v>
      </c>
    </row>
    <row r="33" spans="1:74">
      <c r="A33" s="123" t="s">
        <v>7439</v>
      </c>
      <c r="B33" s="231" t="s">
        <v>257</v>
      </c>
      <c r="C33" s="231" t="s">
        <v>7963</v>
      </c>
      <c r="D33" s="231"/>
      <c r="E33" s="229">
        <v>7</v>
      </c>
      <c r="F33" s="232">
        <v>42</v>
      </c>
      <c r="G33" s="230"/>
      <c r="S33" s="225">
        <v>1709.524042</v>
      </c>
      <c r="T33" s="180" t="s">
        <v>8023</v>
      </c>
      <c r="Y33" s="225">
        <v>690.87</v>
      </c>
      <c r="Z33" s="180" t="s">
        <v>8023</v>
      </c>
      <c r="AA33" s="225">
        <v>82591.039999999994</v>
      </c>
      <c r="AB33" s="180" t="s">
        <v>8023</v>
      </c>
      <c r="AC33">
        <v>34.630000000000003</v>
      </c>
      <c r="AD33" s="180" t="s">
        <v>8023</v>
      </c>
      <c r="AG33" s="225">
        <v>4.1932543300000003</v>
      </c>
      <c r="AH33" s="180" t="s">
        <v>8023</v>
      </c>
      <c r="AM33">
        <v>85</v>
      </c>
      <c r="BS33" s="225">
        <v>49.36</v>
      </c>
      <c r="BT33" s="180" t="s">
        <v>8023</v>
      </c>
      <c r="BU33" s="136">
        <v>19.95</v>
      </c>
      <c r="BV33" s="180" t="s">
        <v>8023</v>
      </c>
    </row>
    <row r="34" spans="1:74">
      <c r="A34" s="123" t="s">
        <v>7439</v>
      </c>
      <c r="B34" s="231" t="s">
        <v>257</v>
      </c>
      <c r="C34" s="231" t="s">
        <v>7963</v>
      </c>
      <c r="D34" s="231"/>
      <c r="E34" s="229" t="s">
        <v>7965</v>
      </c>
      <c r="F34" s="232" t="s">
        <v>7965</v>
      </c>
      <c r="G34" s="230"/>
      <c r="S34" s="225">
        <v>1791.496214</v>
      </c>
      <c r="T34" s="180" t="s">
        <v>8023</v>
      </c>
      <c r="Y34" s="225">
        <v>750.45</v>
      </c>
      <c r="Z34" s="180" t="s">
        <v>8023</v>
      </c>
      <c r="AA34" s="225">
        <v>83062.06</v>
      </c>
      <c r="AB34" s="180" t="s">
        <v>8023</v>
      </c>
      <c r="AC34">
        <v>36.78</v>
      </c>
      <c r="AD34" s="180" t="s">
        <v>8023</v>
      </c>
      <c r="AG34" s="225">
        <v>4.4274809160000004</v>
      </c>
      <c r="AH34" s="180" t="s">
        <v>8023</v>
      </c>
      <c r="AM34">
        <v>85</v>
      </c>
      <c r="BS34" s="225">
        <v>48.71</v>
      </c>
      <c r="BT34" s="180" t="s">
        <v>8023</v>
      </c>
      <c r="BU34" s="136">
        <v>20.41</v>
      </c>
      <c r="BV34" s="180" t="s">
        <v>8023</v>
      </c>
    </row>
    <row r="35" spans="1:74">
      <c r="A35" s="123" t="s">
        <v>7439</v>
      </c>
      <c r="B35" s="231" t="s">
        <v>259</v>
      </c>
      <c r="C35" s="231" t="s">
        <v>7963</v>
      </c>
      <c r="D35" s="231"/>
      <c r="E35" s="229" t="s">
        <v>7965</v>
      </c>
      <c r="F35" s="232" t="s">
        <v>7965</v>
      </c>
      <c r="G35" s="230"/>
      <c r="S35" s="225">
        <v>1588.2744150000001</v>
      </c>
      <c r="T35" s="180" t="s">
        <v>8023</v>
      </c>
      <c r="Y35" s="225">
        <v>737.8</v>
      </c>
      <c r="Z35" s="180" t="s">
        <v>8023</v>
      </c>
      <c r="AA35" s="225">
        <v>76851.13</v>
      </c>
      <c r="AB35" s="180" t="s">
        <v>8023</v>
      </c>
      <c r="AC35">
        <v>33.35</v>
      </c>
      <c r="AD35" s="180" t="s">
        <v>8023</v>
      </c>
      <c r="AG35" s="225">
        <v>4.3392689779999998</v>
      </c>
      <c r="AH35" s="180" t="s">
        <v>8023</v>
      </c>
      <c r="AM35">
        <v>85</v>
      </c>
      <c r="BS35" s="225">
        <v>47.63</v>
      </c>
      <c r="BT35" s="180" t="s">
        <v>8023</v>
      </c>
      <c r="BU35" s="136">
        <v>22.12</v>
      </c>
      <c r="BV35" s="180" t="s">
        <v>8023</v>
      </c>
    </row>
    <row r="36" spans="1:74">
      <c r="A36" s="123" t="s">
        <v>7439</v>
      </c>
      <c r="B36" s="231" t="s">
        <v>259</v>
      </c>
      <c r="C36" s="231" t="s">
        <v>7963</v>
      </c>
      <c r="D36" s="231"/>
      <c r="E36" s="230" t="s">
        <v>7965</v>
      </c>
      <c r="F36" s="232" t="s">
        <v>7965</v>
      </c>
      <c r="G36" s="230"/>
      <c r="S36" s="225">
        <v>1701.755253</v>
      </c>
      <c r="T36" s="180" t="s">
        <v>8023</v>
      </c>
      <c r="Y36" s="225">
        <v>703.21</v>
      </c>
      <c r="Z36" s="180" t="s">
        <v>8023</v>
      </c>
      <c r="AA36" s="225">
        <v>81840.22</v>
      </c>
      <c r="AB36" s="180" t="s">
        <v>8023</v>
      </c>
      <c r="AC36">
        <v>34.619999999999997</v>
      </c>
      <c r="AD36" s="180" t="s">
        <v>8023</v>
      </c>
      <c r="AG36" s="225">
        <v>4.230769231</v>
      </c>
      <c r="AH36" s="180" t="s">
        <v>8023</v>
      </c>
      <c r="AM36">
        <v>85</v>
      </c>
      <c r="BS36" s="225">
        <v>49.15</v>
      </c>
      <c r="BT36" s="180" t="s">
        <v>8023</v>
      </c>
      <c r="BU36" s="136">
        <v>20.309999999999999</v>
      </c>
      <c r="BV36" s="180" t="s">
        <v>8023</v>
      </c>
    </row>
    <row r="37" spans="1:74">
      <c r="A37" s="123" t="s">
        <v>7439</v>
      </c>
      <c r="B37" s="231" t="s">
        <v>259</v>
      </c>
      <c r="C37" s="231" t="s">
        <v>7963</v>
      </c>
      <c r="D37" s="231"/>
      <c r="E37" s="230">
        <v>7</v>
      </c>
      <c r="F37" s="232">
        <v>20</v>
      </c>
      <c r="G37" s="230"/>
      <c r="S37" s="225">
        <v>1691.3401160000001</v>
      </c>
      <c r="T37" s="180" t="s">
        <v>8023</v>
      </c>
      <c r="Y37" s="225">
        <v>680.06</v>
      </c>
      <c r="Z37" s="180" t="s">
        <v>8023</v>
      </c>
      <c r="AA37" s="225">
        <v>74565.740000000005</v>
      </c>
      <c r="AB37" s="180" t="s">
        <v>8023</v>
      </c>
      <c r="AC37">
        <v>33.99</v>
      </c>
      <c r="AD37" s="180" t="s">
        <v>8023</v>
      </c>
      <c r="AG37" s="225">
        <v>4.5579567780000003</v>
      </c>
      <c r="AH37" s="180" t="s">
        <v>8023</v>
      </c>
      <c r="AM37">
        <v>85</v>
      </c>
      <c r="BS37" s="225">
        <v>49.76</v>
      </c>
      <c r="BT37" s="180" t="s">
        <v>8023</v>
      </c>
      <c r="BU37" s="136">
        <v>20.010000000000002</v>
      </c>
      <c r="BV37" s="180" t="s">
        <v>8023</v>
      </c>
    </row>
    <row r="38" spans="1:74">
      <c r="A38" s="123" t="s">
        <v>7439</v>
      </c>
      <c r="B38" s="231" t="s">
        <v>257</v>
      </c>
      <c r="C38" s="231" t="s">
        <v>7964</v>
      </c>
      <c r="D38" s="231"/>
      <c r="E38" s="229" t="s">
        <v>7965</v>
      </c>
      <c r="F38" s="232" t="s">
        <v>7965</v>
      </c>
      <c r="G38" s="230"/>
      <c r="S38" s="225">
        <v>1960.478464</v>
      </c>
      <c r="T38" s="180" t="s">
        <v>8023</v>
      </c>
      <c r="Y38" s="225">
        <v>815.24</v>
      </c>
      <c r="Z38" s="180" t="s">
        <v>8023</v>
      </c>
      <c r="AA38" s="225">
        <v>93945.02</v>
      </c>
      <c r="AB38" s="180" t="s">
        <v>8023</v>
      </c>
      <c r="AC38">
        <v>40.1</v>
      </c>
      <c r="AD38" s="180" t="s">
        <v>8023</v>
      </c>
      <c r="AG38" s="225">
        <v>4.2686292549999996</v>
      </c>
      <c r="AH38" s="180" t="s">
        <v>8023</v>
      </c>
      <c r="AM38">
        <v>84</v>
      </c>
      <c r="BS38" s="225">
        <v>48.89</v>
      </c>
      <c r="BT38" s="180" t="s">
        <v>8023</v>
      </c>
      <c r="BU38" s="136">
        <v>20.329999999999998</v>
      </c>
      <c r="BV38" s="180" t="s">
        <v>8023</v>
      </c>
    </row>
    <row r="39" spans="1:74">
      <c r="A39" s="123" t="s">
        <v>7439</v>
      </c>
      <c r="B39" s="231" t="s">
        <v>257</v>
      </c>
      <c r="C39" s="231" t="s">
        <v>7964</v>
      </c>
      <c r="D39" s="231"/>
      <c r="E39" s="229" t="s">
        <v>7965</v>
      </c>
      <c r="F39" s="232" t="s">
        <v>7965</v>
      </c>
      <c r="G39" s="230"/>
      <c r="S39" s="225">
        <v>1960.878577</v>
      </c>
      <c r="T39" s="180" t="s">
        <v>8023</v>
      </c>
      <c r="Y39" s="225">
        <v>863.66</v>
      </c>
      <c r="Z39" s="180" t="s">
        <v>8023</v>
      </c>
      <c r="AA39" s="225">
        <v>98042.25</v>
      </c>
      <c r="AB39" s="180" t="s">
        <v>8023</v>
      </c>
      <c r="AC39">
        <v>40.81</v>
      </c>
      <c r="AD39" s="180" t="s">
        <v>8023</v>
      </c>
      <c r="AG39" s="225">
        <v>4.1621621620000004</v>
      </c>
      <c r="AH39" s="180" t="s">
        <v>8023</v>
      </c>
      <c r="AM39">
        <v>84</v>
      </c>
      <c r="BS39" s="225">
        <v>48.05</v>
      </c>
      <c r="BT39" s="180" t="s">
        <v>8023</v>
      </c>
      <c r="BU39" s="136">
        <v>21.16</v>
      </c>
      <c r="BV39" s="180" t="s">
        <v>8023</v>
      </c>
    </row>
    <row r="40" spans="1:74">
      <c r="A40" s="123" t="s">
        <v>7439</v>
      </c>
      <c r="B40" s="231" t="s">
        <v>257</v>
      </c>
      <c r="C40" s="231" t="s">
        <v>7964</v>
      </c>
      <c r="D40" s="231"/>
      <c r="E40" s="229">
        <v>12</v>
      </c>
      <c r="F40" s="232">
        <v>30</v>
      </c>
      <c r="G40" s="230"/>
      <c r="S40" s="225">
        <v>2083.1468810000001</v>
      </c>
      <c r="T40" s="180" t="s">
        <v>8023</v>
      </c>
      <c r="Y40" s="225">
        <v>887.83</v>
      </c>
      <c r="Z40" s="180" t="s">
        <v>8023</v>
      </c>
      <c r="AA40" s="225">
        <v>95823.82</v>
      </c>
      <c r="AB40" s="180" t="s">
        <v>8023</v>
      </c>
      <c r="AC40">
        <v>43.02</v>
      </c>
      <c r="AD40" s="180" t="s">
        <v>8023</v>
      </c>
      <c r="AG40" s="225">
        <v>4.4897959180000004</v>
      </c>
      <c r="AH40" s="180" t="s">
        <v>8023</v>
      </c>
      <c r="AM40">
        <v>85</v>
      </c>
      <c r="BS40" s="225">
        <v>48.42</v>
      </c>
      <c r="BT40" s="180" t="s">
        <v>8023</v>
      </c>
      <c r="BU40" s="136">
        <v>20.64</v>
      </c>
      <c r="BV40" s="180" t="s">
        <v>8023</v>
      </c>
    </row>
    <row r="41" spans="1:74">
      <c r="A41" s="125" t="s">
        <v>7439</v>
      </c>
      <c r="B41" s="231" t="s">
        <v>259</v>
      </c>
      <c r="C41" s="231" t="s">
        <v>7964</v>
      </c>
      <c r="D41" s="231"/>
      <c r="E41" s="229" t="s">
        <v>7965</v>
      </c>
      <c r="F41" s="232" t="s">
        <v>7965</v>
      </c>
      <c r="G41" s="230"/>
      <c r="S41" s="225">
        <v>1648.938433</v>
      </c>
      <c r="T41" s="180" t="s">
        <v>8023</v>
      </c>
      <c r="Y41" s="225">
        <v>751.86</v>
      </c>
      <c r="Z41" s="180" t="s">
        <v>8023</v>
      </c>
      <c r="AA41" s="225">
        <v>81925.19</v>
      </c>
      <c r="AB41" s="180" t="s">
        <v>8023</v>
      </c>
      <c r="AC41">
        <v>34.46</v>
      </c>
      <c r="AD41" s="180" t="s">
        <v>8023</v>
      </c>
      <c r="AG41" s="225">
        <v>4.2057761730000003</v>
      </c>
      <c r="AH41" s="180" t="s">
        <v>8023</v>
      </c>
      <c r="AM41">
        <v>85</v>
      </c>
      <c r="BS41" s="225">
        <v>47.86</v>
      </c>
      <c r="BT41" s="180" t="s">
        <v>8023</v>
      </c>
      <c r="BU41" s="136">
        <v>21.82</v>
      </c>
      <c r="BV41" s="180" t="s">
        <v>8023</v>
      </c>
    </row>
    <row r="42" spans="1:74">
      <c r="A42" s="123" t="s">
        <v>7439</v>
      </c>
      <c r="B42" s="231" t="s">
        <v>259</v>
      </c>
      <c r="C42" s="231" t="s">
        <v>7964</v>
      </c>
      <c r="D42" s="231"/>
      <c r="E42" s="230" t="s">
        <v>7965</v>
      </c>
      <c r="F42" s="232" t="s">
        <v>7965</v>
      </c>
      <c r="G42" s="230"/>
      <c r="S42" s="225">
        <v>1366.438547</v>
      </c>
      <c r="T42" s="180" t="s">
        <v>8023</v>
      </c>
      <c r="Y42" s="225">
        <v>658.03</v>
      </c>
      <c r="Z42" s="180" t="s">
        <v>8023</v>
      </c>
      <c r="AA42" s="225">
        <v>66568.320000000007</v>
      </c>
      <c r="AB42" s="180" t="s">
        <v>8023</v>
      </c>
      <c r="AC42">
        <v>29.27</v>
      </c>
      <c r="AD42" s="180" t="s">
        <v>8023</v>
      </c>
      <c r="AG42" s="225">
        <v>4.3969610640000001</v>
      </c>
      <c r="AH42" s="180" t="s">
        <v>8023</v>
      </c>
      <c r="AM42">
        <v>85</v>
      </c>
      <c r="BS42" s="225">
        <v>46.68</v>
      </c>
      <c r="BT42" s="180" t="s">
        <v>8023</v>
      </c>
      <c r="BU42" s="136">
        <v>22.48</v>
      </c>
      <c r="BV42" s="180" t="s">
        <v>8023</v>
      </c>
    </row>
    <row r="43" spans="1:74">
      <c r="A43" s="123" t="s">
        <v>7439</v>
      </c>
      <c r="B43" s="231" t="s">
        <v>259</v>
      </c>
      <c r="C43" s="231" t="s">
        <v>7964</v>
      </c>
      <c r="D43" s="231"/>
      <c r="E43" s="230">
        <v>11</v>
      </c>
      <c r="F43" s="232">
        <v>51</v>
      </c>
      <c r="G43" s="230"/>
      <c r="S43" s="225">
        <v>2164.2684949999998</v>
      </c>
      <c r="T43" s="180" t="s">
        <v>8023</v>
      </c>
      <c r="Y43" s="225">
        <v>959.51</v>
      </c>
      <c r="Z43" s="180" t="s">
        <v>8023</v>
      </c>
      <c r="AA43" s="225">
        <v>103089.87</v>
      </c>
      <c r="AB43" s="180" t="s">
        <v>8023</v>
      </c>
      <c r="AC43">
        <v>45.16</v>
      </c>
      <c r="AD43" s="180" t="s">
        <v>8023</v>
      </c>
      <c r="AG43" s="225">
        <v>4.3803216650000003</v>
      </c>
      <c r="AH43" s="180" t="s">
        <v>8023</v>
      </c>
      <c r="AM43">
        <v>85</v>
      </c>
      <c r="BS43" s="225">
        <v>47.93</v>
      </c>
      <c r="BT43" s="180" t="s">
        <v>8023</v>
      </c>
      <c r="BU43" s="136">
        <v>21.25</v>
      </c>
      <c r="BV43" s="180" t="s">
        <v>8023</v>
      </c>
    </row>
    <row r="44" spans="1:74">
      <c r="A44" s="123" t="s">
        <v>7439</v>
      </c>
      <c r="B44" s="231" t="s">
        <v>257</v>
      </c>
      <c r="C44" s="231" t="s">
        <v>7982</v>
      </c>
      <c r="D44" s="231"/>
      <c r="E44" s="229" t="s">
        <v>7965</v>
      </c>
      <c r="F44" s="232" t="s">
        <v>7965</v>
      </c>
      <c r="G44" s="230"/>
      <c r="S44" s="225">
        <v>1692.7117699999999</v>
      </c>
      <c r="T44" s="180" t="s">
        <v>8023</v>
      </c>
      <c r="Y44" s="225">
        <v>728.63</v>
      </c>
      <c r="Z44" s="180" t="s">
        <v>8023</v>
      </c>
      <c r="AA44" s="225">
        <v>70614.38</v>
      </c>
      <c r="AB44" s="180" t="s">
        <v>8023</v>
      </c>
      <c r="AC44">
        <v>35.08</v>
      </c>
      <c r="AD44" s="180" t="s">
        <v>8023</v>
      </c>
      <c r="AG44" s="225">
        <v>4.9682875260000001</v>
      </c>
      <c r="AH44" s="180" t="s">
        <v>8023</v>
      </c>
      <c r="AM44">
        <v>85</v>
      </c>
      <c r="BS44" s="225">
        <v>48.25</v>
      </c>
      <c r="BT44" s="180" t="s">
        <v>8023</v>
      </c>
      <c r="BU44" s="136">
        <v>20.77</v>
      </c>
      <c r="BV44" s="180" t="s">
        <v>8023</v>
      </c>
    </row>
    <row r="45" spans="1:74">
      <c r="A45" s="123" t="s">
        <v>7439</v>
      </c>
      <c r="B45" s="231" t="s">
        <v>257</v>
      </c>
      <c r="C45" s="231" t="s">
        <v>7982</v>
      </c>
      <c r="D45" s="231"/>
      <c r="E45" s="229" t="s">
        <v>7965</v>
      </c>
      <c r="F45" s="232" t="s">
        <v>7965</v>
      </c>
      <c r="G45" s="230"/>
      <c r="S45" s="225">
        <v>1780.119005</v>
      </c>
      <c r="T45" s="180" t="s">
        <v>8023</v>
      </c>
      <c r="Y45" s="225">
        <v>730.67</v>
      </c>
      <c r="Z45" s="180" t="s">
        <v>8023</v>
      </c>
      <c r="AA45" s="225">
        <v>69087.95</v>
      </c>
      <c r="AB45" s="180" t="s">
        <v>8023</v>
      </c>
      <c r="AC45">
        <v>36.17</v>
      </c>
      <c r="AD45" s="180" t="s">
        <v>8023</v>
      </c>
      <c r="AG45" s="225">
        <v>5.2359550559999999</v>
      </c>
      <c r="AH45" s="180" t="s">
        <v>8023</v>
      </c>
      <c r="AM45">
        <v>85</v>
      </c>
      <c r="BS45" s="225">
        <v>49.21</v>
      </c>
      <c r="BT45" s="180" t="s">
        <v>8023</v>
      </c>
      <c r="BU45" s="136">
        <v>20.2</v>
      </c>
      <c r="BV45" s="180" t="s">
        <v>8023</v>
      </c>
    </row>
    <row r="46" spans="1:74">
      <c r="A46" s="123" t="s">
        <v>7439</v>
      </c>
      <c r="B46" s="231" t="s">
        <v>257</v>
      </c>
      <c r="C46" s="231" t="s">
        <v>7982</v>
      </c>
      <c r="D46" s="231"/>
      <c r="E46" s="229">
        <v>16</v>
      </c>
      <c r="F46" s="232">
        <v>39</v>
      </c>
      <c r="G46" s="230"/>
      <c r="S46" s="225">
        <v>2019.1664089999999</v>
      </c>
      <c r="T46" s="180" t="s">
        <v>8023</v>
      </c>
      <c r="Y46" s="225">
        <v>840.83</v>
      </c>
      <c r="Z46" s="180" t="s">
        <v>8023</v>
      </c>
      <c r="AA46" s="225">
        <v>93670.99</v>
      </c>
      <c r="AB46" s="180" t="s">
        <v>8023</v>
      </c>
      <c r="AC46">
        <v>41.37</v>
      </c>
      <c r="AD46" s="180" t="s">
        <v>8023</v>
      </c>
      <c r="AG46" s="225">
        <v>4.4161958569999999</v>
      </c>
      <c r="AH46" s="180" t="s">
        <v>8023</v>
      </c>
      <c r="AM46">
        <v>85</v>
      </c>
      <c r="BS46" s="225">
        <v>48.81</v>
      </c>
      <c r="BT46" s="180" t="s">
        <v>8023</v>
      </c>
      <c r="BU46" s="136">
        <v>20.329999999999998</v>
      </c>
      <c r="BV46" s="180" t="s">
        <v>8023</v>
      </c>
    </row>
    <row r="47" spans="1:74">
      <c r="A47" s="123" t="s">
        <v>7439</v>
      </c>
      <c r="B47" s="231" t="s">
        <v>259</v>
      </c>
      <c r="C47" s="231" t="s">
        <v>7982</v>
      </c>
      <c r="D47" s="231"/>
      <c r="E47" s="229" t="s">
        <v>7965</v>
      </c>
      <c r="F47" s="232" t="s">
        <v>7965</v>
      </c>
      <c r="G47" s="230"/>
      <c r="S47" s="225">
        <v>1702.1358379999999</v>
      </c>
      <c r="T47" s="180" t="s">
        <v>8023</v>
      </c>
      <c r="Y47" s="225">
        <v>755.53</v>
      </c>
      <c r="Z47" s="180" t="s">
        <v>8023</v>
      </c>
      <c r="AA47" s="225">
        <v>83178.84</v>
      </c>
      <c r="AB47" s="180" t="s">
        <v>8023</v>
      </c>
      <c r="AC47">
        <v>35.49</v>
      </c>
      <c r="AD47" s="180" t="s">
        <v>8023</v>
      </c>
      <c r="AG47" s="225">
        <v>4.2661804920000002</v>
      </c>
      <c r="AH47" s="180" t="s">
        <v>8023</v>
      </c>
      <c r="AM47">
        <v>86</v>
      </c>
      <c r="BS47" s="225">
        <v>47.97</v>
      </c>
      <c r="BT47" s="180" t="s">
        <v>8023</v>
      </c>
      <c r="BU47" s="136">
        <v>21.29</v>
      </c>
      <c r="BV47" s="180" t="s">
        <v>8023</v>
      </c>
    </row>
    <row r="48" spans="1:74">
      <c r="A48" s="123" t="s">
        <v>7439</v>
      </c>
      <c r="B48" s="231" t="s">
        <v>259</v>
      </c>
      <c r="C48" s="231" t="s">
        <v>7982</v>
      </c>
      <c r="D48" s="231"/>
      <c r="E48" s="230" t="s">
        <v>7965</v>
      </c>
      <c r="F48" s="232" t="s">
        <v>7965</v>
      </c>
      <c r="G48" s="230"/>
      <c r="S48" s="225">
        <v>1654.3255320000001</v>
      </c>
      <c r="T48" s="180" t="s">
        <v>8023</v>
      </c>
      <c r="Y48" s="225">
        <v>803.57</v>
      </c>
      <c r="Z48" s="180" t="s">
        <v>8023</v>
      </c>
      <c r="AA48" s="225">
        <v>84373.37</v>
      </c>
      <c r="AB48" s="180" t="s">
        <v>8023</v>
      </c>
      <c r="AC48">
        <v>35.33</v>
      </c>
      <c r="AD48" s="180" t="s">
        <v>8023</v>
      </c>
      <c r="AG48" s="225">
        <v>4.1875</v>
      </c>
      <c r="AH48" s="180" t="s">
        <v>8023</v>
      </c>
      <c r="AM48">
        <v>85</v>
      </c>
      <c r="BS48" s="225">
        <v>46.82</v>
      </c>
      <c r="BT48" s="180" t="s">
        <v>8023</v>
      </c>
      <c r="BU48" s="136">
        <v>22.74</v>
      </c>
      <c r="BV48" s="180" t="s">
        <v>8023</v>
      </c>
    </row>
    <row r="49" spans="1:74">
      <c r="A49" s="123" t="s">
        <v>7439</v>
      </c>
      <c r="B49" s="231" t="s">
        <v>259</v>
      </c>
      <c r="C49" s="231" t="s">
        <v>7982</v>
      </c>
      <c r="D49" s="231"/>
      <c r="E49" s="230">
        <v>16</v>
      </c>
      <c r="F49" s="232">
        <v>6</v>
      </c>
      <c r="G49" s="230"/>
      <c r="S49" s="225">
        <v>1517.089156</v>
      </c>
      <c r="T49" s="180" t="s">
        <v>8023</v>
      </c>
      <c r="Y49" s="225">
        <v>750.87</v>
      </c>
      <c r="Z49" s="180" t="s">
        <v>8023</v>
      </c>
      <c r="AA49" s="225">
        <v>63619.97</v>
      </c>
      <c r="AB49" s="180" t="s">
        <v>8023</v>
      </c>
      <c r="AC49">
        <v>32.9</v>
      </c>
      <c r="AD49" s="180" t="s">
        <v>8023</v>
      </c>
      <c r="AG49" s="225">
        <v>5.1716500549999997</v>
      </c>
      <c r="AH49" s="180" t="s">
        <v>8023</v>
      </c>
      <c r="AM49">
        <v>85</v>
      </c>
      <c r="BS49" s="225">
        <v>46.11</v>
      </c>
      <c r="BT49" s="180" t="s">
        <v>8023</v>
      </c>
      <c r="BU49" s="136">
        <v>22.82</v>
      </c>
      <c r="BV49" s="180" t="s">
        <v>8023</v>
      </c>
    </row>
    <row r="50" spans="1:74">
      <c r="A50" s="123" t="s">
        <v>7726</v>
      </c>
      <c r="B50" s="231" t="s">
        <v>257</v>
      </c>
      <c r="C50" s="231" t="s">
        <v>405</v>
      </c>
      <c r="D50" s="231"/>
      <c r="E50" s="229">
        <v>6</v>
      </c>
      <c r="F50" s="232">
        <v>5</v>
      </c>
      <c r="G50" s="230"/>
      <c r="S50" s="225">
        <v>1130.702726</v>
      </c>
      <c r="T50" s="180" t="s">
        <v>8023</v>
      </c>
      <c r="Y50" s="225">
        <v>513.04</v>
      </c>
      <c r="Z50" s="180" t="s">
        <v>8023</v>
      </c>
      <c r="AA50" s="225">
        <v>43331.11</v>
      </c>
      <c r="AB50" s="180" t="s">
        <v>8023</v>
      </c>
      <c r="AC50">
        <v>23.9</v>
      </c>
      <c r="AD50" s="180" t="s">
        <v>8023</v>
      </c>
      <c r="AG50" s="225">
        <v>5.5159705160000003</v>
      </c>
      <c r="AH50" s="180" t="s">
        <v>8023</v>
      </c>
      <c r="AM50">
        <v>82</v>
      </c>
      <c r="BS50" s="225">
        <v>47.31</v>
      </c>
      <c r="BT50" s="180" t="s">
        <v>8023</v>
      </c>
      <c r="BU50" s="136">
        <v>21.46</v>
      </c>
      <c r="BV50" s="180" t="s">
        <v>8023</v>
      </c>
    </row>
    <row r="51" spans="1:74">
      <c r="A51" s="123" t="s">
        <v>7726</v>
      </c>
      <c r="B51" s="231" t="s">
        <v>259</v>
      </c>
      <c r="C51" s="231" t="s">
        <v>405</v>
      </c>
      <c r="D51" s="231"/>
      <c r="E51" s="229">
        <v>12</v>
      </c>
      <c r="F51" s="232">
        <v>13</v>
      </c>
      <c r="G51" s="230"/>
      <c r="S51" s="225">
        <v>931.22073120000005</v>
      </c>
      <c r="T51" s="180" t="s">
        <v>8023</v>
      </c>
      <c r="Y51" s="225">
        <v>432.05</v>
      </c>
      <c r="Z51" s="180" t="s">
        <v>8023</v>
      </c>
      <c r="AA51" s="225">
        <v>36691.120000000003</v>
      </c>
      <c r="AB51" s="180" t="s">
        <v>8023</v>
      </c>
      <c r="AC51">
        <v>19.75</v>
      </c>
      <c r="AD51" s="180" t="s">
        <v>8023</v>
      </c>
      <c r="AG51" s="225">
        <v>5.3828032979999998</v>
      </c>
      <c r="AH51" s="180" t="s">
        <v>8023</v>
      </c>
      <c r="AM51">
        <v>84</v>
      </c>
      <c r="BS51" s="225">
        <v>47.15</v>
      </c>
      <c r="BT51" s="180" t="s">
        <v>8023</v>
      </c>
      <c r="BU51" s="136">
        <v>21.88</v>
      </c>
      <c r="BV51" s="180" t="s">
        <v>8023</v>
      </c>
    </row>
    <row r="52" spans="1:74">
      <c r="A52" s="123" t="s">
        <v>7726</v>
      </c>
      <c r="B52" s="231" t="s">
        <v>257</v>
      </c>
      <c r="C52" s="231" t="s">
        <v>7963</v>
      </c>
      <c r="D52" s="231"/>
      <c r="E52" s="229">
        <v>9</v>
      </c>
      <c r="F52" s="232">
        <v>52</v>
      </c>
      <c r="G52" s="230"/>
      <c r="S52" s="225">
        <v>1109.220098</v>
      </c>
      <c r="T52" s="180" t="s">
        <v>8023</v>
      </c>
      <c r="Y52" s="225">
        <v>525.57000000000005</v>
      </c>
      <c r="Z52" s="180" t="s">
        <v>8023</v>
      </c>
      <c r="AA52" s="225">
        <v>44091.74</v>
      </c>
      <c r="AB52" s="180" t="s">
        <v>8023</v>
      </c>
      <c r="AC52">
        <v>23.77</v>
      </c>
      <c r="AD52" s="180" t="s">
        <v>8023</v>
      </c>
      <c r="AG52" s="225">
        <v>5.3900709219999996</v>
      </c>
      <c r="AH52" s="180" t="s">
        <v>8023</v>
      </c>
      <c r="AM52">
        <v>85</v>
      </c>
      <c r="BS52" s="225">
        <v>46.67</v>
      </c>
      <c r="BT52" s="180" t="s">
        <v>8023</v>
      </c>
      <c r="BU52" s="136">
        <v>22.11</v>
      </c>
      <c r="BV52" s="180" t="s">
        <v>8023</v>
      </c>
    </row>
    <row r="53" spans="1:74">
      <c r="A53" s="123" t="s">
        <v>7726</v>
      </c>
      <c r="B53" s="231" t="s">
        <v>259</v>
      </c>
      <c r="C53" s="231" t="s">
        <v>7963</v>
      </c>
      <c r="D53" s="231"/>
      <c r="E53" s="229">
        <v>16</v>
      </c>
      <c r="F53" s="232">
        <v>47</v>
      </c>
      <c r="G53" s="230"/>
      <c r="S53" s="225">
        <v>936.88190889999998</v>
      </c>
      <c r="T53" s="180" t="s">
        <v>8023</v>
      </c>
      <c r="Y53" s="225">
        <v>478.94</v>
      </c>
      <c r="Z53" s="180" t="s">
        <v>8023</v>
      </c>
      <c r="AA53" s="225">
        <v>41630.660000000003</v>
      </c>
      <c r="AB53" s="180" t="s">
        <v>8023</v>
      </c>
      <c r="AC53">
        <v>20.53</v>
      </c>
      <c r="AD53" s="180" t="s">
        <v>8023</v>
      </c>
      <c r="AG53" s="225">
        <v>4.9304812829999998</v>
      </c>
      <c r="AH53" s="180" t="s">
        <v>8023</v>
      </c>
      <c r="AM53">
        <v>84</v>
      </c>
      <c r="BS53" s="225">
        <v>45.64</v>
      </c>
      <c r="BT53" s="180" t="s">
        <v>8023</v>
      </c>
      <c r="BU53" s="136">
        <v>23.33</v>
      </c>
      <c r="BV53" s="180" t="s">
        <v>8023</v>
      </c>
    </row>
    <row r="54" spans="1:74">
      <c r="A54" s="123" t="s">
        <v>7726</v>
      </c>
      <c r="B54" s="231" t="s">
        <v>257</v>
      </c>
      <c r="C54" s="231" t="s">
        <v>7964</v>
      </c>
      <c r="D54" s="231"/>
      <c r="E54" s="229">
        <v>14</v>
      </c>
      <c r="F54" s="232">
        <v>18</v>
      </c>
      <c r="G54" s="230"/>
      <c r="S54" s="225">
        <v>980.37079470000003</v>
      </c>
      <c r="T54" s="180" t="s">
        <v>8023</v>
      </c>
      <c r="Y54" s="225">
        <v>456.14</v>
      </c>
      <c r="Z54" s="180" t="s">
        <v>8023</v>
      </c>
      <c r="AA54" s="225">
        <v>41966.77</v>
      </c>
      <c r="AB54" s="180" t="s">
        <v>8023</v>
      </c>
      <c r="AC54">
        <v>21.21</v>
      </c>
      <c r="AD54" s="180" t="s">
        <v>8023</v>
      </c>
      <c r="AG54" s="225">
        <v>5.0551876379999996</v>
      </c>
      <c r="AH54" s="180" t="s">
        <v>8023</v>
      </c>
      <c r="AM54">
        <v>84</v>
      </c>
      <c r="BS54" s="225">
        <v>46.21</v>
      </c>
      <c r="BT54" s="180" t="s">
        <v>8023</v>
      </c>
      <c r="BU54" s="136">
        <v>21.5</v>
      </c>
      <c r="BV54" s="180" t="s">
        <v>8023</v>
      </c>
    </row>
    <row r="55" spans="1:74">
      <c r="A55" s="123" t="s">
        <v>7726</v>
      </c>
      <c r="B55" s="231" t="s">
        <v>259</v>
      </c>
      <c r="C55" s="231" t="s">
        <v>7964</v>
      </c>
      <c r="D55" s="231"/>
      <c r="E55" s="230">
        <v>17</v>
      </c>
      <c r="F55" s="232">
        <v>12</v>
      </c>
      <c r="G55" s="230"/>
      <c r="S55" s="225">
        <v>915.32239140000001</v>
      </c>
      <c r="T55" s="180" t="s">
        <v>8023</v>
      </c>
      <c r="Y55" s="225">
        <v>476.74</v>
      </c>
      <c r="Z55" s="180" t="s">
        <v>8023</v>
      </c>
      <c r="AA55" s="225">
        <v>39008.080000000002</v>
      </c>
      <c r="AB55" s="180" t="s">
        <v>8023</v>
      </c>
      <c r="AC55">
        <v>20.48</v>
      </c>
      <c r="AD55" s="180" t="s">
        <v>8023</v>
      </c>
      <c r="AG55" s="225">
        <v>5.25</v>
      </c>
      <c r="AH55" s="180" t="s">
        <v>8023</v>
      </c>
      <c r="AM55">
        <v>84</v>
      </c>
      <c r="BS55" s="225">
        <v>44.7</v>
      </c>
      <c r="BT55" s="180" t="s">
        <v>8023</v>
      </c>
      <c r="BU55" s="136">
        <v>23.28</v>
      </c>
      <c r="BV55" s="180" t="s">
        <v>8023</v>
      </c>
    </row>
    <row r="56" spans="1:74">
      <c r="A56" s="123" t="s">
        <v>7726</v>
      </c>
      <c r="B56" s="231" t="s">
        <v>257</v>
      </c>
      <c r="C56" s="231" t="s">
        <v>7982</v>
      </c>
      <c r="D56" s="231"/>
      <c r="E56" s="229">
        <v>3</v>
      </c>
      <c r="F56" s="232">
        <v>19</v>
      </c>
      <c r="G56" s="230"/>
      <c r="S56" s="225">
        <v>810.72376029999998</v>
      </c>
      <c r="T56" s="180" t="s">
        <v>8023</v>
      </c>
      <c r="Y56" s="225">
        <v>417.02</v>
      </c>
      <c r="Z56" s="180" t="s">
        <v>8023</v>
      </c>
      <c r="AA56" s="225">
        <v>36240.68</v>
      </c>
      <c r="AB56" s="180" t="s">
        <v>8023</v>
      </c>
      <c r="AC56">
        <v>18.04</v>
      </c>
      <c r="AD56" s="180" t="s">
        <v>8023</v>
      </c>
      <c r="AG56" s="225">
        <v>4.978678038</v>
      </c>
      <c r="AH56" s="180" t="s">
        <v>8023</v>
      </c>
      <c r="AM56">
        <v>84</v>
      </c>
      <c r="BS56" s="225">
        <v>44.93</v>
      </c>
      <c r="BT56" s="180" t="s">
        <v>8023</v>
      </c>
      <c r="BU56" s="136">
        <v>23.11</v>
      </c>
      <c r="BV56" s="180" t="s">
        <v>8023</v>
      </c>
    </row>
    <row r="57" spans="1:74">
      <c r="A57" s="123" t="s">
        <v>7726</v>
      </c>
      <c r="B57" s="231" t="s">
        <v>259</v>
      </c>
      <c r="C57" s="231" t="s">
        <v>7982</v>
      </c>
      <c r="D57" s="231"/>
      <c r="E57" s="229">
        <v>3</v>
      </c>
      <c r="F57" s="232">
        <v>58</v>
      </c>
      <c r="G57" s="230"/>
      <c r="S57" s="225">
        <v>637.62359800000002</v>
      </c>
      <c r="T57" s="180" t="s">
        <v>8023</v>
      </c>
      <c r="Y57" s="225">
        <v>372.32</v>
      </c>
      <c r="Z57" s="180" t="s">
        <v>8023</v>
      </c>
      <c r="AA57" s="225">
        <v>34861.620000000003</v>
      </c>
      <c r="AB57" s="180" t="s">
        <v>8023</v>
      </c>
      <c r="AC57">
        <v>15.01</v>
      </c>
      <c r="AD57" s="180" t="s">
        <v>8023</v>
      </c>
      <c r="AG57" s="225">
        <v>4.306976744</v>
      </c>
      <c r="AH57" s="180" t="s">
        <v>8023</v>
      </c>
      <c r="AM57">
        <v>85</v>
      </c>
      <c r="BS57" s="225">
        <v>42.47</v>
      </c>
      <c r="BT57" s="180" t="s">
        <v>8023</v>
      </c>
      <c r="BU57" s="136">
        <v>24.8</v>
      </c>
      <c r="BV57" s="180" t="s">
        <v>8023</v>
      </c>
    </row>
    <row r="58" spans="1:74">
      <c r="A58" s="123" t="s">
        <v>7727</v>
      </c>
      <c r="B58" s="231" t="s">
        <v>257</v>
      </c>
      <c r="C58" s="231" t="s">
        <v>405</v>
      </c>
      <c r="D58" s="231"/>
      <c r="E58" s="229">
        <v>6</v>
      </c>
      <c r="F58" s="232">
        <v>29</v>
      </c>
      <c r="G58" s="230"/>
      <c r="S58" s="225">
        <v>1434.6126870000001</v>
      </c>
      <c r="T58" s="180" t="s">
        <v>8023</v>
      </c>
      <c r="Y58" s="225">
        <v>602.41</v>
      </c>
      <c r="Z58" s="180" t="s">
        <v>8023</v>
      </c>
      <c r="AA58" s="225">
        <v>58709.16</v>
      </c>
      <c r="AB58" s="180" t="s">
        <v>8023</v>
      </c>
      <c r="AC58">
        <v>29.48</v>
      </c>
      <c r="AD58" s="180" t="s">
        <v>8023</v>
      </c>
      <c r="AG58" s="225">
        <v>5.0199999999999996</v>
      </c>
      <c r="AH58" s="180" t="s">
        <v>8023</v>
      </c>
      <c r="AM58">
        <v>83</v>
      </c>
      <c r="BS58" s="225">
        <v>48.66</v>
      </c>
      <c r="BT58" s="180" t="s">
        <v>8023</v>
      </c>
      <c r="BU58" s="136">
        <v>20.43</v>
      </c>
      <c r="BV58" s="180" t="s">
        <v>8023</v>
      </c>
    </row>
    <row r="59" spans="1:74">
      <c r="A59" s="123" t="s">
        <v>7727</v>
      </c>
      <c r="B59" s="231" t="s">
        <v>259</v>
      </c>
      <c r="C59" s="231" t="s">
        <v>405</v>
      </c>
      <c r="D59" s="231"/>
      <c r="E59" s="229">
        <v>9</v>
      </c>
      <c r="F59" s="232">
        <v>5</v>
      </c>
      <c r="G59" s="230"/>
      <c r="S59" s="225">
        <v>1730.38672</v>
      </c>
      <c r="T59" s="180" t="s">
        <v>8023</v>
      </c>
      <c r="Y59" s="225">
        <v>751.72</v>
      </c>
      <c r="Z59" s="180" t="s">
        <v>8023</v>
      </c>
      <c r="AA59" s="225">
        <v>70311.69</v>
      </c>
      <c r="AB59" s="180" t="s">
        <v>8023</v>
      </c>
      <c r="AC59">
        <v>35.74</v>
      </c>
      <c r="AD59" s="180" t="s">
        <v>8023</v>
      </c>
      <c r="AG59" s="225">
        <v>5.08</v>
      </c>
      <c r="AH59" s="180" t="s">
        <v>8023</v>
      </c>
      <c r="AM59">
        <v>84</v>
      </c>
      <c r="BS59" s="225">
        <v>48.42</v>
      </c>
      <c r="BT59" s="180" t="s">
        <v>8023</v>
      </c>
      <c r="BU59" s="136">
        <v>21.03</v>
      </c>
      <c r="BV59" s="180" t="s">
        <v>8023</v>
      </c>
    </row>
    <row r="60" spans="1:74">
      <c r="A60" s="123" t="s">
        <v>7727</v>
      </c>
      <c r="B60" s="231" t="s">
        <v>257</v>
      </c>
      <c r="C60" s="231" t="s">
        <v>7963</v>
      </c>
      <c r="D60" s="231"/>
      <c r="E60" s="229">
        <v>12</v>
      </c>
      <c r="F60" s="232">
        <v>63</v>
      </c>
      <c r="G60" s="230"/>
      <c r="S60" s="225">
        <v>1386.7315679999999</v>
      </c>
      <c r="T60" s="180" t="s">
        <v>8023</v>
      </c>
      <c r="Y60" s="225">
        <v>564.23</v>
      </c>
      <c r="Z60" s="180" t="s">
        <v>8023</v>
      </c>
      <c r="AA60" s="225">
        <v>56060.36</v>
      </c>
      <c r="AB60" s="180" t="s">
        <v>8023</v>
      </c>
      <c r="AC60">
        <v>28.28</v>
      </c>
      <c r="AD60" s="180" t="s">
        <v>8023</v>
      </c>
      <c r="AG60" s="225">
        <v>5.04</v>
      </c>
      <c r="AH60" s="180" t="s">
        <v>8023</v>
      </c>
      <c r="AM60">
        <v>82</v>
      </c>
      <c r="BS60" s="225">
        <v>49.04</v>
      </c>
      <c r="BT60" s="180" t="s">
        <v>8023</v>
      </c>
      <c r="BU60" s="136">
        <v>19.95</v>
      </c>
      <c r="BV60" s="180" t="s">
        <v>8023</v>
      </c>
    </row>
    <row r="61" spans="1:74">
      <c r="A61" s="123" t="s">
        <v>7727</v>
      </c>
      <c r="B61" s="231" t="s">
        <v>259</v>
      </c>
      <c r="C61" s="231" t="s">
        <v>7963</v>
      </c>
      <c r="D61" s="231"/>
      <c r="E61" s="230">
        <v>14</v>
      </c>
      <c r="F61" s="232">
        <v>52</v>
      </c>
      <c r="G61" s="230"/>
      <c r="S61" s="225">
        <v>1286.3375799999999</v>
      </c>
      <c r="T61" s="180" t="s">
        <v>8023</v>
      </c>
      <c r="Y61" s="225">
        <v>608.34</v>
      </c>
      <c r="Z61" s="180" t="s">
        <v>8023</v>
      </c>
      <c r="AA61" s="225">
        <v>56915.72</v>
      </c>
      <c r="AB61" s="180" t="s">
        <v>8023</v>
      </c>
      <c r="AC61">
        <v>27.45</v>
      </c>
      <c r="AD61" s="180" t="s">
        <v>8023</v>
      </c>
      <c r="AG61" s="225">
        <v>4.82</v>
      </c>
      <c r="AH61" s="180" t="s">
        <v>8023</v>
      </c>
      <c r="AM61">
        <v>84</v>
      </c>
      <c r="BS61" s="225">
        <v>46.87</v>
      </c>
      <c r="BT61" s="180" t="s">
        <v>8023</v>
      </c>
      <c r="BU61" s="136">
        <v>22.17</v>
      </c>
      <c r="BV61" s="180" t="s">
        <v>8023</v>
      </c>
    </row>
    <row r="62" spans="1:74">
      <c r="A62" s="123" t="s">
        <v>7727</v>
      </c>
      <c r="B62" s="231" t="s">
        <v>257</v>
      </c>
      <c r="C62" s="231" t="s">
        <v>7964</v>
      </c>
      <c r="D62" s="231"/>
      <c r="E62" s="229">
        <v>16</v>
      </c>
      <c r="F62" s="232">
        <v>25</v>
      </c>
      <c r="G62" s="230"/>
      <c r="S62" s="225">
        <v>1604.3001670000001</v>
      </c>
      <c r="T62" s="180" t="s">
        <v>8023</v>
      </c>
      <c r="Y62" s="225">
        <v>679.54</v>
      </c>
      <c r="Z62" s="180" t="s">
        <v>8023</v>
      </c>
      <c r="AA62" s="225">
        <v>65280.75</v>
      </c>
      <c r="AB62" s="180" t="s">
        <v>8023</v>
      </c>
      <c r="AC62">
        <v>33</v>
      </c>
      <c r="AD62" s="180" t="s">
        <v>8023</v>
      </c>
      <c r="AG62" s="225">
        <v>5.05</v>
      </c>
      <c r="AH62" s="180" t="s">
        <v>8023</v>
      </c>
      <c r="AM62">
        <v>83</v>
      </c>
      <c r="BS62" s="225">
        <v>48.62</v>
      </c>
      <c r="BT62" s="180" t="s">
        <v>8023</v>
      </c>
      <c r="BU62" s="136">
        <v>20.59</v>
      </c>
      <c r="BV62" s="180" t="s">
        <v>8023</v>
      </c>
    </row>
    <row r="63" spans="1:74">
      <c r="A63" s="123" t="s">
        <v>7727</v>
      </c>
      <c r="B63" s="231" t="s">
        <v>259</v>
      </c>
      <c r="C63" s="231" t="s">
        <v>7964</v>
      </c>
      <c r="D63" s="231"/>
      <c r="E63" s="229">
        <v>17</v>
      </c>
      <c r="F63" s="232">
        <v>24</v>
      </c>
      <c r="G63" s="230"/>
      <c r="S63" s="225">
        <v>1395.32862</v>
      </c>
      <c r="T63" s="180" t="s">
        <v>8023</v>
      </c>
      <c r="Y63" s="225">
        <v>640.42999999999995</v>
      </c>
      <c r="Z63" s="180" t="s">
        <v>8023</v>
      </c>
      <c r="AA63" s="225">
        <v>56858.78</v>
      </c>
      <c r="AB63" s="180" t="s">
        <v>8023</v>
      </c>
      <c r="AC63">
        <v>29.31</v>
      </c>
      <c r="AD63" s="180" t="s">
        <v>8023</v>
      </c>
      <c r="AG63" s="225">
        <v>5.15</v>
      </c>
      <c r="AH63" s="180" t="s">
        <v>8023</v>
      </c>
      <c r="AM63">
        <v>84</v>
      </c>
      <c r="BS63" s="225">
        <v>47.61</v>
      </c>
      <c r="BT63" s="180" t="s">
        <v>8023</v>
      </c>
      <c r="BU63" s="136">
        <v>21.85</v>
      </c>
      <c r="BV63" s="180" t="s">
        <v>8023</v>
      </c>
    </row>
    <row r="64" spans="1:74">
      <c r="A64" s="123" t="s">
        <v>7727</v>
      </c>
      <c r="B64" s="231" t="s">
        <v>257</v>
      </c>
      <c r="C64" s="231" t="s">
        <v>7982</v>
      </c>
      <c r="D64" s="231"/>
      <c r="E64" s="229">
        <v>2</v>
      </c>
      <c r="F64" s="232">
        <v>16</v>
      </c>
      <c r="G64" s="230"/>
      <c r="S64" s="225">
        <v>1524.276204</v>
      </c>
      <c r="T64" s="180" t="s">
        <v>8023</v>
      </c>
      <c r="Y64" s="225">
        <v>669.1</v>
      </c>
      <c r="Z64" s="180" t="s">
        <v>8023</v>
      </c>
      <c r="AA64" s="225">
        <v>60880.51</v>
      </c>
      <c r="AB64" s="180" t="s">
        <v>8023</v>
      </c>
      <c r="AC64">
        <v>31.83</v>
      </c>
      <c r="AD64" s="180" t="s">
        <v>8023</v>
      </c>
      <c r="AG64" s="225">
        <v>5.23</v>
      </c>
      <c r="AH64" s="180" t="s">
        <v>8023</v>
      </c>
      <c r="AM64">
        <v>84</v>
      </c>
      <c r="BS64" s="225">
        <v>47.89</v>
      </c>
      <c r="BT64" s="180" t="s">
        <v>8023</v>
      </c>
      <c r="BU64" s="136">
        <v>21.02</v>
      </c>
      <c r="BV64" s="180" t="s">
        <v>8023</v>
      </c>
    </row>
    <row r="65" spans="1:74">
      <c r="A65" s="123" t="s">
        <v>7727</v>
      </c>
      <c r="B65" s="231" t="s">
        <v>259</v>
      </c>
      <c r="C65" s="231" t="s">
        <v>7982</v>
      </c>
      <c r="D65" s="231"/>
      <c r="E65" s="229">
        <v>1</v>
      </c>
      <c r="F65" s="232">
        <v>44</v>
      </c>
      <c r="G65" s="230"/>
      <c r="S65" s="225">
        <v>1351.344071</v>
      </c>
      <c r="T65" s="180" t="s">
        <v>8023</v>
      </c>
      <c r="Y65" s="225">
        <v>681.05</v>
      </c>
      <c r="Z65" s="180" t="s">
        <v>8023</v>
      </c>
      <c r="AA65" s="225">
        <v>60594.33</v>
      </c>
      <c r="AB65" s="180" t="s">
        <v>8023</v>
      </c>
      <c r="AC65">
        <v>29.82</v>
      </c>
      <c r="AD65" s="180" t="s">
        <v>8023</v>
      </c>
      <c r="AG65" s="225">
        <v>4.92</v>
      </c>
      <c r="AH65" s="180" t="s">
        <v>8023</v>
      </c>
      <c r="AM65">
        <v>84</v>
      </c>
      <c r="BS65" s="225">
        <v>45.32</v>
      </c>
      <c r="BT65" s="180" t="s">
        <v>8023</v>
      </c>
      <c r="BU65" s="136">
        <v>22.84</v>
      </c>
      <c r="BV65" s="180" t="s">
        <v>8023</v>
      </c>
    </row>
    <row r="66" spans="1:74">
      <c r="A66" s="123" t="s">
        <v>7728</v>
      </c>
      <c r="B66" s="231" t="s">
        <v>257</v>
      </c>
      <c r="C66" s="231" t="s">
        <v>405</v>
      </c>
      <c r="D66" s="231"/>
      <c r="E66" s="230">
        <v>8</v>
      </c>
      <c r="F66" s="232">
        <v>28</v>
      </c>
      <c r="G66" s="230"/>
      <c r="S66" s="225">
        <v>1172.713933</v>
      </c>
      <c r="T66" s="180" t="s">
        <v>8023</v>
      </c>
      <c r="Y66" s="225">
        <v>535.01</v>
      </c>
      <c r="Z66" s="180" t="s">
        <v>8023</v>
      </c>
      <c r="AA66" s="225">
        <v>48575.81</v>
      </c>
      <c r="AB66" s="180" t="s">
        <v>8023</v>
      </c>
      <c r="AC66">
        <v>24.94</v>
      </c>
      <c r="AD66" s="180" t="s">
        <v>8023</v>
      </c>
      <c r="AG66" s="225">
        <v>5.13</v>
      </c>
      <c r="AH66" s="180" t="s">
        <v>8023</v>
      </c>
      <c r="AM66">
        <v>84</v>
      </c>
      <c r="BS66" s="225">
        <v>47.03</v>
      </c>
      <c r="BT66" s="180" t="s">
        <v>8023</v>
      </c>
      <c r="BU66" s="136">
        <v>21.45</v>
      </c>
      <c r="BV66" s="180" t="s">
        <v>8023</v>
      </c>
    </row>
    <row r="67" spans="1:74">
      <c r="A67" s="123" t="s">
        <v>7728</v>
      </c>
      <c r="B67" s="231" t="s">
        <v>259</v>
      </c>
      <c r="C67" s="231" t="s">
        <v>405</v>
      </c>
      <c r="D67" s="231"/>
      <c r="E67" s="230">
        <v>11</v>
      </c>
      <c r="F67" s="232">
        <v>21</v>
      </c>
      <c r="G67" s="230"/>
      <c r="S67" s="225">
        <v>1218.548466</v>
      </c>
      <c r="T67" s="180" t="s">
        <v>8023</v>
      </c>
      <c r="Y67" s="225">
        <v>582.35</v>
      </c>
      <c r="Z67" s="180" t="s">
        <v>8023</v>
      </c>
      <c r="AA67" s="225">
        <v>53265.43</v>
      </c>
      <c r="AB67" s="180" t="s">
        <v>8023</v>
      </c>
      <c r="AC67">
        <v>26.18</v>
      </c>
      <c r="AD67" s="180" t="s">
        <v>8023</v>
      </c>
      <c r="AG67" s="225">
        <v>4.91</v>
      </c>
      <c r="AH67" s="180" t="s">
        <v>8023</v>
      </c>
      <c r="AM67">
        <v>85</v>
      </c>
      <c r="BS67" s="225">
        <v>46.55</v>
      </c>
      <c r="BT67" s="180" t="s">
        <v>8023</v>
      </c>
      <c r="BU67" s="136">
        <v>22.25</v>
      </c>
      <c r="BV67" s="180" t="s">
        <v>8023</v>
      </c>
    </row>
    <row r="68" spans="1:74">
      <c r="A68" s="123" t="s">
        <v>7728</v>
      </c>
      <c r="B68" s="231" t="s">
        <v>257</v>
      </c>
      <c r="C68" s="231" t="s">
        <v>7963</v>
      </c>
      <c r="D68" s="231"/>
      <c r="E68" s="229">
        <v>11</v>
      </c>
      <c r="F68" s="232">
        <v>56</v>
      </c>
      <c r="G68" s="230"/>
      <c r="S68" s="225">
        <v>1072.458697</v>
      </c>
      <c r="T68" s="180" t="s">
        <v>8023</v>
      </c>
      <c r="Y68" s="225">
        <v>506.3</v>
      </c>
      <c r="Z68" s="180" t="s">
        <v>8023</v>
      </c>
      <c r="AA68" s="225">
        <v>48880.23</v>
      </c>
      <c r="AB68" s="180" t="s">
        <v>8023</v>
      </c>
      <c r="AC68">
        <v>23.03</v>
      </c>
      <c r="AD68" s="180" t="s">
        <v>8023</v>
      </c>
      <c r="AG68" s="225">
        <v>4.71</v>
      </c>
      <c r="AH68" s="180" t="s">
        <v>8023</v>
      </c>
      <c r="AM68">
        <v>85</v>
      </c>
      <c r="BS68" s="225">
        <v>46.56</v>
      </c>
      <c r="BT68" s="180" t="s">
        <v>8023</v>
      </c>
      <c r="BU68" s="136">
        <v>21.98</v>
      </c>
      <c r="BV68" s="180" t="s">
        <v>8023</v>
      </c>
    </row>
    <row r="69" spans="1:74">
      <c r="A69" s="123" t="s">
        <v>7728</v>
      </c>
      <c r="B69" s="231" t="s">
        <v>259</v>
      </c>
      <c r="C69" s="231" t="s">
        <v>7963</v>
      </c>
      <c r="D69" s="231"/>
      <c r="E69" s="229">
        <v>15</v>
      </c>
      <c r="F69" s="232">
        <v>34</v>
      </c>
      <c r="G69" s="230"/>
      <c r="S69" s="225">
        <v>933.49354700000004</v>
      </c>
      <c r="T69" s="180" t="s">
        <v>8023</v>
      </c>
      <c r="Y69" s="225">
        <v>484.32</v>
      </c>
      <c r="Z69" s="180" t="s">
        <v>8023</v>
      </c>
      <c r="AA69" s="225">
        <v>49422.35</v>
      </c>
      <c r="AB69" s="180" t="s">
        <v>8023</v>
      </c>
      <c r="AC69">
        <v>20.7</v>
      </c>
      <c r="AD69" s="180" t="s">
        <v>8023</v>
      </c>
      <c r="AG69" s="225">
        <v>4.1900000000000004</v>
      </c>
      <c r="AH69" s="180" t="s">
        <v>8023</v>
      </c>
      <c r="AM69">
        <v>85</v>
      </c>
      <c r="BS69" s="225">
        <v>45.09</v>
      </c>
      <c r="BT69" s="180" t="s">
        <v>8023</v>
      </c>
      <c r="BU69" s="136">
        <v>23.39</v>
      </c>
      <c r="BV69" s="180" t="s">
        <v>8023</v>
      </c>
    </row>
    <row r="70" spans="1:74">
      <c r="A70" s="123" t="s">
        <v>7728</v>
      </c>
      <c r="B70" s="231" t="s">
        <v>257</v>
      </c>
      <c r="C70" s="231" t="s">
        <v>7964</v>
      </c>
      <c r="D70" s="231"/>
      <c r="E70" s="229">
        <v>16</v>
      </c>
      <c r="F70" s="232">
        <v>20</v>
      </c>
      <c r="G70" s="230"/>
      <c r="S70" s="225">
        <v>931.47969209999997</v>
      </c>
      <c r="T70" s="180" t="s">
        <v>8023</v>
      </c>
      <c r="Y70" s="225">
        <v>466.75</v>
      </c>
      <c r="Z70" s="180" t="s">
        <v>8023</v>
      </c>
      <c r="AA70" s="225">
        <v>42460.97</v>
      </c>
      <c r="AB70" s="180" t="s">
        <v>8023</v>
      </c>
      <c r="AC70">
        <v>20.6</v>
      </c>
      <c r="AD70" s="180" t="s">
        <v>8023</v>
      </c>
      <c r="AG70" s="225">
        <v>4.8499999999999996</v>
      </c>
      <c r="AH70" s="180" t="s">
        <v>8023</v>
      </c>
      <c r="AM70">
        <v>85</v>
      </c>
      <c r="BS70" s="225">
        <v>45.21</v>
      </c>
      <c r="BT70" s="180" t="s">
        <v>8023</v>
      </c>
      <c r="BU70" s="136">
        <v>22.65</v>
      </c>
      <c r="BV70" s="180" t="s">
        <v>8023</v>
      </c>
    </row>
    <row r="71" spans="1:74">
      <c r="A71" s="123" t="s">
        <v>7728</v>
      </c>
      <c r="B71" s="231" t="s">
        <v>259</v>
      </c>
      <c r="C71" s="231" t="s">
        <v>7964</v>
      </c>
      <c r="D71" s="231"/>
      <c r="E71" s="229">
        <v>17</v>
      </c>
      <c r="F71" s="232">
        <v>19</v>
      </c>
      <c r="G71" s="230"/>
      <c r="S71" s="225">
        <v>1056.2274339999999</v>
      </c>
      <c r="T71" s="180" t="s">
        <v>8023</v>
      </c>
      <c r="Y71" s="225">
        <v>528.32000000000005</v>
      </c>
      <c r="Z71" s="180" t="s">
        <v>8023</v>
      </c>
      <c r="AA71" s="225">
        <v>49345.41</v>
      </c>
      <c r="AB71" s="180" t="s">
        <v>8023</v>
      </c>
      <c r="AC71">
        <v>23.09</v>
      </c>
      <c r="AD71" s="180" t="s">
        <v>8023</v>
      </c>
      <c r="AG71" s="225">
        <v>4.68</v>
      </c>
      <c r="AH71" s="180" t="s">
        <v>8023</v>
      </c>
      <c r="AM71">
        <v>87</v>
      </c>
      <c r="BS71" s="225">
        <v>45.75</v>
      </c>
      <c r="BT71" s="180" t="s">
        <v>8023</v>
      </c>
      <c r="BU71" s="136">
        <v>22.88</v>
      </c>
      <c r="BV71" s="180" t="s">
        <v>8023</v>
      </c>
    </row>
    <row r="72" spans="1:74">
      <c r="A72" s="123" t="s">
        <v>7728</v>
      </c>
      <c r="B72" s="231" t="s">
        <v>257</v>
      </c>
      <c r="C72" s="231" t="s">
        <v>7982</v>
      </c>
      <c r="D72" s="231"/>
      <c r="E72" s="230">
        <v>1</v>
      </c>
      <c r="F72" s="232">
        <v>24</v>
      </c>
      <c r="G72" s="230"/>
      <c r="S72" s="225">
        <v>1042.662088</v>
      </c>
      <c r="T72" s="180" t="s">
        <v>8023</v>
      </c>
      <c r="Y72" s="225">
        <v>528.44000000000005</v>
      </c>
      <c r="Z72" s="180" t="s">
        <v>8023</v>
      </c>
      <c r="AA72" s="225">
        <v>45780.82</v>
      </c>
      <c r="AB72" s="180" t="s">
        <v>8023</v>
      </c>
      <c r="AC72">
        <v>23.09</v>
      </c>
      <c r="AD72" s="180" t="s">
        <v>8023</v>
      </c>
      <c r="AG72" s="225">
        <v>5.04</v>
      </c>
      <c r="AH72" s="180" t="s">
        <v>8023</v>
      </c>
      <c r="AM72">
        <v>85</v>
      </c>
      <c r="BS72" s="225">
        <v>45.16</v>
      </c>
      <c r="BT72" s="180" t="s">
        <v>8023</v>
      </c>
      <c r="BU72" s="136">
        <v>22.89</v>
      </c>
      <c r="BV72" s="180" t="s">
        <v>8023</v>
      </c>
    </row>
    <row r="73" spans="1:74">
      <c r="A73" s="123" t="s">
        <v>7728</v>
      </c>
      <c r="B73" s="231" t="s">
        <v>259</v>
      </c>
      <c r="C73" s="231" t="s">
        <v>7982</v>
      </c>
      <c r="D73" s="231"/>
      <c r="E73" s="230">
        <v>4</v>
      </c>
      <c r="F73" s="232">
        <v>46</v>
      </c>
      <c r="G73" s="230"/>
      <c r="S73" s="225">
        <v>1164.527609</v>
      </c>
      <c r="T73" s="180" t="s">
        <v>8023</v>
      </c>
      <c r="Y73" s="225">
        <v>632.65</v>
      </c>
      <c r="Z73" s="180" t="s">
        <v>8023</v>
      </c>
      <c r="AA73" s="225">
        <v>56957.78</v>
      </c>
      <c r="AB73" s="180" t="s">
        <v>8023</v>
      </c>
      <c r="AC73">
        <v>26.26</v>
      </c>
      <c r="AD73" s="180" t="s">
        <v>8023</v>
      </c>
      <c r="AG73" s="225">
        <v>4.6100000000000003</v>
      </c>
      <c r="AH73" s="180" t="s">
        <v>8023</v>
      </c>
      <c r="AM73">
        <v>85</v>
      </c>
      <c r="BS73" s="225">
        <v>44.34</v>
      </c>
      <c r="BT73" s="180" t="s">
        <v>8023</v>
      </c>
      <c r="BU73" s="136">
        <v>24.09</v>
      </c>
      <c r="BV73" s="180" t="s">
        <v>8023</v>
      </c>
    </row>
    <row r="74" spans="1:74">
      <c r="A74" s="123" t="s">
        <v>7850</v>
      </c>
      <c r="B74" s="231" t="s">
        <v>257</v>
      </c>
      <c r="C74" s="231" t="s">
        <v>405</v>
      </c>
      <c r="D74" s="231"/>
      <c r="E74" s="229">
        <v>6</v>
      </c>
      <c r="F74" s="232">
        <v>14</v>
      </c>
      <c r="G74" s="230"/>
      <c r="S74" s="225">
        <v>1462.8107070000001</v>
      </c>
      <c r="T74" s="180" t="s">
        <v>8023</v>
      </c>
      <c r="Y74" s="225">
        <v>615.41</v>
      </c>
      <c r="Z74" s="180" t="s">
        <v>8023</v>
      </c>
      <c r="AA74" s="225">
        <v>57387.53</v>
      </c>
      <c r="AB74" s="180" t="s">
        <v>8023</v>
      </c>
      <c r="AC74">
        <v>29.84</v>
      </c>
      <c r="AD74" s="180" t="s">
        <v>8023</v>
      </c>
      <c r="AG74" s="225">
        <v>5.2</v>
      </c>
      <c r="AH74" s="180" t="s">
        <v>8023</v>
      </c>
      <c r="AM74">
        <v>77</v>
      </c>
      <c r="BS74" s="225">
        <v>49.03</v>
      </c>
      <c r="BT74" s="180" t="s">
        <v>8023</v>
      </c>
      <c r="BU74" s="136">
        <v>20.63</v>
      </c>
      <c r="BV74" s="180" t="s">
        <v>8023</v>
      </c>
    </row>
    <row r="75" spans="1:74">
      <c r="A75" s="123" t="s">
        <v>7850</v>
      </c>
      <c r="B75" s="231" t="s">
        <v>259</v>
      </c>
      <c r="C75" s="231" t="s">
        <v>405</v>
      </c>
      <c r="D75" s="231"/>
      <c r="E75" s="229">
        <v>10</v>
      </c>
      <c r="F75" s="232">
        <v>12</v>
      </c>
      <c r="G75" s="230"/>
      <c r="S75" s="225">
        <v>1549.634967</v>
      </c>
      <c r="T75" s="180" t="s">
        <v>8023</v>
      </c>
      <c r="Y75" s="225">
        <v>688.19</v>
      </c>
      <c r="Z75" s="180" t="s">
        <v>8023</v>
      </c>
      <c r="AA75" s="225">
        <v>61900.83</v>
      </c>
      <c r="AB75" s="180" t="s">
        <v>8023</v>
      </c>
      <c r="AC75">
        <v>32.26</v>
      </c>
      <c r="AD75" s="180" t="s">
        <v>8023</v>
      </c>
      <c r="AG75" s="225">
        <v>5.21</v>
      </c>
      <c r="AH75" s="180" t="s">
        <v>8023</v>
      </c>
      <c r="AM75">
        <v>78</v>
      </c>
      <c r="BS75" s="225">
        <v>48.04</v>
      </c>
      <c r="BT75" s="180" t="s">
        <v>8023</v>
      </c>
      <c r="BU75" s="136">
        <v>21.34</v>
      </c>
      <c r="BV75" s="180" t="s">
        <v>8023</v>
      </c>
    </row>
    <row r="76" spans="1:74">
      <c r="A76" s="123" t="s">
        <v>7850</v>
      </c>
      <c r="B76" s="231" t="s">
        <v>257</v>
      </c>
      <c r="C76" s="231" t="s">
        <v>7963</v>
      </c>
      <c r="D76" s="231"/>
      <c r="E76" s="229">
        <v>12</v>
      </c>
      <c r="F76" s="232">
        <v>56</v>
      </c>
      <c r="G76" s="230"/>
      <c r="S76" s="225">
        <v>1410.0122679999999</v>
      </c>
      <c r="T76" s="180" t="s">
        <v>8023</v>
      </c>
      <c r="Y76" s="225">
        <v>572.57000000000005</v>
      </c>
      <c r="Z76" s="180" t="s">
        <v>8023</v>
      </c>
      <c r="AA76" s="225">
        <v>54589.22</v>
      </c>
      <c r="AB76" s="180" t="s">
        <v>8023</v>
      </c>
      <c r="AC76">
        <v>28.58</v>
      </c>
      <c r="AD76" s="180" t="s">
        <v>8023</v>
      </c>
      <c r="AG76" s="225">
        <v>5.24</v>
      </c>
      <c r="AH76" s="180" t="s">
        <v>8023</v>
      </c>
      <c r="AM76">
        <v>78</v>
      </c>
      <c r="BS76" s="225">
        <v>49.34</v>
      </c>
      <c r="BT76" s="180" t="s">
        <v>8023</v>
      </c>
      <c r="BU76" s="136">
        <v>20.03</v>
      </c>
      <c r="BV76" s="180" t="s">
        <v>8023</v>
      </c>
    </row>
    <row r="77" spans="1:74">
      <c r="A77" s="123" t="s">
        <v>7850</v>
      </c>
      <c r="B77" s="231" t="s">
        <v>259</v>
      </c>
      <c r="C77" s="231" t="s">
        <v>7963</v>
      </c>
      <c r="D77" s="231"/>
      <c r="E77" s="229">
        <v>14</v>
      </c>
      <c r="F77" s="232">
        <v>60</v>
      </c>
      <c r="G77" s="230"/>
      <c r="S77" s="225">
        <v>1467.1325429999999</v>
      </c>
      <c r="T77" s="180" t="s">
        <v>8023</v>
      </c>
      <c r="Y77" s="225">
        <v>661.38</v>
      </c>
      <c r="Z77" s="180" t="s">
        <v>8023</v>
      </c>
      <c r="AA77" s="225">
        <v>59064.49</v>
      </c>
      <c r="AB77" s="180" t="s">
        <v>8023</v>
      </c>
      <c r="AC77">
        <v>30.82</v>
      </c>
      <c r="AD77" s="180" t="s">
        <v>8023</v>
      </c>
      <c r="AG77" s="225">
        <v>5.22</v>
      </c>
      <c r="AH77" s="180" t="s">
        <v>8023</v>
      </c>
      <c r="AM77">
        <v>79</v>
      </c>
      <c r="BS77" s="225">
        <v>47.6</v>
      </c>
      <c r="BT77" s="180" t="s">
        <v>8023</v>
      </c>
      <c r="BU77" s="136">
        <v>21.46</v>
      </c>
      <c r="BV77" s="180" t="s">
        <v>8023</v>
      </c>
    </row>
    <row r="78" spans="1:74">
      <c r="A78" s="123" t="s">
        <v>7850</v>
      </c>
      <c r="B78" s="231" t="s">
        <v>257</v>
      </c>
      <c r="C78" s="231" t="s">
        <v>7964</v>
      </c>
      <c r="D78" s="231"/>
      <c r="E78" s="230">
        <v>16</v>
      </c>
      <c r="F78" s="232">
        <v>18</v>
      </c>
      <c r="G78" s="230"/>
      <c r="S78" s="225">
        <v>1196.4751229999999</v>
      </c>
      <c r="T78" s="180" t="s">
        <v>8023</v>
      </c>
      <c r="Y78" s="225">
        <v>540.87</v>
      </c>
      <c r="Z78" s="180" t="s">
        <v>8023</v>
      </c>
      <c r="AA78" s="225">
        <v>48868.38</v>
      </c>
      <c r="AB78" s="180" t="s">
        <v>8023</v>
      </c>
      <c r="AC78">
        <v>25.11</v>
      </c>
      <c r="AD78" s="180" t="s">
        <v>8023</v>
      </c>
      <c r="AG78" s="225">
        <v>5.14</v>
      </c>
      <c r="AH78" s="180" t="s">
        <v>8023</v>
      </c>
      <c r="AM78">
        <v>78</v>
      </c>
      <c r="BS78" s="225">
        <v>47.64</v>
      </c>
      <c r="BT78" s="180" t="s">
        <v>8023</v>
      </c>
      <c r="BU78" s="136">
        <v>21.54</v>
      </c>
      <c r="BV78" s="180" t="s">
        <v>8023</v>
      </c>
    </row>
    <row r="79" spans="1:74">
      <c r="A79" s="123" t="s">
        <v>7850</v>
      </c>
      <c r="B79" s="231" t="s">
        <v>259</v>
      </c>
      <c r="C79" s="231" t="s">
        <v>7964</v>
      </c>
      <c r="D79" s="231"/>
      <c r="E79" s="230">
        <v>20</v>
      </c>
      <c r="F79" s="232">
        <v>27</v>
      </c>
      <c r="G79" s="230"/>
      <c r="S79" s="225">
        <v>1372.414454</v>
      </c>
      <c r="T79" s="180" t="s">
        <v>8023</v>
      </c>
      <c r="Y79" s="225">
        <v>606.85</v>
      </c>
      <c r="Z79" s="180" t="s">
        <v>8023</v>
      </c>
      <c r="AA79" s="225">
        <v>56522.91</v>
      </c>
      <c r="AB79" s="180" t="s">
        <v>8023</v>
      </c>
      <c r="AC79">
        <v>28.48</v>
      </c>
      <c r="AD79" s="180" t="s">
        <v>8023</v>
      </c>
      <c r="AG79" s="225">
        <v>5.04</v>
      </c>
      <c r="AH79" s="180" t="s">
        <v>8023</v>
      </c>
      <c r="AM79">
        <v>79</v>
      </c>
      <c r="BS79" s="225">
        <v>48.19</v>
      </c>
      <c r="BT79" s="180" t="s">
        <v>8023</v>
      </c>
      <c r="BU79" s="136">
        <v>21.31</v>
      </c>
      <c r="BV79" s="180" t="s">
        <v>8023</v>
      </c>
    </row>
    <row r="80" spans="1:74">
      <c r="A80" s="123" t="s">
        <v>7850</v>
      </c>
      <c r="B80" s="231" t="s">
        <v>257</v>
      </c>
      <c r="C80" s="231" t="s">
        <v>7982</v>
      </c>
      <c r="D80" s="231"/>
      <c r="E80" s="229">
        <v>3</v>
      </c>
      <c r="F80" s="232">
        <v>5</v>
      </c>
      <c r="G80" s="230"/>
      <c r="S80" s="225">
        <v>1409.9081040000001</v>
      </c>
      <c r="T80" s="180" t="s">
        <v>8023</v>
      </c>
      <c r="Y80" s="225">
        <v>609.75</v>
      </c>
      <c r="Z80" s="180" t="s">
        <v>8023</v>
      </c>
      <c r="AA80" s="225">
        <v>54633.97</v>
      </c>
      <c r="AB80" s="180" t="s">
        <v>8023</v>
      </c>
      <c r="AC80">
        <v>29.26</v>
      </c>
      <c r="AD80" s="180" t="s">
        <v>8023</v>
      </c>
      <c r="AG80" s="225">
        <v>5.36</v>
      </c>
      <c r="AH80" s="180" t="s">
        <v>8023</v>
      </c>
      <c r="AM80">
        <v>79</v>
      </c>
      <c r="BS80" s="225">
        <v>48.19</v>
      </c>
      <c r="BT80" s="180" t="s">
        <v>8023</v>
      </c>
      <c r="BU80" s="136">
        <v>20.84</v>
      </c>
      <c r="BV80" s="180" t="s">
        <v>8023</v>
      </c>
    </row>
    <row r="81" spans="1:74">
      <c r="A81" s="123" t="s">
        <v>7850</v>
      </c>
      <c r="B81" s="231" t="s">
        <v>259</v>
      </c>
      <c r="C81" s="231" t="s">
        <v>7982</v>
      </c>
      <c r="D81" s="231"/>
      <c r="E81" s="229">
        <v>1</v>
      </c>
      <c r="F81" s="232">
        <v>56</v>
      </c>
      <c r="G81" s="230"/>
      <c r="S81" s="225">
        <v>1271.887596</v>
      </c>
      <c r="T81" s="180" t="s">
        <v>8023</v>
      </c>
      <c r="Y81" s="225">
        <v>600.82000000000005</v>
      </c>
      <c r="Z81" s="180" t="s">
        <v>8023</v>
      </c>
      <c r="AA81" s="225">
        <v>55978.91</v>
      </c>
      <c r="AB81" s="180" t="s">
        <v>8023</v>
      </c>
      <c r="AC81">
        <v>27.15</v>
      </c>
      <c r="AD81" s="180" t="s">
        <v>8023</v>
      </c>
      <c r="AG81" s="225">
        <v>4.8499999999999996</v>
      </c>
      <c r="AH81" s="180" t="s">
        <v>8023</v>
      </c>
      <c r="AM81">
        <v>78</v>
      </c>
      <c r="BS81" s="225">
        <v>46.85</v>
      </c>
      <c r="BT81" s="180" t="s">
        <v>8023</v>
      </c>
      <c r="BU81" s="136">
        <v>22.13</v>
      </c>
      <c r="BV81" s="180" t="s">
        <v>8023</v>
      </c>
    </row>
    <row r="82" spans="1:74">
      <c r="A82" s="123" t="s">
        <v>7729</v>
      </c>
      <c r="B82" s="231" t="s">
        <v>257</v>
      </c>
      <c r="C82" s="231" t="s">
        <v>405</v>
      </c>
      <c r="D82" s="231"/>
      <c r="E82" s="229">
        <v>8</v>
      </c>
      <c r="F82" s="232">
        <v>13</v>
      </c>
      <c r="G82" s="230"/>
      <c r="S82" s="225" t="s">
        <v>7965</v>
      </c>
      <c r="T82" s="180" t="s">
        <v>8023</v>
      </c>
      <c r="Y82" s="225" t="s">
        <v>7965</v>
      </c>
      <c r="Z82" s="180" t="s">
        <v>8023</v>
      </c>
      <c r="AA82" s="225" t="s">
        <v>7965</v>
      </c>
      <c r="AB82" s="180" t="s">
        <v>8023</v>
      </c>
      <c r="AC82" t="s">
        <v>7965</v>
      </c>
      <c r="AD82" s="180" t="s">
        <v>8023</v>
      </c>
      <c r="AG82" s="225" t="s">
        <v>7965</v>
      </c>
      <c r="AH82" s="180" t="s">
        <v>8023</v>
      </c>
      <c r="AM82" s="225"/>
      <c r="BS82" s="225" t="s">
        <v>7965</v>
      </c>
      <c r="BT82" s="180" t="s">
        <v>8023</v>
      </c>
      <c r="BU82" s="136" t="s">
        <v>7965</v>
      </c>
      <c r="BV82" s="180" t="s">
        <v>8023</v>
      </c>
    </row>
    <row r="83" spans="1:74">
      <c r="A83" s="123" t="s">
        <v>7729</v>
      </c>
      <c r="B83" s="231" t="s">
        <v>259</v>
      </c>
      <c r="C83" s="231" t="s">
        <v>405</v>
      </c>
      <c r="D83" s="231"/>
      <c r="E83" s="229">
        <v>12</v>
      </c>
      <c r="F83" s="232">
        <v>9</v>
      </c>
      <c r="G83" s="230"/>
      <c r="S83" s="225">
        <v>1541.3086989999999</v>
      </c>
      <c r="T83" s="180" t="s">
        <v>8023</v>
      </c>
      <c r="Y83" s="225">
        <v>709.93</v>
      </c>
      <c r="Z83" s="180" t="s">
        <v>8023</v>
      </c>
      <c r="AA83" s="225">
        <v>63275.87</v>
      </c>
      <c r="AB83" s="180" t="s">
        <v>8023</v>
      </c>
      <c r="AC83">
        <v>32.46</v>
      </c>
      <c r="AD83" s="180" t="s">
        <v>8023</v>
      </c>
      <c r="AG83" s="225">
        <v>5.13</v>
      </c>
      <c r="AH83" s="180" t="s">
        <v>8023</v>
      </c>
      <c r="AM83" s="225"/>
      <c r="BS83" s="225">
        <v>47.49</v>
      </c>
      <c r="BT83" s="180" t="s">
        <v>8023</v>
      </c>
      <c r="BU83" s="136">
        <v>21.87</v>
      </c>
      <c r="BV83" s="180" t="s">
        <v>8023</v>
      </c>
    </row>
    <row r="84" spans="1:74">
      <c r="A84" s="123" t="s">
        <v>7729</v>
      </c>
      <c r="B84" s="231" t="s">
        <v>257</v>
      </c>
      <c r="C84" s="231" t="s">
        <v>7963</v>
      </c>
      <c r="D84" s="231"/>
      <c r="E84" s="229">
        <v>11</v>
      </c>
      <c r="F84" s="232">
        <v>42</v>
      </c>
      <c r="G84" s="230"/>
      <c r="S84" s="225">
        <v>1407.735001</v>
      </c>
      <c r="T84" s="180" t="s">
        <v>8023</v>
      </c>
      <c r="Y84" s="225">
        <v>564.59</v>
      </c>
      <c r="Z84" s="180" t="s">
        <v>8023</v>
      </c>
      <c r="AA84" s="225">
        <v>52547.24</v>
      </c>
      <c r="AB84" s="180" t="s">
        <v>8023</v>
      </c>
      <c r="AC84">
        <v>28.36</v>
      </c>
      <c r="AD84" s="180" t="s">
        <v>8023</v>
      </c>
      <c r="AG84" s="225">
        <v>5.4</v>
      </c>
      <c r="AH84" s="180" t="s">
        <v>8023</v>
      </c>
      <c r="AM84" s="225"/>
      <c r="BS84" s="225">
        <v>49.65</v>
      </c>
      <c r="BT84" s="180" t="s">
        <v>8023</v>
      </c>
      <c r="BU84" s="136">
        <v>19.91</v>
      </c>
      <c r="BV84" s="180" t="s">
        <v>8023</v>
      </c>
    </row>
    <row r="85" spans="1:74">
      <c r="A85" s="123" t="s">
        <v>7729</v>
      </c>
      <c r="B85" s="231" t="s">
        <v>259</v>
      </c>
      <c r="C85" s="231" t="s">
        <v>7963</v>
      </c>
      <c r="D85" s="231"/>
      <c r="E85" s="230">
        <v>14</v>
      </c>
      <c r="F85" s="232">
        <v>35</v>
      </c>
      <c r="G85" s="230"/>
      <c r="S85" s="225">
        <v>1306.989311</v>
      </c>
      <c r="T85" s="180" t="s">
        <v>8023</v>
      </c>
      <c r="Y85" s="225">
        <v>623.54999999999995</v>
      </c>
      <c r="Z85" s="180" t="s">
        <v>8023</v>
      </c>
      <c r="AA85" s="225">
        <v>58298.7</v>
      </c>
      <c r="AB85" s="180" t="s">
        <v>8023</v>
      </c>
      <c r="AC85">
        <v>28.2</v>
      </c>
      <c r="AD85" s="180" t="s">
        <v>8023</v>
      </c>
      <c r="AG85" s="225">
        <v>4.84</v>
      </c>
      <c r="AH85" s="180" t="s">
        <v>8023</v>
      </c>
      <c r="AM85" s="225"/>
      <c r="BS85" s="225">
        <v>46.34</v>
      </c>
      <c r="BT85" s="180" t="s">
        <v>8023</v>
      </c>
      <c r="BU85" s="136">
        <v>22.11</v>
      </c>
      <c r="BV85" s="180" t="s">
        <v>8023</v>
      </c>
    </row>
    <row r="86" spans="1:74">
      <c r="A86" s="123" t="s">
        <v>7729</v>
      </c>
      <c r="B86" s="231" t="s">
        <v>257</v>
      </c>
      <c r="C86" s="231" t="s">
        <v>7964</v>
      </c>
      <c r="D86" s="231"/>
      <c r="E86" s="229">
        <v>14</v>
      </c>
      <c r="F86" s="232">
        <v>2</v>
      </c>
      <c r="G86" s="230"/>
      <c r="S86" s="225">
        <v>1178.841633</v>
      </c>
      <c r="T86" s="180" t="s">
        <v>8023</v>
      </c>
      <c r="Y86" s="225">
        <v>562.74</v>
      </c>
      <c r="Z86" s="180" t="s">
        <v>8023</v>
      </c>
      <c r="AA86" s="225">
        <v>54614.47</v>
      </c>
      <c r="AB86" s="180" t="s">
        <v>8023</v>
      </c>
      <c r="AC86">
        <v>25.36</v>
      </c>
      <c r="AD86" s="180" t="s">
        <v>8023</v>
      </c>
      <c r="AG86" s="225">
        <v>4.6399999999999997</v>
      </c>
      <c r="AH86" s="180" t="s">
        <v>8023</v>
      </c>
      <c r="AM86" s="225"/>
      <c r="BS86" s="225">
        <v>46.48</v>
      </c>
      <c r="BT86" s="180" t="s">
        <v>8023</v>
      </c>
      <c r="BU86" s="136">
        <v>22.19</v>
      </c>
      <c r="BV86" s="180" t="s">
        <v>8023</v>
      </c>
    </row>
    <row r="87" spans="1:74">
      <c r="A87" s="123" t="s">
        <v>7729</v>
      </c>
      <c r="B87" s="231" t="s">
        <v>259</v>
      </c>
      <c r="C87" s="231" t="s">
        <v>7964</v>
      </c>
      <c r="D87" s="231"/>
      <c r="E87" s="229">
        <v>19</v>
      </c>
      <c r="F87" s="232">
        <v>26</v>
      </c>
      <c r="G87" s="230"/>
      <c r="S87" s="225">
        <v>1237.2257930000001</v>
      </c>
      <c r="T87" s="180" t="s">
        <v>8023</v>
      </c>
      <c r="Y87" s="225">
        <v>629.92999999999995</v>
      </c>
      <c r="Z87" s="180" t="s">
        <v>8023</v>
      </c>
      <c r="AA87" s="225">
        <v>51702.34</v>
      </c>
      <c r="AB87" s="180" t="s">
        <v>8023</v>
      </c>
      <c r="AC87">
        <v>27.03</v>
      </c>
      <c r="AD87" s="180" t="s">
        <v>8023</v>
      </c>
      <c r="AG87" s="225">
        <v>5.23</v>
      </c>
      <c r="AH87" s="180" t="s">
        <v>8023</v>
      </c>
      <c r="AM87" s="225"/>
      <c r="BS87" s="225">
        <v>45.77</v>
      </c>
      <c r="BT87" s="180" t="s">
        <v>8023</v>
      </c>
      <c r="BU87" s="136">
        <v>23.3</v>
      </c>
      <c r="BV87" s="180" t="s">
        <v>8023</v>
      </c>
    </row>
    <row r="88" spans="1:74">
      <c r="A88" s="123" t="s">
        <v>7729</v>
      </c>
      <c r="B88" s="231" t="s">
        <v>257</v>
      </c>
      <c r="C88" s="231" t="s">
        <v>7982</v>
      </c>
      <c r="D88" s="231"/>
      <c r="E88" s="229">
        <v>4</v>
      </c>
      <c r="F88" s="232">
        <v>11</v>
      </c>
      <c r="G88" s="230"/>
      <c r="S88" s="225">
        <v>1189.223628</v>
      </c>
      <c r="T88" s="180" t="s">
        <v>8023</v>
      </c>
      <c r="Y88" s="225">
        <v>543.54</v>
      </c>
      <c r="Z88" s="180" t="s">
        <v>8023</v>
      </c>
      <c r="AA88" s="225">
        <v>49575.01</v>
      </c>
      <c r="AB88" s="180" t="s">
        <v>8023</v>
      </c>
      <c r="AC88">
        <v>25.17</v>
      </c>
      <c r="AD88" s="180" t="s">
        <v>8023</v>
      </c>
      <c r="AG88" s="225">
        <v>5.08</v>
      </c>
      <c r="AH88" s="180" t="s">
        <v>8023</v>
      </c>
      <c r="AM88" s="225"/>
      <c r="BS88" s="225">
        <v>47.25</v>
      </c>
      <c r="BT88" s="180" t="s">
        <v>8023</v>
      </c>
      <c r="BU88" s="136">
        <v>21.6</v>
      </c>
      <c r="BV88" s="180" t="s">
        <v>8023</v>
      </c>
    </row>
    <row r="89" spans="1:74">
      <c r="A89" s="123" t="s">
        <v>7729</v>
      </c>
      <c r="B89" s="231" t="s">
        <v>259</v>
      </c>
      <c r="C89" s="231" t="s">
        <v>7982</v>
      </c>
      <c r="D89" s="231"/>
      <c r="E89" s="229">
        <v>1</v>
      </c>
      <c r="F89" s="232">
        <v>60</v>
      </c>
      <c r="G89" s="230"/>
      <c r="S89" s="225">
        <v>1008.959356</v>
      </c>
      <c r="T89" s="180" t="s">
        <v>8023</v>
      </c>
      <c r="Y89" s="225">
        <v>566.92999999999995</v>
      </c>
      <c r="Z89" s="180" t="s">
        <v>8023</v>
      </c>
      <c r="AA89" s="225">
        <v>53173.17</v>
      </c>
      <c r="AB89" s="180" t="s">
        <v>8023</v>
      </c>
      <c r="AC89">
        <v>23</v>
      </c>
      <c r="AD89" s="180" t="s">
        <v>8023</v>
      </c>
      <c r="AG89" s="225">
        <v>4.33</v>
      </c>
      <c r="AH89" s="180" t="s">
        <v>8023</v>
      </c>
      <c r="AM89" s="225"/>
      <c r="BS89" s="225">
        <v>43.87</v>
      </c>
      <c r="BT89" s="180" t="s">
        <v>8023</v>
      </c>
      <c r="BU89" s="136">
        <v>24.65</v>
      </c>
      <c r="BV89" s="180" t="s">
        <v>8023</v>
      </c>
    </row>
    <row r="90" spans="1:74">
      <c r="A90" s="123" t="s">
        <v>7730</v>
      </c>
      <c r="B90" s="231" t="s">
        <v>257</v>
      </c>
      <c r="C90" s="231" t="s">
        <v>405</v>
      </c>
      <c r="D90" s="231"/>
      <c r="E90" s="230">
        <v>7</v>
      </c>
      <c r="F90" s="232">
        <v>7</v>
      </c>
      <c r="G90" s="230"/>
      <c r="S90" s="225">
        <v>1075.6789759999999</v>
      </c>
      <c r="T90" s="180" t="s">
        <v>8023</v>
      </c>
      <c r="Y90" s="225">
        <v>475.95</v>
      </c>
      <c r="Z90" s="180" t="s">
        <v>8023</v>
      </c>
      <c r="AA90" s="225">
        <v>42153.39</v>
      </c>
      <c r="AB90" s="180" t="s">
        <v>8023</v>
      </c>
      <c r="AC90">
        <v>22.35</v>
      </c>
      <c r="AD90" s="180" t="s">
        <v>8023</v>
      </c>
      <c r="AG90" s="225">
        <v>5.3</v>
      </c>
      <c r="AH90" s="180" t="s">
        <v>8023</v>
      </c>
      <c r="AM90" s="225"/>
      <c r="BS90" s="225">
        <v>48.12</v>
      </c>
      <c r="BT90" s="180" t="s">
        <v>8023</v>
      </c>
      <c r="BU90" s="136">
        <v>21.29</v>
      </c>
      <c r="BV90" s="180" t="s">
        <v>8023</v>
      </c>
    </row>
    <row r="91" spans="1:74">
      <c r="A91" s="123" t="s">
        <v>7730</v>
      </c>
      <c r="B91" s="231" t="s">
        <v>259</v>
      </c>
      <c r="C91" s="231" t="s">
        <v>405</v>
      </c>
      <c r="D91" s="231"/>
      <c r="E91" s="230">
        <v>11</v>
      </c>
      <c r="F91" s="232">
        <v>17</v>
      </c>
      <c r="G91" s="230"/>
      <c r="S91" s="225">
        <v>1336.3998079999999</v>
      </c>
      <c r="T91" s="180" t="s">
        <v>8023</v>
      </c>
      <c r="Y91" s="225">
        <v>612.58000000000004</v>
      </c>
      <c r="Z91" s="180" t="s">
        <v>8023</v>
      </c>
      <c r="AA91" s="225">
        <v>54493.91</v>
      </c>
      <c r="AB91" s="180" t="s">
        <v>8023</v>
      </c>
      <c r="AC91">
        <v>27.89</v>
      </c>
      <c r="AD91" s="180" t="s">
        <v>8023</v>
      </c>
      <c r="AG91" s="225">
        <v>5.12</v>
      </c>
      <c r="AH91" s="180" t="s">
        <v>8023</v>
      </c>
      <c r="AM91" s="225"/>
      <c r="BS91" s="225">
        <v>47.92</v>
      </c>
      <c r="BT91" s="180" t="s">
        <v>8023</v>
      </c>
      <c r="BU91" s="136">
        <v>21.96</v>
      </c>
      <c r="BV91" s="180" t="s">
        <v>8023</v>
      </c>
    </row>
    <row r="92" spans="1:74">
      <c r="A92" s="123" t="s">
        <v>7730</v>
      </c>
      <c r="B92" s="231" t="s">
        <v>257</v>
      </c>
      <c r="C92" s="231" t="s">
        <v>7963</v>
      </c>
      <c r="D92" s="231"/>
      <c r="E92" s="229">
        <v>12</v>
      </c>
      <c r="F92" s="232">
        <v>55</v>
      </c>
      <c r="G92" s="230"/>
      <c r="S92" s="225">
        <v>1082.926747</v>
      </c>
      <c r="T92" s="180" t="s">
        <v>8023</v>
      </c>
      <c r="Y92" s="225">
        <v>477.06</v>
      </c>
      <c r="Z92" s="180" t="s">
        <v>8023</v>
      </c>
      <c r="AA92" s="225">
        <v>44722.69</v>
      </c>
      <c r="AB92" s="180" t="s">
        <v>8023</v>
      </c>
      <c r="AC92">
        <v>22.68</v>
      </c>
      <c r="AD92" s="180" t="s">
        <v>8023</v>
      </c>
      <c r="AG92" s="225">
        <v>5.07</v>
      </c>
      <c r="AH92" s="180" t="s">
        <v>8023</v>
      </c>
      <c r="AM92" s="225"/>
      <c r="BS92" s="225">
        <v>47.75</v>
      </c>
      <c r="BT92" s="180" t="s">
        <v>8023</v>
      </c>
      <c r="BU92" s="136">
        <v>21.03</v>
      </c>
      <c r="BV92" s="180" t="s">
        <v>8023</v>
      </c>
    </row>
    <row r="93" spans="1:74">
      <c r="A93" s="123" t="s">
        <v>7730</v>
      </c>
      <c r="B93" s="231" t="s">
        <v>259</v>
      </c>
      <c r="C93" s="231" t="s">
        <v>7963</v>
      </c>
      <c r="D93" s="231"/>
      <c r="E93" s="229">
        <v>15</v>
      </c>
      <c r="F93" s="232">
        <v>45</v>
      </c>
      <c r="G93" s="230"/>
      <c r="S93" s="225">
        <v>1348.5749189999999</v>
      </c>
      <c r="T93" s="180" t="s">
        <v>8023</v>
      </c>
      <c r="Y93" s="225">
        <v>596.64</v>
      </c>
      <c r="Z93" s="180" t="s">
        <v>8023</v>
      </c>
      <c r="AA93" s="225">
        <v>57980.75</v>
      </c>
      <c r="AB93" s="180" t="s">
        <v>8023</v>
      </c>
      <c r="AC93">
        <v>27.99</v>
      </c>
      <c r="AD93" s="180" t="s">
        <v>8023</v>
      </c>
      <c r="AG93" s="225">
        <v>4.83</v>
      </c>
      <c r="AH93" s="180" t="s">
        <v>8023</v>
      </c>
      <c r="AM93" s="225"/>
      <c r="BS93" s="225">
        <v>48.19</v>
      </c>
      <c r="BT93" s="180" t="s">
        <v>8023</v>
      </c>
      <c r="BU93" s="136">
        <v>21.32</v>
      </c>
      <c r="BV93" s="180" t="s">
        <v>8023</v>
      </c>
    </row>
    <row r="94" spans="1:74">
      <c r="A94" s="123" t="s">
        <v>7730</v>
      </c>
      <c r="B94" s="231" t="s">
        <v>257</v>
      </c>
      <c r="C94" s="231" t="s">
        <v>7964</v>
      </c>
      <c r="D94" s="231"/>
      <c r="E94" s="229">
        <v>14</v>
      </c>
      <c r="F94" s="232">
        <v>28</v>
      </c>
      <c r="G94" s="230"/>
      <c r="S94" s="225">
        <v>1565.144839</v>
      </c>
      <c r="T94" s="180" t="s">
        <v>8023</v>
      </c>
      <c r="Y94" s="225">
        <v>677.63</v>
      </c>
      <c r="Z94" s="180" t="s">
        <v>8023</v>
      </c>
      <c r="AA94" s="225">
        <v>63801.71</v>
      </c>
      <c r="AB94" s="180" t="s">
        <v>8023</v>
      </c>
      <c r="AC94">
        <v>32.39</v>
      </c>
      <c r="AD94" s="180" t="s">
        <v>8023</v>
      </c>
      <c r="AG94" s="225">
        <v>5.08</v>
      </c>
      <c r="AH94" s="180" t="s">
        <v>8023</v>
      </c>
      <c r="AM94" s="225"/>
      <c r="BS94" s="225">
        <v>48.32</v>
      </c>
      <c r="BT94" s="180" t="s">
        <v>8023</v>
      </c>
      <c r="BU94" s="136">
        <v>20.92</v>
      </c>
      <c r="BV94" s="180" t="s">
        <v>8023</v>
      </c>
    </row>
    <row r="95" spans="1:74">
      <c r="A95" s="123" t="s">
        <v>7730</v>
      </c>
      <c r="B95" s="231" t="s">
        <v>259</v>
      </c>
      <c r="C95" s="231" t="s">
        <v>7964</v>
      </c>
      <c r="D95" s="231"/>
      <c r="E95" s="229">
        <v>19</v>
      </c>
      <c r="F95" s="232">
        <v>2</v>
      </c>
      <c r="G95" s="230"/>
      <c r="S95" s="225">
        <v>1173.45488</v>
      </c>
      <c r="T95" s="180" t="s">
        <v>8023</v>
      </c>
      <c r="Y95" s="225">
        <v>553.96</v>
      </c>
      <c r="Z95" s="180" t="s">
        <v>8023</v>
      </c>
      <c r="AA95" s="225">
        <v>46921.49</v>
      </c>
      <c r="AB95" s="180" t="s">
        <v>8023</v>
      </c>
      <c r="AC95">
        <v>24.88</v>
      </c>
      <c r="AD95" s="180" t="s">
        <v>8023</v>
      </c>
      <c r="AG95" s="225">
        <v>5.3</v>
      </c>
      <c r="AH95" s="180" t="s">
        <v>8023</v>
      </c>
      <c r="AM95" s="225"/>
      <c r="BS95" s="225">
        <v>47.17</v>
      </c>
      <c r="BT95" s="180" t="s">
        <v>8023</v>
      </c>
      <c r="BU95" s="136">
        <v>22.27</v>
      </c>
      <c r="BV95" s="180" t="s">
        <v>8023</v>
      </c>
    </row>
    <row r="96" spans="1:74">
      <c r="A96" s="123" t="s">
        <v>7730</v>
      </c>
      <c r="B96" s="231" t="s">
        <v>257</v>
      </c>
      <c r="C96" s="231" t="s">
        <v>7982</v>
      </c>
      <c r="D96" s="231"/>
      <c r="E96" s="230">
        <v>4</v>
      </c>
      <c r="F96" s="232">
        <v>20</v>
      </c>
      <c r="G96" s="230"/>
      <c r="S96" s="225">
        <v>1185.5667840000001</v>
      </c>
      <c r="T96" s="180" t="s">
        <v>8023</v>
      </c>
      <c r="Y96" s="225">
        <v>528.11</v>
      </c>
      <c r="Z96" s="180" t="s">
        <v>8023</v>
      </c>
      <c r="AA96" s="225">
        <v>58072.38</v>
      </c>
      <c r="AB96" s="180" t="s">
        <v>8023</v>
      </c>
      <c r="AC96">
        <v>25.17</v>
      </c>
      <c r="AD96" s="180" t="s">
        <v>8023</v>
      </c>
      <c r="AG96" s="225">
        <v>4.33</v>
      </c>
      <c r="AH96" s="180" t="s">
        <v>8023</v>
      </c>
      <c r="AM96" s="225"/>
      <c r="BS96" s="225">
        <v>47.1</v>
      </c>
      <c r="BT96" s="180" t="s">
        <v>8023</v>
      </c>
      <c r="BU96" s="136">
        <v>20.98</v>
      </c>
      <c r="BV96" s="180" t="s">
        <v>8023</v>
      </c>
    </row>
    <row r="97" spans="1:74">
      <c r="A97" s="123" t="s">
        <v>7730</v>
      </c>
      <c r="B97" s="231" t="s">
        <v>259</v>
      </c>
      <c r="C97" s="231" t="s">
        <v>7982</v>
      </c>
      <c r="D97" s="231"/>
      <c r="E97" s="230">
        <v>1</v>
      </c>
      <c r="F97" s="232">
        <v>43</v>
      </c>
      <c r="G97" s="230"/>
      <c r="S97" s="225">
        <v>862.08094270000004</v>
      </c>
      <c r="T97" s="180" t="s">
        <v>8023</v>
      </c>
      <c r="Y97" s="225">
        <v>441.47</v>
      </c>
      <c r="Z97" s="180" t="s">
        <v>8023</v>
      </c>
      <c r="AA97" s="225">
        <v>41421.68</v>
      </c>
      <c r="AB97" s="180" t="s">
        <v>8023</v>
      </c>
      <c r="AC97">
        <v>18.850000000000001</v>
      </c>
      <c r="AD97" s="180" t="s">
        <v>8023</v>
      </c>
      <c r="AG97" s="225">
        <v>4.55</v>
      </c>
      <c r="AH97" s="180" t="s">
        <v>8023</v>
      </c>
      <c r="AM97" s="225"/>
      <c r="BS97" s="225">
        <v>45.72</v>
      </c>
      <c r="BT97" s="180" t="s">
        <v>8023</v>
      </c>
      <c r="BU97" s="136">
        <v>23.42</v>
      </c>
      <c r="BV97" s="180" t="s">
        <v>8023</v>
      </c>
    </row>
    <row r="98" spans="1:74">
      <c r="A98" s="123" t="s">
        <v>7731</v>
      </c>
      <c r="B98" s="231" t="s">
        <v>257</v>
      </c>
      <c r="C98" s="231" t="s">
        <v>405</v>
      </c>
      <c r="D98" s="231"/>
      <c r="E98" s="229">
        <v>5</v>
      </c>
      <c r="F98" s="232">
        <v>15</v>
      </c>
      <c r="G98" s="230"/>
      <c r="S98" s="225">
        <v>1421.218787</v>
      </c>
      <c r="T98" s="180" t="s">
        <v>8023</v>
      </c>
      <c r="Y98" s="225">
        <v>661.79</v>
      </c>
      <c r="Z98" s="180" t="s">
        <v>8023</v>
      </c>
      <c r="AA98" s="225">
        <v>67312.05</v>
      </c>
      <c r="AB98" s="180" t="s">
        <v>8023</v>
      </c>
      <c r="AC98">
        <v>30.61</v>
      </c>
      <c r="AD98" s="180" t="s">
        <v>8023</v>
      </c>
      <c r="AG98" s="225">
        <v>4.55</v>
      </c>
      <c r="AH98" s="180" t="s">
        <v>8023</v>
      </c>
      <c r="AM98" s="225"/>
      <c r="BS98" s="225">
        <v>46.42</v>
      </c>
      <c r="BT98" s="180" t="s">
        <v>8023</v>
      </c>
      <c r="BU98" s="136">
        <v>21.62</v>
      </c>
      <c r="BV98" s="180" t="s">
        <v>8023</v>
      </c>
    </row>
    <row r="99" spans="1:74">
      <c r="A99" s="123" t="s">
        <v>7731</v>
      </c>
      <c r="B99" s="231" t="s">
        <v>259</v>
      </c>
      <c r="C99" s="231" t="s">
        <v>405</v>
      </c>
      <c r="D99" s="231"/>
      <c r="E99" s="229">
        <v>11</v>
      </c>
      <c r="F99" s="232">
        <v>23</v>
      </c>
      <c r="G99" s="230"/>
      <c r="S99" s="225">
        <v>1432.766177</v>
      </c>
      <c r="T99" s="180" t="s">
        <v>8023</v>
      </c>
      <c r="Y99" s="225">
        <v>651.71</v>
      </c>
      <c r="Z99" s="180" t="s">
        <v>8023</v>
      </c>
      <c r="AA99" s="225">
        <v>64251.28</v>
      </c>
      <c r="AB99" s="180" t="s">
        <v>8023</v>
      </c>
      <c r="AC99">
        <v>30.22</v>
      </c>
      <c r="AD99" s="180" t="s">
        <v>8023</v>
      </c>
      <c r="AG99" s="225">
        <v>4.7</v>
      </c>
      <c r="AH99" s="180" t="s">
        <v>8023</v>
      </c>
      <c r="AM99" s="225"/>
      <c r="BS99" s="225">
        <v>47.41</v>
      </c>
      <c r="BT99" s="180" t="s">
        <v>8023</v>
      </c>
      <c r="BU99" s="136">
        <v>21.57</v>
      </c>
      <c r="BV99" s="180" t="s">
        <v>8023</v>
      </c>
    </row>
    <row r="100" spans="1:74">
      <c r="A100" s="123" t="s">
        <v>7731</v>
      </c>
      <c r="B100" s="231" t="s">
        <v>257</v>
      </c>
      <c r="C100" s="231" t="s">
        <v>7963</v>
      </c>
      <c r="D100" s="231"/>
      <c r="E100" s="229">
        <v>12</v>
      </c>
      <c r="F100" s="232">
        <v>46</v>
      </c>
      <c r="G100" s="230"/>
      <c r="S100" s="225">
        <v>1609.6184089999999</v>
      </c>
      <c r="T100" s="180" t="s">
        <v>8023</v>
      </c>
      <c r="Y100" s="225">
        <v>687.98</v>
      </c>
      <c r="Z100" s="180" t="s">
        <v>8023</v>
      </c>
      <c r="AA100" s="225">
        <v>72879.600000000006</v>
      </c>
      <c r="AB100" s="180" t="s">
        <v>8023</v>
      </c>
      <c r="AC100">
        <v>33.57</v>
      </c>
      <c r="AD100" s="180" t="s">
        <v>8023</v>
      </c>
      <c r="AG100" s="225">
        <v>4.6100000000000003</v>
      </c>
      <c r="AH100" s="180" t="s">
        <v>8023</v>
      </c>
      <c r="AM100" s="225"/>
      <c r="BS100" s="225">
        <v>47.95</v>
      </c>
      <c r="BT100" s="180" t="s">
        <v>8023</v>
      </c>
      <c r="BU100" s="136">
        <v>20.49</v>
      </c>
      <c r="BV100" s="180" t="s">
        <v>8023</v>
      </c>
    </row>
    <row r="101" spans="1:74">
      <c r="A101" s="123" t="s">
        <v>7731</v>
      </c>
      <c r="B101" s="231" t="s">
        <v>259</v>
      </c>
      <c r="C101" s="231" t="s">
        <v>7963</v>
      </c>
      <c r="D101" s="231"/>
      <c r="E101" s="229">
        <v>13</v>
      </c>
      <c r="F101" s="232">
        <v>34</v>
      </c>
      <c r="G101" s="230"/>
      <c r="S101" s="225">
        <v>1288.3927180000001</v>
      </c>
      <c r="T101" s="180" t="s">
        <v>8023</v>
      </c>
      <c r="Y101" s="225">
        <v>605.54999999999995</v>
      </c>
      <c r="Z101" s="180" t="s">
        <v>8023</v>
      </c>
      <c r="AA101" s="225">
        <v>58553.84</v>
      </c>
      <c r="AB101" s="180" t="s">
        <v>8023</v>
      </c>
      <c r="AC101">
        <v>28.05</v>
      </c>
      <c r="AD101" s="180" t="s">
        <v>8023</v>
      </c>
      <c r="AG101" s="225">
        <v>4.79</v>
      </c>
      <c r="AH101" s="180" t="s">
        <v>8023</v>
      </c>
      <c r="AM101" s="225"/>
      <c r="BS101" s="225">
        <v>45.94</v>
      </c>
      <c r="BT101" s="180" t="s">
        <v>8023</v>
      </c>
      <c r="BU101" s="136">
        <v>21.59</v>
      </c>
      <c r="BV101" s="180" t="s">
        <v>8023</v>
      </c>
    </row>
    <row r="102" spans="1:74">
      <c r="A102" s="123" t="s">
        <v>7731</v>
      </c>
      <c r="B102" s="231" t="s">
        <v>257</v>
      </c>
      <c r="C102" s="231" t="s">
        <v>7964</v>
      </c>
      <c r="D102" s="231"/>
      <c r="E102" s="230">
        <v>15</v>
      </c>
      <c r="F102" s="232">
        <v>28</v>
      </c>
      <c r="G102" s="230"/>
      <c r="S102" s="225">
        <v>1322.585789</v>
      </c>
      <c r="T102" s="180" t="s">
        <v>8023</v>
      </c>
      <c r="Y102" s="225">
        <v>621.15</v>
      </c>
      <c r="Z102" s="180" t="s">
        <v>8023</v>
      </c>
      <c r="AA102" s="225">
        <v>64429.87</v>
      </c>
      <c r="AB102" s="180" t="s">
        <v>8023</v>
      </c>
      <c r="AC102">
        <v>28.79</v>
      </c>
      <c r="AD102" s="180" t="s">
        <v>8023</v>
      </c>
      <c r="AG102" s="225">
        <v>4.47</v>
      </c>
      <c r="AH102" s="180" t="s">
        <v>8023</v>
      </c>
      <c r="AM102" s="225"/>
      <c r="BS102" s="225">
        <v>45.94</v>
      </c>
      <c r="BT102" s="180" t="s">
        <v>8023</v>
      </c>
      <c r="BU102" s="136">
        <v>21.58</v>
      </c>
      <c r="BV102" s="180" t="s">
        <v>8023</v>
      </c>
    </row>
    <row r="103" spans="1:74">
      <c r="A103" s="123" t="s">
        <v>7731</v>
      </c>
      <c r="B103" s="231" t="s">
        <v>259</v>
      </c>
      <c r="C103" s="231" t="s">
        <v>7964</v>
      </c>
      <c r="D103" s="231"/>
      <c r="E103" s="230">
        <v>20</v>
      </c>
      <c r="F103" s="232">
        <v>7</v>
      </c>
      <c r="G103" s="230"/>
      <c r="S103" s="225">
        <v>956.49889870000004</v>
      </c>
      <c r="T103" s="180" t="s">
        <v>8023</v>
      </c>
      <c r="Y103" s="225">
        <v>481.78</v>
      </c>
      <c r="Z103" s="180" t="s">
        <v>8023</v>
      </c>
      <c r="AA103" s="225">
        <v>45958.5</v>
      </c>
      <c r="AB103" s="180" t="s">
        <v>8023</v>
      </c>
      <c r="AC103">
        <v>21.05</v>
      </c>
      <c r="AD103" s="180" t="s">
        <v>8023</v>
      </c>
      <c r="AG103" s="225">
        <v>4.58</v>
      </c>
      <c r="AH103" s="180" t="s">
        <v>8023</v>
      </c>
      <c r="AM103" s="225"/>
      <c r="BS103" s="225">
        <v>45.44</v>
      </c>
      <c r="BT103" s="180" t="s">
        <v>8023</v>
      </c>
      <c r="BU103" s="136">
        <v>22.89</v>
      </c>
      <c r="BV103" s="180" t="s">
        <v>8023</v>
      </c>
    </row>
    <row r="104" spans="1:74">
      <c r="A104" s="123" t="s">
        <v>7731</v>
      </c>
      <c r="B104" s="231" t="s">
        <v>257</v>
      </c>
      <c r="C104" s="231" t="s">
        <v>7982</v>
      </c>
      <c r="D104" s="231"/>
      <c r="E104" s="229">
        <v>4</v>
      </c>
      <c r="F104" s="232">
        <v>19</v>
      </c>
      <c r="G104" s="230"/>
      <c r="S104" s="225">
        <v>1531.3909430000001</v>
      </c>
      <c r="T104" s="180" t="s">
        <v>8023</v>
      </c>
      <c r="Y104" s="225">
        <v>664.07</v>
      </c>
      <c r="Z104" s="180" t="s">
        <v>8023</v>
      </c>
      <c r="AA104" s="225">
        <v>67715.58</v>
      </c>
      <c r="AB104" s="180" t="s">
        <v>8023</v>
      </c>
      <c r="AC104">
        <v>31.96</v>
      </c>
      <c r="AD104" s="180" t="s">
        <v>8023</v>
      </c>
      <c r="AG104" s="225">
        <v>4.72</v>
      </c>
      <c r="AH104" s="180" t="s">
        <v>8023</v>
      </c>
      <c r="AM104" s="225"/>
      <c r="BS104" s="225">
        <v>47.92</v>
      </c>
      <c r="BT104" s="180" t="s">
        <v>8023</v>
      </c>
      <c r="BU104" s="136">
        <v>20.78</v>
      </c>
      <c r="BV104" s="180" t="s">
        <v>8023</v>
      </c>
    </row>
    <row r="105" spans="1:74">
      <c r="A105" s="123" t="s">
        <v>7731</v>
      </c>
      <c r="B105" s="231" t="s">
        <v>259</v>
      </c>
      <c r="C105" s="231" t="s">
        <v>7982</v>
      </c>
      <c r="D105" s="231"/>
      <c r="E105" s="229">
        <v>3</v>
      </c>
      <c r="F105" s="232">
        <v>48</v>
      </c>
      <c r="G105" s="230"/>
      <c r="S105" s="225">
        <v>1065.039432</v>
      </c>
      <c r="T105" s="180" t="s">
        <v>8023</v>
      </c>
      <c r="Y105" s="225">
        <v>530.9</v>
      </c>
      <c r="Z105" s="180" t="s">
        <v>8023</v>
      </c>
      <c r="AA105" s="225">
        <v>51982.59</v>
      </c>
      <c r="AB105" s="180" t="s">
        <v>8023</v>
      </c>
      <c r="AC105">
        <v>23.61</v>
      </c>
      <c r="AD105" s="180" t="s">
        <v>8023</v>
      </c>
      <c r="AG105" s="225">
        <v>4.54</v>
      </c>
      <c r="AH105" s="180" t="s">
        <v>8023</v>
      </c>
      <c r="AM105" s="225"/>
      <c r="BS105" s="225">
        <v>45.1</v>
      </c>
      <c r="BT105" s="180" t="s">
        <v>8023</v>
      </c>
      <c r="BU105" s="136">
        <v>22.48</v>
      </c>
      <c r="BV105" s="180" t="s">
        <v>8023</v>
      </c>
    </row>
    <row r="106" spans="1:74">
      <c r="A106" s="123" t="s">
        <v>7732</v>
      </c>
      <c r="B106" s="231" t="s">
        <v>257</v>
      </c>
      <c r="C106" s="231" t="s">
        <v>405</v>
      </c>
      <c r="D106" s="231"/>
      <c r="E106" s="229">
        <v>8</v>
      </c>
      <c r="F106" s="232">
        <v>16</v>
      </c>
      <c r="G106" s="230"/>
      <c r="S106" s="225">
        <v>1493.7655589999999</v>
      </c>
      <c r="T106" s="180" t="s">
        <v>8023</v>
      </c>
      <c r="Y106" s="225">
        <v>663.78</v>
      </c>
      <c r="Z106" s="180" t="s">
        <v>8023</v>
      </c>
      <c r="AA106" s="225">
        <v>62415.59</v>
      </c>
      <c r="AB106" s="180" t="s">
        <v>8023</v>
      </c>
      <c r="AC106">
        <v>31.21</v>
      </c>
      <c r="AD106" s="180" t="s">
        <v>8023</v>
      </c>
      <c r="AG106" s="225">
        <v>5</v>
      </c>
      <c r="AH106" s="180" t="s">
        <v>8023</v>
      </c>
      <c r="AM106" s="225"/>
      <c r="BS106" s="225">
        <v>47.87</v>
      </c>
      <c r="BT106" s="180" t="s">
        <v>8023</v>
      </c>
      <c r="BU106" s="136">
        <v>21.27</v>
      </c>
      <c r="BV106" s="180" t="s">
        <v>8023</v>
      </c>
    </row>
    <row r="107" spans="1:74">
      <c r="A107" s="123" t="s">
        <v>7732</v>
      </c>
      <c r="B107" s="231" t="s">
        <v>259</v>
      </c>
      <c r="C107" s="231" t="s">
        <v>405</v>
      </c>
      <c r="D107" s="231"/>
      <c r="E107" s="229">
        <v>9</v>
      </c>
      <c r="F107" s="232">
        <v>6</v>
      </c>
      <c r="G107" s="230"/>
      <c r="S107" s="225">
        <v>1545.124957</v>
      </c>
      <c r="T107" s="180" t="s">
        <v>8023</v>
      </c>
      <c r="Y107" s="225">
        <v>668.43</v>
      </c>
      <c r="Z107" s="180" t="s">
        <v>8023</v>
      </c>
      <c r="AA107" s="225">
        <v>66283.320000000007</v>
      </c>
      <c r="AB107" s="180" t="s">
        <v>8023</v>
      </c>
      <c r="AC107">
        <v>31.89</v>
      </c>
      <c r="AD107" s="180" t="s">
        <v>8023</v>
      </c>
      <c r="AG107" s="225">
        <v>4.8109243700000004</v>
      </c>
      <c r="AH107" s="180" t="s">
        <v>8023</v>
      </c>
      <c r="AM107" s="225"/>
      <c r="BS107" s="225">
        <v>48.45</v>
      </c>
      <c r="BT107" s="180" t="s">
        <v>8023</v>
      </c>
      <c r="BU107" s="136">
        <v>20.96</v>
      </c>
      <c r="BV107" s="180" t="s">
        <v>8023</v>
      </c>
    </row>
    <row r="108" spans="1:74">
      <c r="A108" s="123" t="s">
        <v>7732</v>
      </c>
      <c r="B108" s="231" t="s">
        <v>257</v>
      </c>
      <c r="C108" s="231" t="s">
        <v>7963</v>
      </c>
      <c r="D108" s="231"/>
      <c r="E108" s="230">
        <v>12</v>
      </c>
      <c r="F108" s="232">
        <v>41</v>
      </c>
      <c r="G108" s="230"/>
      <c r="S108" s="225">
        <v>1484.992755</v>
      </c>
      <c r="T108" s="180" t="s">
        <v>8023</v>
      </c>
      <c r="Y108" s="225">
        <v>610.47</v>
      </c>
      <c r="Z108" s="180" t="s">
        <v>8023</v>
      </c>
      <c r="AA108" s="225">
        <v>62542.73</v>
      </c>
      <c r="AB108" s="180" t="s">
        <v>8023</v>
      </c>
      <c r="AC108">
        <v>30.29</v>
      </c>
      <c r="AD108" s="180" t="s">
        <v>8023</v>
      </c>
      <c r="AG108" s="225">
        <v>4.8434238000000001</v>
      </c>
      <c r="AH108" s="180" t="s">
        <v>8023</v>
      </c>
      <c r="AM108" s="225"/>
      <c r="BS108" s="225">
        <v>49.02</v>
      </c>
      <c r="BT108" s="180" t="s">
        <v>8023</v>
      </c>
      <c r="BU108" s="136">
        <v>20.149999999999999</v>
      </c>
      <c r="BV108" s="180" t="s">
        <v>8023</v>
      </c>
    </row>
    <row r="109" spans="1:74">
      <c r="A109" s="123" t="s">
        <v>7732</v>
      </c>
      <c r="B109" s="231" t="s">
        <v>259</v>
      </c>
      <c r="C109" s="231" t="s">
        <v>7963</v>
      </c>
      <c r="D109" s="231"/>
      <c r="E109" s="230">
        <v>15</v>
      </c>
      <c r="F109" s="232">
        <v>55</v>
      </c>
      <c r="G109" s="230"/>
      <c r="S109" s="225">
        <v>1066.318121</v>
      </c>
      <c r="T109" s="180" t="s">
        <v>8023</v>
      </c>
      <c r="Y109" s="225">
        <v>497.51</v>
      </c>
      <c r="Z109" s="180" t="s">
        <v>8023</v>
      </c>
      <c r="AA109" s="225">
        <v>49113.99</v>
      </c>
      <c r="AB109" s="180" t="s">
        <v>8023</v>
      </c>
      <c r="AC109">
        <v>22.76</v>
      </c>
      <c r="AD109" s="180" t="s">
        <v>8023</v>
      </c>
      <c r="AG109" s="225">
        <v>4.6339017050000004</v>
      </c>
      <c r="AH109" s="180" t="s">
        <v>8023</v>
      </c>
      <c r="AM109" s="225"/>
      <c r="BS109" s="225">
        <v>46.85</v>
      </c>
      <c r="BT109" s="180" t="s">
        <v>8023</v>
      </c>
      <c r="BU109" s="136">
        <v>21.86</v>
      </c>
      <c r="BV109" s="180" t="s">
        <v>8023</v>
      </c>
    </row>
    <row r="110" spans="1:74">
      <c r="A110" s="123" t="s">
        <v>7732</v>
      </c>
      <c r="B110" s="231" t="s">
        <v>257</v>
      </c>
      <c r="C110" s="231" t="s">
        <v>7964</v>
      </c>
      <c r="D110" s="231"/>
      <c r="E110" s="229">
        <v>16</v>
      </c>
      <c r="F110" s="232">
        <v>28</v>
      </c>
      <c r="G110" s="230"/>
      <c r="S110" s="225">
        <v>1565.657909</v>
      </c>
      <c r="T110" s="180" t="s">
        <v>8023</v>
      </c>
      <c r="Y110" s="225">
        <v>679.84</v>
      </c>
      <c r="Z110" s="180" t="s">
        <v>8023</v>
      </c>
      <c r="AA110" s="225">
        <v>64738.87</v>
      </c>
      <c r="AB110" s="180" t="s">
        <v>8023</v>
      </c>
      <c r="AC110">
        <v>33.130000000000003</v>
      </c>
      <c r="AD110" s="180" t="s">
        <v>8023</v>
      </c>
      <c r="AG110" s="225">
        <v>5.1167964399999999</v>
      </c>
      <c r="AH110" s="180" t="s">
        <v>8023</v>
      </c>
      <c r="AM110" s="225"/>
      <c r="BS110" s="225">
        <v>47.26</v>
      </c>
      <c r="BT110" s="180" t="s">
        <v>8023</v>
      </c>
      <c r="BU110" s="136">
        <v>20.52</v>
      </c>
      <c r="BV110" s="180" t="s">
        <v>8023</v>
      </c>
    </row>
    <row r="111" spans="1:74">
      <c r="A111" s="123" t="s">
        <v>7732</v>
      </c>
      <c r="B111" s="231" t="s">
        <v>259</v>
      </c>
      <c r="C111" s="231" t="s">
        <v>7964</v>
      </c>
      <c r="D111" s="231"/>
      <c r="E111" s="229">
        <v>19</v>
      </c>
      <c r="F111" s="232">
        <v>9</v>
      </c>
      <c r="G111" s="230"/>
      <c r="S111" s="225">
        <v>1370.85592</v>
      </c>
      <c r="T111" s="180" t="s">
        <v>8023</v>
      </c>
      <c r="Y111" s="225">
        <v>621.96</v>
      </c>
      <c r="Z111" s="180" t="s">
        <v>8023</v>
      </c>
      <c r="AA111" s="225">
        <v>63727.18</v>
      </c>
      <c r="AB111" s="180" t="s">
        <v>8023</v>
      </c>
      <c r="AC111">
        <v>29.55</v>
      </c>
      <c r="AD111" s="180" t="s">
        <v>8023</v>
      </c>
      <c r="AG111" s="225">
        <v>4.6370967739999998</v>
      </c>
      <c r="AH111" s="180" t="s">
        <v>8023</v>
      </c>
      <c r="AM111" s="225"/>
      <c r="BS111" s="225">
        <v>46.39</v>
      </c>
      <c r="BT111" s="180" t="s">
        <v>8023</v>
      </c>
      <c r="BU111" s="136">
        <v>21.05</v>
      </c>
      <c r="BV111" s="180" t="s">
        <v>8023</v>
      </c>
    </row>
    <row r="112" spans="1:74">
      <c r="A112" s="123" t="s">
        <v>7732</v>
      </c>
      <c r="B112" s="231" t="s">
        <v>257</v>
      </c>
      <c r="C112" s="231" t="s">
        <v>7982</v>
      </c>
      <c r="D112" s="231"/>
      <c r="E112" s="229">
        <v>2</v>
      </c>
      <c r="F112" s="232">
        <v>21</v>
      </c>
      <c r="G112" s="230"/>
      <c r="S112" s="225">
        <v>1639.346057</v>
      </c>
      <c r="T112" s="180" t="s">
        <v>8023</v>
      </c>
      <c r="Y112" s="225">
        <v>694.21</v>
      </c>
      <c r="Z112" s="180" t="s">
        <v>8023</v>
      </c>
      <c r="AA112" s="225">
        <v>70603.039999999994</v>
      </c>
      <c r="AB112" s="180" t="s">
        <v>8023</v>
      </c>
      <c r="AC112">
        <v>34.57</v>
      </c>
      <c r="AD112" s="180" t="s">
        <v>8023</v>
      </c>
      <c r="AG112" s="225">
        <v>4.8962655599999998</v>
      </c>
      <c r="AH112" s="180" t="s">
        <v>8023</v>
      </c>
      <c r="AM112" s="225"/>
      <c r="BS112" s="225">
        <v>47.42</v>
      </c>
      <c r="BT112" s="180" t="s">
        <v>8023</v>
      </c>
      <c r="BU112" s="136">
        <v>20.079999999999998</v>
      </c>
      <c r="BV112" s="180" t="s">
        <v>8023</v>
      </c>
    </row>
    <row r="113" spans="1:74">
      <c r="A113" s="123" t="s">
        <v>7732</v>
      </c>
      <c r="B113" s="231" t="s">
        <v>259</v>
      </c>
      <c r="C113" s="231" t="s">
        <v>7982</v>
      </c>
      <c r="D113" s="231"/>
      <c r="E113" s="229">
        <v>4</v>
      </c>
      <c r="F113" s="232">
        <v>58</v>
      </c>
      <c r="G113" s="230"/>
      <c r="S113" s="225">
        <v>1635.5975719999999</v>
      </c>
      <c r="T113" s="180" t="s">
        <v>8023</v>
      </c>
      <c r="Y113" s="225">
        <v>758.84</v>
      </c>
      <c r="Z113" s="180" t="s">
        <v>8023</v>
      </c>
      <c r="AA113" s="225">
        <v>73676.34</v>
      </c>
      <c r="AB113" s="180" t="s">
        <v>8023</v>
      </c>
      <c r="AC113">
        <v>35.21</v>
      </c>
      <c r="AD113" s="180" t="s">
        <v>8023</v>
      </c>
      <c r="AG113" s="225">
        <v>4.7790339160000004</v>
      </c>
      <c r="AH113" s="180" t="s">
        <v>8023</v>
      </c>
      <c r="AM113" s="225"/>
      <c r="BS113" s="225">
        <v>46.45</v>
      </c>
      <c r="BT113" s="180" t="s">
        <v>8023</v>
      </c>
      <c r="BU113" s="136">
        <v>21.55</v>
      </c>
      <c r="BV113" s="180" t="s">
        <v>8023</v>
      </c>
    </row>
    <row r="114" spans="1:74">
      <c r="A114" s="123" t="s">
        <v>7733</v>
      </c>
      <c r="B114" s="231" t="s">
        <v>257</v>
      </c>
      <c r="C114" s="231" t="s">
        <v>405</v>
      </c>
      <c r="D114" s="231"/>
      <c r="E114" s="230">
        <v>6</v>
      </c>
      <c r="F114" s="232">
        <v>30</v>
      </c>
      <c r="G114" s="230"/>
      <c r="S114" s="225">
        <v>1212.0225840000001</v>
      </c>
      <c r="T114" s="180" t="s">
        <v>8023</v>
      </c>
      <c r="Y114" s="225">
        <v>557.85</v>
      </c>
      <c r="Z114" s="180" t="s">
        <v>8023</v>
      </c>
      <c r="AA114" s="225">
        <v>52228.44</v>
      </c>
      <c r="AB114" s="180" t="s">
        <v>8023</v>
      </c>
      <c r="AC114">
        <v>25.69</v>
      </c>
      <c r="AD114" s="180" t="s">
        <v>8023</v>
      </c>
      <c r="AG114" s="225">
        <v>4.9192680299999996</v>
      </c>
      <c r="AH114" s="180" t="s">
        <v>8023</v>
      </c>
      <c r="AM114" s="225"/>
      <c r="BS114" s="225">
        <v>47.17</v>
      </c>
      <c r="BT114" s="180" t="s">
        <v>8023</v>
      </c>
      <c r="BU114" s="136">
        <v>21.71</v>
      </c>
      <c r="BV114" s="180" t="s">
        <v>8023</v>
      </c>
    </row>
    <row r="115" spans="1:74">
      <c r="A115" s="123" t="s">
        <v>7733</v>
      </c>
      <c r="B115" s="231" t="s">
        <v>259</v>
      </c>
      <c r="C115" s="231" t="s">
        <v>405</v>
      </c>
      <c r="D115" s="231"/>
      <c r="E115" s="230">
        <v>10</v>
      </c>
      <c r="F115" s="232">
        <v>17</v>
      </c>
      <c r="G115" s="230"/>
      <c r="S115" s="225">
        <v>1448.3496950000001</v>
      </c>
      <c r="T115" s="180" t="s">
        <v>8023</v>
      </c>
      <c r="Y115" s="225">
        <v>636.57000000000005</v>
      </c>
      <c r="Z115" s="180" t="s">
        <v>8023</v>
      </c>
      <c r="AA115" s="225">
        <v>60743.3</v>
      </c>
      <c r="AB115" s="180" t="s">
        <v>8023</v>
      </c>
      <c r="AC115">
        <v>30.24</v>
      </c>
      <c r="AD115" s="180" t="s">
        <v>8023</v>
      </c>
      <c r="AG115" s="225">
        <v>4.9782608699999997</v>
      </c>
      <c r="AH115" s="180" t="s">
        <v>8023</v>
      </c>
      <c r="AM115" s="225"/>
      <c r="BS115" s="225">
        <v>47.9</v>
      </c>
      <c r="BT115" s="180" t="s">
        <v>8023</v>
      </c>
      <c r="BU115" s="136">
        <v>21.05</v>
      </c>
      <c r="BV115" s="180" t="s">
        <v>8023</v>
      </c>
    </row>
    <row r="116" spans="1:74">
      <c r="A116" s="123" t="s">
        <v>7733</v>
      </c>
      <c r="B116" s="231" t="s">
        <v>257</v>
      </c>
      <c r="C116" s="231" t="s">
        <v>7963</v>
      </c>
      <c r="D116" s="231"/>
      <c r="E116" s="229">
        <v>9</v>
      </c>
      <c r="F116" s="232">
        <v>51</v>
      </c>
      <c r="G116" s="230"/>
      <c r="S116" s="225">
        <v>1147.2588410000001</v>
      </c>
      <c r="T116" s="180" t="s">
        <v>8023</v>
      </c>
      <c r="Y116" s="225">
        <v>516.99</v>
      </c>
      <c r="Z116" s="180" t="s">
        <v>8023</v>
      </c>
      <c r="AA116" s="225">
        <v>48389.8</v>
      </c>
      <c r="AB116" s="180" t="s">
        <v>8023</v>
      </c>
      <c r="AC116">
        <v>24.27</v>
      </c>
      <c r="AD116" s="180" t="s">
        <v>8023</v>
      </c>
      <c r="AG116" s="225">
        <v>5.0164293539999996</v>
      </c>
      <c r="AH116" s="180" t="s">
        <v>8023</v>
      </c>
      <c r="AM116" s="225"/>
      <c r="BS116" s="225">
        <v>47.26</v>
      </c>
      <c r="BT116" s="180" t="s">
        <v>8023</v>
      </c>
      <c r="BU116" s="136">
        <v>21.3</v>
      </c>
      <c r="BV116" s="180" t="s">
        <v>8023</v>
      </c>
    </row>
    <row r="117" spans="1:74">
      <c r="A117" s="123" t="s">
        <v>7733</v>
      </c>
      <c r="B117" s="231" t="s">
        <v>259</v>
      </c>
      <c r="C117" s="231" t="s">
        <v>7963</v>
      </c>
      <c r="D117" s="231"/>
      <c r="E117" s="229">
        <v>15</v>
      </c>
      <c r="F117" s="232">
        <v>40</v>
      </c>
      <c r="G117" s="230"/>
      <c r="S117" s="225" t="s">
        <v>7965</v>
      </c>
      <c r="T117" s="180" t="s">
        <v>8023</v>
      </c>
      <c r="Y117" s="225" t="s">
        <v>7965</v>
      </c>
      <c r="Z117" s="180" t="s">
        <v>8023</v>
      </c>
      <c r="AA117" s="225" t="s">
        <v>7965</v>
      </c>
      <c r="AB117" s="180" t="s">
        <v>8023</v>
      </c>
      <c r="AC117" t="s">
        <v>7965</v>
      </c>
      <c r="AD117" s="180" t="s">
        <v>8023</v>
      </c>
      <c r="AG117" s="225" t="s">
        <v>7965</v>
      </c>
      <c r="AH117" s="180" t="s">
        <v>8023</v>
      </c>
      <c r="AM117" s="225"/>
      <c r="BS117" s="225" t="s">
        <v>7965</v>
      </c>
      <c r="BT117" s="180" t="s">
        <v>8023</v>
      </c>
      <c r="BU117" s="136" t="s">
        <v>7965</v>
      </c>
      <c r="BV117" s="180" t="s">
        <v>8023</v>
      </c>
    </row>
    <row r="118" spans="1:74">
      <c r="A118" s="123" t="s">
        <v>7733</v>
      </c>
      <c r="B118" s="231" t="s">
        <v>257</v>
      </c>
      <c r="C118" s="231" t="s">
        <v>7964</v>
      </c>
      <c r="D118" s="231"/>
      <c r="E118" s="229">
        <v>13</v>
      </c>
      <c r="F118" s="232">
        <v>27</v>
      </c>
      <c r="G118" s="230"/>
      <c r="S118" s="225">
        <v>1256.670404</v>
      </c>
      <c r="T118" s="180" t="s">
        <v>8023</v>
      </c>
      <c r="Y118" s="225">
        <v>593.02</v>
      </c>
      <c r="Z118" s="180" t="s">
        <v>8023</v>
      </c>
      <c r="AA118" s="225">
        <v>52244.66</v>
      </c>
      <c r="AB118" s="180" t="s">
        <v>8023</v>
      </c>
      <c r="AC118">
        <v>26.82</v>
      </c>
      <c r="AD118" s="180" t="s">
        <v>8023</v>
      </c>
      <c r="AG118" s="225">
        <v>5.1336302900000002</v>
      </c>
      <c r="AH118" s="180" t="s">
        <v>8023</v>
      </c>
      <c r="AM118" s="225"/>
      <c r="BS118" s="225">
        <v>46.85</v>
      </c>
      <c r="BT118" s="180" t="s">
        <v>8023</v>
      </c>
      <c r="BU118" s="136">
        <v>22.11</v>
      </c>
      <c r="BV118" s="180" t="s">
        <v>8023</v>
      </c>
    </row>
    <row r="119" spans="1:74">
      <c r="A119" s="123" t="s">
        <v>7733</v>
      </c>
      <c r="B119" s="231" t="s">
        <v>259</v>
      </c>
      <c r="C119" s="231" t="s">
        <v>7964</v>
      </c>
      <c r="D119" s="231"/>
      <c r="E119" s="229">
        <v>18</v>
      </c>
      <c r="F119" s="232">
        <v>14</v>
      </c>
      <c r="G119" s="230"/>
      <c r="S119" s="225">
        <v>1247.81042</v>
      </c>
      <c r="T119" s="180" t="s">
        <v>8023</v>
      </c>
      <c r="Y119" s="225">
        <v>584.36</v>
      </c>
      <c r="Z119" s="180" t="s">
        <v>8023</v>
      </c>
      <c r="AA119" s="225">
        <v>52923.38</v>
      </c>
      <c r="AB119" s="180" t="s">
        <v>8023</v>
      </c>
      <c r="AC119">
        <v>26.52</v>
      </c>
      <c r="AD119" s="180" t="s">
        <v>8023</v>
      </c>
      <c r="AG119" s="225">
        <v>5.0107526880000002</v>
      </c>
      <c r="AH119" s="180" t="s">
        <v>8023</v>
      </c>
      <c r="AM119" s="225"/>
      <c r="BS119" s="225">
        <v>47.05</v>
      </c>
      <c r="BT119" s="180" t="s">
        <v>8023</v>
      </c>
      <c r="BU119" s="136">
        <v>22.04</v>
      </c>
      <c r="BV119" s="180" t="s">
        <v>8023</v>
      </c>
    </row>
    <row r="120" spans="1:74">
      <c r="A120" s="154" t="s">
        <v>7733</v>
      </c>
      <c r="B120" s="231" t="s">
        <v>257</v>
      </c>
      <c r="C120" s="231" t="s">
        <v>7982</v>
      </c>
      <c r="D120" s="231"/>
      <c r="E120" s="230">
        <v>2</v>
      </c>
      <c r="F120" s="232">
        <v>19</v>
      </c>
      <c r="G120" s="230"/>
      <c r="S120" s="225">
        <v>1061.6015789999999</v>
      </c>
      <c r="T120" s="180" t="s">
        <v>8023</v>
      </c>
      <c r="Y120" s="225">
        <v>488.34</v>
      </c>
      <c r="Z120" s="180" t="s">
        <v>8023</v>
      </c>
      <c r="AA120" s="225">
        <v>45765.7</v>
      </c>
      <c r="AB120" s="180" t="s">
        <v>8023</v>
      </c>
      <c r="AC120">
        <v>22.66</v>
      </c>
      <c r="AD120" s="180" t="s">
        <v>8023</v>
      </c>
      <c r="AG120" s="225">
        <v>4.9521785329999997</v>
      </c>
      <c r="AH120" s="180" t="s">
        <v>8023</v>
      </c>
      <c r="AM120" s="225"/>
      <c r="BS120" s="225">
        <v>46.84</v>
      </c>
      <c r="BT120" s="180" t="s">
        <v>8023</v>
      </c>
      <c r="BU120" s="136">
        <v>21.55</v>
      </c>
      <c r="BV120" s="180" t="s">
        <v>8023</v>
      </c>
    </row>
    <row r="121" spans="1:74">
      <c r="A121" s="154" t="s">
        <v>7733</v>
      </c>
      <c r="B121" s="231" t="s">
        <v>259</v>
      </c>
      <c r="C121" s="231" t="s">
        <v>7982</v>
      </c>
      <c r="D121" s="231"/>
      <c r="E121" s="230">
        <v>3</v>
      </c>
      <c r="F121" s="232">
        <v>40</v>
      </c>
      <c r="G121" s="230"/>
      <c r="S121" s="225">
        <v>1149.6875889999999</v>
      </c>
      <c r="T121" s="180" t="s">
        <v>8023</v>
      </c>
      <c r="Y121" s="225">
        <v>568.61</v>
      </c>
      <c r="Z121" s="180" t="s">
        <v>8023</v>
      </c>
      <c r="AA121" s="225">
        <v>54022.5</v>
      </c>
      <c r="AB121" s="180" t="s">
        <v>8023</v>
      </c>
      <c r="AC121">
        <v>25.21</v>
      </c>
      <c r="AD121" s="180" t="s">
        <v>8023</v>
      </c>
      <c r="AG121" s="225">
        <v>4.6666666670000003</v>
      </c>
      <c r="AH121" s="180" t="s">
        <v>8023</v>
      </c>
      <c r="AM121" s="225"/>
      <c r="BS121" s="225">
        <v>45.6</v>
      </c>
      <c r="BT121" s="180" t="s">
        <v>8023</v>
      </c>
      <c r="BU121" s="136">
        <v>22.55</v>
      </c>
      <c r="BV121" s="180" t="s">
        <v>8023</v>
      </c>
    </row>
    <row r="122" spans="1:74">
      <c r="A122" s="154" t="s">
        <v>7734</v>
      </c>
      <c r="B122" s="231" t="s">
        <v>257</v>
      </c>
      <c r="C122" s="231" t="s">
        <v>405</v>
      </c>
      <c r="D122" s="231"/>
      <c r="E122" s="229">
        <v>6</v>
      </c>
      <c r="F122" s="232">
        <v>21</v>
      </c>
      <c r="G122" s="230"/>
      <c r="S122" s="225">
        <v>1591.629265</v>
      </c>
      <c r="T122" s="180" t="s">
        <v>8023</v>
      </c>
      <c r="Y122" s="225">
        <v>707.19</v>
      </c>
      <c r="Z122" s="180" t="s">
        <v>8023</v>
      </c>
      <c r="AA122" s="225">
        <v>68488.56</v>
      </c>
      <c r="AB122" s="180" t="s">
        <v>8023</v>
      </c>
      <c r="AC122">
        <v>33.43</v>
      </c>
      <c r="AD122" s="180" t="s">
        <v>8023</v>
      </c>
      <c r="AG122" s="225">
        <v>4.8804347830000001</v>
      </c>
      <c r="AH122" s="180" t="s">
        <v>8023</v>
      </c>
      <c r="AM122" s="225"/>
      <c r="BS122" s="225">
        <v>47.62</v>
      </c>
      <c r="BT122" s="180" t="s">
        <v>8023</v>
      </c>
      <c r="BU122" s="136">
        <v>21.16</v>
      </c>
      <c r="BV122" s="180" t="s">
        <v>8023</v>
      </c>
    </row>
    <row r="123" spans="1:74">
      <c r="A123" s="154" t="s">
        <v>7734</v>
      </c>
      <c r="B123" s="231" t="s">
        <v>259</v>
      </c>
      <c r="C123" s="231" t="s">
        <v>405</v>
      </c>
      <c r="D123" s="231"/>
      <c r="E123" s="229">
        <v>11</v>
      </c>
      <c r="F123" s="232">
        <v>16</v>
      </c>
      <c r="G123" s="230"/>
      <c r="S123" s="225">
        <v>1782.021105</v>
      </c>
      <c r="T123" s="180" t="s">
        <v>8023</v>
      </c>
      <c r="Y123" s="225">
        <v>774.51</v>
      </c>
      <c r="Z123" s="180" t="s">
        <v>8023</v>
      </c>
      <c r="AA123" s="225">
        <v>76411.61</v>
      </c>
      <c r="AB123" s="180" t="s">
        <v>8023</v>
      </c>
      <c r="AC123">
        <v>37.340000000000003</v>
      </c>
      <c r="AD123" s="180" t="s">
        <v>8023</v>
      </c>
      <c r="AG123" s="225">
        <v>4.887218045</v>
      </c>
      <c r="AH123" s="180" t="s">
        <v>8023</v>
      </c>
      <c r="AM123" s="225"/>
      <c r="BS123" s="225">
        <v>47.72</v>
      </c>
      <c r="BT123" s="180" t="s">
        <v>8023</v>
      </c>
      <c r="BU123" s="136">
        <v>20.74</v>
      </c>
      <c r="BV123" s="180" t="s">
        <v>8023</v>
      </c>
    </row>
    <row r="124" spans="1:74">
      <c r="A124" s="154" t="s">
        <v>7734</v>
      </c>
      <c r="B124" s="231" t="s">
        <v>257</v>
      </c>
      <c r="C124" s="231" t="s">
        <v>7963</v>
      </c>
      <c r="D124" s="231"/>
      <c r="E124" s="229">
        <v>10</v>
      </c>
      <c r="F124" s="232">
        <v>50</v>
      </c>
      <c r="G124" s="230"/>
      <c r="S124" s="225">
        <v>1762.621451</v>
      </c>
      <c r="T124" s="180" t="s">
        <v>8023</v>
      </c>
      <c r="Y124" s="225">
        <v>745.62</v>
      </c>
      <c r="Z124" s="180" t="s">
        <v>8023</v>
      </c>
      <c r="AA124" s="225">
        <v>73024.240000000005</v>
      </c>
      <c r="AB124" s="180" t="s">
        <v>8023</v>
      </c>
      <c r="AC124">
        <v>36.549999999999997</v>
      </c>
      <c r="AD124" s="180" t="s">
        <v>8023</v>
      </c>
      <c r="AG124" s="225">
        <v>5.0053705690000001</v>
      </c>
      <c r="AH124" s="180" t="s">
        <v>8023</v>
      </c>
      <c r="AM124" s="225"/>
      <c r="BS124" s="225">
        <v>48.22</v>
      </c>
      <c r="BT124" s="180" t="s">
        <v>8023</v>
      </c>
      <c r="BU124" s="136">
        <v>20.399999999999999</v>
      </c>
      <c r="BV124" s="180" t="s">
        <v>8023</v>
      </c>
    </row>
    <row r="125" spans="1:74">
      <c r="A125" s="154" t="s">
        <v>7734</v>
      </c>
      <c r="B125" s="231" t="s">
        <v>259</v>
      </c>
      <c r="C125" s="231" t="s">
        <v>7963</v>
      </c>
      <c r="D125" s="231"/>
      <c r="E125" s="229">
        <v>15</v>
      </c>
      <c r="F125" s="232">
        <v>57</v>
      </c>
      <c r="G125" s="230"/>
      <c r="S125" s="225">
        <v>1342.6636900000001</v>
      </c>
      <c r="T125" s="180" t="s">
        <v>8023</v>
      </c>
      <c r="Y125" s="225">
        <v>579.41999999999996</v>
      </c>
      <c r="Z125" s="180" t="s">
        <v>8023</v>
      </c>
      <c r="AA125" s="225">
        <v>57764.23</v>
      </c>
      <c r="AB125" s="180" t="s">
        <v>8023</v>
      </c>
      <c r="AC125">
        <v>28.06</v>
      </c>
      <c r="AD125" s="180" t="s">
        <v>8023</v>
      </c>
      <c r="AG125" s="225">
        <v>4.857744995</v>
      </c>
      <c r="AH125" s="180" t="s">
        <v>8023</v>
      </c>
      <c r="AM125" s="225"/>
      <c r="BS125" s="225">
        <v>47.85</v>
      </c>
      <c r="BT125" s="180" t="s">
        <v>8023</v>
      </c>
      <c r="BU125" s="136">
        <v>20.65</v>
      </c>
      <c r="BV125" s="180" t="s">
        <v>8023</v>
      </c>
    </row>
    <row r="126" spans="1:74">
      <c r="A126" s="154" t="s">
        <v>7734</v>
      </c>
      <c r="B126" s="231" t="s">
        <v>257</v>
      </c>
      <c r="C126" s="231" t="s">
        <v>7964</v>
      </c>
      <c r="D126" s="231"/>
      <c r="E126" s="230">
        <v>16</v>
      </c>
      <c r="F126" s="232">
        <v>10</v>
      </c>
      <c r="G126" s="230"/>
      <c r="S126" s="225">
        <v>1663.168316</v>
      </c>
      <c r="T126" s="180" t="s">
        <v>8023</v>
      </c>
      <c r="Y126" s="225">
        <v>723.01</v>
      </c>
      <c r="Z126" s="180" t="s">
        <v>8023</v>
      </c>
      <c r="AA126" s="225">
        <v>68936.27</v>
      </c>
      <c r="AB126" s="180" t="s">
        <v>8023</v>
      </c>
      <c r="AC126">
        <v>35.19</v>
      </c>
      <c r="AD126" s="180" t="s">
        <v>8023</v>
      </c>
      <c r="AG126" s="225">
        <v>5.1054384019999999</v>
      </c>
      <c r="AH126" s="180" t="s">
        <v>8023</v>
      </c>
      <c r="AM126" s="225"/>
      <c r="BS126" s="225">
        <v>47.26</v>
      </c>
      <c r="BT126" s="180" t="s">
        <v>8023</v>
      </c>
      <c r="BU126" s="136">
        <v>20.54</v>
      </c>
      <c r="BV126" s="180" t="s">
        <v>8023</v>
      </c>
    </row>
    <row r="127" spans="1:74">
      <c r="A127" s="154" t="s">
        <v>7734</v>
      </c>
      <c r="B127" s="231" t="s">
        <v>259</v>
      </c>
      <c r="C127" s="231" t="s">
        <v>7964</v>
      </c>
      <c r="D127" s="231"/>
      <c r="E127" s="230">
        <v>20</v>
      </c>
      <c r="F127" s="232">
        <v>16</v>
      </c>
      <c r="G127" s="230"/>
      <c r="S127" s="225">
        <v>1544.4699780000001</v>
      </c>
      <c r="T127" s="180" t="s">
        <v>8023</v>
      </c>
      <c r="Y127" s="225">
        <v>686.68</v>
      </c>
      <c r="Z127" s="180" t="s">
        <v>8023</v>
      </c>
      <c r="AA127" s="225">
        <v>66788.899999999994</v>
      </c>
      <c r="AB127" s="180" t="s">
        <v>8023</v>
      </c>
      <c r="AC127">
        <v>32.700000000000003</v>
      </c>
      <c r="AD127" s="180" t="s">
        <v>8023</v>
      </c>
      <c r="AG127" s="225">
        <v>4.8953974899999997</v>
      </c>
      <c r="AH127" s="180" t="s">
        <v>8023</v>
      </c>
      <c r="AM127" s="225"/>
      <c r="BS127" s="225">
        <v>47.24</v>
      </c>
      <c r="BT127" s="180" t="s">
        <v>8023</v>
      </c>
      <c r="BU127" s="136">
        <v>21</v>
      </c>
      <c r="BV127" s="180" t="s">
        <v>8023</v>
      </c>
    </row>
    <row r="128" spans="1:74">
      <c r="A128" s="154" t="s">
        <v>7734</v>
      </c>
      <c r="B128" s="231" t="s">
        <v>257</v>
      </c>
      <c r="C128" s="231" t="s">
        <v>7982</v>
      </c>
      <c r="D128" s="231"/>
      <c r="E128" s="229">
        <v>2</v>
      </c>
      <c r="F128" s="232">
        <v>14</v>
      </c>
      <c r="G128" s="230"/>
      <c r="S128" s="225">
        <v>1489.9553410000001</v>
      </c>
      <c r="T128" s="180" t="s">
        <v>8023</v>
      </c>
      <c r="Y128" s="225">
        <v>633.03</v>
      </c>
      <c r="Z128" s="180" t="s">
        <v>8023</v>
      </c>
      <c r="AA128" s="225">
        <v>61830.09</v>
      </c>
      <c r="AB128" s="180" t="s">
        <v>8023</v>
      </c>
      <c r="AC128">
        <v>31.28</v>
      </c>
      <c r="AD128" s="180" t="s">
        <v>8023</v>
      </c>
      <c r="AG128" s="225">
        <v>5.0593311759999997</v>
      </c>
      <c r="AH128" s="180" t="s">
        <v>8023</v>
      </c>
      <c r="AM128" s="225"/>
      <c r="BS128" s="225">
        <v>47.63</v>
      </c>
      <c r="BT128" s="180" t="s">
        <v>8023</v>
      </c>
      <c r="BU128" s="136">
        <v>20.239999999999998</v>
      </c>
      <c r="BV128" s="180" t="s">
        <v>8023</v>
      </c>
    </row>
    <row r="129" spans="1:74">
      <c r="A129" s="154" t="s">
        <v>7734</v>
      </c>
      <c r="B129" s="231" t="s">
        <v>259</v>
      </c>
      <c r="C129" s="231" t="s">
        <v>7982</v>
      </c>
      <c r="D129" s="231"/>
      <c r="E129" s="229">
        <v>1</v>
      </c>
      <c r="F129" s="232">
        <v>33</v>
      </c>
      <c r="G129" s="230"/>
      <c r="S129" s="225">
        <v>1211.8482690000001</v>
      </c>
      <c r="T129" s="180" t="s">
        <v>8023</v>
      </c>
      <c r="Y129" s="225">
        <v>573.27</v>
      </c>
      <c r="Z129" s="180" t="s">
        <v>8023</v>
      </c>
      <c r="AA129" s="225">
        <v>52678.239999999998</v>
      </c>
      <c r="AB129" s="180" t="s">
        <v>8023</v>
      </c>
      <c r="AC129">
        <v>26.34</v>
      </c>
      <c r="AD129" s="180" t="s">
        <v>8023</v>
      </c>
      <c r="AG129" s="225">
        <v>5</v>
      </c>
      <c r="AH129" s="180" t="s">
        <v>8023</v>
      </c>
      <c r="AM129" s="225"/>
      <c r="BS129" s="225">
        <v>46.01</v>
      </c>
      <c r="BT129" s="180" t="s">
        <v>8023</v>
      </c>
      <c r="BU129" s="136">
        <v>21.77</v>
      </c>
      <c r="BV129" s="180" t="s">
        <v>8023</v>
      </c>
    </row>
    <row r="130" spans="1:74">
      <c r="A130" s="154" t="s">
        <v>7735</v>
      </c>
      <c r="B130" s="231" t="s">
        <v>257</v>
      </c>
      <c r="C130" s="231" t="s">
        <v>405</v>
      </c>
      <c r="D130" s="231"/>
      <c r="E130" s="229">
        <v>8</v>
      </c>
      <c r="F130" s="232">
        <v>17</v>
      </c>
      <c r="G130" s="230"/>
      <c r="S130" s="225" t="s">
        <v>7965</v>
      </c>
      <c r="T130" s="180" t="s">
        <v>8023</v>
      </c>
      <c r="Y130" s="225" t="s">
        <v>7965</v>
      </c>
      <c r="Z130" s="180" t="s">
        <v>8023</v>
      </c>
      <c r="AA130" s="225" t="s">
        <v>7965</v>
      </c>
      <c r="AB130" s="180" t="s">
        <v>8023</v>
      </c>
      <c r="AC130" t="s">
        <v>7965</v>
      </c>
      <c r="AD130" s="180" t="s">
        <v>8023</v>
      </c>
      <c r="AG130" s="225" t="s">
        <v>7965</v>
      </c>
      <c r="AH130" s="180" t="s">
        <v>8023</v>
      </c>
      <c r="AM130" s="225"/>
      <c r="BS130" s="225" t="s">
        <v>7965</v>
      </c>
      <c r="BT130" s="180" t="s">
        <v>8023</v>
      </c>
      <c r="BU130" s="136" t="s">
        <v>7965</v>
      </c>
      <c r="BV130" s="180" t="s">
        <v>8023</v>
      </c>
    </row>
    <row r="131" spans="1:74">
      <c r="A131" s="154" t="s">
        <v>7735</v>
      </c>
      <c r="B131" s="231" t="s">
        <v>259</v>
      </c>
      <c r="C131" s="231" t="s">
        <v>405</v>
      </c>
      <c r="D131" s="231"/>
      <c r="E131" s="229">
        <v>12</v>
      </c>
      <c r="F131" s="232">
        <v>26</v>
      </c>
      <c r="G131" s="230"/>
      <c r="S131" s="225">
        <v>1890.5690300000001</v>
      </c>
      <c r="T131" s="180" t="s">
        <v>8023</v>
      </c>
      <c r="Y131" s="225">
        <v>795.96</v>
      </c>
      <c r="Z131" s="180" t="s">
        <v>8023</v>
      </c>
      <c r="AA131" s="225">
        <v>77139.62</v>
      </c>
      <c r="AB131" s="180" t="s">
        <v>8023</v>
      </c>
      <c r="AC131">
        <v>38.33</v>
      </c>
      <c r="AD131" s="180" t="s">
        <v>8023</v>
      </c>
      <c r="AG131" s="225">
        <v>4.9682875260000001</v>
      </c>
      <c r="AH131" s="180" t="s">
        <v>8023</v>
      </c>
      <c r="AM131" s="225"/>
      <c r="BS131" s="225">
        <v>49.33</v>
      </c>
      <c r="BT131" s="180" t="s">
        <v>8023</v>
      </c>
      <c r="BU131" s="136">
        <v>20.77</v>
      </c>
      <c r="BV131" s="180" t="s">
        <v>8023</v>
      </c>
    </row>
    <row r="132" spans="1:74">
      <c r="A132" s="154" t="s">
        <v>7735</v>
      </c>
      <c r="B132" s="231" t="s">
        <v>257</v>
      </c>
      <c r="C132" s="231" t="s">
        <v>7963</v>
      </c>
      <c r="D132" s="231"/>
      <c r="E132" s="230">
        <v>9</v>
      </c>
      <c r="F132" s="232">
        <v>59</v>
      </c>
      <c r="G132" s="230"/>
      <c r="S132" s="225">
        <v>1570.776871</v>
      </c>
      <c r="T132" s="180" t="s">
        <v>8023</v>
      </c>
      <c r="Y132" s="225">
        <v>663.92</v>
      </c>
      <c r="Z132" s="180" t="s">
        <v>8023</v>
      </c>
      <c r="AA132" s="225">
        <v>65992.149999999994</v>
      </c>
      <c r="AB132" s="180" t="s">
        <v>8023</v>
      </c>
      <c r="AC132">
        <v>32.299999999999997</v>
      </c>
      <c r="AD132" s="180" t="s">
        <v>8023</v>
      </c>
      <c r="AG132" s="225">
        <v>4.8951781969999999</v>
      </c>
      <c r="AH132" s="180" t="s">
        <v>8023</v>
      </c>
      <c r="AM132" s="225"/>
      <c r="BS132" s="225">
        <v>48.62</v>
      </c>
      <c r="BT132" s="180" t="s">
        <v>8023</v>
      </c>
      <c r="BU132" s="136">
        <v>20.55</v>
      </c>
      <c r="BV132" s="180" t="s">
        <v>8023</v>
      </c>
    </row>
    <row r="133" spans="1:74">
      <c r="A133" s="154" t="s">
        <v>7735</v>
      </c>
      <c r="B133" s="231" t="s">
        <v>259</v>
      </c>
      <c r="C133" s="231" t="s">
        <v>7963</v>
      </c>
      <c r="D133" s="231"/>
      <c r="E133" s="230">
        <v>16</v>
      </c>
      <c r="F133" s="232">
        <v>61</v>
      </c>
      <c r="G133" s="230"/>
      <c r="S133" s="225">
        <v>1246.9709800000001</v>
      </c>
      <c r="T133" s="180" t="s">
        <v>8023</v>
      </c>
      <c r="Y133" s="225">
        <v>604.39</v>
      </c>
      <c r="Z133" s="180" t="s">
        <v>8023</v>
      </c>
      <c r="AA133" s="225">
        <v>55289.47</v>
      </c>
      <c r="AB133" s="180" t="s">
        <v>8023</v>
      </c>
      <c r="AC133">
        <v>26.79</v>
      </c>
      <c r="AD133" s="180" t="s">
        <v>8023</v>
      </c>
      <c r="AG133" s="225">
        <v>4.8455804049999998</v>
      </c>
      <c r="AH133" s="180" t="s">
        <v>8023</v>
      </c>
      <c r="AM133" s="225"/>
      <c r="BS133" s="225">
        <v>46.54</v>
      </c>
      <c r="BT133" s="180" t="s">
        <v>8023</v>
      </c>
      <c r="BU133" s="136">
        <v>22.56</v>
      </c>
      <c r="BV133" s="180" t="s">
        <v>8023</v>
      </c>
    </row>
    <row r="134" spans="1:74">
      <c r="A134" s="154" t="s">
        <v>7735</v>
      </c>
      <c r="B134" s="231" t="s">
        <v>257</v>
      </c>
      <c r="C134" s="231" t="s">
        <v>7964</v>
      </c>
      <c r="D134" s="231"/>
      <c r="E134" s="229">
        <v>13</v>
      </c>
      <c r="F134" s="232">
        <v>8</v>
      </c>
      <c r="G134" s="230"/>
      <c r="S134" s="225">
        <v>1314.5070940000001</v>
      </c>
      <c r="T134" s="180" t="s">
        <v>8023</v>
      </c>
      <c r="Y134" s="225">
        <v>591.96</v>
      </c>
      <c r="Z134" s="180" t="s">
        <v>8023</v>
      </c>
      <c r="AA134" s="225">
        <v>59137.23</v>
      </c>
      <c r="AB134" s="180" t="s">
        <v>8023</v>
      </c>
      <c r="AC134">
        <v>27.6</v>
      </c>
      <c r="AD134" s="180" t="s">
        <v>8023</v>
      </c>
      <c r="AG134" s="225">
        <v>4.6666666670000003</v>
      </c>
      <c r="AH134" s="180" t="s">
        <v>8023</v>
      </c>
      <c r="AM134" s="225"/>
      <c r="BS134" s="225">
        <v>47.63</v>
      </c>
      <c r="BT134" s="180" t="s">
        <v>8023</v>
      </c>
      <c r="BU134" s="136">
        <v>21.45</v>
      </c>
      <c r="BV134" s="180" t="s">
        <v>8023</v>
      </c>
    </row>
    <row r="135" spans="1:74">
      <c r="A135" s="154" t="s">
        <v>7735</v>
      </c>
      <c r="B135" s="231" t="s">
        <v>259</v>
      </c>
      <c r="C135" s="231" t="s">
        <v>7964</v>
      </c>
      <c r="D135" s="231"/>
      <c r="E135" s="229">
        <v>21</v>
      </c>
      <c r="F135" s="232">
        <v>2</v>
      </c>
      <c r="G135" s="230"/>
      <c r="S135" s="225">
        <v>1222.4718600000001</v>
      </c>
      <c r="T135" s="180" t="s">
        <v>8023</v>
      </c>
      <c r="Y135" s="225">
        <v>631.79999999999995</v>
      </c>
      <c r="Z135" s="180" t="s">
        <v>8023</v>
      </c>
      <c r="AA135" s="225">
        <v>56200.13</v>
      </c>
      <c r="AB135" s="180" t="s">
        <v>8023</v>
      </c>
      <c r="AC135">
        <v>26.88</v>
      </c>
      <c r="AD135" s="180" t="s">
        <v>8023</v>
      </c>
      <c r="AG135" s="225">
        <v>4.7821576759999997</v>
      </c>
      <c r="AH135" s="180" t="s">
        <v>8023</v>
      </c>
      <c r="AM135" s="225"/>
      <c r="BS135" s="225">
        <v>45.49</v>
      </c>
      <c r="BT135" s="180" t="s">
        <v>8023</v>
      </c>
      <c r="BU135" s="136">
        <v>23.51</v>
      </c>
      <c r="BV135" s="180" t="s">
        <v>8023</v>
      </c>
    </row>
    <row r="136" spans="1:74">
      <c r="A136" s="154" t="s">
        <v>7735</v>
      </c>
      <c r="B136" s="231" t="s">
        <v>257</v>
      </c>
      <c r="C136" s="231" t="s">
        <v>7982</v>
      </c>
      <c r="D136" s="231"/>
      <c r="E136" s="229">
        <v>3</v>
      </c>
      <c r="F136" s="232">
        <v>25</v>
      </c>
      <c r="G136" s="230"/>
      <c r="S136" s="225">
        <v>1550.166958</v>
      </c>
      <c r="T136" s="180" t="s">
        <v>8023</v>
      </c>
      <c r="Y136" s="225">
        <v>702.44</v>
      </c>
      <c r="Z136" s="180" t="s">
        <v>8023</v>
      </c>
      <c r="AA136" s="225">
        <v>66836.509999999995</v>
      </c>
      <c r="AB136" s="180" t="s">
        <v>8023</v>
      </c>
      <c r="AC136">
        <v>32.58</v>
      </c>
      <c r="AD136" s="180" t="s">
        <v>8023</v>
      </c>
      <c r="AG136" s="225">
        <v>4.8752598750000002</v>
      </c>
      <c r="AH136" s="180" t="s">
        <v>8023</v>
      </c>
      <c r="AM136" s="225"/>
      <c r="BS136" s="225">
        <v>47.57</v>
      </c>
      <c r="BT136" s="180" t="s">
        <v>8023</v>
      </c>
      <c r="BU136" s="136">
        <v>21.56</v>
      </c>
      <c r="BV136" s="180" t="s">
        <v>8023</v>
      </c>
    </row>
    <row r="137" spans="1:74">
      <c r="A137" s="154" t="s">
        <v>7735</v>
      </c>
      <c r="B137" s="231" t="s">
        <v>259</v>
      </c>
      <c r="C137" s="231" t="s">
        <v>7982</v>
      </c>
      <c r="D137" s="231"/>
      <c r="E137" s="229">
        <v>4</v>
      </c>
      <c r="F137" s="232">
        <v>53</v>
      </c>
      <c r="G137" s="230"/>
      <c r="S137" s="225">
        <v>1478.137377</v>
      </c>
      <c r="T137" s="180" t="s">
        <v>8023</v>
      </c>
      <c r="Y137" s="225">
        <v>723.05</v>
      </c>
      <c r="Z137" s="180" t="s">
        <v>8023</v>
      </c>
      <c r="AA137" s="225">
        <v>65851.55</v>
      </c>
      <c r="AB137" s="180" t="s">
        <v>8023</v>
      </c>
      <c r="AC137">
        <v>31.73</v>
      </c>
      <c r="AD137" s="180" t="s">
        <v>8023</v>
      </c>
      <c r="AG137" s="225">
        <v>4.819027921</v>
      </c>
      <c r="AH137" s="180" t="s">
        <v>8023</v>
      </c>
      <c r="AM137" s="225"/>
      <c r="BS137" s="225">
        <v>46.58</v>
      </c>
      <c r="BT137" s="180" t="s">
        <v>8023</v>
      </c>
      <c r="BU137" s="136">
        <v>22.78</v>
      </c>
      <c r="BV137" s="180" t="s">
        <v>8023</v>
      </c>
    </row>
    <row r="138" spans="1:74">
      <c r="A138" s="154" t="s">
        <v>7863</v>
      </c>
      <c r="B138" s="231" t="s">
        <v>257</v>
      </c>
      <c r="C138" s="231" t="s">
        <v>405</v>
      </c>
      <c r="D138" s="231"/>
      <c r="E138" s="229">
        <v>8</v>
      </c>
      <c r="F138" s="232">
        <v>29</v>
      </c>
      <c r="G138" s="230"/>
      <c r="S138" s="225">
        <v>1678.6940609999999</v>
      </c>
      <c r="T138" s="180" t="s">
        <v>8023</v>
      </c>
      <c r="Y138" s="225">
        <v>683.88</v>
      </c>
      <c r="Z138" s="180" t="s">
        <v>8023</v>
      </c>
      <c r="AA138" s="225">
        <v>69037.119999999995</v>
      </c>
      <c r="AB138" s="180" t="s">
        <v>8023</v>
      </c>
      <c r="AC138">
        <v>33.630000000000003</v>
      </c>
      <c r="AD138" s="180" t="s">
        <v>8023</v>
      </c>
      <c r="AG138" s="225">
        <v>4.8709677420000004</v>
      </c>
      <c r="AH138" s="180" t="s">
        <v>8023</v>
      </c>
      <c r="AM138" s="225"/>
      <c r="BS138" s="225">
        <v>49.92</v>
      </c>
      <c r="BT138" s="180" t="s">
        <v>8023</v>
      </c>
      <c r="BU138" s="136">
        <v>20.34</v>
      </c>
      <c r="BV138" s="180" t="s">
        <v>8023</v>
      </c>
    </row>
    <row r="139" spans="1:74">
      <c r="A139" s="154" t="s">
        <v>7863</v>
      </c>
      <c r="B139" s="231" t="s">
        <v>259</v>
      </c>
      <c r="C139" s="231" t="s">
        <v>405</v>
      </c>
      <c r="D139" s="231"/>
      <c r="E139" s="230">
        <v>9</v>
      </c>
      <c r="F139" s="232">
        <v>19</v>
      </c>
      <c r="G139" s="230"/>
      <c r="S139" s="225">
        <v>1996.44346</v>
      </c>
      <c r="T139" s="180" t="s">
        <v>8023</v>
      </c>
      <c r="Y139" s="225">
        <v>855.3</v>
      </c>
      <c r="Z139" s="180" t="s">
        <v>8023</v>
      </c>
      <c r="AA139" s="225">
        <v>87551.92</v>
      </c>
      <c r="AB139" s="180" t="s">
        <v>8023</v>
      </c>
      <c r="AC139">
        <v>40.96</v>
      </c>
      <c r="AD139" s="180" t="s">
        <v>8023</v>
      </c>
      <c r="AG139" s="225">
        <v>4.6788990830000001</v>
      </c>
      <c r="AH139" s="180" t="s">
        <v>8023</v>
      </c>
      <c r="AM139" s="225"/>
      <c r="BS139" s="225">
        <v>48.74</v>
      </c>
      <c r="BT139" s="180" t="s">
        <v>8023</v>
      </c>
      <c r="BU139" s="136">
        <v>20.88</v>
      </c>
      <c r="BV139" s="180" t="s">
        <v>8023</v>
      </c>
    </row>
    <row r="140" spans="1:74">
      <c r="A140" s="154" t="s">
        <v>7863</v>
      </c>
      <c r="B140" s="231" t="s">
        <v>257</v>
      </c>
      <c r="C140" s="231" t="s">
        <v>7963</v>
      </c>
      <c r="D140" s="231"/>
      <c r="E140" s="229">
        <v>9</v>
      </c>
      <c r="F140" s="232">
        <v>58</v>
      </c>
      <c r="G140" s="230"/>
      <c r="S140" s="225">
        <v>1517.4838910000001</v>
      </c>
      <c r="T140" s="180" t="s">
        <v>8023</v>
      </c>
      <c r="Y140" s="225">
        <v>652.63</v>
      </c>
      <c r="Z140" s="180" t="s">
        <v>8023</v>
      </c>
      <c r="AA140" s="225">
        <v>64629.25</v>
      </c>
      <c r="AB140" s="180" t="s">
        <v>8023</v>
      </c>
      <c r="AC140">
        <v>31.08</v>
      </c>
      <c r="AD140" s="180" t="s">
        <v>8023</v>
      </c>
      <c r="AG140" s="225">
        <v>4.809322034</v>
      </c>
      <c r="AH140" s="180" t="s">
        <v>8023</v>
      </c>
      <c r="AM140" s="225"/>
      <c r="BS140" s="225">
        <v>48.82</v>
      </c>
      <c r="BT140" s="180" t="s">
        <v>8023</v>
      </c>
      <c r="BU140" s="136">
        <v>21</v>
      </c>
      <c r="BV140" s="180" t="s">
        <v>8023</v>
      </c>
    </row>
    <row r="141" spans="1:74">
      <c r="A141" s="154" t="s">
        <v>7863</v>
      </c>
      <c r="B141" s="231" t="s">
        <v>259</v>
      </c>
      <c r="C141" s="231" t="s">
        <v>7963</v>
      </c>
      <c r="D141" s="231"/>
      <c r="E141" s="229">
        <v>15</v>
      </c>
      <c r="F141" s="232">
        <v>33</v>
      </c>
      <c r="G141" s="230"/>
      <c r="S141" s="225">
        <v>1893.1717369999999</v>
      </c>
      <c r="T141" s="180" t="s">
        <v>8023</v>
      </c>
      <c r="Y141" s="225">
        <v>799.21</v>
      </c>
      <c r="Z141" s="180" t="s">
        <v>8023</v>
      </c>
      <c r="AA141" s="225">
        <v>79205.72</v>
      </c>
      <c r="AB141" s="180" t="s">
        <v>8023</v>
      </c>
      <c r="AC141">
        <v>38.64</v>
      </c>
      <c r="AD141" s="180" t="s">
        <v>8023</v>
      </c>
      <c r="AG141" s="225">
        <v>4.8788198100000004</v>
      </c>
      <c r="AH141" s="180" t="s">
        <v>8023</v>
      </c>
      <c r="AM141" s="225"/>
      <c r="BS141" s="225">
        <v>48.99</v>
      </c>
      <c r="BT141" s="180" t="s">
        <v>8023</v>
      </c>
      <c r="BU141" s="136">
        <v>20.68</v>
      </c>
      <c r="BV141" s="180" t="s">
        <v>8023</v>
      </c>
    </row>
    <row r="142" spans="1:74">
      <c r="A142" s="154" t="s">
        <v>7863</v>
      </c>
      <c r="B142" s="231" t="s">
        <v>257</v>
      </c>
      <c r="C142" s="231" t="s">
        <v>7964</v>
      </c>
      <c r="D142" s="231"/>
      <c r="E142" s="229">
        <v>15</v>
      </c>
      <c r="F142" s="232">
        <v>23</v>
      </c>
      <c r="G142" s="230"/>
      <c r="S142" s="225">
        <v>1601.0272339999999</v>
      </c>
      <c r="T142" s="180" t="s">
        <v>8023</v>
      </c>
      <c r="Y142" s="225">
        <v>654.44000000000005</v>
      </c>
      <c r="Z142" s="180" t="s">
        <v>8023</v>
      </c>
      <c r="AA142" s="225">
        <v>65722.960000000006</v>
      </c>
      <c r="AB142" s="180" t="s">
        <v>8023</v>
      </c>
      <c r="AC142">
        <v>32.340000000000003</v>
      </c>
      <c r="AD142" s="180" t="s">
        <v>8023</v>
      </c>
      <c r="AG142" s="225">
        <v>4.9211356469999998</v>
      </c>
      <c r="AH142" s="180" t="s">
        <v>8023</v>
      </c>
      <c r="AM142" s="225"/>
      <c r="BS142" s="225">
        <v>49.5</v>
      </c>
      <c r="BT142" s="180" t="s">
        <v>8023</v>
      </c>
      <c r="BU142" s="136">
        <v>20.23</v>
      </c>
      <c r="BV142" s="180" t="s">
        <v>8023</v>
      </c>
    </row>
    <row r="143" spans="1:74">
      <c r="A143" s="154" t="s">
        <v>7863</v>
      </c>
      <c r="B143" s="231" t="s">
        <v>259</v>
      </c>
      <c r="C143" s="231" t="s">
        <v>7964</v>
      </c>
      <c r="D143" s="231"/>
      <c r="E143" s="229">
        <v>20</v>
      </c>
      <c r="F143" s="232">
        <v>2</v>
      </c>
      <c r="G143" s="230"/>
      <c r="S143" s="225">
        <v>1428.6511829999999</v>
      </c>
      <c r="T143" s="180" t="s">
        <v>8023</v>
      </c>
      <c r="Y143" s="225">
        <v>663.63</v>
      </c>
      <c r="Z143" s="180" t="s">
        <v>8023</v>
      </c>
      <c r="AA143" s="225">
        <v>60100.34</v>
      </c>
      <c r="AB143" s="180" t="s">
        <v>8023</v>
      </c>
      <c r="AC143">
        <v>29.95</v>
      </c>
      <c r="AD143" s="180" t="s">
        <v>8023</v>
      </c>
      <c r="AG143" s="225">
        <v>4.9840933190000003</v>
      </c>
      <c r="AH143" s="180" t="s">
        <v>8023</v>
      </c>
      <c r="AM143" s="225"/>
      <c r="BS143" s="225">
        <v>47.69</v>
      </c>
      <c r="BT143" s="180" t="s">
        <v>8023</v>
      </c>
      <c r="BU143" s="136">
        <v>22.15</v>
      </c>
      <c r="BV143" s="180" t="s">
        <v>8023</v>
      </c>
    </row>
    <row r="144" spans="1:74">
      <c r="A144" s="154" t="s">
        <v>7863</v>
      </c>
      <c r="B144" s="231" t="s">
        <v>257</v>
      </c>
      <c r="C144" s="231" t="s">
        <v>7982</v>
      </c>
      <c r="D144" s="231"/>
      <c r="E144" s="230">
        <v>3</v>
      </c>
      <c r="F144" s="232">
        <v>11</v>
      </c>
      <c r="G144" s="230"/>
      <c r="S144" s="225">
        <v>1777.9448190000001</v>
      </c>
      <c r="T144" s="180" t="s">
        <v>8023</v>
      </c>
      <c r="Y144" s="225">
        <v>750.11</v>
      </c>
      <c r="Z144" s="180" t="s">
        <v>8023</v>
      </c>
      <c r="AA144" s="225">
        <v>78940.97</v>
      </c>
      <c r="AB144" s="180" t="s">
        <v>8023</v>
      </c>
      <c r="AC144">
        <v>36.700000000000003</v>
      </c>
      <c r="AD144" s="180" t="s">
        <v>8023</v>
      </c>
      <c r="AG144" s="225">
        <v>4.648862512</v>
      </c>
      <c r="AH144" s="180" t="s">
        <v>8023</v>
      </c>
      <c r="AM144" s="225"/>
      <c r="BS144" s="225">
        <v>48.45</v>
      </c>
      <c r="BT144" s="180" t="s">
        <v>8023</v>
      </c>
      <c r="BU144" s="136">
        <v>20.440000000000001</v>
      </c>
      <c r="BV144" s="180" t="s">
        <v>8023</v>
      </c>
    </row>
    <row r="145" spans="1:74">
      <c r="A145" s="154" t="s">
        <v>7863</v>
      </c>
      <c r="B145" s="231" t="s">
        <v>259</v>
      </c>
      <c r="C145" s="231" t="s">
        <v>7982</v>
      </c>
      <c r="D145" s="231"/>
      <c r="E145" s="230">
        <v>1</v>
      </c>
      <c r="F145" s="232">
        <v>45</v>
      </c>
      <c r="G145" s="230"/>
      <c r="S145" s="225">
        <v>1470.7621160000001</v>
      </c>
      <c r="T145" s="180" t="s">
        <v>8023</v>
      </c>
      <c r="Y145" s="225">
        <v>723.48</v>
      </c>
      <c r="Z145" s="180" t="s">
        <v>8023</v>
      </c>
      <c r="AA145" s="225">
        <v>65768.67</v>
      </c>
      <c r="AB145" s="180" t="s">
        <v>8023</v>
      </c>
      <c r="AC145">
        <v>31.7</v>
      </c>
      <c r="AD145" s="180" t="s">
        <v>8023</v>
      </c>
      <c r="AG145" s="225">
        <v>4.8201438850000002</v>
      </c>
      <c r="AH145" s="180" t="s">
        <v>8023</v>
      </c>
      <c r="AM145" s="225"/>
      <c r="BS145" s="225">
        <v>46.39</v>
      </c>
      <c r="BT145" s="180" t="s">
        <v>8023</v>
      </c>
      <c r="BU145" s="136">
        <v>22.82</v>
      </c>
      <c r="BV145" s="180" t="s">
        <v>8023</v>
      </c>
    </row>
    <row r="146" spans="1:74">
      <c r="A146" s="154" t="s">
        <v>7736</v>
      </c>
      <c r="B146" s="231" t="s">
        <v>257</v>
      </c>
      <c r="C146" s="231" t="s">
        <v>405</v>
      </c>
      <c r="D146" s="231"/>
      <c r="E146" s="229">
        <v>6</v>
      </c>
      <c r="F146" s="232">
        <v>23</v>
      </c>
      <c r="G146" s="230"/>
      <c r="S146" s="225">
        <v>1182.9339030000001</v>
      </c>
      <c r="T146" s="180" t="s">
        <v>8023</v>
      </c>
      <c r="Y146" s="225">
        <v>484.9</v>
      </c>
      <c r="Z146" s="180" t="s">
        <v>8023</v>
      </c>
      <c r="AA146" s="225">
        <v>52394.18</v>
      </c>
      <c r="AB146" s="180" t="s">
        <v>8023</v>
      </c>
      <c r="AC146">
        <v>23.69</v>
      </c>
      <c r="AD146" s="180" t="s">
        <v>8023</v>
      </c>
      <c r="AG146" s="225">
        <v>4.5209580840000001</v>
      </c>
      <c r="AH146" s="180" t="s">
        <v>8023</v>
      </c>
      <c r="AM146" s="225"/>
      <c r="BS146" s="225">
        <v>49.94</v>
      </c>
      <c r="BT146" s="180" t="s">
        <v>8023</v>
      </c>
      <c r="BU146" s="136">
        <v>20.47</v>
      </c>
      <c r="BV146" s="180" t="s">
        <v>8023</v>
      </c>
    </row>
    <row r="147" spans="1:74">
      <c r="A147" s="154" t="s">
        <v>7736</v>
      </c>
      <c r="B147" s="231" t="s">
        <v>259</v>
      </c>
      <c r="C147" s="231" t="s">
        <v>405</v>
      </c>
      <c r="D147" s="231"/>
      <c r="E147" s="229">
        <v>9</v>
      </c>
      <c r="F147" s="232">
        <v>18</v>
      </c>
      <c r="G147" s="230"/>
      <c r="S147" s="225">
        <v>1431.2685980000001</v>
      </c>
      <c r="T147" s="180" t="s">
        <v>8023</v>
      </c>
      <c r="Y147" s="225">
        <v>633.12</v>
      </c>
      <c r="Z147" s="180" t="s">
        <v>8023</v>
      </c>
      <c r="AA147" s="225">
        <v>67894.67</v>
      </c>
      <c r="AB147" s="180" t="s">
        <v>8023</v>
      </c>
      <c r="AC147">
        <v>29.54</v>
      </c>
      <c r="AD147" s="180" t="s">
        <v>8023</v>
      </c>
      <c r="AG147" s="225">
        <v>4.3502824860000002</v>
      </c>
      <c r="AH147" s="180" t="s">
        <v>8023</v>
      </c>
      <c r="AM147" s="225"/>
      <c r="BS147" s="225">
        <v>48.46</v>
      </c>
      <c r="BT147" s="180" t="s">
        <v>8023</v>
      </c>
      <c r="BU147" s="136">
        <v>21.44</v>
      </c>
      <c r="BV147" s="180" t="s">
        <v>8023</v>
      </c>
    </row>
    <row r="148" spans="1:74">
      <c r="A148" s="154" t="s">
        <v>7736</v>
      </c>
      <c r="B148" s="231" t="s">
        <v>257</v>
      </c>
      <c r="C148" s="231" t="s">
        <v>7963</v>
      </c>
      <c r="D148" s="231"/>
      <c r="E148" s="229">
        <v>11</v>
      </c>
      <c r="F148" s="232">
        <v>35</v>
      </c>
      <c r="G148" s="230"/>
      <c r="S148" s="225">
        <v>1221.9036450000001</v>
      </c>
      <c r="T148" s="180" t="s">
        <v>8023</v>
      </c>
      <c r="Y148" s="225">
        <v>507.45</v>
      </c>
      <c r="Z148" s="180" t="s">
        <v>8023</v>
      </c>
      <c r="AA148" s="225">
        <v>57383.99</v>
      </c>
      <c r="AB148" s="180" t="s">
        <v>8023</v>
      </c>
      <c r="AC148">
        <v>25.01</v>
      </c>
      <c r="AD148" s="180" t="s">
        <v>8023</v>
      </c>
      <c r="AG148" s="225">
        <v>4.3587270970000001</v>
      </c>
      <c r="AH148" s="180" t="s">
        <v>8023</v>
      </c>
      <c r="AM148" s="225"/>
      <c r="BS148" s="225">
        <v>48.85</v>
      </c>
      <c r="BT148" s="180" t="s">
        <v>8023</v>
      </c>
      <c r="BU148" s="136">
        <v>20.29</v>
      </c>
      <c r="BV148" s="180" t="s">
        <v>8023</v>
      </c>
    </row>
    <row r="149" spans="1:74">
      <c r="A149" s="154" t="s">
        <v>7736</v>
      </c>
      <c r="B149" s="231" t="s">
        <v>259</v>
      </c>
      <c r="C149" s="231" t="s">
        <v>7963</v>
      </c>
      <c r="D149" s="231"/>
      <c r="E149" s="229">
        <v>16</v>
      </c>
      <c r="F149" s="232">
        <v>42</v>
      </c>
      <c r="G149" s="230"/>
      <c r="S149" s="225">
        <v>1116.5109070000001</v>
      </c>
      <c r="T149" s="180" t="s">
        <v>8023</v>
      </c>
      <c r="Y149" s="225">
        <v>521.39</v>
      </c>
      <c r="Z149" s="180" t="s">
        <v>8023</v>
      </c>
      <c r="AA149" s="225">
        <v>52087.81</v>
      </c>
      <c r="AB149" s="180" t="s">
        <v>8023</v>
      </c>
      <c r="AC149">
        <v>23.56</v>
      </c>
      <c r="AD149" s="180" t="s">
        <v>8023</v>
      </c>
      <c r="AG149" s="225">
        <v>4.5224171540000002</v>
      </c>
      <c r="AH149" s="180" t="s">
        <v>8023</v>
      </c>
      <c r="AM149" s="225"/>
      <c r="BS149" s="225">
        <v>47.4</v>
      </c>
      <c r="BT149" s="180" t="s">
        <v>8023</v>
      </c>
      <c r="BU149" s="136">
        <v>22.13</v>
      </c>
      <c r="BV149" s="180" t="s">
        <v>8023</v>
      </c>
    </row>
    <row r="150" spans="1:74">
      <c r="A150" s="154" t="s">
        <v>7736</v>
      </c>
      <c r="B150" s="231" t="s">
        <v>257</v>
      </c>
      <c r="C150" s="231" t="s">
        <v>7964</v>
      </c>
      <c r="D150" s="231"/>
      <c r="E150" s="230">
        <v>16</v>
      </c>
      <c r="F150" s="232">
        <v>30</v>
      </c>
      <c r="G150" s="230"/>
      <c r="S150" s="225">
        <v>1434.614781</v>
      </c>
      <c r="T150" s="180" t="s">
        <v>8023</v>
      </c>
      <c r="Y150" s="225">
        <v>664.48</v>
      </c>
      <c r="Z150" s="180" t="s">
        <v>8023</v>
      </c>
      <c r="AA150" s="225">
        <v>67378.100000000006</v>
      </c>
      <c r="AB150" s="180" t="s">
        <v>8023</v>
      </c>
      <c r="AC150">
        <v>30.23</v>
      </c>
      <c r="AD150" s="180" t="s">
        <v>8023</v>
      </c>
      <c r="AG150" s="225">
        <v>4.4864341090000002</v>
      </c>
      <c r="AH150" s="180" t="s">
        <v>8023</v>
      </c>
      <c r="AM150" s="225"/>
      <c r="BS150" s="225">
        <v>47.46</v>
      </c>
      <c r="BT150" s="180" t="s">
        <v>8023</v>
      </c>
      <c r="BU150" s="136">
        <v>21.98</v>
      </c>
      <c r="BV150" s="180" t="s">
        <v>8023</v>
      </c>
    </row>
    <row r="151" spans="1:74">
      <c r="A151" s="154" t="s">
        <v>7736</v>
      </c>
      <c r="B151" s="231" t="s">
        <v>259</v>
      </c>
      <c r="C151" s="231" t="s">
        <v>7964</v>
      </c>
      <c r="D151" s="231"/>
      <c r="E151" s="230">
        <v>18</v>
      </c>
      <c r="F151" s="232">
        <v>8</v>
      </c>
      <c r="G151" s="230"/>
      <c r="S151" s="225">
        <v>1257.960904</v>
      </c>
      <c r="T151" s="180" t="s">
        <v>8023</v>
      </c>
      <c r="Y151" s="225">
        <v>569.67999999999995</v>
      </c>
      <c r="Z151" s="180" t="s">
        <v>8023</v>
      </c>
      <c r="AA151" s="225">
        <v>65859.45</v>
      </c>
      <c r="AB151" s="180" t="s">
        <v>8023</v>
      </c>
      <c r="AC151">
        <v>26.15</v>
      </c>
      <c r="AD151" s="180" t="s">
        <v>8023</v>
      </c>
      <c r="AG151" s="225">
        <v>3.9713322089999998</v>
      </c>
      <c r="AH151" s="180" t="s">
        <v>8023</v>
      </c>
      <c r="AM151" s="225"/>
      <c r="BS151" s="225">
        <v>48.1</v>
      </c>
      <c r="BT151" s="180" t="s">
        <v>8023</v>
      </c>
      <c r="BU151" s="136">
        <v>21.78</v>
      </c>
      <c r="BV151" s="180" t="s">
        <v>8023</v>
      </c>
    </row>
    <row r="152" spans="1:74">
      <c r="A152" s="154" t="s">
        <v>7736</v>
      </c>
      <c r="B152" s="231" t="s">
        <v>257</v>
      </c>
      <c r="C152" s="231" t="s">
        <v>7982</v>
      </c>
      <c r="D152" s="231"/>
      <c r="E152" s="229">
        <v>1</v>
      </c>
      <c r="F152" s="232">
        <v>15</v>
      </c>
      <c r="G152" s="230"/>
      <c r="S152" s="225">
        <v>1218.94182</v>
      </c>
      <c r="T152" s="180" t="s">
        <v>8023</v>
      </c>
      <c r="Y152" s="225">
        <v>510.59</v>
      </c>
      <c r="Z152" s="180" t="s">
        <v>8023</v>
      </c>
      <c r="AA152" s="225">
        <v>48410.54</v>
      </c>
      <c r="AB152" s="180" t="s">
        <v>8023</v>
      </c>
      <c r="AC152">
        <v>25.12</v>
      </c>
      <c r="AD152" s="180" t="s">
        <v>8023</v>
      </c>
      <c r="AG152" s="225">
        <v>5.1880530970000001</v>
      </c>
      <c r="AH152" s="180" t="s">
        <v>8023</v>
      </c>
      <c r="AM152" s="225"/>
      <c r="BS152" s="225">
        <v>48.53</v>
      </c>
      <c r="BT152" s="180" t="s">
        <v>8023</v>
      </c>
      <c r="BU152" s="136">
        <v>20.329999999999998</v>
      </c>
      <c r="BV152" s="180" t="s">
        <v>8023</v>
      </c>
    </row>
    <row r="153" spans="1:74">
      <c r="A153" s="154" t="s">
        <v>7736</v>
      </c>
      <c r="B153" s="231" t="s">
        <v>259</v>
      </c>
      <c r="C153" s="231" t="s">
        <v>7982</v>
      </c>
      <c r="D153" s="231"/>
      <c r="E153" s="229">
        <v>4</v>
      </c>
      <c r="F153" s="232">
        <v>50</v>
      </c>
      <c r="G153" s="230"/>
      <c r="S153" s="225">
        <v>1131.5934139999999</v>
      </c>
      <c r="T153" s="180" t="s">
        <v>8023</v>
      </c>
      <c r="Y153" s="225">
        <v>560.53</v>
      </c>
      <c r="Z153" s="180" t="s">
        <v>8023</v>
      </c>
      <c r="AA153" s="225">
        <v>59416.41</v>
      </c>
      <c r="AB153" s="180" t="s">
        <v>8023</v>
      </c>
      <c r="AC153">
        <v>24.58</v>
      </c>
      <c r="AD153" s="180" t="s">
        <v>8023</v>
      </c>
      <c r="AG153" s="225">
        <v>4.1373239440000003</v>
      </c>
      <c r="AH153" s="180" t="s">
        <v>8023</v>
      </c>
      <c r="AM153" s="225"/>
      <c r="BS153" s="225">
        <v>46.03</v>
      </c>
      <c r="BT153" s="180" t="s">
        <v>8023</v>
      </c>
      <c r="BU153" s="136">
        <v>22.8</v>
      </c>
      <c r="BV153" s="180" t="s">
        <v>8023</v>
      </c>
    </row>
    <row r="154" spans="1:74">
      <c r="A154" s="154" t="s">
        <v>7864</v>
      </c>
      <c r="B154" s="231" t="s">
        <v>257</v>
      </c>
      <c r="C154" s="231" t="s">
        <v>405</v>
      </c>
      <c r="D154" s="231"/>
      <c r="E154" s="229">
        <v>8</v>
      </c>
      <c r="F154" s="232">
        <v>3</v>
      </c>
      <c r="G154" s="230"/>
      <c r="S154" s="225">
        <v>963.05477970000004</v>
      </c>
      <c r="T154" s="180" t="s">
        <v>8023</v>
      </c>
      <c r="Y154" s="225">
        <v>467.74</v>
      </c>
      <c r="Z154" s="180" t="s">
        <v>8023</v>
      </c>
      <c r="AA154" s="225">
        <v>41801.839999999997</v>
      </c>
      <c r="AB154" s="180" t="s">
        <v>8023</v>
      </c>
      <c r="AC154">
        <v>20.7</v>
      </c>
      <c r="AD154" s="180" t="s">
        <v>8023</v>
      </c>
      <c r="AG154" s="225">
        <v>4.9509269360000001</v>
      </c>
      <c r="AH154" s="180" t="s">
        <v>8023</v>
      </c>
      <c r="AM154" s="225"/>
      <c r="BS154" s="225">
        <v>46.53</v>
      </c>
      <c r="BT154" s="180" t="s">
        <v>8023</v>
      </c>
      <c r="BU154" s="136">
        <v>22.6</v>
      </c>
      <c r="BV154" s="180" t="s">
        <v>8023</v>
      </c>
    </row>
    <row r="155" spans="1:74">
      <c r="A155" s="154" t="s">
        <v>7864</v>
      </c>
      <c r="B155" s="231" t="s">
        <v>259</v>
      </c>
      <c r="C155" s="231" t="s">
        <v>405</v>
      </c>
      <c r="D155" s="231"/>
      <c r="E155" s="229">
        <v>10</v>
      </c>
      <c r="F155" s="232">
        <v>28</v>
      </c>
      <c r="G155" s="230"/>
      <c r="S155" s="225">
        <v>1250.357759</v>
      </c>
      <c r="T155" s="180" t="s">
        <v>8023</v>
      </c>
      <c r="Y155" s="225">
        <v>620.20000000000005</v>
      </c>
      <c r="Z155" s="180" t="s">
        <v>8023</v>
      </c>
      <c r="AA155" s="225">
        <v>58228.22</v>
      </c>
      <c r="AB155" s="180" t="s">
        <v>8023</v>
      </c>
      <c r="AC155">
        <v>26.99</v>
      </c>
      <c r="AD155" s="180" t="s">
        <v>8023</v>
      </c>
      <c r="AG155" s="225">
        <v>4.6348884379999999</v>
      </c>
      <c r="AH155" s="180" t="s">
        <v>8023</v>
      </c>
      <c r="AM155" s="225"/>
      <c r="BS155" s="225">
        <v>46.33</v>
      </c>
      <c r="BT155" s="180" t="s">
        <v>8023</v>
      </c>
      <c r="BU155" s="136">
        <v>22.98</v>
      </c>
      <c r="BV155" s="180" t="s">
        <v>8023</v>
      </c>
    </row>
    <row r="156" spans="1:74">
      <c r="A156" s="154" t="s">
        <v>7864</v>
      </c>
      <c r="B156" s="231" t="s">
        <v>257</v>
      </c>
      <c r="C156" s="231" t="s">
        <v>7963</v>
      </c>
      <c r="D156" s="231"/>
      <c r="E156" s="229">
        <v>10</v>
      </c>
      <c r="F156" s="232">
        <v>44</v>
      </c>
      <c r="G156" s="230"/>
      <c r="S156" s="225">
        <v>1118.204027</v>
      </c>
      <c r="T156" s="180" t="s">
        <v>8023</v>
      </c>
      <c r="Y156" s="225">
        <v>519.30999999999995</v>
      </c>
      <c r="Z156" s="180" t="s">
        <v>8023</v>
      </c>
      <c r="AA156" s="225">
        <v>49024.88</v>
      </c>
      <c r="AB156" s="180" t="s">
        <v>8023</v>
      </c>
      <c r="AC156">
        <v>23.74</v>
      </c>
      <c r="AD156" s="180" t="s">
        <v>8023</v>
      </c>
      <c r="AG156" s="225">
        <v>4.8417721519999999</v>
      </c>
      <c r="AH156" s="180" t="s">
        <v>8023</v>
      </c>
      <c r="AM156" s="225"/>
      <c r="BS156" s="225">
        <v>47.11</v>
      </c>
      <c r="BT156" s="180" t="s">
        <v>8023</v>
      </c>
      <c r="BU156" s="136">
        <v>21.88</v>
      </c>
      <c r="BV156" s="180" t="s">
        <v>8023</v>
      </c>
    </row>
    <row r="157" spans="1:74">
      <c r="A157" s="154" t="s">
        <v>7864</v>
      </c>
      <c r="B157" s="231" t="s">
        <v>259</v>
      </c>
      <c r="C157" s="231" t="s">
        <v>7963</v>
      </c>
      <c r="D157" s="231"/>
      <c r="E157" s="230">
        <v>16</v>
      </c>
      <c r="F157" s="232">
        <v>46</v>
      </c>
      <c r="G157" s="230"/>
      <c r="S157" s="225">
        <v>806.71127390000004</v>
      </c>
      <c r="T157" s="180" t="s">
        <v>8023</v>
      </c>
      <c r="Y157" s="225">
        <v>438.69</v>
      </c>
      <c r="Z157" s="180" t="s">
        <v>8023</v>
      </c>
      <c r="AA157" s="225">
        <v>42089.919999999998</v>
      </c>
      <c r="AB157" s="180" t="s">
        <v>8023</v>
      </c>
      <c r="AC157">
        <v>18.170000000000002</v>
      </c>
      <c r="AD157" s="180" t="s">
        <v>8023</v>
      </c>
      <c r="AG157" s="225">
        <v>4.3166823750000001</v>
      </c>
      <c r="AH157" s="180" t="s">
        <v>8023</v>
      </c>
      <c r="AM157" s="225"/>
      <c r="BS157" s="225">
        <v>44.4</v>
      </c>
      <c r="BT157" s="180" t="s">
        <v>8023</v>
      </c>
      <c r="BU157" s="136">
        <v>24.14</v>
      </c>
      <c r="BV157" s="180" t="s">
        <v>8023</v>
      </c>
    </row>
    <row r="158" spans="1:74">
      <c r="A158" s="154" t="s">
        <v>7864</v>
      </c>
      <c r="B158" s="231" t="s">
        <v>257</v>
      </c>
      <c r="C158" s="231" t="s">
        <v>7964</v>
      </c>
      <c r="D158" s="231"/>
      <c r="E158" s="229">
        <v>16</v>
      </c>
      <c r="F158" s="232">
        <v>21</v>
      </c>
      <c r="G158" s="230"/>
      <c r="S158" s="225">
        <v>1263.3389970000001</v>
      </c>
      <c r="T158" s="180" t="s">
        <v>8023</v>
      </c>
      <c r="Y158" s="225">
        <v>644.25</v>
      </c>
      <c r="Z158" s="180" t="s">
        <v>8023</v>
      </c>
      <c r="AA158" s="225">
        <v>58450.34</v>
      </c>
      <c r="AB158" s="180" t="s">
        <v>8023</v>
      </c>
      <c r="AC158">
        <v>27.57</v>
      </c>
      <c r="AD158" s="180" t="s">
        <v>8023</v>
      </c>
      <c r="AG158" s="225">
        <v>4.7167868180000001</v>
      </c>
      <c r="AH158" s="180" t="s">
        <v>8023</v>
      </c>
      <c r="AM158" s="225"/>
      <c r="BS158" s="225">
        <v>45.82</v>
      </c>
      <c r="BT158" s="180" t="s">
        <v>8023</v>
      </c>
      <c r="BU158" s="136">
        <v>23.37</v>
      </c>
      <c r="BV158" s="180" t="s">
        <v>8023</v>
      </c>
    </row>
    <row r="159" spans="1:74">
      <c r="A159" s="154" t="s">
        <v>7864</v>
      </c>
      <c r="B159" s="231" t="s">
        <v>259</v>
      </c>
      <c r="C159" s="231" t="s">
        <v>7964</v>
      </c>
      <c r="D159" s="231"/>
      <c r="E159" s="229">
        <v>21</v>
      </c>
      <c r="F159" s="232">
        <v>10</v>
      </c>
      <c r="G159" s="230"/>
      <c r="S159" s="225">
        <v>874.85569150000003</v>
      </c>
      <c r="T159" s="180" t="s">
        <v>8023</v>
      </c>
      <c r="Y159" s="225">
        <v>468.31</v>
      </c>
      <c r="Z159" s="180" t="s">
        <v>8023</v>
      </c>
      <c r="AA159" s="225">
        <v>42546.66</v>
      </c>
      <c r="AB159" s="180" t="s">
        <v>8023</v>
      </c>
      <c r="AC159">
        <v>19.43</v>
      </c>
      <c r="AD159" s="180" t="s">
        <v>8023</v>
      </c>
      <c r="AG159" s="225">
        <v>4.5658536590000001</v>
      </c>
      <c r="AH159" s="180" t="s">
        <v>8023</v>
      </c>
      <c r="AM159" s="225"/>
      <c r="BS159" s="225">
        <v>45.03</v>
      </c>
      <c r="BT159" s="180" t="s">
        <v>8023</v>
      </c>
      <c r="BU159" s="136">
        <v>24.11</v>
      </c>
      <c r="BV159" s="180" t="s">
        <v>8023</v>
      </c>
    </row>
    <row r="160" spans="1:74">
      <c r="A160" s="154" t="s">
        <v>7864</v>
      </c>
      <c r="B160" s="231" t="s">
        <v>257</v>
      </c>
      <c r="C160" s="231" t="s">
        <v>7982</v>
      </c>
      <c r="D160" s="231"/>
      <c r="E160" s="229">
        <v>2</v>
      </c>
      <c r="F160" s="232">
        <v>23</v>
      </c>
      <c r="G160" s="230"/>
      <c r="S160" s="225">
        <v>1007.874512</v>
      </c>
      <c r="T160" s="180" t="s">
        <v>8023</v>
      </c>
      <c r="Y160" s="225">
        <v>524.89</v>
      </c>
      <c r="Z160" s="180" t="s">
        <v>8023</v>
      </c>
      <c r="AA160" s="225">
        <v>50868.15</v>
      </c>
      <c r="AB160" s="180" t="s">
        <v>8023</v>
      </c>
      <c r="AC160">
        <v>22.24</v>
      </c>
      <c r="AD160" s="180" t="s">
        <v>8023</v>
      </c>
      <c r="AG160" s="225">
        <v>4.372659176</v>
      </c>
      <c r="AH160" s="180" t="s">
        <v>8023</v>
      </c>
      <c r="AM160" s="225"/>
      <c r="BS160" s="225">
        <v>45.31</v>
      </c>
      <c r="BT160" s="180" t="s">
        <v>8023</v>
      </c>
      <c r="BU160" s="136">
        <v>23.6</v>
      </c>
      <c r="BV160" s="180" t="s">
        <v>8023</v>
      </c>
    </row>
    <row r="161" spans="1:74">
      <c r="A161" s="154" t="s">
        <v>7864</v>
      </c>
      <c r="B161" s="231" t="s">
        <v>259</v>
      </c>
      <c r="C161" s="231" t="s">
        <v>7982</v>
      </c>
      <c r="D161" s="231"/>
      <c r="E161" s="229">
        <v>3</v>
      </c>
      <c r="F161" s="232">
        <v>59</v>
      </c>
      <c r="G161" s="230"/>
      <c r="S161" s="225">
        <v>920.9082555</v>
      </c>
      <c r="T161" s="180" t="s">
        <v>8023</v>
      </c>
      <c r="Y161" s="225">
        <v>503.76</v>
      </c>
      <c r="Z161" s="180" t="s">
        <v>8023</v>
      </c>
      <c r="AA161" s="225">
        <v>47489.62</v>
      </c>
      <c r="AB161" s="180" t="s">
        <v>8023</v>
      </c>
      <c r="AC161">
        <v>20.89</v>
      </c>
      <c r="AD161" s="180" t="s">
        <v>8023</v>
      </c>
      <c r="AG161" s="225">
        <v>4.3984962410000001</v>
      </c>
      <c r="AH161" s="180" t="s">
        <v>8023</v>
      </c>
      <c r="AM161" s="225"/>
      <c r="BS161" s="225">
        <v>44.09</v>
      </c>
      <c r="BT161" s="180" t="s">
        <v>8023</v>
      </c>
      <c r="BU161" s="136">
        <v>24.12</v>
      </c>
      <c r="BV161" s="180" t="s">
        <v>8023</v>
      </c>
    </row>
    <row r="162" spans="1:74">
      <c r="A162" s="154" t="s">
        <v>7737</v>
      </c>
      <c r="B162" s="231" t="s">
        <v>257</v>
      </c>
      <c r="C162" s="231" t="s">
        <v>405</v>
      </c>
      <c r="D162" s="231"/>
      <c r="E162" s="230">
        <v>5</v>
      </c>
      <c r="F162" s="232">
        <v>16</v>
      </c>
      <c r="G162" s="230"/>
      <c r="S162" s="225">
        <v>1501.4184</v>
      </c>
      <c r="T162" s="180" t="s">
        <v>8023</v>
      </c>
      <c r="Y162" s="225">
        <v>661.82</v>
      </c>
      <c r="Z162" s="180" t="s">
        <v>8023</v>
      </c>
      <c r="AA162" s="225">
        <v>70927.8</v>
      </c>
      <c r="AB162" s="180" t="s">
        <v>8023</v>
      </c>
      <c r="AC162">
        <v>31.22</v>
      </c>
      <c r="AD162" s="180" t="s">
        <v>8023</v>
      </c>
      <c r="AG162" s="225">
        <v>4.4023323620000001</v>
      </c>
      <c r="AH162" s="180" t="s">
        <v>8023</v>
      </c>
      <c r="AM162" s="225"/>
      <c r="BS162" s="225">
        <v>48.08</v>
      </c>
      <c r="BT162" s="180" t="s">
        <v>8023</v>
      </c>
      <c r="BU162" s="136">
        <v>21.2</v>
      </c>
      <c r="BV162" s="180" t="s">
        <v>8023</v>
      </c>
    </row>
    <row r="163" spans="1:74">
      <c r="A163" s="154" t="s">
        <v>7737</v>
      </c>
      <c r="B163" s="231" t="s">
        <v>259</v>
      </c>
      <c r="C163" s="231" t="s">
        <v>405</v>
      </c>
      <c r="D163" s="231"/>
      <c r="E163" s="230">
        <v>12</v>
      </c>
      <c r="F163" s="232">
        <v>18</v>
      </c>
      <c r="G163" s="230"/>
      <c r="S163" s="225">
        <v>1434.2470699999999</v>
      </c>
      <c r="T163" s="180" t="s">
        <v>8023</v>
      </c>
      <c r="Y163" s="225">
        <v>670.78</v>
      </c>
      <c r="Z163" s="180" t="s">
        <v>8023</v>
      </c>
      <c r="AA163" s="225">
        <v>72027.759999999995</v>
      </c>
      <c r="AB163" s="180" t="s">
        <v>8023</v>
      </c>
      <c r="AC163">
        <v>30.69</v>
      </c>
      <c r="AD163" s="180" t="s">
        <v>8023</v>
      </c>
      <c r="AG163" s="225">
        <v>4.2604651159999998</v>
      </c>
      <c r="AH163" s="180" t="s">
        <v>8023</v>
      </c>
      <c r="AM163" s="225"/>
      <c r="BS163" s="225">
        <v>46.74</v>
      </c>
      <c r="BT163" s="180" t="s">
        <v>8023</v>
      </c>
      <c r="BU163" s="136">
        <v>21.86</v>
      </c>
      <c r="BV163" s="180" t="s">
        <v>8023</v>
      </c>
    </row>
    <row r="164" spans="1:74">
      <c r="A164" s="154" t="s">
        <v>7737</v>
      </c>
      <c r="B164" s="231" t="s">
        <v>257</v>
      </c>
      <c r="C164" s="231" t="s">
        <v>7963</v>
      </c>
      <c r="D164" s="231"/>
      <c r="E164" s="229">
        <v>12</v>
      </c>
      <c r="F164" s="232">
        <v>33</v>
      </c>
      <c r="G164" s="230"/>
      <c r="S164" s="225">
        <v>1471.6486669999999</v>
      </c>
      <c r="T164" s="180" t="s">
        <v>8023</v>
      </c>
      <c r="Y164" s="225">
        <v>642.71</v>
      </c>
      <c r="Z164" s="180" t="s">
        <v>8023</v>
      </c>
      <c r="AA164" s="225">
        <v>66163.97</v>
      </c>
      <c r="AB164" s="180" t="s">
        <v>8023</v>
      </c>
      <c r="AC164">
        <v>30.68</v>
      </c>
      <c r="AD164" s="180" t="s">
        <v>8023</v>
      </c>
      <c r="AG164" s="225">
        <v>4.6370967739999998</v>
      </c>
      <c r="AH164" s="180" t="s">
        <v>8023</v>
      </c>
      <c r="AM164" s="225"/>
      <c r="BS164" s="225">
        <v>47.97</v>
      </c>
      <c r="BT164" s="180" t="s">
        <v>8023</v>
      </c>
      <c r="BU164" s="136">
        <v>20.95</v>
      </c>
      <c r="BV164" s="180" t="s">
        <v>8023</v>
      </c>
    </row>
    <row r="165" spans="1:74">
      <c r="A165" s="154" t="s">
        <v>7737</v>
      </c>
      <c r="B165" s="231" t="s">
        <v>259</v>
      </c>
      <c r="C165" s="231" t="s">
        <v>7963</v>
      </c>
      <c r="D165" s="231"/>
      <c r="E165" s="229">
        <v>15</v>
      </c>
      <c r="F165" s="232">
        <v>38</v>
      </c>
      <c r="G165" s="230"/>
      <c r="S165" s="225">
        <v>942.51593979999996</v>
      </c>
      <c r="T165" s="180" t="s">
        <v>8023</v>
      </c>
      <c r="Y165" s="225">
        <v>460.64</v>
      </c>
      <c r="Z165" s="180" t="s">
        <v>8023</v>
      </c>
      <c r="AA165" s="225">
        <v>47414.32</v>
      </c>
      <c r="AB165" s="180" t="s">
        <v>8023</v>
      </c>
      <c r="AC165">
        <v>20.329999999999998</v>
      </c>
      <c r="AD165" s="180" t="s">
        <v>8023</v>
      </c>
      <c r="AG165" s="225">
        <v>4.2873051220000002</v>
      </c>
      <c r="AH165" s="180" t="s">
        <v>8023</v>
      </c>
      <c r="AM165" s="225"/>
      <c r="BS165" s="225">
        <v>46.37</v>
      </c>
      <c r="BT165" s="180" t="s">
        <v>8023</v>
      </c>
      <c r="BU165" s="136">
        <v>22.66</v>
      </c>
      <c r="BV165" s="180" t="s">
        <v>8023</v>
      </c>
    </row>
    <row r="166" spans="1:74">
      <c r="A166" s="154" t="s">
        <v>7737</v>
      </c>
      <c r="B166" s="231" t="s">
        <v>257</v>
      </c>
      <c r="C166" s="231" t="s">
        <v>7964</v>
      </c>
      <c r="D166" s="231"/>
      <c r="E166" s="229">
        <v>14</v>
      </c>
      <c r="F166" s="232">
        <v>10</v>
      </c>
      <c r="G166" s="230"/>
      <c r="S166" s="225">
        <v>1441.060197</v>
      </c>
      <c r="T166" s="180" t="s">
        <v>8023</v>
      </c>
      <c r="Y166" s="225">
        <v>637.24</v>
      </c>
      <c r="Z166" s="180" t="s">
        <v>8023</v>
      </c>
      <c r="AA166" s="225">
        <v>76511.62</v>
      </c>
      <c r="AB166" s="180" t="s">
        <v>8023</v>
      </c>
      <c r="AC166">
        <v>30.21</v>
      </c>
      <c r="AD166" s="180" t="s">
        <v>8023</v>
      </c>
      <c r="AG166" s="225">
        <v>3.9484978540000002</v>
      </c>
      <c r="AH166" s="180" t="s">
        <v>8023</v>
      </c>
      <c r="AM166" s="225"/>
      <c r="BS166" s="225">
        <v>47.7</v>
      </c>
      <c r="BT166" s="180" t="s">
        <v>8023</v>
      </c>
      <c r="BU166" s="136">
        <v>21.09</v>
      </c>
      <c r="BV166" s="180" t="s">
        <v>8023</v>
      </c>
    </row>
    <row r="167" spans="1:74">
      <c r="A167" s="154" t="s">
        <v>7737</v>
      </c>
      <c r="B167" s="231" t="s">
        <v>259</v>
      </c>
      <c r="C167" s="231" t="s">
        <v>7964</v>
      </c>
      <c r="D167" s="231"/>
      <c r="E167" s="229">
        <v>20</v>
      </c>
      <c r="F167" s="232">
        <v>5</v>
      </c>
      <c r="G167" s="230"/>
      <c r="S167" s="225">
        <v>1413.7737299999999</v>
      </c>
      <c r="T167" s="180" t="s">
        <v>8023</v>
      </c>
      <c r="Y167" s="225">
        <v>677.49</v>
      </c>
      <c r="Z167" s="180" t="s">
        <v>8023</v>
      </c>
      <c r="AA167" s="225">
        <v>73342.720000000001</v>
      </c>
      <c r="AB167" s="180" t="s">
        <v>8023</v>
      </c>
      <c r="AC167">
        <v>30.38</v>
      </c>
      <c r="AD167" s="180" t="s">
        <v>8023</v>
      </c>
      <c r="AG167" s="225">
        <v>4.142222222</v>
      </c>
      <c r="AH167" s="180" t="s">
        <v>8023</v>
      </c>
      <c r="AM167" s="225"/>
      <c r="BS167" s="225">
        <v>46.54</v>
      </c>
      <c r="BT167" s="180" t="s">
        <v>8023</v>
      </c>
      <c r="BU167" s="136">
        <v>22.3</v>
      </c>
      <c r="BV167" s="180" t="s">
        <v>8023</v>
      </c>
    </row>
    <row r="168" spans="1:74">
      <c r="A168" s="154" t="s">
        <v>7737</v>
      </c>
      <c r="B168" s="231" t="s">
        <v>257</v>
      </c>
      <c r="C168" s="231" t="s">
        <v>7982</v>
      </c>
      <c r="D168" s="231"/>
      <c r="E168" s="230">
        <v>2</v>
      </c>
      <c r="F168" s="232">
        <v>18</v>
      </c>
      <c r="G168" s="230"/>
      <c r="S168" s="225">
        <v>1184.572895</v>
      </c>
      <c r="T168" s="180" t="s">
        <v>8023</v>
      </c>
      <c r="Y168" s="225">
        <v>537.75</v>
      </c>
      <c r="Z168" s="180" t="s">
        <v>8023</v>
      </c>
      <c r="AA168" s="225">
        <v>49236.39</v>
      </c>
      <c r="AB168" s="180" t="s">
        <v>8023</v>
      </c>
      <c r="AC168">
        <v>25.32</v>
      </c>
      <c r="AD168" s="180" t="s">
        <v>8023</v>
      </c>
      <c r="AG168" s="225">
        <v>5.1428571429999996</v>
      </c>
      <c r="AH168" s="180" t="s">
        <v>8023</v>
      </c>
      <c r="AM168" s="225"/>
      <c r="BS168" s="225">
        <v>46.78</v>
      </c>
      <c r="BT168" s="180" t="s">
        <v>8023</v>
      </c>
      <c r="BU168" s="136">
        <v>21.24</v>
      </c>
      <c r="BV168" s="180" t="s">
        <v>8023</v>
      </c>
    </row>
    <row r="169" spans="1:74">
      <c r="A169" s="154" t="s">
        <v>7737</v>
      </c>
      <c r="B169" s="231" t="s">
        <v>259</v>
      </c>
      <c r="C169" s="231" t="s">
        <v>7982</v>
      </c>
      <c r="D169" s="231"/>
      <c r="E169" s="230">
        <v>4</v>
      </c>
      <c r="F169" s="232">
        <v>57</v>
      </c>
      <c r="G169" s="230"/>
      <c r="S169" s="225">
        <v>1416.2465990000001</v>
      </c>
      <c r="T169" s="180" t="s">
        <v>8023</v>
      </c>
      <c r="Y169" s="225">
        <v>729.58</v>
      </c>
      <c r="Z169" s="180" t="s">
        <v>8023</v>
      </c>
      <c r="AA169" s="225">
        <v>74971.78</v>
      </c>
      <c r="AB169" s="180" t="s">
        <v>8023</v>
      </c>
      <c r="AC169">
        <v>31.41</v>
      </c>
      <c r="AD169" s="180" t="s">
        <v>8023</v>
      </c>
      <c r="AG169" s="225">
        <v>4.1891891890000004</v>
      </c>
      <c r="AH169" s="180" t="s">
        <v>8023</v>
      </c>
      <c r="AM169" s="225"/>
      <c r="BS169" s="225">
        <v>45.09</v>
      </c>
      <c r="BT169" s="180" t="s">
        <v>8023</v>
      </c>
      <c r="BU169" s="136">
        <v>23.23</v>
      </c>
      <c r="BV169" s="180" t="s">
        <v>8023</v>
      </c>
    </row>
    <row r="170" spans="1:74">
      <c r="A170" s="154" t="s">
        <v>7851</v>
      </c>
      <c r="B170" s="231" t="s">
        <v>257</v>
      </c>
      <c r="C170" s="231" t="s">
        <v>405</v>
      </c>
      <c r="D170" s="231"/>
      <c r="E170" s="229">
        <v>5</v>
      </c>
      <c r="F170" s="232">
        <v>30</v>
      </c>
      <c r="G170" s="230"/>
      <c r="S170" s="225">
        <v>1581.669429</v>
      </c>
      <c r="T170" s="180" t="s">
        <v>8023</v>
      </c>
      <c r="Y170" s="225">
        <v>583.28</v>
      </c>
      <c r="Z170" s="180" t="s">
        <v>8023</v>
      </c>
      <c r="AA170" s="225">
        <v>62706.96</v>
      </c>
      <c r="AB170" s="180" t="s">
        <v>8023</v>
      </c>
      <c r="AC170">
        <v>30.43</v>
      </c>
      <c r="AD170" s="180" t="s">
        <v>8023</v>
      </c>
      <c r="AG170" s="225">
        <v>4.8526315789999996</v>
      </c>
      <c r="AH170" s="180" t="s">
        <v>8023</v>
      </c>
      <c r="AM170" s="225"/>
      <c r="BS170" s="225">
        <v>51.98</v>
      </c>
      <c r="BT170" s="180" t="s">
        <v>8023</v>
      </c>
      <c r="BU170" s="136">
        <v>19.170000000000002</v>
      </c>
      <c r="BV170" s="180" t="s">
        <v>8023</v>
      </c>
    </row>
    <row r="171" spans="1:74">
      <c r="A171" s="154" t="s">
        <v>7851</v>
      </c>
      <c r="B171" s="231" t="s">
        <v>259</v>
      </c>
      <c r="C171" s="231" t="s">
        <v>405</v>
      </c>
      <c r="D171" s="231"/>
      <c r="E171" s="229">
        <v>10</v>
      </c>
      <c r="F171" s="232">
        <v>6</v>
      </c>
      <c r="G171" s="230"/>
      <c r="S171" s="225">
        <v>1763.211202</v>
      </c>
      <c r="T171" s="180" t="s">
        <v>8023</v>
      </c>
      <c r="Y171" s="225">
        <v>753.5</v>
      </c>
      <c r="Z171" s="180" t="s">
        <v>8023</v>
      </c>
      <c r="AA171" s="225">
        <v>77137.66</v>
      </c>
      <c r="AB171" s="180" t="s">
        <v>8023</v>
      </c>
      <c r="AC171">
        <v>35.51</v>
      </c>
      <c r="AD171" s="180" t="s">
        <v>8023</v>
      </c>
      <c r="AG171" s="225">
        <v>4.6039603959999997</v>
      </c>
      <c r="AH171" s="180" t="s">
        <v>8023</v>
      </c>
      <c r="AM171" s="225"/>
      <c r="BS171" s="225">
        <v>49.65</v>
      </c>
      <c r="BT171" s="180" t="s">
        <v>8023</v>
      </c>
      <c r="BU171" s="136">
        <v>21.22</v>
      </c>
      <c r="BV171" s="180" t="s">
        <v>8023</v>
      </c>
    </row>
    <row r="172" spans="1:74">
      <c r="A172" s="154" t="s">
        <v>7851</v>
      </c>
      <c r="B172" s="231" t="s">
        <v>257</v>
      </c>
      <c r="C172" s="231" t="s">
        <v>7963</v>
      </c>
      <c r="D172" s="231"/>
      <c r="E172" s="229">
        <v>10</v>
      </c>
      <c r="F172" s="232">
        <v>61</v>
      </c>
      <c r="G172" s="230"/>
      <c r="S172" s="225">
        <v>1742.819792</v>
      </c>
      <c r="T172" s="180" t="s">
        <v>8023</v>
      </c>
      <c r="Y172" s="225">
        <v>636.04999999999995</v>
      </c>
      <c r="Z172" s="180" t="s">
        <v>8023</v>
      </c>
      <c r="AA172" s="225">
        <v>71367.350000000006</v>
      </c>
      <c r="AB172" s="180" t="s">
        <v>8023</v>
      </c>
      <c r="AC172">
        <v>33.69</v>
      </c>
      <c r="AD172" s="180" t="s">
        <v>8023</v>
      </c>
      <c r="AG172" s="225">
        <v>4.7205588819999997</v>
      </c>
      <c r="AH172" s="180" t="s">
        <v>8023</v>
      </c>
      <c r="AM172" s="225"/>
      <c r="BS172" s="225">
        <v>51.73</v>
      </c>
      <c r="BT172" s="180" t="s">
        <v>8023</v>
      </c>
      <c r="BU172" s="136">
        <v>18.88</v>
      </c>
      <c r="BV172" s="180" t="s">
        <v>8023</v>
      </c>
    </row>
    <row r="173" spans="1:74">
      <c r="A173" s="154" t="s">
        <v>7851</v>
      </c>
      <c r="B173" s="231" t="s">
        <v>259</v>
      </c>
      <c r="C173" s="231" t="s">
        <v>7963</v>
      </c>
      <c r="D173" s="231"/>
      <c r="E173" s="229">
        <v>15</v>
      </c>
      <c r="F173" s="232">
        <v>49</v>
      </c>
      <c r="G173" s="230"/>
      <c r="S173" s="225">
        <v>1533.011311</v>
      </c>
      <c r="T173" s="180" t="s">
        <v>8023</v>
      </c>
      <c r="Y173" s="225">
        <v>636.39</v>
      </c>
      <c r="Z173" s="180" t="s">
        <v>8023</v>
      </c>
      <c r="AA173" s="225">
        <v>64464.39</v>
      </c>
      <c r="AB173" s="180" t="s">
        <v>8023</v>
      </c>
      <c r="AC173">
        <v>30.42</v>
      </c>
      <c r="AD173" s="180" t="s">
        <v>8023</v>
      </c>
      <c r="AG173" s="225">
        <v>4.7185261000000001</v>
      </c>
      <c r="AH173" s="180" t="s">
        <v>8023</v>
      </c>
      <c r="AM173" s="225"/>
      <c r="BS173" s="225">
        <v>50.4</v>
      </c>
      <c r="BT173" s="180" t="s">
        <v>8023</v>
      </c>
      <c r="BU173" s="136">
        <v>20.92</v>
      </c>
      <c r="BV173" s="180" t="s">
        <v>8023</v>
      </c>
    </row>
    <row r="174" spans="1:74">
      <c r="A174" s="154" t="s">
        <v>7851</v>
      </c>
      <c r="B174" s="231" t="s">
        <v>257</v>
      </c>
      <c r="C174" s="231" t="s">
        <v>7964</v>
      </c>
      <c r="D174" s="231"/>
      <c r="E174" s="230">
        <v>14</v>
      </c>
      <c r="F174" s="232">
        <v>26</v>
      </c>
      <c r="G174" s="230"/>
      <c r="S174" s="225">
        <v>1588.5881670000001</v>
      </c>
      <c r="T174" s="180" t="s">
        <v>8023</v>
      </c>
      <c r="Y174" s="225">
        <v>632.54999999999995</v>
      </c>
      <c r="Z174" s="180" t="s">
        <v>8023</v>
      </c>
      <c r="AA174" s="225">
        <v>68061.740000000005</v>
      </c>
      <c r="AB174" s="180" t="s">
        <v>8023</v>
      </c>
      <c r="AC174">
        <v>31.24</v>
      </c>
      <c r="AD174" s="180" t="s">
        <v>8023</v>
      </c>
      <c r="AG174" s="225">
        <v>4.5903257650000002</v>
      </c>
      <c r="AH174" s="180" t="s">
        <v>8023</v>
      </c>
      <c r="AM174" s="225"/>
      <c r="BS174" s="225">
        <v>50.85</v>
      </c>
      <c r="BT174" s="180" t="s">
        <v>8023</v>
      </c>
      <c r="BU174" s="136">
        <v>20.25</v>
      </c>
      <c r="BV174" s="180" t="s">
        <v>8023</v>
      </c>
    </row>
    <row r="175" spans="1:74">
      <c r="A175" s="154" t="s">
        <v>7851</v>
      </c>
      <c r="B175" s="231" t="s">
        <v>259</v>
      </c>
      <c r="C175" s="231" t="s">
        <v>7964</v>
      </c>
      <c r="D175" s="231"/>
      <c r="E175" s="230">
        <v>18</v>
      </c>
      <c r="F175" s="232">
        <v>22</v>
      </c>
      <c r="G175" s="230"/>
      <c r="S175" s="225">
        <v>1699.115059</v>
      </c>
      <c r="T175" s="180" t="s">
        <v>8023</v>
      </c>
      <c r="Y175" s="225">
        <v>706.03</v>
      </c>
      <c r="Z175" s="180" t="s">
        <v>8023</v>
      </c>
      <c r="AA175" s="225">
        <v>72849.919999999998</v>
      </c>
      <c r="AB175" s="180" t="s">
        <v>8023</v>
      </c>
      <c r="AC175">
        <v>33.97</v>
      </c>
      <c r="AD175" s="180" t="s">
        <v>8023</v>
      </c>
      <c r="AG175" s="225">
        <v>4.6633165830000003</v>
      </c>
      <c r="AH175" s="180" t="s">
        <v>8023</v>
      </c>
      <c r="AM175" s="225"/>
      <c r="BS175" s="225">
        <v>50.01</v>
      </c>
      <c r="BT175" s="180" t="s">
        <v>8023</v>
      </c>
      <c r="BU175" s="136">
        <v>20.78</v>
      </c>
      <c r="BV175" s="180" t="s">
        <v>8023</v>
      </c>
    </row>
    <row r="176" spans="1:74">
      <c r="A176" s="154" t="s">
        <v>7851</v>
      </c>
      <c r="B176" s="231" t="s">
        <v>257</v>
      </c>
      <c r="C176" s="231" t="s">
        <v>7982</v>
      </c>
      <c r="D176" s="231"/>
      <c r="E176" s="229">
        <v>4</v>
      </c>
      <c r="F176" s="232">
        <v>3</v>
      </c>
      <c r="G176" s="230"/>
      <c r="S176" s="225">
        <v>1524.8147389999999</v>
      </c>
      <c r="T176" s="180" t="s">
        <v>8023</v>
      </c>
      <c r="Y176" s="225">
        <v>612.26</v>
      </c>
      <c r="Z176" s="180" t="s">
        <v>8023</v>
      </c>
      <c r="AA176" s="225">
        <v>65917.22</v>
      </c>
      <c r="AB176" s="180" t="s">
        <v>8023</v>
      </c>
      <c r="AC176">
        <v>30.43</v>
      </c>
      <c r="AD176" s="180" t="s">
        <v>8023</v>
      </c>
      <c r="AG176" s="225">
        <v>4.616141732</v>
      </c>
      <c r="AH176" s="180" t="s">
        <v>8023</v>
      </c>
      <c r="AM176" s="225"/>
      <c r="BS176" s="225">
        <v>50.11</v>
      </c>
      <c r="BT176" s="180" t="s">
        <v>8023</v>
      </c>
      <c r="BU176" s="136">
        <v>20.12</v>
      </c>
      <c r="BV176" s="180" t="s">
        <v>8023</v>
      </c>
    </row>
    <row r="177" spans="1:74">
      <c r="A177" s="154" t="s">
        <v>7851</v>
      </c>
      <c r="B177" s="231" t="s">
        <v>259</v>
      </c>
      <c r="C177" s="231" t="s">
        <v>7982</v>
      </c>
      <c r="D177" s="231"/>
      <c r="E177" s="229">
        <v>18</v>
      </c>
      <c r="F177" s="232">
        <v>23</v>
      </c>
      <c r="G177" s="230"/>
      <c r="S177" s="225">
        <v>1389.104454</v>
      </c>
      <c r="T177" s="180" t="s">
        <v>8023</v>
      </c>
      <c r="Y177" s="225">
        <v>602.14</v>
      </c>
      <c r="Z177" s="180" t="s">
        <v>8023</v>
      </c>
      <c r="AA177" s="225">
        <v>64303.69</v>
      </c>
      <c r="AB177" s="180" t="s">
        <v>8023</v>
      </c>
      <c r="AC177">
        <v>28.63</v>
      </c>
      <c r="AD177" s="180" t="s">
        <v>8023</v>
      </c>
      <c r="AG177" s="225">
        <v>4.4528301890000002</v>
      </c>
      <c r="AH177" s="180" t="s">
        <v>8023</v>
      </c>
      <c r="AM177" s="225"/>
      <c r="BS177" s="225">
        <v>48.51</v>
      </c>
      <c r="BT177" s="180" t="s">
        <v>8023</v>
      </c>
      <c r="BU177" s="136">
        <v>21.03</v>
      </c>
      <c r="BV177" s="180" t="s">
        <v>8023</v>
      </c>
    </row>
    <row r="178" spans="1:74">
      <c r="A178" s="154" t="s">
        <v>7865</v>
      </c>
      <c r="B178" s="231" t="s">
        <v>257</v>
      </c>
      <c r="C178" s="231" t="s">
        <v>405</v>
      </c>
      <c r="D178" s="231"/>
      <c r="E178" s="229">
        <v>2</v>
      </c>
      <c r="F178" s="232">
        <v>33</v>
      </c>
      <c r="G178" s="230"/>
      <c r="S178" s="225">
        <v>1500.0074</v>
      </c>
      <c r="T178" s="180" t="s">
        <v>8023</v>
      </c>
      <c r="Y178" s="225">
        <v>611.01</v>
      </c>
      <c r="Z178" s="180" t="s">
        <v>8023</v>
      </c>
      <c r="AA178" s="225">
        <v>64680.39</v>
      </c>
      <c r="AB178" s="180" t="s">
        <v>8023</v>
      </c>
      <c r="AC178">
        <v>30.62</v>
      </c>
      <c r="AD178" s="180" t="s">
        <v>8023</v>
      </c>
      <c r="AG178" s="225">
        <v>4.7340980190000002</v>
      </c>
      <c r="AH178" s="180" t="s">
        <v>8023</v>
      </c>
      <c r="AM178" s="225"/>
      <c r="BS178" s="225">
        <v>48.99</v>
      </c>
      <c r="BT178" s="180" t="s">
        <v>8023</v>
      </c>
      <c r="BU178" s="136">
        <v>19.95</v>
      </c>
      <c r="BV178" s="180" t="s">
        <v>8023</v>
      </c>
    </row>
    <row r="179" spans="1:74">
      <c r="A179" s="154" t="s">
        <v>7865</v>
      </c>
      <c r="B179" s="231" t="s">
        <v>259</v>
      </c>
      <c r="C179" s="231" t="s">
        <v>405</v>
      </c>
      <c r="D179" s="231"/>
      <c r="E179" s="229">
        <v>2</v>
      </c>
      <c r="F179" s="232">
        <v>35</v>
      </c>
      <c r="G179" s="230"/>
      <c r="S179" s="225">
        <v>1630.786732</v>
      </c>
      <c r="T179" s="180" t="s">
        <v>8023</v>
      </c>
      <c r="Y179" s="225">
        <v>689.7</v>
      </c>
      <c r="Z179" s="180" t="s">
        <v>8023</v>
      </c>
      <c r="AA179" s="225">
        <v>71194.460000000006</v>
      </c>
      <c r="AB179" s="180" t="s">
        <v>8023</v>
      </c>
      <c r="AC179">
        <v>33.93</v>
      </c>
      <c r="AD179" s="180" t="s">
        <v>8023</v>
      </c>
      <c r="AG179" s="225">
        <v>4.7663551399999999</v>
      </c>
      <c r="AH179" s="180" t="s">
        <v>8023</v>
      </c>
      <c r="AM179" s="225"/>
      <c r="BS179" s="225">
        <v>48.06</v>
      </c>
      <c r="BT179" s="180" t="s">
        <v>8023</v>
      </c>
      <c r="BU179" s="136">
        <v>20.32</v>
      </c>
      <c r="BV179" s="180" t="s">
        <v>8023</v>
      </c>
    </row>
    <row r="180" spans="1:74">
      <c r="A180" s="154" t="s">
        <v>7865</v>
      </c>
      <c r="B180" s="231" t="s">
        <v>257</v>
      </c>
      <c r="C180" s="231" t="s">
        <v>7963</v>
      </c>
      <c r="D180" s="231"/>
      <c r="E180" s="230">
        <v>5</v>
      </c>
      <c r="F180" s="232">
        <v>63</v>
      </c>
      <c r="G180" s="230"/>
      <c r="S180" s="225">
        <v>1543.0489520000001</v>
      </c>
      <c r="T180" s="180" t="s">
        <v>8023</v>
      </c>
      <c r="Y180" s="225">
        <v>629.65</v>
      </c>
      <c r="Z180" s="180" t="s">
        <v>8023</v>
      </c>
      <c r="AA180" s="225">
        <v>67119.039999999994</v>
      </c>
      <c r="AB180" s="180" t="s">
        <v>8023</v>
      </c>
      <c r="AC180">
        <v>31.48</v>
      </c>
      <c r="AD180" s="180" t="s">
        <v>8023</v>
      </c>
      <c r="AG180" s="225">
        <v>4.6907216490000003</v>
      </c>
      <c r="AH180" s="180" t="s">
        <v>8023</v>
      </c>
      <c r="AM180" s="225"/>
      <c r="BS180" s="225">
        <v>49.01</v>
      </c>
      <c r="BT180" s="180" t="s">
        <v>8023</v>
      </c>
      <c r="BU180" s="136">
        <v>20</v>
      </c>
      <c r="BV180" s="180" t="s">
        <v>8023</v>
      </c>
    </row>
    <row r="181" spans="1:74">
      <c r="A181" s="154" t="s">
        <v>7865</v>
      </c>
      <c r="B181" s="231" t="s">
        <v>259</v>
      </c>
      <c r="C181" s="231" t="s">
        <v>7963</v>
      </c>
      <c r="D181" s="231"/>
      <c r="E181" s="230">
        <v>7</v>
      </c>
      <c r="F181" s="232">
        <v>24</v>
      </c>
      <c r="G181" s="230"/>
      <c r="S181" s="225">
        <v>1132.856186</v>
      </c>
      <c r="T181" s="180" t="s">
        <v>8023</v>
      </c>
      <c r="Y181" s="225">
        <v>538.41</v>
      </c>
      <c r="Z181" s="180" t="s">
        <v>8023</v>
      </c>
      <c r="AA181" s="225">
        <v>51215.38</v>
      </c>
      <c r="AB181" s="180" t="s">
        <v>8023</v>
      </c>
      <c r="AC181">
        <v>24.22</v>
      </c>
      <c r="AD181" s="180" t="s">
        <v>8023</v>
      </c>
      <c r="AG181" s="225">
        <v>4.7282051279999999</v>
      </c>
      <c r="AH181" s="180" t="s">
        <v>8023</v>
      </c>
      <c r="AM181" s="225"/>
      <c r="BS181" s="225">
        <v>46.78</v>
      </c>
      <c r="BT181" s="180" t="s">
        <v>8023</v>
      </c>
      <c r="BU181" s="136">
        <v>22.23</v>
      </c>
      <c r="BV181" s="180" t="s">
        <v>8023</v>
      </c>
    </row>
    <row r="182" spans="1:74">
      <c r="A182" s="154" t="s">
        <v>7865</v>
      </c>
      <c r="B182" s="231" t="s">
        <v>257</v>
      </c>
      <c r="C182" s="231" t="s">
        <v>7964</v>
      </c>
      <c r="D182" s="231"/>
      <c r="E182" s="229">
        <v>10</v>
      </c>
      <c r="F182" s="232">
        <v>14</v>
      </c>
      <c r="G182" s="230"/>
      <c r="S182" s="225">
        <v>1750.4738560000001</v>
      </c>
      <c r="T182" s="180" t="s">
        <v>8023</v>
      </c>
      <c r="Y182" s="225">
        <v>812.57</v>
      </c>
      <c r="Z182" s="180" t="s">
        <v>8023</v>
      </c>
      <c r="AA182" s="225">
        <v>80934.63</v>
      </c>
      <c r="AB182" s="180" t="s">
        <v>8023</v>
      </c>
      <c r="AC182">
        <v>37.590000000000003</v>
      </c>
      <c r="AD182" s="180" t="s">
        <v>8023</v>
      </c>
      <c r="AG182" s="225">
        <v>4.6443089430000004</v>
      </c>
      <c r="AH182" s="180" t="s">
        <v>8023</v>
      </c>
      <c r="AM182" s="225"/>
      <c r="BS182" s="225">
        <v>46.57</v>
      </c>
      <c r="BT182" s="180" t="s">
        <v>8023</v>
      </c>
      <c r="BU182" s="136">
        <v>21.62</v>
      </c>
      <c r="BV182" s="180" t="s">
        <v>8023</v>
      </c>
    </row>
    <row r="183" spans="1:74">
      <c r="A183" s="154" t="s">
        <v>7865</v>
      </c>
      <c r="B183" s="231" t="s">
        <v>259</v>
      </c>
      <c r="C183" s="231" t="s">
        <v>7964</v>
      </c>
      <c r="D183" s="231"/>
      <c r="E183" s="229">
        <v>10</v>
      </c>
      <c r="F183" s="232">
        <v>40</v>
      </c>
      <c r="G183" s="230"/>
      <c r="S183" s="225">
        <v>1673.3159330000001</v>
      </c>
      <c r="T183" s="180" t="s">
        <v>8023</v>
      </c>
      <c r="Y183" s="225">
        <v>778.12</v>
      </c>
      <c r="Z183" s="180" t="s">
        <v>8023</v>
      </c>
      <c r="AA183" s="225">
        <v>75966.37</v>
      </c>
      <c r="AB183" s="180" t="s">
        <v>8023</v>
      </c>
      <c r="AC183">
        <v>35.75</v>
      </c>
      <c r="AD183" s="180" t="s">
        <v>8023</v>
      </c>
      <c r="AG183" s="225">
        <v>4.7064777329999998</v>
      </c>
      <c r="AH183" s="180" t="s">
        <v>8023</v>
      </c>
      <c r="AM183" s="225"/>
      <c r="BS183" s="225">
        <v>46.8</v>
      </c>
      <c r="BT183" s="180" t="s">
        <v>8023</v>
      </c>
      <c r="BU183" s="136">
        <v>21.76</v>
      </c>
      <c r="BV183" s="180" t="s">
        <v>8023</v>
      </c>
    </row>
    <row r="184" spans="1:74">
      <c r="A184" s="154" t="s">
        <v>7865</v>
      </c>
      <c r="B184" s="231" t="s">
        <v>257</v>
      </c>
      <c r="C184" s="231" t="s">
        <v>7982</v>
      </c>
      <c r="D184" s="231"/>
      <c r="E184" s="229">
        <v>15</v>
      </c>
      <c r="F184" s="232">
        <v>59</v>
      </c>
      <c r="G184" s="230"/>
      <c r="S184" s="225">
        <v>1358.4021130000001</v>
      </c>
      <c r="T184" s="180" t="s">
        <v>8023</v>
      </c>
      <c r="Y184" s="225">
        <v>576.08000000000004</v>
      </c>
      <c r="Z184" s="180" t="s">
        <v>8023</v>
      </c>
      <c r="AA184" s="225">
        <v>52679.46</v>
      </c>
      <c r="AB184" s="180" t="s">
        <v>8023</v>
      </c>
      <c r="AC184">
        <v>28.06</v>
      </c>
      <c r="AD184" s="180" t="s">
        <v>8023</v>
      </c>
      <c r="AG184" s="225">
        <v>5.3264604809999998</v>
      </c>
      <c r="AH184" s="180" t="s">
        <v>8023</v>
      </c>
      <c r="AM184" s="225"/>
      <c r="BS184" s="225">
        <v>48.41</v>
      </c>
      <c r="BT184" s="180" t="s">
        <v>8023</v>
      </c>
      <c r="BU184" s="136">
        <v>20.53</v>
      </c>
      <c r="BV184" s="180" t="s">
        <v>8023</v>
      </c>
    </row>
    <row r="185" spans="1:74">
      <c r="A185" s="154" t="s">
        <v>7865</v>
      </c>
      <c r="B185" s="231" t="s">
        <v>259</v>
      </c>
      <c r="C185" s="231" t="s">
        <v>7982</v>
      </c>
      <c r="D185" s="231"/>
      <c r="E185" s="229">
        <v>15</v>
      </c>
      <c r="F185" s="232">
        <v>1</v>
      </c>
      <c r="G185" s="230"/>
      <c r="S185" s="225">
        <v>994.55740809999998</v>
      </c>
      <c r="T185" s="180" t="s">
        <v>8023</v>
      </c>
      <c r="Y185" s="225">
        <v>527.49</v>
      </c>
      <c r="Z185" s="180" t="s">
        <v>8023</v>
      </c>
      <c r="AA185" s="225">
        <v>45325.68</v>
      </c>
      <c r="AB185" s="180" t="s">
        <v>8023</v>
      </c>
      <c r="AC185">
        <v>22.28</v>
      </c>
      <c r="AD185" s="180" t="s">
        <v>8023</v>
      </c>
      <c r="AG185" s="225">
        <v>4.9152542370000001</v>
      </c>
      <c r="AH185" s="180" t="s">
        <v>8023</v>
      </c>
      <c r="AM185" s="225"/>
      <c r="BS185" s="225">
        <v>44.64</v>
      </c>
      <c r="BT185" s="180" t="s">
        <v>8023</v>
      </c>
      <c r="BU185" s="136">
        <v>23.68</v>
      </c>
      <c r="BV185" s="180" t="s">
        <v>8023</v>
      </c>
    </row>
    <row r="186" spans="1:74">
      <c r="A186" s="154" t="s">
        <v>7738</v>
      </c>
      <c r="B186" s="231" t="s">
        <v>257</v>
      </c>
      <c r="C186" s="231" t="s">
        <v>405</v>
      </c>
      <c r="D186" s="231"/>
      <c r="E186" s="230">
        <v>4</v>
      </c>
      <c r="F186" s="232">
        <v>32</v>
      </c>
      <c r="G186" s="230"/>
      <c r="S186" s="225">
        <v>1615.0299030000001</v>
      </c>
      <c r="T186" s="180" t="s">
        <v>8023</v>
      </c>
      <c r="Y186" s="225">
        <v>732.84</v>
      </c>
      <c r="Z186" s="180" t="s">
        <v>8023</v>
      </c>
      <c r="AA186" s="225">
        <v>78289.5</v>
      </c>
      <c r="AB186" s="180" t="s">
        <v>8023</v>
      </c>
      <c r="AC186">
        <v>33.83</v>
      </c>
      <c r="AD186" s="180" t="s">
        <v>8023</v>
      </c>
      <c r="AG186" s="225">
        <v>4.3212237089999999</v>
      </c>
      <c r="AH186" s="180" t="s">
        <v>8023</v>
      </c>
      <c r="AM186" s="225"/>
      <c r="BS186" s="225">
        <v>47.74</v>
      </c>
      <c r="BT186" s="180" t="s">
        <v>8023</v>
      </c>
      <c r="BU186" s="136">
        <v>21.66</v>
      </c>
      <c r="BV186" s="180" t="s">
        <v>8023</v>
      </c>
    </row>
    <row r="187" spans="1:74">
      <c r="A187" s="154" t="s">
        <v>7738</v>
      </c>
      <c r="B187" s="231" t="s">
        <v>259</v>
      </c>
      <c r="C187" s="231" t="s">
        <v>405</v>
      </c>
      <c r="D187" s="231"/>
      <c r="E187" s="230">
        <v>2</v>
      </c>
      <c r="F187" s="232">
        <v>62</v>
      </c>
      <c r="G187" s="230"/>
      <c r="S187" s="225">
        <v>1643.24431</v>
      </c>
      <c r="T187" s="180" t="s">
        <v>8023</v>
      </c>
      <c r="Y187" s="225">
        <v>749.82</v>
      </c>
      <c r="Z187" s="180" t="s">
        <v>8023</v>
      </c>
      <c r="AA187" s="225">
        <v>74880.81</v>
      </c>
      <c r="AB187" s="180" t="s">
        <v>8023</v>
      </c>
      <c r="AC187">
        <v>34.35</v>
      </c>
      <c r="AD187" s="180" t="s">
        <v>8023</v>
      </c>
      <c r="AG187" s="225">
        <v>4.5871559629999998</v>
      </c>
      <c r="AH187" s="180" t="s">
        <v>8023</v>
      </c>
      <c r="AM187" s="225"/>
      <c r="BS187" s="225">
        <v>47.84</v>
      </c>
      <c r="BT187" s="180" t="s">
        <v>8023</v>
      </c>
      <c r="BU187" s="136">
        <v>21.83</v>
      </c>
      <c r="BV187" s="180" t="s">
        <v>8023</v>
      </c>
    </row>
    <row r="188" spans="1:74">
      <c r="A188" s="154" t="s">
        <v>7738</v>
      </c>
      <c r="B188" s="231" t="s">
        <v>257</v>
      </c>
      <c r="C188" s="231" t="s">
        <v>7963</v>
      </c>
      <c r="D188" s="231"/>
      <c r="E188" s="229">
        <v>5</v>
      </c>
      <c r="F188" s="232">
        <v>50</v>
      </c>
      <c r="G188" s="230"/>
      <c r="S188" s="225">
        <v>1269.728623</v>
      </c>
      <c r="T188" s="180" t="s">
        <v>8023</v>
      </c>
      <c r="Y188" s="225">
        <v>562.23</v>
      </c>
      <c r="Z188" s="180" t="s">
        <v>8023</v>
      </c>
      <c r="AA188" s="225">
        <v>60064.45</v>
      </c>
      <c r="AB188" s="180" t="s">
        <v>8023</v>
      </c>
      <c r="AC188">
        <v>26.3</v>
      </c>
      <c r="AD188" s="180" t="s">
        <v>8023</v>
      </c>
      <c r="AG188" s="225">
        <v>4.3785850860000002</v>
      </c>
      <c r="AH188" s="180" t="s">
        <v>8023</v>
      </c>
      <c r="AM188" s="225"/>
      <c r="BS188" s="225">
        <v>48.28</v>
      </c>
      <c r="BT188" s="180" t="s">
        <v>8023</v>
      </c>
      <c r="BU188" s="136">
        <v>21.38</v>
      </c>
      <c r="BV188" s="180" t="s">
        <v>8023</v>
      </c>
    </row>
    <row r="189" spans="1:74">
      <c r="A189" s="154" t="s">
        <v>7738</v>
      </c>
      <c r="B189" s="231" t="s">
        <v>259</v>
      </c>
      <c r="C189" s="231" t="s">
        <v>7963</v>
      </c>
      <c r="D189" s="231"/>
      <c r="E189" s="229">
        <v>7</v>
      </c>
      <c r="F189" s="232">
        <v>60</v>
      </c>
      <c r="G189" s="230"/>
      <c r="S189" s="225">
        <v>1076.0389889999999</v>
      </c>
      <c r="T189" s="180" t="s">
        <v>8023</v>
      </c>
      <c r="Y189" s="225">
        <v>523.38</v>
      </c>
      <c r="Z189" s="180" t="s">
        <v>8023</v>
      </c>
      <c r="AA189" s="225">
        <v>50661.05</v>
      </c>
      <c r="AB189" s="180" t="s">
        <v>8023</v>
      </c>
      <c r="AC189">
        <v>22.93</v>
      </c>
      <c r="AD189" s="180" t="s">
        <v>8023</v>
      </c>
      <c r="AG189" s="225">
        <v>4.5259042029999996</v>
      </c>
      <c r="AH189" s="180" t="s">
        <v>8023</v>
      </c>
      <c r="AM189" s="225"/>
      <c r="BS189" s="225">
        <v>46.93</v>
      </c>
      <c r="BT189" s="180" t="s">
        <v>8023</v>
      </c>
      <c r="BU189" s="136">
        <v>22.83</v>
      </c>
      <c r="BV189" s="180" t="s">
        <v>8023</v>
      </c>
    </row>
    <row r="190" spans="1:74">
      <c r="A190" s="154" t="s">
        <v>7738</v>
      </c>
      <c r="B190" s="231" t="s">
        <v>257</v>
      </c>
      <c r="C190" s="231" t="s">
        <v>7964</v>
      </c>
      <c r="D190" s="231"/>
      <c r="E190" s="229">
        <v>5</v>
      </c>
      <c r="F190" s="232">
        <v>9</v>
      </c>
      <c r="G190" s="230"/>
      <c r="S190" s="225">
        <v>1518.2076239999999</v>
      </c>
      <c r="T190" s="180" t="s">
        <v>8023</v>
      </c>
      <c r="Y190" s="225">
        <v>715.43</v>
      </c>
      <c r="Z190" s="180" t="s">
        <v>8023</v>
      </c>
      <c r="AA190" s="225">
        <v>70996.17</v>
      </c>
      <c r="AB190" s="180" t="s">
        <v>8023</v>
      </c>
      <c r="AC190">
        <v>32.14</v>
      </c>
      <c r="AD190" s="180" t="s">
        <v>8023</v>
      </c>
      <c r="AG190" s="225">
        <v>4.5275590550000002</v>
      </c>
      <c r="AH190" s="180" t="s">
        <v>8023</v>
      </c>
      <c r="AM190" s="225"/>
      <c r="BS190" s="225">
        <v>47.23</v>
      </c>
      <c r="BT190" s="180" t="s">
        <v>8023</v>
      </c>
      <c r="BU190" s="136">
        <v>22.26</v>
      </c>
      <c r="BV190" s="180" t="s">
        <v>8023</v>
      </c>
    </row>
    <row r="191" spans="1:74">
      <c r="A191" s="154" t="s">
        <v>7738</v>
      </c>
      <c r="B191" s="231" t="s">
        <v>259</v>
      </c>
      <c r="C191" s="231" t="s">
        <v>7964</v>
      </c>
      <c r="D191" s="231"/>
      <c r="E191" s="229">
        <v>10</v>
      </c>
      <c r="F191" s="232">
        <v>18</v>
      </c>
      <c r="G191" s="230"/>
      <c r="S191" s="225">
        <v>1334.6707260000001</v>
      </c>
      <c r="T191" s="180" t="s">
        <v>8023</v>
      </c>
      <c r="Y191" s="225">
        <v>667.57</v>
      </c>
      <c r="Z191" s="180" t="s">
        <v>8023</v>
      </c>
      <c r="AA191" s="225">
        <v>65659.19</v>
      </c>
      <c r="AB191" s="180" t="s">
        <v>8023</v>
      </c>
      <c r="AC191">
        <v>28.85</v>
      </c>
      <c r="AD191" s="180" t="s">
        <v>8023</v>
      </c>
      <c r="AG191" s="225">
        <v>4.3935052529999998</v>
      </c>
      <c r="AH191" s="180" t="s">
        <v>8023</v>
      </c>
      <c r="AM191" s="225"/>
      <c r="BS191" s="225">
        <v>46.27</v>
      </c>
      <c r="BT191" s="180" t="s">
        <v>8023</v>
      </c>
      <c r="BU191" s="136">
        <v>23.14</v>
      </c>
      <c r="BV191" s="180" t="s">
        <v>8023</v>
      </c>
    </row>
    <row r="192" spans="1:74">
      <c r="A192" s="154" t="s">
        <v>7738</v>
      </c>
      <c r="B192" s="231" t="s">
        <v>257</v>
      </c>
      <c r="C192" s="231" t="s">
        <v>7982</v>
      </c>
      <c r="D192" s="231"/>
      <c r="E192" s="230">
        <v>10</v>
      </c>
      <c r="F192" s="232">
        <v>55</v>
      </c>
      <c r="G192" s="230"/>
      <c r="S192" s="225">
        <v>1410.2861129999999</v>
      </c>
      <c r="T192" s="180" t="s">
        <v>8023</v>
      </c>
      <c r="Y192" s="225">
        <v>646.98</v>
      </c>
      <c r="Z192" s="180" t="s">
        <v>8023</v>
      </c>
      <c r="AA192" s="225">
        <v>60356.51</v>
      </c>
      <c r="AB192" s="180" t="s">
        <v>8023</v>
      </c>
      <c r="AC192">
        <v>30.02</v>
      </c>
      <c r="AD192" s="180" t="s">
        <v>8023</v>
      </c>
      <c r="AG192" s="225">
        <v>4.973600845</v>
      </c>
      <c r="AH192" s="180" t="s">
        <v>8023</v>
      </c>
      <c r="AM192" s="225"/>
      <c r="BS192" s="225">
        <v>46.98</v>
      </c>
      <c r="BT192" s="180" t="s">
        <v>8023</v>
      </c>
      <c r="BU192" s="136">
        <v>21.55</v>
      </c>
      <c r="BV192" s="180" t="s">
        <v>8023</v>
      </c>
    </row>
    <row r="193" spans="1:74">
      <c r="A193" s="154" t="s">
        <v>7738</v>
      </c>
      <c r="B193" s="231" t="s">
        <v>259</v>
      </c>
      <c r="C193" s="231" t="s">
        <v>7982</v>
      </c>
      <c r="D193" s="231"/>
      <c r="E193" s="230">
        <v>13</v>
      </c>
      <c r="F193" s="232">
        <v>43</v>
      </c>
      <c r="G193" s="230"/>
      <c r="S193" s="225">
        <v>1249.1111249999999</v>
      </c>
      <c r="T193" s="180" t="s">
        <v>8023</v>
      </c>
      <c r="Y193" s="225">
        <v>585.79</v>
      </c>
      <c r="Z193" s="180" t="s">
        <v>8023</v>
      </c>
      <c r="AA193" s="225">
        <v>57593.39</v>
      </c>
      <c r="AB193" s="180" t="s">
        <v>8023</v>
      </c>
      <c r="AC193">
        <v>26.74</v>
      </c>
      <c r="AD193" s="180" t="s">
        <v>8023</v>
      </c>
      <c r="AG193" s="225">
        <v>4.6421471170000004</v>
      </c>
      <c r="AH193" s="180" t="s">
        <v>8023</v>
      </c>
      <c r="AM193" s="225"/>
      <c r="BS193" s="225">
        <v>46.72</v>
      </c>
      <c r="BT193" s="180" t="s">
        <v>8023</v>
      </c>
      <c r="BU193" s="136">
        <v>21.91</v>
      </c>
      <c r="BV193" s="180" t="s">
        <v>8023</v>
      </c>
    </row>
    <row r="194" spans="1:74">
      <c r="A194" s="154" t="s">
        <v>7739</v>
      </c>
      <c r="B194" s="231" t="s">
        <v>257</v>
      </c>
      <c r="C194" s="231" t="s">
        <v>405</v>
      </c>
      <c r="D194" s="231"/>
      <c r="E194" s="229">
        <v>20</v>
      </c>
      <c r="F194" s="232">
        <v>23</v>
      </c>
      <c r="G194" s="230"/>
      <c r="S194" s="225">
        <v>1558.0239019999999</v>
      </c>
      <c r="T194" s="180" t="s">
        <v>8023</v>
      </c>
      <c r="Y194" s="225">
        <v>716.68</v>
      </c>
      <c r="Z194" s="180" t="s">
        <v>8023</v>
      </c>
      <c r="AA194" s="225">
        <v>72261.22</v>
      </c>
      <c r="AB194" s="180" t="s">
        <v>8023</v>
      </c>
      <c r="AC194">
        <v>32.65</v>
      </c>
      <c r="AD194" s="180" t="s">
        <v>8023</v>
      </c>
      <c r="AG194" s="225">
        <v>4.5183714000000004</v>
      </c>
      <c r="AH194" s="180" t="s">
        <v>8023</v>
      </c>
      <c r="AM194" s="225"/>
      <c r="BS194" s="225">
        <v>47.72</v>
      </c>
      <c r="BT194" s="180" t="s">
        <v>8023</v>
      </c>
      <c r="BU194" s="136">
        <v>21.95</v>
      </c>
      <c r="BV194" s="180" t="s">
        <v>8023</v>
      </c>
    </row>
    <row r="195" spans="1:74">
      <c r="A195" s="154" t="s">
        <v>7739</v>
      </c>
      <c r="B195" s="231" t="s">
        <v>259</v>
      </c>
      <c r="C195" s="231" t="s">
        <v>405</v>
      </c>
      <c r="D195" s="231"/>
      <c r="E195" s="229">
        <v>3</v>
      </c>
      <c r="F195" s="232">
        <v>13</v>
      </c>
      <c r="G195" s="230"/>
      <c r="S195" s="225">
        <v>1388.3994560000001</v>
      </c>
      <c r="T195" s="180" t="s">
        <v>8023</v>
      </c>
      <c r="Y195" s="225">
        <v>661.4</v>
      </c>
      <c r="Z195" s="180" t="s">
        <v>8023</v>
      </c>
      <c r="AA195" s="225">
        <v>67596.460000000006</v>
      </c>
      <c r="AB195" s="180" t="s">
        <v>8023</v>
      </c>
      <c r="AC195">
        <v>29.22</v>
      </c>
      <c r="AD195" s="180" t="s">
        <v>8023</v>
      </c>
      <c r="AG195" s="225">
        <v>4.3222748820000003</v>
      </c>
      <c r="AH195" s="180" t="s">
        <v>8023</v>
      </c>
      <c r="AM195" s="225"/>
      <c r="BS195" s="225">
        <v>47.52</v>
      </c>
      <c r="BT195" s="180" t="s">
        <v>8023</v>
      </c>
      <c r="BU195" s="136">
        <v>22.64</v>
      </c>
      <c r="BV195" s="180" t="s">
        <v>8023</v>
      </c>
    </row>
    <row r="196" spans="1:74">
      <c r="A196" s="154" t="s">
        <v>7739</v>
      </c>
      <c r="B196" s="231" t="s">
        <v>257</v>
      </c>
      <c r="C196" s="231" t="s">
        <v>7963</v>
      </c>
      <c r="D196" s="231"/>
      <c r="E196" s="229">
        <v>2</v>
      </c>
      <c r="F196" s="232">
        <v>64</v>
      </c>
      <c r="G196" s="230"/>
      <c r="S196" s="225">
        <v>1289.3338779999999</v>
      </c>
      <c r="T196" s="180" t="s">
        <v>8023</v>
      </c>
      <c r="Y196" s="225">
        <v>559.09</v>
      </c>
      <c r="Z196" s="180" t="s">
        <v>8023</v>
      </c>
      <c r="AA196" s="225">
        <v>56640.89</v>
      </c>
      <c r="AB196" s="180" t="s">
        <v>8023</v>
      </c>
      <c r="AC196">
        <v>26.34</v>
      </c>
      <c r="AD196" s="180" t="s">
        <v>8023</v>
      </c>
      <c r="AG196" s="225">
        <v>4.6506986030000004</v>
      </c>
      <c r="AH196" s="180" t="s">
        <v>8023</v>
      </c>
      <c r="AM196" s="225"/>
      <c r="BS196" s="225">
        <v>48.95</v>
      </c>
      <c r="BT196" s="180" t="s">
        <v>8023</v>
      </c>
      <c r="BU196" s="136">
        <v>21.22</v>
      </c>
      <c r="BV196" s="180" t="s">
        <v>8023</v>
      </c>
    </row>
    <row r="197" spans="1:74">
      <c r="A197" s="154" t="s">
        <v>7739</v>
      </c>
      <c r="B197" s="231" t="s">
        <v>259</v>
      </c>
      <c r="C197" s="231" t="s">
        <v>7963</v>
      </c>
      <c r="D197" s="231"/>
      <c r="E197" s="229">
        <v>5</v>
      </c>
      <c r="F197" s="232">
        <v>35</v>
      </c>
      <c r="G197" s="230"/>
      <c r="S197" s="225">
        <v>1279.1789920000001</v>
      </c>
      <c r="T197" s="180" t="s">
        <v>8023</v>
      </c>
      <c r="Y197" s="225">
        <v>641.30999999999995</v>
      </c>
      <c r="Z197" s="180" t="s">
        <v>8023</v>
      </c>
      <c r="AA197" s="225">
        <v>71258.78</v>
      </c>
      <c r="AB197" s="180" t="s">
        <v>8023</v>
      </c>
      <c r="AC197">
        <v>27.7</v>
      </c>
      <c r="AD197" s="180" t="s">
        <v>8023</v>
      </c>
      <c r="AG197" s="225">
        <v>3.8870151769999999</v>
      </c>
      <c r="AH197" s="180" t="s">
        <v>8023</v>
      </c>
      <c r="AM197" s="225"/>
      <c r="BS197" s="225">
        <v>46.18</v>
      </c>
      <c r="BT197" s="180" t="s">
        <v>8023</v>
      </c>
      <c r="BU197" s="136">
        <v>23.15</v>
      </c>
      <c r="BV197" s="180" t="s">
        <v>8023</v>
      </c>
    </row>
    <row r="198" spans="1:74">
      <c r="A198" s="154" t="s">
        <v>7739</v>
      </c>
      <c r="B198" s="231" t="s">
        <v>257</v>
      </c>
      <c r="C198" s="231" t="s">
        <v>7964</v>
      </c>
      <c r="D198" s="231"/>
      <c r="E198" s="230">
        <v>6</v>
      </c>
      <c r="F198" s="232">
        <v>31</v>
      </c>
      <c r="G198" s="230"/>
      <c r="S198" s="225">
        <v>1241.3540069999999</v>
      </c>
      <c r="T198" s="180" t="s">
        <v>8023</v>
      </c>
      <c r="Y198" s="225">
        <v>615.92999999999995</v>
      </c>
      <c r="Z198" s="180" t="s">
        <v>8023</v>
      </c>
      <c r="AA198" s="225">
        <v>65817.649999999994</v>
      </c>
      <c r="AB198" s="180" t="s">
        <v>8023</v>
      </c>
      <c r="AC198">
        <v>26.6</v>
      </c>
      <c r="AD198" s="180" t="s">
        <v>8023</v>
      </c>
      <c r="AG198" s="225">
        <v>4.041811847</v>
      </c>
      <c r="AH198" s="180" t="s">
        <v>8023</v>
      </c>
      <c r="AM198" s="225"/>
      <c r="BS198" s="225">
        <v>46.66</v>
      </c>
      <c r="BT198" s="180" t="s">
        <v>8023</v>
      </c>
      <c r="BU198" s="136">
        <v>23.15</v>
      </c>
      <c r="BV198" s="180" t="s">
        <v>8023</v>
      </c>
    </row>
    <row r="199" spans="1:74">
      <c r="A199" s="154" t="s">
        <v>7739</v>
      </c>
      <c r="B199" s="231" t="s">
        <v>259</v>
      </c>
      <c r="C199" s="231" t="s">
        <v>7964</v>
      </c>
      <c r="D199" s="231"/>
      <c r="E199" s="230">
        <v>8</v>
      </c>
      <c r="F199" s="232">
        <v>10</v>
      </c>
      <c r="G199" s="230"/>
      <c r="S199" s="225">
        <v>1187.7999420000001</v>
      </c>
      <c r="T199" s="180" t="s">
        <v>8023</v>
      </c>
      <c r="Y199" s="225">
        <v>628.64</v>
      </c>
      <c r="Z199" s="180" t="s">
        <v>8023</v>
      </c>
      <c r="AA199" s="225">
        <v>57927.45</v>
      </c>
      <c r="AB199" s="180" t="s">
        <v>8023</v>
      </c>
      <c r="AC199">
        <v>25.94</v>
      </c>
      <c r="AD199" s="180" t="s">
        <v>8023</v>
      </c>
      <c r="AG199" s="225">
        <v>4.477756286</v>
      </c>
      <c r="AH199" s="180" t="s">
        <v>8023</v>
      </c>
      <c r="AM199" s="225"/>
      <c r="BS199" s="225">
        <v>45.79</v>
      </c>
      <c r="BT199" s="180" t="s">
        <v>8023</v>
      </c>
      <c r="BU199" s="136">
        <v>24.24</v>
      </c>
      <c r="BV199" s="180" t="s">
        <v>8023</v>
      </c>
    </row>
    <row r="200" spans="1:74">
      <c r="A200" s="154" t="s">
        <v>7739</v>
      </c>
      <c r="B200" s="231" t="s">
        <v>257</v>
      </c>
      <c r="C200" s="231" t="s">
        <v>7982</v>
      </c>
      <c r="D200" s="231"/>
      <c r="E200" s="229">
        <v>9</v>
      </c>
      <c r="F200" s="232">
        <v>20</v>
      </c>
      <c r="G200" s="230"/>
      <c r="S200" s="225">
        <v>1055.15789</v>
      </c>
      <c r="T200" s="180" t="s">
        <v>8023</v>
      </c>
      <c r="Y200" s="225">
        <v>500.64</v>
      </c>
      <c r="Z200" s="180" t="s">
        <v>8023</v>
      </c>
      <c r="AA200" s="225">
        <v>45963.16</v>
      </c>
      <c r="AB200" s="180" t="s">
        <v>8023</v>
      </c>
      <c r="AC200">
        <v>22.4</v>
      </c>
      <c r="AD200" s="180" t="s">
        <v>8023</v>
      </c>
      <c r="AG200" s="225">
        <v>4.8736842109999996</v>
      </c>
      <c r="AH200" s="180" t="s">
        <v>8023</v>
      </c>
      <c r="AM200" s="225"/>
      <c r="BS200" s="225">
        <v>47.1</v>
      </c>
      <c r="BT200" s="180" t="s">
        <v>8023</v>
      </c>
      <c r="BU200" s="136">
        <v>22.35</v>
      </c>
      <c r="BV200" s="180" t="s">
        <v>8023</v>
      </c>
    </row>
    <row r="201" spans="1:74">
      <c r="A201" s="154" t="s">
        <v>7739</v>
      </c>
      <c r="B201" s="231" t="s">
        <v>259</v>
      </c>
      <c r="C201" s="231" t="s">
        <v>7982</v>
      </c>
      <c r="D201" s="231"/>
      <c r="E201" s="229">
        <v>12</v>
      </c>
      <c r="F201" s="232">
        <v>38</v>
      </c>
      <c r="G201" s="230"/>
      <c r="S201" s="225">
        <v>911.39078470000004</v>
      </c>
      <c r="T201" s="180" t="s">
        <v>8023</v>
      </c>
      <c r="Y201" s="225">
        <v>495.71</v>
      </c>
      <c r="Z201" s="180" t="s">
        <v>8023</v>
      </c>
      <c r="AA201" s="225">
        <v>48082.84</v>
      </c>
      <c r="AB201" s="180" t="s">
        <v>8023</v>
      </c>
      <c r="AC201">
        <v>20.28</v>
      </c>
      <c r="AD201" s="180" t="s">
        <v>8023</v>
      </c>
      <c r="AG201" s="225">
        <v>4.2171945700000002</v>
      </c>
      <c r="AH201" s="180" t="s">
        <v>8023</v>
      </c>
      <c r="AM201" s="225"/>
      <c r="BS201" s="225">
        <v>44.95</v>
      </c>
      <c r="BT201" s="180" t="s">
        <v>8023</v>
      </c>
      <c r="BU201" s="136">
        <v>24.45</v>
      </c>
      <c r="BV201" s="180" t="s">
        <v>8023</v>
      </c>
    </row>
    <row r="202" spans="1:74">
      <c r="A202" s="154" t="s">
        <v>7866</v>
      </c>
      <c r="B202" s="231" t="s">
        <v>257</v>
      </c>
      <c r="C202" s="231" t="s">
        <v>405</v>
      </c>
      <c r="D202" s="231"/>
      <c r="E202" s="229">
        <v>14</v>
      </c>
      <c r="F202" s="232">
        <v>22</v>
      </c>
      <c r="G202" s="230"/>
      <c r="S202" s="225">
        <v>1384.6969610000001</v>
      </c>
      <c r="T202" s="180" t="s">
        <v>8023</v>
      </c>
      <c r="Y202" s="225">
        <v>628.9</v>
      </c>
      <c r="Z202" s="180" t="s">
        <v>8023</v>
      </c>
      <c r="AA202" s="225">
        <v>67086.7</v>
      </c>
      <c r="AB202" s="180" t="s">
        <v>8023</v>
      </c>
      <c r="AC202">
        <v>29.41</v>
      </c>
      <c r="AD202" s="180" t="s">
        <v>8023</v>
      </c>
      <c r="AG202" s="225">
        <v>4.3839541549999996</v>
      </c>
      <c r="AH202" s="180" t="s">
        <v>8023</v>
      </c>
      <c r="AM202" s="225"/>
      <c r="BS202" s="225">
        <v>47.08</v>
      </c>
      <c r="BT202" s="180" t="s">
        <v>8023</v>
      </c>
      <c r="BU202" s="136">
        <v>21.38</v>
      </c>
      <c r="BV202" s="180" t="s">
        <v>8023</v>
      </c>
    </row>
    <row r="203" spans="1:74">
      <c r="A203" s="154" t="s">
        <v>7866</v>
      </c>
      <c r="B203" s="231" t="s">
        <v>259</v>
      </c>
      <c r="C203" s="231" t="s">
        <v>405</v>
      </c>
      <c r="D203" s="231"/>
      <c r="E203" s="229" t="s">
        <v>7965</v>
      </c>
      <c r="F203" s="232" t="s">
        <v>7965</v>
      </c>
      <c r="G203" s="230"/>
      <c r="S203" s="225">
        <v>1664.4125529999999</v>
      </c>
      <c r="T203" s="180" t="s">
        <v>8023</v>
      </c>
      <c r="Y203" s="225">
        <v>697.84</v>
      </c>
      <c r="Z203" s="180" t="s">
        <v>8023</v>
      </c>
      <c r="AA203" s="225">
        <v>73424.52</v>
      </c>
      <c r="AB203" s="180" t="s">
        <v>8023</v>
      </c>
      <c r="AC203">
        <v>34.22</v>
      </c>
      <c r="AD203" s="180" t="s">
        <v>8023</v>
      </c>
      <c r="AG203" s="225">
        <v>4.6598984769999996</v>
      </c>
      <c r="AH203" s="180" t="s">
        <v>8023</v>
      </c>
      <c r="AM203" s="225"/>
      <c r="BS203" s="225">
        <v>48.65</v>
      </c>
      <c r="BT203" s="180" t="s">
        <v>8023</v>
      </c>
      <c r="BU203" s="136">
        <v>20.399999999999999</v>
      </c>
      <c r="BV203" s="180" t="s">
        <v>8023</v>
      </c>
    </row>
    <row r="204" spans="1:74">
      <c r="A204" s="154" t="s">
        <v>7866</v>
      </c>
      <c r="B204" s="231" t="s">
        <v>257</v>
      </c>
      <c r="C204" s="231" t="s">
        <v>7963</v>
      </c>
      <c r="D204" s="231"/>
      <c r="E204" s="230" t="s">
        <v>7965</v>
      </c>
      <c r="F204" s="232" t="s">
        <v>7965</v>
      </c>
      <c r="G204" s="230"/>
      <c r="S204" s="225">
        <v>1330.875526</v>
      </c>
      <c r="T204" s="180" t="s">
        <v>8023</v>
      </c>
      <c r="Y204" s="225">
        <v>566.22</v>
      </c>
      <c r="Z204" s="180" t="s">
        <v>8023</v>
      </c>
      <c r="AA204" s="225">
        <v>57043.02</v>
      </c>
      <c r="AB204" s="180" t="s">
        <v>8023</v>
      </c>
      <c r="AC204">
        <v>27.62</v>
      </c>
      <c r="AD204" s="180" t="s">
        <v>8023</v>
      </c>
      <c r="AG204" s="225">
        <v>4.8427672959999999</v>
      </c>
      <c r="AH204" s="180" t="s">
        <v>8023</v>
      </c>
      <c r="AM204" s="225"/>
      <c r="BS204" s="225">
        <v>48.18</v>
      </c>
      <c r="BT204" s="180" t="s">
        <v>8023</v>
      </c>
      <c r="BU204" s="136">
        <v>20.5</v>
      </c>
      <c r="BV204" s="180" t="s">
        <v>8023</v>
      </c>
    </row>
    <row r="205" spans="1:74">
      <c r="A205" s="154" t="s">
        <v>7866</v>
      </c>
      <c r="B205" s="231" t="s">
        <v>259</v>
      </c>
      <c r="C205" s="231" t="s">
        <v>7963</v>
      </c>
      <c r="D205" s="231"/>
      <c r="E205" s="230">
        <v>5</v>
      </c>
      <c r="F205" s="232">
        <v>5</v>
      </c>
      <c r="G205" s="230"/>
      <c r="S205" s="225">
        <v>1783.6762080000001</v>
      </c>
      <c r="T205" s="180" t="s">
        <v>8023</v>
      </c>
      <c r="Y205" s="225">
        <v>759.42</v>
      </c>
      <c r="Z205" s="180" t="s">
        <v>8023</v>
      </c>
      <c r="AA205" s="225">
        <v>80121.259999999995</v>
      </c>
      <c r="AB205" s="180" t="s">
        <v>8023</v>
      </c>
      <c r="AC205">
        <v>36.74</v>
      </c>
      <c r="AD205" s="180" t="s">
        <v>8023</v>
      </c>
      <c r="AG205" s="225">
        <v>4.5857988169999997</v>
      </c>
      <c r="AH205" s="180" t="s">
        <v>8023</v>
      </c>
      <c r="AM205" s="225"/>
      <c r="BS205" s="225">
        <v>48.55</v>
      </c>
      <c r="BT205" s="180" t="s">
        <v>8023</v>
      </c>
      <c r="BU205" s="136">
        <v>20.67</v>
      </c>
      <c r="BV205" s="180" t="s">
        <v>8023</v>
      </c>
    </row>
    <row r="206" spans="1:74">
      <c r="A206" s="154" t="s">
        <v>7866</v>
      </c>
      <c r="B206" s="231" t="s">
        <v>257</v>
      </c>
      <c r="C206" s="231" t="s">
        <v>7964</v>
      </c>
      <c r="D206" s="231"/>
      <c r="E206" s="229">
        <v>5</v>
      </c>
      <c r="F206" s="232">
        <v>18</v>
      </c>
      <c r="G206" s="230"/>
      <c r="S206" s="225">
        <v>1484.1760019999999</v>
      </c>
      <c r="T206" s="180" t="s">
        <v>8023</v>
      </c>
      <c r="Y206" s="225">
        <v>671.91</v>
      </c>
      <c r="Z206" s="180" t="s">
        <v>8023</v>
      </c>
      <c r="AA206" s="225">
        <v>65324.7</v>
      </c>
      <c r="AB206" s="180" t="s">
        <v>8023</v>
      </c>
      <c r="AC206">
        <v>31.18</v>
      </c>
      <c r="AD206" s="180" t="s">
        <v>8023</v>
      </c>
      <c r="AG206" s="225">
        <v>4.7731958759999999</v>
      </c>
      <c r="AH206" s="180" t="s">
        <v>8023</v>
      </c>
      <c r="AM206" s="225"/>
      <c r="BS206" s="225">
        <v>47.6</v>
      </c>
      <c r="BT206" s="180" t="s">
        <v>8023</v>
      </c>
      <c r="BU206" s="136">
        <v>21.55</v>
      </c>
      <c r="BV206" s="180" t="s">
        <v>8023</v>
      </c>
    </row>
    <row r="207" spans="1:74">
      <c r="A207" s="154" t="s">
        <v>7866</v>
      </c>
      <c r="B207" s="231" t="s">
        <v>259</v>
      </c>
      <c r="C207" s="231" t="s">
        <v>7964</v>
      </c>
      <c r="D207" s="231"/>
      <c r="E207" s="229">
        <v>12</v>
      </c>
      <c r="F207" s="232">
        <v>3</v>
      </c>
      <c r="G207" s="230"/>
      <c r="S207" s="225">
        <v>1701.309141</v>
      </c>
      <c r="T207" s="180" t="s">
        <v>8023</v>
      </c>
      <c r="Y207" s="225">
        <v>766.08</v>
      </c>
      <c r="Z207" s="180" t="s">
        <v>8023</v>
      </c>
      <c r="AA207" s="225">
        <v>73421.45</v>
      </c>
      <c r="AB207" s="180" t="s">
        <v>8023</v>
      </c>
      <c r="AC207">
        <v>35.380000000000003</v>
      </c>
      <c r="AD207" s="180" t="s">
        <v>8023</v>
      </c>
      <c r="AG207" s="225">
        <v>4.8182762200000004</v>
      </c>
      <c r="AH207" s="180" t="s">
        <v>8023</v>
      </c>
      <c r="AM207" s="225"/>
      <c r="BS207" s="225">
        <v>48.09</v>
      </c>
      <c r="BT207" s="180" t="s">
        <v>8023</v>
      </c>
      <c r="BU207" s="136">
        <v>21.65</v>
      </c>
      <c r="BV207" s="180" t="s">
        <v>8023</v>
      </c>
    </row>
    <row r="208" spans="1:74">
      <c r="A208" s="154" t="s">
        <v>7866</v>
      </c>
      <c r="B208" s="231" t="s">
        <v>257</v>
      </c>
      <c r="C208" s="231" t="s">
        <v>7982</v>
      </c>
      <c r="D208" s="231"/>
      <c r="E208" s="229">
        <v>15</v>
      </c>
      <c r="F208" s="232">
        <v>58</v>
      </c>
      <c r="G208" s="230"/>
      <c r="S208" s="225">
        <v>1327.160799</v>
      </c>
      <c r="T208" s="180" t="s">
        <v>8023</v>
      </c>
      <c r="Y208" s="225">
        <v>606.54999999999995</v>
      </c>
      <c r="Z208" s="180" t="s">
        <v>8023</v>
      </c>
      <c r="AA208" s="225">
        <v>60777.98</v>
      </c>
      <c r="AB208" s="180" t="s">
        <v>8023</v>
      </c>
      <c r="AC208">
        <v>28.2</v>
      </c>
      <c r="AD208" s="180" t="s">
        <v>8023</v>
      </c>
      <c r="AG208" s="225">
        <v>4.6396841069999999</v>
      </c>
      <c r="AH208" s="180" t="s">
        <v>8023</v>
      </c>
      <c r="AM208" s="225"/>
      <c r="BS208" s="225">
        <v>47.06</v>
      </c>
      <c r="BT208" s="180" t="s">
        <v>8023</v>
      </c>
      <c r="BU208" s="136">
        <v>21.51</v>
      </c>
      <c r="BV208" s="180" t="s">
        <v>8023</v>
      </c>
    </row>
    <row r="209" spans="1:74">
      <c r="A209" s="154" t="s">
        <v>7866</v>
      </c>
      <c r="B209" s="231" t="s">
        <v>259</v>
      </c>
      <c r="C209" s="231" t="s">
        <v>7982</v>
      </c>
      <c r="D209" s="231"/>
      <c r="E209" s="229">
        <v>4</v>
      </c>
      <c r="F209" s="232">
        <v>15</v>
      </c>
      <c r="G209" s="230"/>
      <c r="S209" s="225">
        <v>1757.648938</v>
      </c>
      <c r="T209" s="180" t="s">
        <v>8023</v>
      </c>
      <c r="Y209" s="225">
        <v>805.16</v>
      </c>
      <c r="Z209" s="180" t="s">
        <v>8023</v>
      </c>
      <c r="AA209" s="225">
        <v>80240.58</v>
      </c>
      <c r="AB209" s="180" t="s">
        <v>8023</v>
      </c>
      <c r="AC209">
        <v>37.29</v>
      </c>
      <c r="AD209" s="180" t="s">
        <v>8023</v>
      </c>
      <c r="AG209" s="225">
        <v>4.6474677260000004</v>
      </c>
      <c r="AH209" s="180" t="s">
        <v>8023</v>
      </c>
      <c r="AM209" s="225"/>
      <c r="BS209" s="225">
        <v>47.13</v>
      </c>
      <c r="BT209" s="180" t="s">
        <v>8023</v>
      </c>
      <c r="BU209" s="136">
        <v>21.59</v>
      </c>
      <c r="BV209" s="180" t="s">
        <v>8023</v>
      </c>
    </row>
    <row r="210" spans="1:74">
      <c r="A210" s="154" t="s">
        <v>7740</v>
      </c>
      <c r="B210" s="231" t="s">
        <v>257</v>
      </c>
      <c r="C210" s="231" t="s">
        <v>405</v>
      </c>
      <c r="D210" s="231"/>
      <c r="E210" s="230">
        <v>2</v>
      </c>
      <c r="F210" s="232">
        <v>30</v>
      </c>
      <c r="G210" s="230"/>
      <c r="S210" s="225">
        <v>1428.7306699999999</v>
      </c>
      <c r="T210" s="180" t="s">
        <v>8023</v>
      </c>
      <c r="Y210" s="225">
        <v>578.38</v>
      </c>
      <c r="Z210" s="180" t="s">
        <v>8023</v>
      </c>
      <c r="AA210" s="225">
        <v>53935.93</v>
      </c>
      <c r="AB210" s="180" t="s">
        <v>8023</v>
      </c>
      <c r="AC210">
        <v>29.21</v>
      </c>
      <c r="AD210" s="180" t="s">
        <v>8023</v>
      </c>
      <c r="AG210" s="225">
        <v>5.4161640530000001</v>
      </c>
      <c r="AH210" s="180" t="s">
        <v>8023</v>
      </c>
      <c r="AM210" s="225"/>
      <c r="BS210" s="225">
        <v>48.91</v>
      </c>
      <c r="BT210" s="180" t="s">
        <v>8023</v>
      </c>
      <c r="BU210" s="136">
        <v>19.8</v>
      </c>
      <c r="BV210" s="180" t="s">
        <v>8023</v>
      </c>
    </row>
    <row r="211" spans="1:74">
      <c r="A211" s="154" t="s">
        <v>7740</v>
      </c>
      <c r="B211" s="231" t="s">
        <v>259</v>
      </c>
      <c r="C211" s="231" t="s">
        <v>405</v>
      </c>
      <c r="D211" s="231"/>
      <c r="E211" s="230">
        <v>5</v>
      </c>
      <c r="F211" s="232">
        <v>57</v>
      </c>
      <c r="G211" s="230"/>
      <c r="S211" s="225">
        <v>1553.970877</v>
      </c>
      <c r="T211" s="180" t="s">
        <v>8023</v>
      </c>
      <c r="Y211" s="225">
        <v>714.47</v>
      </c>
      <c r="Z211" s="180" t="s">
        <v>8023</v>
      </c>
      <c r="AA211" s="225">
        <v>61475.34</v>
      </c>
      <c r="AB211" s="180" t="s">
        <v>8023</v>
      </c>
      <c r="AC211">
        <v>33.01</v>
      </c>
      <c r="AD211" s="180" t="s">
        <v>8023</v>
      </c>
      <c r="AG211" s="225">
        <v>5.3692848770000001</v>
      </c>
      <c r="AH211" s="180" t="s">
        <v>8023</v>
      </c>
      <c r="AM211" s="225"/>
      <c r="BS211" s="225">
        <v>47.08</v>
      </c>
      <c r="BT211" s="180" t="s">
        <v>8023</v>
      </c>
      <c r="BU211" s="136">
        <v>21.65</v>
      </c>
      <c r="BV211" s="180" t="s">
        <v>8023</v>
      </c>
    </row>
    <row r="212" spans="1:74">
      <c r="A212" s="154" t="s">
        <v>7740</v>
      </c>
      <c r="B212" s="231" t="s">
        <v>257</v>
      </c>
      <c r="C212" s="231" t="s">
        <v>7963</v>
      </c>
      <c r="D212" s="231"/>
      <c r="E212" s="229">
        <v>5</v>
      </c>
      <c r="F212" s="232">
        <v>4</v>
      </c>
      <c r="G212" s="230"/>
      <c r="S212" s="225">
        <v>1507.2710509999999</v>
      </c>
      <c r="T212" s="180" t="s">
        <v>8023</v>
      </c>
      <c r="Y212" s="225">
        <v>584.35</v>
      </c>
      <c r="Z212" s="180" t="s">
        <v>8023</v>
      </c>
      <c r="AA212" s="225">
        <v>56456.3</v>
      </c>
      <c r="AB212" s="180" t="s">
        <v>8023</v>
      </c>
      <c r="AC212">
        <v>30.25</v>
      </c>
      <c r="AD212" s="180" t="s">
        <v>8023</v>
      </c>
      <c r="AG212" s="225">
        <v>5.3575615470000004</v>
      </c>
      <c r="AH212" s="180" t="s">
        <v>8023</v>
      </c>
      <c r="AM212" s="225"/>
      <c r="BS212" s="225">
        <v>49.83</v>
      </c>
      <c r="BT212" s="180" t="s">
        <v>8023</v>
      </c>
      <c r="BU212" s="136">
        <v>19.32</v>
      </c>
      <c r="BV212" s="180" t="s">
        <v>8023</v>
      </c>
    </row>
    <row r="213" spans="1:74">
      <c r="A213" s="154" t="s">
        <v>7740</v>
      </c>
      <c r="B213" s="231" t="s">
        <v>259</v>
      </c>
      <c r="C213" s="231" t="s">
        <v>7963</v>
      </c>
      <c r="D213" s="231"/>
      <c r="E213" s="229">
        <v>11</v>
      </c>
      <c r="F213" s="232">
        <v>25</v>
      </c>
      <c r="G213" s="230"/>
      <c r="S213" s="225">
        <v>1217.210437</v>
      </c>
      <c r="T213" s="180" t="s">
        <v>8023</v>
      </c>
      <c r="Y213" s="225">
        <v>578.04999999999995</v>
      </c>
      <c r="Z213" s="180" t="s">
        <v>8023</v>
      </c>
      <c r="AA213" s="225">
        <v>48007.98</v>
      </c>
      <c r="AB213" s="180" t="s">
        <v>8023</v>
      </c>
      <c r="AC213">
        <v>26.19</v>
      </c>
      <c r="AD213" s="180" t="s">
        <v>8023</v>
      </c>
      <c r="AG213" s="225">
        <v>5.4545454549999999</v>
      </c>
      <c r="AH213" s="180" t="s">
        <v>8023</v>
      </c>
      <c r="AM213" s="225"/>
      <c r="BS213" s="225">
        <v>46.48</v>
      </c>
      <c r="BT213" s="180" t="s">
        <v>8023</v>
      </c>
      <c r="BU213" s="136">
        <v>22.07</v>
      </c>
      <c r="BV213" s="180" t="s">
        <v>8023</v>
      </c>
    </row>
    <row r="214" spans="1:74">
      <c r="A214" s="154" t="s">
        <v>7740</v>
      </c>
      <c r="B214" s="231" t="s">
        <v>257</v>
      </c>
      <c r="C214" s="231" t="s">
        <v>7964</v>
      </c>
      <c r="D214" s="231"/>
      <c r="E214" s="229">
        <v>12</v>
      </c>
      <c r="F214" s="232">
        <v>5</v>
      </c>
      <c r="G214" s="230"/>
      <c r="S214" s="225">
        <v>1545.9313380000001</v>
      </c>
      <c r="T214" s="180" t="s">
        <v>8023</v>
      </c>
      <c r="Y214" s="225">
        <v>638.47</v>
      </c>
      <c r="Z214" s="180" t="s">
        <v>8023</v>
      </c>
      <c r="AA214" s="225">
        <v>64951.71</v>
      </c>
      <c r="AB214" s="180" t="s">
        <v>8023</v>
      </c>
      <c r="AC214">
        <v>31.76</v>
      </c>
      <c r="AD214" s="180" t="s">
        <v>8023</v>
      </c>
      <c r="AG214" s="225">
        <v>4.8891235479999997</v>
      </c>
      <c r="AH214" s="180" t="s">
        <v>8023</v>
      </c>
      <c r="AM214" s="225"/>
      <c r="BS214" s="225">
        <v>48.68</v>
      </c>
      <c r="BT214" s="180" t="s">
        <v>8023</v>
      </c>
      <c r="BU214" s="136">
        <v>20.11</v>
      </c>
      <c r="BV214" s="180" t="s">
        <v>8023</v>
      </c>
    </row>
    <row r="215" spans="1:74">
      <c r="A215" s="154" t="s">
        <v>7740</v>
      </c>
      <c r="B215" s="231" t="s">
        <v>259</v>
      </c>
      <c r="C215" s="231" t="s">
        <v>7964</v>
      </c>
      <c r="D215" s="231"/>
      <c r="E215" s="229">
        <v>10</v>
      </c>
      <c r="F215" s="232">
        <v>51</v>
      </c>
      <c r="G215" s="230"/>
      <c r="S215" s="225">
        <v>1452.8128710000001</v>
      </c>
      <c r="T215" s="180" t="s">
        <v>8023</v>
      </c>
      <c r="Y215" s="225">
        <v>664.59</v>
      </c>
      <c r="Z215" s="180" t="s">
        <v>8023</v>
      </c>
      <c r="AA215" s="225">
        <v>59485.9</v>
      </c>
      <c r="AB215" s="180" t="s">
        <v>8023</v>
      </c>
      <c r="AC215">
        <v>30.71</v>
      </c>
      <c r="AD215" s="180" t="s">
        <v>8023</v>
      </c>
      <c r="AG215" s="225">
        <v>5.1623740199999997</v>
      </c>
      <c r="AH215" s="180" t="s">
        <v>8023</v>
      </c>
      <c r="AM215" s="225"/>
      <c r="BS215" s="225">
        <v>47.31</v>
      </c>
      <c r="BT215" s="180" t="s">
        <v>8023</v>
      </c>
      <c r="BU215" s="136">
        <v>21.64</v>
      </c>
      <c r="BV215" s="180" t="s">
        <v>8023</v>
      </c>
    </row>
    <row r="216" spans="1:74">
      <c r="A216" s="154" t="s">
        <v>7740</v>
      </c>
      <c r="B216" s="231" t="s">
        <v>257</v>
      </c>
      <c r="C216" s="231" t="s">
        <v>7982</v>
      </c>
      <c r="D216" s="231"/>
      <c r="E216" s="229">
        <v>15</v>
      </c>
      <c r="F216" s="232">
        <v>37</v>
      </c>
      <c r="G216" s="230"/>
      <c r="S216" s="225">
        <v>1345.03143</v>
      </c>
      <c r="T216" s="180" t="s">
        <v>8023</v>
      </c>
      <c r="Y216" s="225">
        <v>556.85</v>
      </c>
      <c r="Z216" s="180" t="s">
        <v>8023</v>
      </c>
      <c r="AA216" s="225">
        <v>60615.15</v>
      </c>
      <c r="AB216" s="180" t="s">
        <v>8023</v>
      </c>
      <c r="AC216">
        <v>27.79</v>
      </c>
      <c r="AD216" s="180" t="s">
        <v>8023</v>
      </c>
      <c r="AG216" s="225">
        <v>4.5845552300000003</v>
      </c>
      <c r="AH216" s="180" t="s">
        <v>8023</v>
      </c>
      <c r="AM216" s="225"/>
      <c r="BS216" s="225">
        <v>48.4</v>
      </c>
      <c r="BT216" s="180" t="s">
        <v>8023</v>
      </c>
      <c r="BU216" s="136">
        <v>20.04</v>
      </c>
      <c r="BV216" s="180" t="s">
        <v>8023</v>
      </c>
    </row>
    <row r="217" spans="1:74">
      <c r="A217" s="154" t="s">
        <v>7740</v>
      </c>
      <c r="B217" s="231" t="s">
        <v>259</v>
      </c>
      <c r="C217" s="231" t="s">
        <v>7982</v>
      </c>
      <c r="D217" s="231"/>
      <c r="E217" s="230">
        <v>14</v>
      </c>
      <c r="F217" s="232">
        <v>27</v>
      </c>
      <c r="G217" s="230"/>
      <c r="S217" s="225">
        <v>1296.53846</v>
      </c>
      <c r="T217" s="180" t="s">
        <v>8023</v>
      </c>
      <c r="Y217" s="225">
        <v>606.01</v>
      </c>
      <c r="Z217" s="180" t="s">
        <v>8023</v>
      </c>
      <c r="AA217" s="225">
        <v>53476.44</v>
      </c>
      <c r="AB217" s="180" t="s">
        <v>8023</v>
      </c>
      <c r="AC217">
        <v>28.17</v>
      </c>
      <c r="AD217" s="180" t="s">
        <v>8023</v>
      </c>
      <c r="AG217" s="225">
        <v>5.2684563759999996</v>
      </c>
      <c r="AH217" s="180" t="s">
        <v>8023</v>
      </c>
      <c r="AM217" s="225"/>
      <c r="BS217" s="225">
        <v>46.02</v>
      </c>
      <c r="BT217" s="180" t="s">
        <v>8023</v>
      </c>
      <c r="BU217" s="136">
        <v>21.51</v>
      </c>
      <c r="BV217" s="180" t="s">
        <v>8023</v>
      </c>
    </row>
    <row r="218" spans="1:74">
      <c r="A218" s="154" t="s">
        <v>7852</v>
      </c>
      <c r="B218" s="231" t="s">
        <v>257</v>
      </c>
      <c r="C218" s="231" t="s">
        <v>405</v>
      </c>
      <c r="D218" s="231"/>
      <c r="E218" s="229">
        <v>1</v>
      </c>
      <c r="F218" s="232">
        <v>14</v>
      </c>
      <c r="G218" s="230"/>
      <c r="S218" s="225">
        <v>1609.6695580000001</v>
      </c>
      <c r="T218" s="180" t="s">
        <v>8023</v>
      </c>
      <c r="Y218" s="225">
        <v>648.58000000000004</v>
      </c>
      <c r="Z218" s="180" t="s">
        <v>8023</v>
      </c>
      <c r="AA218" s="225">
        <v>68374.64</v>
      </c>
      <c r="AB218" s="180" t="s">
        <v>8023</v>
      </c>
      <c r="AC218">
        <v>32.94</v>
      </c>
      <c r="AD218" s="180" t="s">
        <v>8023</v>
      </c>
      <c r="AG218" s="225">
        <v>4.8178980229999997</v>
      </c>
      <c r="AH218" s="180" t="s">
        <v>8023</v>
      </c>
      <c r="AM218" s="225"/>
      <c r="BS218" s="225">
        <v>48.86</v>
      </c>
      <c r="BT218" s="180" t="s">
        <v>8023</v>
      </c>
      <c r="BU218" s="136">
        <v>19.690000000000001</v>
      </c>
      <c r="BV218" s="180" t="s">
        <v>8023</v>
      </c>
    </row>
    <row r="219" spans="1:74">
      <c r="A219" s="154" t="s">
        <v>7852</v>
      </c>
      <c r="B219" s="231" t="s">
        <v>259</v>
      </c>
      <c r="C219" s="231" t="s">
        <v>405</v>
      </c>
      <c r="D219" s="231"/>
      <c r="E219" s="229">
        <v>4</v>
      </c>
      <c r="F219" s="232">
        <v>36</v>
      </c>
      <c r="G219" s="230"/>
      <c r="S219" s="225">
        <v>1590.3954080000001</v>
      </c>
      <c r="T219" s="180" t="s">
        <v>8023</v>
      </c>
      <c r="Y219" s="225">
        <v>684.87</v>
      </c>
      <c r="Z219" s="180" t="s">
        <v>8023</v>
      </c>
      <c r="AA219" s="225">
        <v>65435.14</v>
      </c>
      <c r="AB219" s="180" t="s">
        <v>8023</v>
      </c>
      <c r="AC219">
        <v>32.72</v>
      </c>
      <c r="AD219" s="180" t="s">
        <v>8023</v>
      </c>
      <c r="AG219" s="225">
        <v>5</v>
      </c>
      <c r="AH219" s="180" t="s">
        <v>8023</v>
      </c>
      <c r="AM219" s="225"/>
      <c r="BS219" s="225">
        <v>48.61</v>
      </c>
      <c r="BT219" s="180" t="s">
        <v>8023</v>
      </c>
      <c r="BU219" s="136">
        <v>20.93</v>
      </c>
      <c r="BV219" s="180" t="s">
        <v>8023</v>
      </c>
    </row>
    <row r="220" spans="1:74">
      <c r="A220" s="154" t="s">
        <v>7852</v>
      </c>
      <c r="B220" s="231" t="s">
        <v>257</v>
      </c>
      <c r="C220" s="231" t="s">
        <v>7963</v>
      </c>
      <c r="D220" s="231"/>
      <c r="E220" s="229">
        <v>5</v>
      </c>
      <c r="F220" s="232">
        <v>62</v>
      </c>
      <c r="G220" s="230"/>
      <c r="S220" s="225">
        <v>1700.6587079999999</v>
      </c>
      <c r="T220" s="180" t="s">
        <v>8023</v>
      </c>
      <c r="Y220" s="225">
        <v>684.71</v>
      </c>
      <c r="Z220" s="180" t="s">
        <v>8023</v>
      </c>
      <c r="AA220" s="225">
        <v>71964.59</v>
      </c>
      <c r="AB220" s="180" t="s">
        <v>8023</v>
      </c>
      <c r="AC220">
        <v>34.42</v>
      </c>
      <c r="AD220" s="180" t="s">
        <v>8023</v>
      </c>
      <c r="AG220" s="225">
        <v>4.7830578509999997</v>
      </c>
      <c r="AH220" s="180" t="s">
        <v>8023</v>
      </c>
      <c r="AM220" s="225"/>
      <c r="BS220" s="225">
        <v>49.41</v>
      </c>
      <c r="BT220" s="180" t="s">
        <v>8023</v>
      </c>
      <c r="BU220" s="136">
        <v>19.89</v>
      </c>
      <c r="BV220" s="180" t="s">
        <v>8023</v>
      </c>
    </row>
    <row r="221" spans="1:74">
      <c r="A221" s="154" t="s">
        <v>7852</v>
      </c>
      <c r="B221" s="231" t="s">
        <v>259</v>
      </c>
      <c r="C221" s="231" t="s">
        <v>7963</v>
      </c>
      <c r="D221" s="231"/>
      <c r="E221" s="229">
        <v>11</v>
      </c>
      <c r="F221" s="232">
        <v>2</v>
      </c>
      <c r="G221" s="230"/>
      <c r="S221" s="225">
        <v>1144.4135570000001</v>
      </c>
      <c r="T221" s="180" t="s">
        <v>8023</v>
      </c>
      <c r="Y221" s="225">
        <v>515.86</v>
      </c>
      <c r="Z221" s="180" t="s">
        <v>8023</v>
      </c>
      <c r="AA221" s="225">
        <v>46830.36</v>
      </c>
      <c r="AB221" s="180" t="s">
        <v>8023</v>
      </c>
      <c r="AC221">
        <v>24.05</v>
      </c>
      <c r="AD221" s="180" t="s">
        <v>8023</v>
      </c>
      <c r="AG221" s="225">
        <v>5.1351351349999996</v>
      </c>
      <c r="AH221" s="180" t="s">
        <v>8023</v>
      </c>
      <c r="AM221" s="225"/>
      <c r="BS221" s="225">
        <v>47.59</v>
      </c>
      <c r="BT221" s="180" t="s">
        <v>8023</v>
      </c>
      <c r="BU221" s="136">
        <v>21.45</v>
      </c>
      <c r="BV221" s="180" t="s">
        <v>8023</v>
      </c>
    </row>
    <row r="222" spans="1:74">
      <c r="A222" s="154" t="s">
        <v>7852</v>
      </c>
      <c r="B222" s="231" t="s">
        <v>257</v>
      </c>
      <c r="C222" s="231" t="s">
        <v>7964</v>
      </c>
      <c r="D222" s="231"/>
      <c r="E222" s="230">
        <v>10</v>
      </c>
      <c r="F222" s="232">
        <v>64</v>
      </c>
      <c r="G222" s="230"/>
      <c r="S222" s="225">
        <v>1812.4799029999999</v>
      </c>
      <c r="T222" s="180" t="s">
        <v>8023</v>
      </c>
      <c r="Y222" s="225">
        <v>747.86</v>
      </c>
      <c r="Z222" s="180" t="s">
        <v>8023</v>
      </c>
      <c r="AA222" s="225">
        <v>73755.89</v>
      </c>
      <c r="AB222" s="180" t="s">
        <v>8023</v>
      </c>
      <c r="AC222">
        <v>37.119999999999997</v>
      </c>
      <c r="AD222" s="180" t="s">
        <v>8023</v>
      </c>
      <c r="AG222" s="225">
        <v>5.0326797389999998</v>
      </c>
      <c r="AH222" s="180" t="s">
        <v>8023</v>
      </c>
      <c r="AM222" s="225"/>
      <c r="BS222" s="225">
        <v>48.83</v>
      </c>
      <c r="BT222" s="180" t="s">
        <v>8023</v>
      </c>
      <c r="BU222" s="136">
        <v>20.149999999999999</v>
      </c>
      <c r="BV222" s="180" t="s">
        <v>8023</v>
      </c>
    </row>
    <row r="223" spans="1:74">
      <c r="A223" s="154" t="s">
        <v>7852</v>
      </c>
      <c r="B223" s="231" t="s">
        <v>259</v>
      </c>
      <c r="C223" s="231" t="s">
        <v>7964</v>
      </c>
      <c r="D223" s="231"/>
      <c r="E223" s="230">
        <v>12</v>
      </c>
      <c r="F223" s="232">
        <v>60</v>
      </c>
      <c r="G223" s="230"/>
      <c r="S223" s="225">
        <v>1682.691877</v>
      </c>
      <c r="T223" s="180" t="s">
        <v>8023</v>
      </c>
      <c r="Y223" s="225">
        <v>736.2</v>
      </c>
      <c r="Z223" s="180" t="s">
        <v>8023</v>
      </c>
      <c r="AA223" s="225">
        <v>72929.95</v>
      </c>
      <c r="AB223" s="180" t="s">
        <v>8023</v>
      </c>
      <c r="AC223">
        <v>35.18</v>
      </c>
      <c r="AD223" s="180" t="s">
        <v>8023</v>
      </c>
      <c r="AG223" s="225">
        <v>4.8240165629999998</v>
      </c>
      <c r="AH223" s="180" t="s">
        <v>8023</v>
      </c>
      <c r="AM223" s="225"/>
      <c r="BS223" s="225">
        <v>47.83</v>
      </c>
      <c r="BT223" s="180" t="s">
        <v>8023</v>
      </c>
      <c r="BU223" s="136">
        <v>20.93</v>
      </c>
      <c r="BV223" s="180" t="s">
        <v>8023</v>
      </c>
    </row>
    <row r="224" spans="1:74">
      <c r="A224" s="154" t="s">
        <v>7852</v>
      </c>
      <c r="B224" s="231" t="s">
        <v>257</v>
      </c>
      <c r="C224" s="231" t="s">
        <v>7982</v>
      </c>
      <c r="D224" s="231"/>
      <c r="E224" s="229">
        <v>16</v>
      </c>
      <c r="F224" s="232">
        <v>40</v>
      </c>
      <c r="G224" s="230"/>
      <c r="S224" s="225">
        <v>1652.1807799999999</v>
      </c>
      <c r="T224" s="180" t="s">
        <v>8023</v>
      </c>
      <c r="Y224" s="225">
        <v>705.55</v>
      </c>
      <c r="Z224" s="180" t="s">
        <v>8023</v>
      </c>
      <c r="AA224" s="225">
        <v>72208.45</v>
      </c>
      <c r="AB224" s="180" t="s">
        <v>8023</v>
      </c>
      <c r="AC224">
        <v>34.4</v>
      </c>
      <c r="AD224" s="180" t="s">
        <v>8023</v>
      </c>
      <c r="AG224" s="225">
        <v>4.7642928790000001</v>
      </c>
      <c r="AH224" s="180" t="s">
        <v>8023</v>
      </c>
      <c r="AM224" s="225"/>
      <c r="BS224" s="225">
        <v>48.03</v>
      </c>
      <c r="BT224" s="180" t="s">
        <v>8023</v>
      </c>
      <c r="BU224" s="136">
        <v>20.51</v>
      </c>
      <c r="BV224" s="180" t="s">
        <v>8023</v>
      </c>
    </row>
    <row r="225" spans="1:74">
      <c r="A225" s="154" t="s">
        <v>7852</v>
      </c>
      <c r="B225" s="231" t="s">
        <v>259</v>
      </c>
      <c r="C225" s="231" t="s">
        <v>7982</v>
      </c>
      <c r="D225" s="231"/>
      <c r="E225" s="229">
        <v>15</v>
      </c>
      <c r="F225" s="232">
        <v>12</v>
      </c>
      <c r="G225" s="230"/>
      <c r="S225" s="225">
        <v>1411.0124960000001</v>
      </c>
      <c r="T225" s="180" t="s">
        <v>8023</v>
      </c>
      <c r="Y225" s="225">
        <v>655.84</v>
      </c>
      <c r="Z225" s="180" t="s">
        <v>8023</v>
      </c>
      <c r="AA225" s="225">
        <v>66112.399999999994</v>
      </c>
      <c r="AB225" s="180" t="s">
        <v>8023</v>
      </c>
      <c r="AC225">
        <v>29.92</v>
      </c>
      <c r="AD225" s="180" t="s">
        <v>8023</v>
      </c>
      <c r="AG225" s="225">
        <v>4.5261121859999998</v>
      </c>
      <c r="AH225" s="180" t="s">
        <v>8023</v>
      </c>
      <c r="AM225" s="225"/>
      <c r="BS225" s="225">
        <v>47.15</v>
      </c>
      <c r="BT225" s="180" t="s">
        <v>8023</v>
      </c>
      <c r="BU225" s="136">
        <v>21.92</v>
      </c>
      <c r="BV225" s="180" t="s">
        <v>8023</v>
      </c>
    </row>
    <row r="226" spans="1:74">
      <c r="A226" s="154" t="s">
        <v>7867</v>
      </c>
      <c r="B226" s="231" t="s">
        <v>257</v>
      </c>
      <c r="C226" s="231" t="s">
        <v>405</v>
      </c>
      <c r="D226" s="231"/>
      <c r="E226" s="229">
        <v>1</v>
      </c>
      <c r="F226" s="232">
        <v>10</v>
      </c>
      <c r="G226" s="230"/>
      <c r="S226" s="225">
        <v>1590.066693</v>
      </c>
      <c r="T226" s="180" t="s">
        <v>8023</v>
      </c>
      <c r="Y226" s="225">
        <v>647.94000000000005</v>
      </c>
      <c r="Z226" s="180" t="s">
        <v>8023</v>
      </c>
      <c r="AA226" s="225">
        <v>67661.27</v>
      </c>
      <c r="AB226" s="180" t="s">
        <v>8023</v>
      </c>
      <c r="AC226">
        <v>32.31</v>
      </c>
      <c r="AD226" s="180" t="s">
        <v>8023</v>
      </c>
      <c r="AG226" s="225">
        <v>4.77486911</v>
      </c>
      <c r="AH226" s="180" t="s">
        <v>8023</v>
      </c>
      <c r="AM226" s="225"/>
      <c r="BS226" s="225">
        <v>49.22</v>
      </c>
      <c r="BT226" s="180" t="s">
        <v>8023</v>
      </c>
      <c r="BU226" s="136">
        <v>20.059999999999999</v>
      </c>
      <c r="BV226" s="180" t="s">
        <v>8023</v>
      </c>
    </row>
    <row r="227" spans="1:74">
      <c r="A227" s="154" t="s">
        <v>7867</v>
      </c>
      <c r="B227" s="231" t="s">
        <v>259</v>
      </c>
      <c r="C227" s="231" t="s">
        <v>405</v>
      </c>
      <c r="D227" s="231"/>
      <c r="E227" s="229">
        <v>4</v>
      </c>
      <c r="F227" s="232">
        <v>48</v>
      </c>
      <c r="G227" s="230"/>
      <c r="S227" s="225">
        <v>1954.496453</v>
      </c>
      <c r="T227" s="180" t="s">
        <v>8023</v>
      </c>
      <c r="Y227" s="225">
        <v>860.39</v>
      </c>
      <c r="Z227" s="180" t="s">
        <v>8023</v>
      </c>
      <c r="AA227" s="225">
        <v>86949.6</v>
      </c>
      <c r="AB227" s="180" t="s">
        <v>8023</v>
      </c>
      <c r="AC227">
        <v>40.83</v>
      </c>
      <c r="AD227" s="180" t="s">
        <v>8023</v>
      </c>
      <c r="AG227" s="225">
        <v>4.6961894949999996</v>
      </c>
      <c r="AH227" s="180" t="s">
        <v>8023</v>
      </c>
      <c r="AM227" s="225"/>
      <c r="BS227" s="225">
        <v>47.87</v>
      </c>
      <c r="BT227" s="180" t="s">
        <v>8023</v>
      </c>
      <c r="BU227" s="136">
        <v>21.07</v>
      </c>
      <c r="BV227" s="180" t="s">
        <v>8023</v>
      </c>
    </row>
    <row r="228" spans="1:74">
      <c r="A228" s="154" t="s">
        <v>7867</v>
      </c>
      <c r="B228" s="231" t="s">
        <v>257</v>
      </c>
      <c r="C228" s="231" t="s">
        <v>7963</v>
      </c>
      <c r="D228" s="231"/>
      <c r="E228" s="230">
        <v>7</v>
      </c>
      <c r="F228" s="232">
        <v>40</v>
      </c>
      <c r="G228" s="230"/>
      <c r="S228" s="225">
        <v>1676.606935</v>
      </c>
      <c r="T228" s="180" t="s">
        <v>8023</v>
      </c>
      <c r="Y228" s="225">
        <v>645.84</v>
      </c>
      <c r="Z228" s="180" t="s">
        <v>8023</v>
      </c>
      <c r="AA228" s="225">
        <v>74357.45</v>
      </c>
      <c r="AB228" s="180" t="s">
        <v>8023</v>
      </c>
      <c r="AC228">
        <v>33.619999999999997</v>
      </c>
      <c r="AD228" s="180" t="s">
        <v>8023</v>
      </c>
      <c r="AG228" s="225">
        <v>4.5212240870000002</v>
      </c>
      <c r="AH228" s="180" t="s">
        <v>8023</v>
      </c>
      <c r="AM228" s="225"/>
      <c r="BS228" s="225">
        <v>49.87</v>
      </c>
      <c r="BT228" s="180" t="s">
        <v>8023</v>
      </c>
      <c r="BU228" s="136">
        <v>19.21</v>
      </c>
      <c r="BV228" s="180" t="s">
        <v>8023</v>
      </c>
    </row>
    <row r="229" spans="1:74">
      <c r="A229" s="154" t="s">
        <v>7867</v>
      </c>
      <c r="B229" s="231" t="s">
        <v>259</v>
      </c>
      <c r="C229" s="231" t="s">
        <v>7963</v>
      </c>
      <c r="D229" s="231"/>
      <c r="E229" s="230">
        <v>11</v>
      </c>
      <c r="F229" s="232">
        <v>1</v>
      </c>
      <c r="G229" s="230"/>
      <c r="S229" s="225">
        <v>1538.0214779999999</v>
      </c>
      <c r="T229" s="180" t="s">
        <v>8023</v>
      </c>
      <c r="Y229" s="225">
        <v>717.79</v>
      </c>
      <c r="Z229" s="180" t="s">
        <v>8023</v>
      </c>
      <c r="AA229" s="225">
        <v>72335.649999999994</v>
      </c>
      <c r="AB229" s="180" t="s">
        <v>8023</v>
      </c>
      <c r="AC229">
        <v>32.68</v>
      </c>
      <c r="AD229" s="180" t="s">
        <v>8023</v>
      </c>
      <c r="AG229" s="225">
        <v>4.5180136319999997</v>
      </c>
      <c r="AH229" s="180" t="s">
        <v>8023</v>
      </c>
      <c r="AM229" s="225"/>
      <c r="BS229" s="225">
        <v>47.06</v>
      </c>
      <c r="BT229" s="180" t="s">
        <v>8023</v>
      </c>
      <c r="BU229" s="136">
        <v>21.96</v>
      </c>
      <c r="BV229" s="180" t="s">
        <v>8023</v>
      </c>
    </row>
    <row r="230" spans="1:74">
      <c r="A230" s="154" t="s">
        <v>7867</v>
      </c>
      <c r="B230" s="231" t="s">
        <v>257</v>
      </c>
      <c r="C230" s="231" t="s">
        <v>7964</v>
      </c>
      <c r="D230" s="231"/>
      <c r="E230" s="229">
        <v>12</v>
      </c>
      <c r="F230" s="232">
        <v>49</v>
      </c>
      <c r="G230" s="230"/>
      <c r="S230" s="225">
        <v>1779.6678710000001</v>
      </c>
      <c r="T230" s="180" t="s">
        <v>8023</v>
      </c>
      <c r="Y230" s="225">
        <v>771.06</v>
      </c>
      <c r="Z230" s="180" t="s">
        <v>8023</v>
      </c>
      <c r="AA230" s="225">
        <v>84443.42</v>
      </c>
      <c r="AB230" s="180" t="s">
        <v>8023</v>
      </c>
      <c r="AC230">
        <v>37.33</v>
      </c>
      <c r="AD230" s="180" t="s">
        <v>8023</v>
      </c>
      <c r="AG230" s="225">
        <v>4.4212523719999997</v>
      </c>
      <c r="AH230" s="180" t="s">
        <v>8023</v>
      </c>
      <c r="AM230" s="225"/>
      <c r="BS230" s="225">
        <v>47.67</v>
      </c>
      <c r="BT230" s="180" t="s">
        <v>8023</v>
      </c>
      <c r="BU230" s="136">
        <v>20.65</v>
      </c>
      <c r="BV230" s="180" t="s">
        <v>8023</v>
      </c>
    </row>
    <row r="231" spans="1:74">
      <c r="A231" s="154" t="s">
        <v>7867</v>
      </c>
      <c r="B231" s="231" t="s">
        <v>259</v>
      </c>
      <c r="C231" s="231" t="s">
        <v>7964</v>
      </c>
      <c r="D231" s="231"/>
      <c r="E231" s="229">
        <v>13</v>
      </c>
      <c r="F231" s="232">
        <v>53</v>
      </c>
      <c r="G231" s="230"/>
      <c r="S231" s="225">
        <v>1880.8966129999999</v>
      </c>
      <c r="T231" s="180" t="s">
        <v>8023</v>
      </c>
      <c r="Y231" s="225">
        <v>835.47</v>
      </c>
      <c r="Z231" s="180" t="s">
        <v>8023</v>
      </c>
      <c r="AA231" s="225">
        <v>82013.03</v>
      </c>
      <c r="AB231" s="180" t="s">
        <v>8023</v>
      </c>
      <c r="AC231">
        <v>39.590000000000003</v>
      </c>
      <c r="AD231" s="180" t="s">
        <v>8023</v>
      </c>
      <c r="AG231" s="225">
        <v>4.8268625390000004</v>
      </c>
      <c r="AH231" s="180" t="s">
        <v>8023</v>
      </c>
      <c r="AM231" s="225"/>
      <c r="BS231" s="225">
        <v>47.51</v>
      </c>
      <c r="BT231" s="180" t="s">
        <v>8023</v>
      </c>
      <c r="BU231" s="136">
        <v>21.1</v>
      </c>
      <c r="BV231" s="180" t="s">
        <v>8023</v>
      </c>
    </row>
    <row r="232" spans="1:74">
      <c r="A232" s="154" t="s">
        <v>7867</v>
      </c>
      <c r="B232" s="231" t="s">
        <v>257</v>
      </c>
      <c r="C232" s="231" t="s">
        <v>7982</v>
      </c>
      <c r="D232" s="231"/>
      <c r="E232" s="229">
        <v>15</v>
      </c>
      <c r="F232" s="232">
        <v>43</v>
      </c>
      <c r="G232" s="230"/>
      <c r="S232" s="225">
        <v>1742.5221240000001</v>
      </c>
      <c r="T232" s="180" t="s">
        <v>8023</v>
      </c>
      <c r="Y232" s="225">
        <v>745.71</v>
      </c>
      <c r="Z232" s="180" t="s">
        <v>8023</v>
      </c>
      <c r="AA232" s="225">
        <v>79713.98</v>
      </c>
      <c r="AB232" s="180" t="s">
        <v>8023</v>
      </c>
      <c r="AC232">
        <v>36.340000000000003</v>
      </c>
      <c r="AD232" s="180" t="s">
        <v>8023</v>
      </c>
      <c r="AG232" s="225">
        <v>4.5586808919999999</v>
      </c>
      <c r="AH232" s="180" t="s">
        <v>8023</v>
      </c>
      <c r="AM232" s="225"/>
      <c r="BS232" s="225">
        <v>47.95</v>
      </c>
      <c r="BT232" s="180" t="s">
        <v>8023</v>
      </c>
      <c r="BU232" s="136">
        <v>20.52</v>
      </c>
      <c r="BV232" s="180" t="s">
        <v>8023</v>
      </c>
    </row>
    <row r="233" spans="1:74">
      <c r="A233" s="154" t="s">
        <v>7867</v>
      </c>
      <c r="B233" s="231" t="s">
        <v>259</v>
      </c>
      <c r="C233" s="231" t="s">
        <v>7982</v>
      </c>
      <c r="D233" s="231"/>
      <c r="E233" s="229">
        <v>15</v>
      </c>
      <c r="F233" s="232">
        <v>32</v>
      </c>
      <c r="G233" s="230"/>
      <c r="S233" s="225">
        <v>1233.791737</v>
      </c>
      <c r="T233" s="180" t="s">
        <v>8023</v>
      </c>
      <c r="Y233" s="225">
        <v>617.48</v>
      </c>
      <c r="Z233" s="180" t="s">
        <v>8023</v>
      </c>
      <c r="AA233" s="225">
        <v>62048.24</v>
      </c>
      <c r="AB233" s="180" t="s">
        <v>8023</v>
      </c>
      <c r="AC233">
        <v>27.27</v>
      </c>
      <c r="AD233" s="180" t="s">
        <v>8023</v>
      </c>
      <c r="AG233" s="225">
        <v>4.3943661970000001</v>
      </c>
      <c r="AH233" s="180" t="s">
        <v>8023</v>
      </c>
      <c r="AM233" s="225"/>
      <c r="BS233" s="225">
        <v>45.25</v>
      </c>
      <c r="BT233" s="180" t="s">
        <v>8023</v>
      </c>
      <c r="BU233" s="136">
        <v>22.65</v>
      </c>
      <c r="BV233" s="180" t="s">
        <v>8023</v>
      </c>
    </row>
    <row r="234" spans="1:74">
      <c r="A234" s="154" t="s">
        <v>7741</v>
      </c>
      <c r="B234" s="231" t="s">
        <v>257</v>
      </c>
      <c r="C234" s="231" t="s">
        <v>405</v>
      </c>
      <c r="D234" s="231"/>
      <c r="E234" s="229">
        <v>19</v>
      </c>
      <c r="F234" s="232">
        <v>1</v>
      </c>
      <c r="G234" s="230"/>
      <c r="S234" s="225">
        <v>1765.7973669999999</v>
      </c>
      <c r="T234" s="180" t="s">
        <v>8023</v>
      </c>
      <c r="Y234" s="225">
        <v>776.08</v>
      </c>
      <c r="Z234" s="180" t="s">
        <v>8023</v>
      </c>
      <c r="AA234" s="225">
        <v>74887.33</v>
      </c>
      <c r="AB234" s="180" t="s">
        <v>8023</v>
      </c>
      <c r="AC234">
        <v>36.76</v>
      </c>
      <c r="AD234" s="180" t="s">
        <v>8023</v>
      </c>
      <c r="AG234" s="225">
        <v>4.9083063649999996</v>
      </c>
      <c r="AH234" s="180" t="s">
        <v>8023</v>
      </c>
      <c r="AM234" s="225"/>
      <c r="BS234" s="225">
        <v>48.04</v>
      </c>
      <c r="BT234" s="180" t="s">
        <v>8023</v>
      </c>
      <c r="BU234" s="136">
        <v>21.11</v>
      </c>
      <c r="BV234" s="180" t="s">
        <v>8023</v>
      </c>
    </row>
    <row r="235" spans="1:74">
      <c r="A235" s="154" t="s">
        <v>7741</v>
      </c>
      <c r="B235" s="231" t="s">
        <v>259</v>
      </c>
      <c r="C235" s="231" t="s">
        <v>405</v>
      </c>
      <c r="D235" s="231"/>
      <c r="E235" s="230">
        <v>3</v>
      </c>
      <c r="F235" s="232">
        <v>27</v>
      </c>
      <c r="G235" s="230"/>
      <c r="S235" s="225">
        <v>2040.151824</v>
      </c>
      <c r="T235" s="180" t="s">
        <v>8023</v>
      </c>
      <c r="Y235" s="225">
        <v>883.41</v>
      </c>
      <c r="Z235" s="180" t="s">
        <v>8023</v>
      </c>
      <c r="AA235" s="225">
        <v>86299.02</v>
      </c>
      <c r="AB235" s="180" t="s">
        <v>8023</v>
      </c>
      <c r="AC235">
        <v>42.05</v>
      </c>
      <c r="AD235" s="180" t="s">
        <v>8023</v>
      </c>
      <c r="AG235" s="225">
        <v>4.8723404260000001</v>
      </c>
      <c r="AH235" s="180" t="s">
        <v>8023</v>
      </c>
      <c r="AM235" s="225"/>
      <c r="BS235" s="225">
        <v>48.52</v>
      </c>
      <c r="BT235" s="180" t="s">
        <v>8023</v>
      </c>
      <c r="BU235" s="136">
        <v>21.01</v>
      </c>
      <c r="BV235" s="180" t="s">
        <v>8023</v>
      </c>
    </row>
    <row r="236" spans="1:74">
      <c r="A236" s="154" t="s">
        <v>7741</v>
      </c>
      <c r="B236" s="231" t="s">
        <v>257</v>
      </c>
      <c r="C236" s="231" t="s">
        <v>7963</v>
      </c>
      <c r="D236" s="231"/>
      <c r="E236" s="229">
        <v>3</v>
      </c>
      <c r="F236" s="232">
        <v>33</v>
      </c>
      <c r="G236" s="230"/>
      <c r="S236" s="225">
        <v>1794.3467390000001</v>
      </c>
      <c r="T236" s="180" t="s">
        <v>8023</v>
      </c>
      <c r="Y236" s="225">
        <v>721.2</v>
      </c>
      <c r="Z236" s="180" t="s">
        <v>8023</v>
      </c>
      <c r="AA236" s="225">
        <v>70388.5</v>
      </c>
      <c r="AB236" s="180" t="s">
        <v>8023</v>
      </c>
      <c r="AC236">
        <v>36.43</v>
      </c>
      <c r="AD236" s="180" t="s">
        <v>8023</v>
      </c>
      <c r="AG236" s="225">
        <v>5.1751412429999997</v>
      </c>
      <c r="AH236" s="180" t="s">
        <v>8023</v>
      </c>
      <c r="AM236" s="225"/>
      <c r="BS236" s="225">
        <v>49.26</v>
      </c>
      <c r="BT236" s="180" t="s">
        <v>8023</v>
      </c>
      <c r="BU236" s="136">
        <v>19.8</v>
      </c>
      <c r="BV236" s="180" t="s">
        <v>8023</v>
      </c>
    </row>
    <row r="237" spans="1:74">
      <c r="A237" s="154" t="s">
        <v>7741</v>
      </c>
      <c r="B237" s="231" t="s">
        <v>259</v>
      </c>
      <c r="C237" s="231" t="s">
        <v>7963</v>
      </c>
      <c r="D237" s="231"/>
      <c r="E237" s="229">
        <v>7</v>
      </c>
      <c r="F237" s="232">
        <v>57</v>
      </c>
      <c r="G237" s="230"/>
      <c r="S237" s="225">
        <v>1343.7488510000001</v>
      </c>
      <c r="T237" s="180" t="s">
        <v>8023</v>
      </c>
      <c r="Y237" s="225">
        <v>653.13</v>
      </c>
      <c r="Z237" s="180" t="s">
        <v>8023</v>
      </c>
      <c r="AA237" s="225">
        <v>61084.2</v>
      </c>
      <c r="AB237" s="180" t="s">
        <v>8023</v>
      </c>
      <c r="AC237">
        <v>29.21</v>
      </c>
      <c r="AD237" s="180" t="s">
        <v>8023</v>
      </c>
      <c r="AG237" s="225">
        <v>4.7826086959999996</v>
      </c>
      <c r="AH237" s="180" t="s">
        <v>8023</v>
      </c>
      <c r="AM237" s="225"/>
      <c r="BS237" s="225">
        <v>46</v>
      </c>
      <c r="BT237" s="180" t="s">
        <v>8023</v>
      </c>
      <c r="BU237" s="136">
        <v>22.36</v>
      </c>
      <c r="BV237" s="180" t="s">
        <v>8023</v>
      </c>
    </row>
    <row r="238" spans="1:74">
      <c r="A238" s="154" t="s">
        <v>7741</v>
      </c>
      <c r="B238" s="231" t="s">
        <v>257</v>
      </c>
      <c r="C238" s="231" t="s">
        <v>7964</v>
      </c>
      <c r="D238" s="231"/>
      <c r="E238" s="229">
        <v>10</v>
      </c>
      <c r="F238" s="232">
        <v>22</v>
      </c>
      <c r="G238" s="230"/>
      <c r="S238" s="225">
        <v>1989.7445230000001</v>
      </c>
      <c r="T238" s="180" t="s">
        <v>8023</v>
      </c>
      <c r="Y238" s="225">
        <v>843.69</v>
      </c>
      <c r="Z238" s="180" t="s">
        <v>8023</v>
      </c>
      <c r="AA238" s="225">
        <v>87226.89</v>
      </c>
      <c r="AB238" s="180" t="s">
        <v>8023</v>
      </c>
      <c r="AC238">
        <v>41.59</v>
      </c>
      <c r="AD238" s="180" t="s">
        <v>8023</v>
      </c>
      <c r="AG238" s="225">
        <v>4.7682801240000003</v>
      </c>
      <c r="AH238" s="180" t="s">
        <v>8023</v>
      </c>
      <c r="AM238" s="225"/>
      <c r="BS238" s="225">
        <v>47.84</v>
      </c>
      <c r="BT238" s="180" t="s">
        <v>8023</v>
      </c>
      <c r="BU238" s="136">
        <v>20.28</v>
      </c>
      <c r="BV238" s="180" t="s">
        <v>8023</v>
      </c>
    </row>
    <row r="239" spans="1:74">
      <c r="A239" s="154" t="s">
        <v>7741</v>
      </c>
      <c r="B239" s="231" t="s">
        <v>259</v>
      </c>
      <c r="C239" s="231" t="s">
        <v>7964</v>
      </c>
      <c r="D239" s="231"/>
      <c r="E239" s="229">
        <v>10</v>
      </c>
      <c r="F239" s="232">
        <v>37</v>
      </c>
      <c r="G239" s="230"/>
      <c r="S239" s="225">
        <v>1711.0760600000001</v>
      </c>
      <c r="T239" s="180" t="s">
        <v>8023</v>
      </c>
      <c r="Y239" s="225">
        <v>765.27</v>
      </c>
      <c r="Z239" s="180" t="s">
        <v>8023</v>
      </c>
      <c r="AA239" s="225">
        <v>71569.61</v>
      </c>
      <c r="AB239" s="180" t="s">
        <v>8023</v>
      </c>
      <c r="AC239">
        <v>35.9</v>
      </c>
      <c r="AD239" s="180" t="s">
        <v>8023</v>
      </c>
      <c r="AG239" s="225">
        <v>5.0161463939999997</v>
      </c>
      <c r="AH239" s="180" t="s">
        <v>8023</v>
      </c>
      <c r="AM239" s="225"/>
      <c r="BS239" s="225">
        <v>47.66</v>
      </c>
      <c r="BT239" s="180" t="s">
        <v>8023</v>
      </c>
      <c r="BU239" s="136">
        <v>21.32</v>
      </c>
      <c r="BV239" s="180" t="s">
        <v>8023</v>
      </c>
    </row>
    <row r="240" spans="1:74">
      <c r="A240" s="154" t="s">
        <v>7741</v>
      </c>
      <c r="B240" s="231" t="s">
        <v>257</v>
      </c>
      <c r="C240" s="231" t="s">
        <v>7982</v>
      </c>
      <c r="D240" s="231"/>
      <c r="E240" s="230">
        <v>13</v>
      </c>
      <c r="F240" s="232">
        <v>46</v>
      </c>
      <c r="G240" s="230"/>
      <c r="S240" s="225">
        <v>1796.3540459999999</v>
      </c>
      <c r="T240" s="180" t="s">
        <v>8023</v>
      </c>
      <c r="Y240" s="225">
        <v>778.95</v>
      </c>
      <c r="Z240" s="180" t="s">
        <v>8023</v>
      </c>
      <c r="AA240" s="225">
        <v>86966.66</v>
      </c>
      <c r="AB240" s="180" t="s">
        <v>8023</v>
      </c>
      <c r="AC240">
        <v>37.74</v>
      </c>
      <c r="AD240" s="180" t="s">
        <v>8023</v>
      </c>
      <c r="AG240" s="225">
        <v>4.3401486990000002</v>
      </c>
      <c r="AH240" s="180" t="s">
        <v>8023</v>
      </c>
      <c r="AM240" s="225"/>
      <c r="BS240" s="225">
        <v>47.59</v>
      </c>
      <c r="BT240" s="180" t="s">
        <v>8023</v>
      </c>
      <c r="BU240" s="136">
        <v>20.64</v>
      </c>
      <c r="BV240" s="180" t="s">
        <v>8023</v>
      </c>
    </row>
    <row r="241" spans="1:74">
      <c r="A241" s="154" t="s">
        <v>7741</v>
      </c>
      <c r="B241" s="231" t="s">
        <v>259</v>
      </c>
      <c r="C241" s="231" t="s">
        <v>7982</v>
      </c>
      <c r="D241" s="231"/>
      <c r="E241" s="230">
        <v>14</v>
      </c>
      <c r="F241" s="232">
        <v>6</v>
      </c>
      <c r="G241" s="230"/>
      <c r="S241" s="225">
        <v>1760.854842</v>
      </c>
      <c r="T241" s="180" t="s">
        <v>8023</v>
      </c>
      <c r="Y241" s="225">
        <v>841.11</v>
      </c>
      <c r="Z241" s="180" t="s">
        <v>8023</v>
      </c>
      <c r="AA241" s="225">
        <v>84370.73</v>
      </c>
      <c r="AB241" s="180" t="s">
        <v>8023</v>
      </c>
      <c r="AC241">
        <v>38.01</v>
      </c>
      <c r="AD241" s="180" t="s">
        <v>8023</v>
      </c>
      <c r="AG241" s="225">
        <v>4.5052833809999999</v>
      </c>
      <c r="AH241" s="180" t="s">
        <v>8023</v>
      </c>
      <c r="AM241" s="225"/>
      <c r="BS241" s="225">
        <v>46.32</v>
      </c>
      <c r="BT241" s="180" t="s">
        <v>8023</v>
      </c>
      <c r="BU241" s="136">
        <v>22.13</v>
      </c>
      <c r="BV241" s="180" t="s">
        <v>8023</v>
      </c>
    </row>
    <row r="242" spans="1:74">
      <c r="A242" s="154" t="s">
        <v>7742</v>
      </c>
      <c r="B242" s="231" t="s">
        <v>257</v>
      </c>
      <c r="C242" s="231" t="s">
        <v>405</v>
      </c>
      <c r="D242" s="231"/>
      <c r="E242" s="229">
        <v>20</v>
      </c>
      <c r="F242" s="232">
        <v>17</v>
      </c>
      <c r="G242" s="230"/>
      <c r="S242" s="225">
        <v>1295.8160190000001</v>
      </c>
      <c r="T242" s="180" t="s">
        <v>8023</v>
      </c>
      <c r="Y242" s="225">
        <v>578.23</v>
      </c>
      <c r="Z242" s="180" t="s">
        <v>8023</v>
      </c>
      <c r="AA242" s="225">
        <v>57032.22</v>
      </c>
      <c r="AB242" s="180" t="s">
        <v>8023</v>
      </c>
      <c r="AC242">
        <v>27.16</v>
      </c>
      <c r="AD242" s="180" t="s">
        <v>8023</v>
      </c>
      <c r="AG242" s="225">
        <v>4.7619047620000003</v>
      </c>
      <c r="AH242" s="180" t="s">
        <v>8023</v>
      </c>
      <c r="AM242" s="225"/>
      <c r="BS242" s="225">
        <v>47.71</v>
      </c>
      <c r="BT242" s="180" t="s">
        <v>8023</v>
      </c>
      <c r="BU242" s="136">
        <v>21.29</v>
      </c>
      <c r="BV242" s="180" t="s">
        <v>8023</v>
      </c>
    </row>
    <row r="243" spans="1:74">
      <c r="A243" s="154" t="s">
        <v>7742</v>
      </c>
      <c r="B243" s="231" t="s">
        <v>259</v>
      </c>
      <c r="C243" s="231" t="s">
        <v>405</v>
      </c>
      <c r="D243" s="231"/>
      <c r="E243" s="229">
        <v>1</v>
      </c>
      <c r="F243" s="232">
        <v>32</v>
      </c>
      <c r="G243" s="230"/>
      <c r="S243" s="225">
        <v>1421.266265</v>
      </c>
      <c r="T243" s="180" t="s">
        <v>8023</v>
      </c>
      <c r="Y243" s="225">
        <v>635.27</v>
      </c>
      <c r="Z243" s="180" t="s">
        <v>8023</v>
      </c>
      <c r="AA243" s="225">
        <v>62454.82</v>
      </c>
      <c r="AB243" s="180" t="s">
        <v>8023</v>
      </c>
      <c r="AC243">
        <v>29.82</v>
      </c>
      <c r="AD243" s="180" t="s">
        <v>8023</v>
      </c>
      <c r="AG243" s="225">
        <v>4.7753396029999999</v>
      </c>
      <c r="AH243" s="180" t="s">
        <v>8023</v>
      </c>
      <c r="AM243" s="225"/>
      <c r="BS243" s="225">
        <v>47.65</v>
      </c>
      <c r="BT243" s="180" t="s">
        <v>8023</v>
      </c>
      <c r="BU243" s="136">
        <v>21.3</v>
      </c>
      <c r="BV243" s="180" t="s">
        <v>8023</v>
      </c>
    </row>
    <row r="244" spans="1:74">
      <c r="A244" s="154" t="s">
        <v>7742</v>
      </c>
      <c r="B244" s="231" t="s">
        <v>257</v>
      </c>
      <c r="C244" s="231" t="s">
        <v>7963</v>
      </c>
      <c r="D244" s="231"/>
      <c r="E244" s="229">
        <v>4</v>
      </c>
      <c r="F244" s="232">
        <v>42</v>
      </c>
      <c r="G244" s="230"/>
      <c r="S244" s="225">
        <v>1349.5949680000001</v>
      </c>
      <c r="T244" s="180" t="s">
        <v>8023</v>
      </c>
      <c r="Y244" s="225">
        <v>558.26</v>
      </c>
      <c r="Z244" s="180" t="s">
        <v>8023</v>
      </c>
      <c r="AA244" s="225">
        <v>57029.23</v>
      </c>
      <c r="AB244" s="180" t="s">
        <v>8023</v>
      </c>
      <c r="AC244">
        <v>27.9</v>
      </c>
      <c r="AD244" s="180" t="s">
        <v>8023</v>
      </c>
      <c r="AG244" s="225">
        <v>4.8927477020000003</v>
      </c>
      <c r="AH244" s="180" t="s">
        <v>8023</v>
      </c>
      <c r="AM244" s="225"/>
      <c r="BS244" s="225">
        <v>48.37</v>
      </c>
      <c r="BT244" s="180" t="s">
        <v>8023</v>
      </c>
      <c r="BU244" s="136">
        <v>20.010000000000002</v>
      </c>
      <c r="BV244" s="180" t="s">
        <v>8023</v>
      </c>
    </row>
    <row r="245" spans="1:74">
      <c r="A245" s="154" t="s">
        <v>7742</v>
      </c>
      <c r="B245" s="231" t="s">
        <v>259</v>
      </c>
      <c r="C245" s="231" t="s">
        <v>7963</v>
      </c>
      <c r="D245" s="231"/>
      <c r="E245" s="229">
        <v>7</v>
      </c>
      <c r="F245" s="232">
        <v>52</v>
      </c>
      <c r="G245" s="230"/>
      <c r="S245" s="225">
        <v>1125.805899</v>
      </c>
      <c r="T245" s="180" t="s">
        <v>8023</v>
      </c>
      <c r="Y245" s="225">
        <v>515.61</v>
      </c>
      <c r="Z245" s="180" t="s">
        <v>8023</v>
      </c>
      <c r="AA245" s="225">
        <v>47891.5</v>
      </c>
      <c r="AB245" s="180" t="s">
        <v>8023</v>
      </c>
      <c r="AC245">
        <v>23.79</v>
      </c>
      <c r="AD245" s="180" t="s">
        <v>8023</v>
      </c>
      <c r="AG245" s="225">
        <v>4.9672489080000002</v>
      </c>
      <c r="AH245" s="180" t="s">
        <v>8023</v>
      </c>
      <c r="AM245" s="225"/>
      <c r="BS245" s="225">
        <v>47.32</v>
      </c>
      <c r="BT245" s="180" t="s">
        <v>8023</v>
      </c>
      <c r="BU245" s="136">
        <v>21.67</v>
      </c>
      <c r="BV245" s="180" t="s">
        <v>8023</v>
      </c>
    </row>
    <row r="246" spans="1:74">
      <c r="A246" s="154" t="s">
        <v>7742</v>
      </c>
      <c r="B246" s="231" t="s">
        <v>257</v>
      </c>
      <c r="C246" s="231" t="s">
        <v>7964</v>
      </c>
      <c r="D246" s="231"/>
      <c r="E246" s="230">
        <v>6</v>
      </c>
      <c r="F246" s="232">
        <v>8</v>
      </c>
      <c r="G246" s="230"/>
      <c r="S246" s="225">
        <v>1291.6751939999999</v>
      </c>
      <c r="T246" s="180" t="s">
        <v>8023</v>
      </c>
      <c r="Y246" s="225">
        <v>569.69000000000005</v>
      </c>
      <c r="Z246" s="180" t="s">
        <v>8023</v>
      </c>
      <c r="AA246" s="225">
        <v>65337.87</v>
      </c>
      <c r="AB246" s="180" t="s">
        <v>8023</v>
      </c>
      <c r="AC246">
        <v>27.21</v>
      </c>
      <c r="AD246" s="180" t="s">
        <v>8023</v>
      </c>
      <c r="AG246" s="225">
        <v>4.1651705569999997</v>
      </c>
      <c r="AH246" s="180" t="s">
        <v>8023</v>
      </c>
      <c r="AM246" s="225"/>
      <c r="BS246" s="225">
        <v>47.46</v>
      </c>
      <c r="BT246" s="180" t="s">
        <v>8023</v>
      </c>
      <c r="BU246" s="136">
        <v>20.93</v>
      </c>
      <c r="BV246" s="180" t="s">
        <v>8023</v>
      </c>
    </row>
    <row r="247" spans="1:74">
      <c r="A247" s="154" t="s">
        <v>7742</v>
      </c>
      <c r="B247" s="231" t="s">
        <v>259</v>
      </c>
      <c r="C247" s="231" t="s">
        <v>7964</v>
      </c>
      <c r="D247" s="231"/>
      <c r="E247" s="230">
        <v>9</v>
      </c>
      <c r="F247" s="232">
        <v>54</v>
      </c>
      <c r="G247" s="230"/>
      <c r="S247" s="225">
        <v>1171.242078</v>
      </c>
      <c r="T247" s="180" t="s">
        <v>8023</v>
      </c>
      <c r="Y247" s="225">
        <v>533.41999999999996</v>
      </c>
      <c r="Z247" s="180" t="s">
        <v>8023</v>
      </c>
      <c r="AA247" s="225">
        <v>52368.04</v>
      </c>
      <c r="AB247" s="180" t="s">
        <v>8023</v>
      </c>
      <c r="AC247">
        <v>24.64</v>
      </c>
      <c r="AD247" s="180" t="s">
        <v>8023</v>
      </c>
      <c r="AG247" s="225">
        <v>4.7052845530000003</v>
      </c>
      <c r="AH247" s="180" t="s">
        <v>8023</v>
      </c>
      <c r="AM247" s="225"/>
      <c r="BS247" s="225">
        <v>47.53</v>
      </c>
      <c r="BT247" s="180" t="s">
        <v>8023</v>
      </c>
      <c r="BU247" s="136">
        <v>21.65</v>
      </c>
      <c r="BV247" s="180" t="s">
        <v>8023</v>
      </c>
    </row>
    <row r="248" spans="1:74">
      <c r="A248" s="154" t="s">
        <v>7742</v>
      </c>
      <c r="B248" s="231" t="s">
        <v>257</v>
      </c>
      <c r="C248" s="231" t="s">
        <v>7982</v>
      </c>
      <c r="D248" s="231"/>
      <c r="E248" s="229">
        <v>15</v>
      </c>
      <c r="F248" s="232">
        <v>62</v>
      </c>
      <c r="G248" s="230"/>
      <c r="S248" s="225">
        <v>1378.206776</v>
      </c>
      <c r="T248" s="180" t="s">
        <v>8023</v>
      </c>
      <c r="Y248" s="225">
        <v>602.66999999999996</v>
      </c>
      <c r="Z248" s="180" t="s">
        <v>8023</v>
      </c>
      <c r="AA248" s="225">
        <v>58250.85</v>
      </c>
      <c r="AB248" s="180" t="s">
        <v>8023</v>
      </c>
      <c r="AC248">
        <v>28.85</v>
      </c>
      <c r="AD248" s="180" t="s">
        <v>8023</v>
      </c>
      <c r="AG248" s="225">
        <v>4.9522799580000001</v>
      </c>
      <c r="AH248" s="180" t="s">
        <v>8023</v>
      </c>
      <c r="AM248" s="225"/>
      <c r="BS248" s="225">
        <v>47.78</v>
      </c>
      <c r="BT248" s="180" t="s">
        <v>8023</v>
      </c>
      <c r="BU248" s="136">
        <v>20.89</v>
      </c>
      <c r="BV248" s="180" t="s">
        <v>8023</v>
      </c>
    </row>
    <row r="249" spans="1:74">
      <c r="A249" s="154" t="s">
        <v>7742</v>
      </c>
      <c r="B249" s="231" t="s">
        <v>259</v>
      </c>
      <c r="C249" s="231" t="s">
        <v>7982</v>
      </c>
      <c r="D249" s="231"/>
      <c r="E249" s="229">
        <v>15</v>
      </c>
      <c r="F249" s="232">
        <v>27</v>
      </c>
      <c r="G249" s="230"/>
      <c r="S249" s="225">
        <v>1001.318476</v>
      </c>
      <c r="T249" s="180" t="s">
        <v>8023</v>
      </c>
      <c r="Y249" s="225">
        <v>527.01</v>
      </c>
      <c r="Z249" s="180" t="s">
        <v>8023</v>
      </c>
      <c r="AA249" s="225">
        <v>50352.160000000003</v>
      </c>
      <c r="AB249" s="180" t="s">
        <v>8023</v>
      </c>
      <c r="AC249">
        <v>22.58</v>
      </c>
      <c r="AD249" s="180" t="s">
        <v>8023</v>
      </c>
      <c r="AG249" s="225">
        <v>4.4840887169999997</v>
      </c>
      <c r="AH249" s="180" t="s">
        <v>8023</v>
      </c>
      <c r="AM249" s="225"/>
      <c r="BS249" s="225">
        <v>44.35</v>
      </c>
      <c r="BT249" s="180" t="s">
        <v>8023</v>
      </c>
      <c r="BU249" s="136">
        <v>23.34</v>
      </c>
      <c r="BV249" s="180" t="s">
        <v>8023</v>
      </c>
    </row>
    <row r="250" spans="1:74">
      <c r="A250" s="154" t="s">
        <v>7868</v>
      </c>
      <c r="B250" s="231" t="s">
        <v>257</v>
      </c>
      <c r="C250" s="231" t="s">
        <v>405</v>
      </c>
      <c r="D250" s="231"/>
      <c r="E250" s="229">
        <v>4</v>
      </c>
      <c r="F250" s="232">
        <v>30</v>
      </c>
      <c r="G250" s="230"/>
      <c r="S250" s="225">
        <v>901.66209360000005</v>
      </c>
      <c r="T250" s="180" t="s">
        <v>8023</v>
      </c>
      <c r="Y250" s="225">
        <v>448.68</v>
      </c>
      <c r="Z250" s="180" t="s">
        <v>8023</v>
      </c>
      <c r="AA250" s="225">
        <v>39437.910000000003</v>
      </c>
      <c r="AB250" s="180" t="s">
        <v>8023</v>
      </c>
      <c r="AC250">
        <v>19.59</v>
      </c>
      <c r="AD250" s="180" t="s">
        <v>8023</v>
      </c>
      <c r="AG250" s="225">
        <v>4.9670329669999997</v>
      </c>
      <c r="AH250" s="180" t="s">
        <v>8023</v>
      </c>
      <c r="AM250" s="225"/>
      <c r="BS250" s="225">
        <v>46.03</v>
      </c>
      <c r="BT250" s="180" t="s">
        <v>8023</v>
      </c>
      <c r="BU250" s="136">
        <v>22.9</v>
      </c>
      <c r="BV250" s="180" t="s">
        <v>8023</v>
      </c>
    </row>
    <row r="251" spans="1:74">
      <c r="A251" s="154" t="s">
        <v>7868</v>
      </c>
      <c r="B251" s="231" t="s">
        <v>259</v>
      </c>
      <c r="C251" s="231" t="s">
        <v>405</v>
      </c>
      <c r="D251" s="231"/>
      <c r="E251" s="229">
        <v>1</v>
      </c>
      <c r="F251" s="232">
        <v>47</v>
      </c>
      <c r="G251" s="230"/>
      <c r="S251" s="225">
        <v>1035.9028069999999</v>
      </c>
      <c r="T251" s="180" t="s">
        <v>8023</v>
      </c>
      <c r="Y251" s="225">
        <v>513.61</v>
      </c>
      <c r="Z251" s="180" t="s">
        <v>8023</v>
      </c>
      <c r="AA251" s="225">
        <v>45763.97</v>
      </c>
      <c r="AB251" s="180" t="s">
        <v>8023</v>
      </c>
      <c r="AC251">
        <v>22.61</v>
      </c>
      <c r="AD251" s="180" t="s">
        <v>8023</v>
      </c>
      <c r="AG251" s="225">
        <v>4.9404117010000004</v>
      </c>
      <c r="AH251" s="180" t="s">
        <v>8023</v>
      </c>
      <c r="AM251" s="225"/>
      <c r="BS251" s="225">
        <v>45.82</v>
      </c>
      <c r="BT251" s="180" t="s">
        <v>8023</v>
      </c>
      <c r="BU251" s="136">
        <v>22.72</v>
      </c>
      <c r="BV251" s="180" t="s">
        <v>8023</v>
      </c>
    </row>
    <row r="252" spans="1:74">
      <c r="A252" s="154" t="s">
        <v>7868</v>
      </c>
      <c r="B252" s="231" t="s">
        <v>257</v>
      </c>
      <c r="C252" s="231" t="s">
        <v>7963</v>
      </c>
      <c r="D252" s="231"/>
      <c r="E252" s="230">
        <v>5</v>
      </c>
      <c r="F252" s="232">
        <v>36</v>
      </c>
      <c r="G252" s="230"/>
      <c r="S252" s="225">
        <v>884.64730199999997</v>
      </c>
      <c r="T252" s="180" t="s">
        <v>8023</v>
      </c>
      <c r="Y252" s="225">
        <v>425.21</v>
      </c>
      <c r="Z252" s="180" t="s">
        <v>8023</v>
      </c>
      <c r="AA252" s="225">
        <v>39092.79</v>
      </c>
      <c r="AB252" s="180" t="s">
        <v>8023</v>
      </c>
      <c r="AC252">
        <v>19.149999999999999</v>
      </c>
      <c r="AD252" s="180" t="s">
        <v>8023</v>
      </c>
      <c r="AG252" s="225">
        <v>4.8988285410000003</v>
      </c>
      <c r="AH252" s="180" t="s">
        <v>8023</v>
      </c>
      <c r="AM252" s="225"/>
      <c r="BS252" s="225">
        <v>46.19</v>
      </c>
      <c r="BT252" s="180" t="s">
        <v>8023</v>
      </c>
      <c r="BU252" s="136">
        <v>22.2</v>
      </c>
      <c r="BV252" s="180" t="s">
        <v>8023</v>
      </c>
    </row>
    <row r="253" spans="1:74">
      <c r="A253" s="154" t="s">
        <v>7868</v>
      </c>
      <c r="B253" s="231" t="s">
        <v>259</v>
      </c>
      <c r="C253" s="231" t="s">
        <v>7963</v>
      </c>
      <c r="D253" s="231"/>
      <c r="E253" s="230">
        <v>6</v>
      </c>
      <c r="F253" s="232">
        <v>12</v>
      </c>
      <c r="G253" s="230"/>
      <c r="S253" s="225">
        <v>1053.00172</v>
      </c>
      <c r="T253" s="180" t="s">
        <v>8023</v>
      </c>
      <c r="Y253" s="225">
        <v>560.55999999999995</v>
      </c>
      <c r="Z253" s="180" t="s">
        <v>8023</v>
      </c>
      <c r="AA253" s="225">
        <v>48468.04</v>
      </c>
      <c r="AB253" s="180" t="s">
        <v>8023</v>
      </c>
      <c r="AC253">
        <v>23.68</v>
      </c>
      <c r="AD253" s="180" t="s">
        <v>8023</v>
      </c>
      <c r="AG253" s="225">
        <v>4.885892116</v>
      </c>
      <c r="AH253" s="180" t="s">
        <v>8023</v>
      </c>
      <c r="AM253" s="225"/>
      <c r="BS253" s="225">
        <v>44.47</v>
      </c>
      <c r="BT253" s="180" t="s">
        <v>8023</v>
      </c>
      <c r="BU253" s="136">
        <v>23.67</v>
      </c>
      <c r="BV253" s="180" t="s">
        <v>8023</v>
      </c>
    </row>
    <row r="254" spans="1:74">
      <c r="A254" s="154" t="s">
        <v>7868</v>
      </c>
      <c r="B254" s="231" t="s">
        <v>257</v>
      </c>
      <c r="C254" s="231" t="s">
        <v>7964</v>
      </c>
      <c r="D254" s="231"/>
      <c r="E254" s="229">
        <v>9</v>
      </c>
      <c r="F254" s="232">
        <v>17</v>
      </c>
      <c r="G254" s="230"/>
      <c r="S254" s="225">
        <v>804.78755569999998</v>
      </c>
      <c r="T254" s="180" t="s">
        <v>8023</v>
      </c>
      <c r="Y254" s="225">
        <v>381.41</v>
      </c>
      <c r="Z254" s="180" t="s">
        <v>8023</v>
      </c>
      <c r="AA254" s="225">
        <v>35788.9</v>
      </c>
      <c r="AB254" s="180" t="s">
        <v>8023</v>
      </c>
      <c r="AC254">
        <v>17.34</v>
      </c>
      <c r="AD254" s="180" t="s">
        <v>8023</v>
      </c>
      <c r="AG254" s="225">
        <v>4.84375</v>
      </c>
      <c r="AH254" s="180" t="s">
        <v>8023</v>
      </c>
      <c r="AM254" s="225"/>
      <c r="BS254" s="225">
        <v>46.42</v>
      </c>
      <c r="BT254" s="180" t="s">
        <v>8023</v>
      </c>
      <c r="BU254" s="136">
        <v>22</v>
      </c>
      <c r="BV254" s="180" t="s">
        <v>8023</v>
      </c>
    </row>
    <row r="255" spans="1:74">
      <c r="A255" s="154" t="s">
        <v>7868</v>
      </c>
      <c r="B255" s="231" t="s">
        <v>259</v>
      </c>
      <c r="C255" s="231" t="s">
        <v>7964</v>
      </c>
      <c r="D255" s="231"/>
      <c r="E255" s="229">
        <v>9</v>
      </c>
      <c r="F255" s="232">
        <v>37</v>
      </c>
      <c r="G255" s="230"/>
      <c r="S255" s="225">
        <v>724.55471590000002</v>
      </c>
      <c r="T255" s="180" t="s">
        <v>8023</v>
      </c>
      <c r="Y255" s="225">
        <v>383.95</v>
      </c>
      <c r="Z255" s="180" t="s">
        <v>8023</v>
      </c>
      <c r="AA255" s="225">
        <v>34175.22</v>
      </c>
      <c r="AB255" s="180" t="s">
        <v>8023</v>
      </c>
      <c r="AC255">
        <v>16.13</v>
      </c>
      <c r="AD255" s="180" t="s">
        <v>8023</v>
      </c>
      <c r="AG255" s="225">
        <v>4.7204968940000001</v>
      </c>
      <c r="AH255" s="180" t="s">
        <v>8023</v>
      </c>
      <c r="AM255" s="225"/>
      <c r="BS255" s="225">
        <v>44.91</v>
      </c>
      <c r="BT255" s="180" t="s">
        <v>8023</v>
      </c>
      <c r="BU255" s="136">
        <v>23.8</v>
      </c>
      <c r="BV255" s="180" t="s">
        <v>8023</v>
      </c>
    </row>
    <row r="256" spans="1:74">
      <c r="A256" s="154" t="s">
        <v>7868</v>
      </c>
      <c r="B256" s="231" t="s">
        <v>257</v>
      </c>
      <c r="C256" s="231" t="s">
        <v>7982</v>
      </c>
      <c r="D256" s="231"/>
      <c r="E256" s="229">
        <v>14</v>
      </c>
      <c r="F256" s="232">
        <v>23</v>
      </c>
      <c r="G256" s="230"/>
      <c r="S256" s="225">
        <v>921.86269809999999</v>
      </c>
      <c r="T256" s="180" t="s">
        <v>8023</v>
      </c>
      <c r="Y256" s="225">
        <v>470.45</v>
      </c>
      <c r="Z256" s="180" t="s">
        <v>8023</v>
      </c>
      <c r="AA256" s="225">
        <v>49104.41</v>
      </c>
      <c r="AB256" s="180" t="s">
        <v>8023</v>
      </c>
      <c r="AC256">
        <v>20.399999999999999</v>
      </c>
      <c r="AD256" s="180" t="s">
        <v>8023</v>
      </c>
      <c r="AG256" s="225">
        <v>4.1548042699999996</v>
      </c>
      <c r="AH256" s="180" t="s">
        <v>8023</v>
      </c>
      <c r="AM256" s="225"/>
      <c r="BS256" s="225">
        <v>45.19</v>
      </c>
      <c r="BT256" s="180" t="s">
        <v>8023</v>
      </c>
      <c r="BU256" s="136">
        <v>23.06</v>
      </c>
      <c r="BV256" s="180" t="s">
        <v>8023</v>
      </c>
    </row>
    <row r="257" spans="1:74">
      <c r="A257" s="154" t="s">
        <v>7868</v>
      </c>
      <c r="B257" s="231" t="s">
        <v>259</v>
      </c>
      <c r="C257" s="231" t="s">
        <v>7982</v>
      </c>
      <c r="D257" s="231"/>
      <c r="E257" s="229">
        <v>20</v>
      </c>
      <c r="F257" s="232">
        <v>12</v>
      </c>
      <c r="G257" s="230"/>
      <c r="S257" s="225" t="s">
        <v>7965</v>
      </c>
      <c r="T257" s="180" t="s">
        <v>8023</v>
      </c>
      <c r="Y257" s="225" t="s">
        <v>7965</v>
      </c>
      <c r="Z257" s="180" t="s">
        <v>8023</v>
      </c>
      <c r="AA257" s="225" t="s">
        <v>7965</v>
      </c>
      <c r="AB257" s="180" t="s">
        <v>8023</v>
      </c>
      <c r="AC257" t="s">
        <v>7965</v>
      </c>
      <c r="AD257" s="180" t="s">
        <v>8023</v>
      </c>
      <c r="AG257" s="225" t="s">
        <v>7965</v>
      </c>
      <c r="AH257" s="180" t="s">
        <v>8023</v>
      </c>
      <c r="AM257" s="225"/>
      <c r="BS257" s="225" t="s">
        <v>7965</v>
      </c>
      <c r="BT257" s="180" t="s">
        <v>8023</v>
      </c>
      <c r="BU257" s="136" t="s">
        <v>7965</v>
      </c>
      <c r="BV257" s="180" t="s">
        <v>8023</v>
      </c>
    </row>
    <row r="258" spans="1:74">
      <c r="A258" s="154" t="s">
        <v>7743</v>
      </c>
      <c r="B258" s="231" t="s">
        <v>257</v>
      </c>
      <c r="C258" s="231" t="s">
        <v>405</v>
      </c>
      <c r="D258" s="231"/>
      <c r="E258" s="229">
        <v>6</v>
      </c>
      <c r="F258" s="232">
        <v>38</v>
      </c>
      <c r="G258" s="230"/>
      <c r="S258" s="225">
        <v>1633.5803100000001</v>
      </c>
      <c r="T258" s="180" t="s">
        <v>8023</v>
      </c>
      <c r="Y258" s="225">
        <v>645.33000000000004</v>
      </c>
      <c r="Z258" s="180" t="s">
        <v>8023</v>
      </c>
      <c r="AA258" s="225">
        <v>71723.509999999995</v>
      </c>
      <c r="AB258" s="180" t="s">
        <v>8023</v>
      </c>
      <c r="AC258">
        <v>32.380000000000003</v>
      </c>
      <c r="AD258" s="180" t="s">
        <v>8023</v>
      </c>
      <c r="AG258" s="225">
        <v>4.5142296369999997</v>
      </c>
      <c r="AH258" s="180" t="s">
        <v>8023</v>
      </c>
      <c r="AM258" s="225"/>
      <c r="BS258" s="225">
        <v>50.45</v>
      </c>
      <c r="BT258" s="180" t="s">
        <v>8023</v>
      </c>
      <c r="BU258" s="136">
        <v>19.93</v>
      </c>
      <c r="BV258" s="180" t="s">
        <v>8023</v>
      </c>
    </row>
    <row r="259" spans="1:74">
      <c r="A259" s="154" t="s">
        <v>7743</v>
      </c>
      <c r="B259" s="231" t="s">
        <v>259</v>
      </c>
      <c r="C259" s="231" t="s">
        <v>405</v>
      </c>
      <c r="D259" s="231"/>
      <c r="E259" s="230">
        <v>8</v>
      </c>
      <c r="F259" s="232">
        <v>20</v>
      </c>
      <c r="G259" s="230"/>
      <c r="S259" s="225">
        <v>1631.761653</v>
      </c>
      <c r="T259" s="180" t="s">
        <v>8023</v>
      </c>
      <c r="Y259" s="225">
        <v>698.71</v>
      </c>
      <c r="Z259" s="180" t="s">
        <v>8023</v>
      </c>
      <c r="AA259" s="225">
        <v>72592.66</v>
      </c>
      <c r="AB259" s="180" t="s">
        <v>8023</v>
      </c>
      <c r="AC259">
        <v>32.92</v>
      </c>
      <c r="AD259" s="180" t="s">
        <v>8023</v>
      </c>
      <c r="AG259" s="225">
        <v>4.5347698330000004</v>
      </c>
      <c r="AH259" s="180" t="s">
        <v>8023</v>
      </c>
      <c r="AM259" s="225"/>
      <c r="BS259" s="225">
        <v>49.57</v>
      </c>
      <c r="BT259" s="180" t="s">
        <v>8023</v>
      </c>
      <c r="BU259" s="136">
        <v>21.23</v>
      </c>
      <c r="BV259" s="180" t="s">
        <v>8023</v>
      </c>
    </row>
    <row r="260" spans="1:74">
      <c r="A260" s="154" t="s">
        <v>7743</v>
      </c>
      <c r="B260" s="231" t="s">
        <v>257</v>
      </c>
      <c r="C260" s="231" t="s">
        <v>7963</v>
      </c>
      <c r="D260" s="231"/>
      <c r="E260" s="229">
        <v>10</v>
      </c>
      <c r="F260" s="232">
        <v>25</v>
      </c>
      <c r="G260" s="230"/>
      <c r="S260" s="225">
        <v>1638.8839370000001</v>
      </c>
      <c r="T260" s="180" t="s">
        <v>8023</v>
      </c>
      <c r="Y260" s="225">
        <v>725.99</v>
      </c>
      <c r="Z260" s="180" t="s">
        <v>8023</v>
      </c>
      <c r="AA260" s="225">
        <v>71301.97</v>
      </c>
      <c r="AB260" s="180" t="s">
        <v>8023</v>
      </c>
      <c r="AC260">
        <v>33.61</v>
      </c>
      <c r="AD260" s="180" t="s">
        <v>8023</v>
      </c>
      <c r="AG260" s="225">
        <v>4.7142857139999998</v>
      </c>
      <c r="AH260" s="180" t="s">
        <v>8023</v>
      </c>
      <c r="AM260" s="225"/>
      <c r="BS260" s="225">
        <v>48.76</v>
      </c>
      <c r="BT260" s="180" t="s">
        <v>8023</v>
      </c>
      <c r="BU260" s="136">
        <v>21.6</v>
      </c>
      <c r="BV260" s="180" t="s">
        <v>8023</v>
      </c>
    </row>
    <row r="261" spans="1:74">
      <c r="A261" s="154" t="s">
        <v>7743</v>
      </c>
      <c r="B261" s="231" t="s">
        <v>259</v>
      </c>
      <c r="C261" s="231" t="s">
        <v>7963</v>
      </c>
      <c r="D261" s="231"/>
      <c r="E261" s="229">
        <v>10</v>
      </c>
      <c r="F261" s="232">
        <v>57</v>
      </c>
      <c r="G261" s="230"/>
      <c r="S261" s="225">
        <v>1561.828884</v>
      </c>
      <c r="T261" s="180" t="s">
        <v>8023</v>
      </c>
      <c r="Y261" s="225">
        <v>698.92</v>
      </c>
      <c r="Z261" s="180" t="s">
        <v>8023</v>
      </c>
      <c r="AA261" s="225">
        <v>68877.98</v>
      </c>
      <c r="AB261" s="180" t="s">
        <v>8023</v>
      </c>
      <c r="AC261">
        <v>32.03</v>
      </c>
      <c r="AD261" s="180" t="s">
        <v>8023</v>
      </c>
      <c r="AG261" s="225">
        <v>4.6504559270000003</v>
      </c>
      <c r="AH261" s="180" t="s">
        <v>8023</v>
      </c>
      <c r="AM261" s="225"/>
      <c r="BS261" s="225">
        <v>48.76</v>
      </c>
      <c r="BT261" s="180" t="s">
        <v>8023</v>
      </c>
      <c r="BU261" s="136">
        <v>21.82</v>
      </c>
      <c r="BV261" s="180" t="s">
        <v>8023</v>
      </c>
    </row>
    <row r="262" spans="1:74">
      <c r="A262" s="154" t="s">
        <v>7743</v>
      </c>
      <c r="B262" s="231" t="s">
        <v>257</v>
      </c>
      <c r="C262" s="231" t="s">
        <v>7964</v>
      </c>
      <c r="D262" s="231"/>
      <c r="E262" s="229">
        <v>14</v>
      </c>
      <c r="F262" s="232">
        <v>47</v>
      </c>
      <c r="G262" s="230"/>
      <c r="S262" s="225">
        <v>1592.731661</v>
      </c>
      <c r="T262" s="180" t="s">
        <v>8023</v>
      </c>
      <c r="Y262" s="225">
        <v>683.88</v>
      </c>
      <c r="Z262" s="180" t="s">
        <v>8023</v>
      </c>
      <c r="AA262" s="225">
        <v>68337.61</v>
      </c>
      <c r="AB262" s="180" t="s">
        <v>8023</v>
      </c>
      <c r="AC262">
        <v>32.53</v>
      </c>
      <c r="AD262" s="180" t="s">
        <v>8023</v>
      </c>
      <c r="AG262" s="225">
        <v>4.7604485219999999</v>
      </c>
      <c r="AH262" s="180" t="s">
        <v>8023</v>
      </c>
      <c r="AM262" s="225"/>
      <c r="BS262" s="225">
        <v>48.96</v>
      </c>
      <c r="BT262" s="180" t="s">
        <v>8023</v>
      </c>
      <c r="BU262" s="136">
        <v>21.02</v>
      </c>
      <c r="BV262" s="180" t="s">
        <v>8023</v>
      </c>
    </row>
    <row r="263" spans="1:74">
      <c r="A263" s="154" t="s">
        <v>7743</v>
      </c>
      <c r="B263" s="231" t="s">
        <v>259</v>
      </c>
      <c r="C263" s="231" t="s">
        <v>7964</v>
      </c>
      <c r="D263" s="231"/>
      <c r="E263" s="229">
        <v>15</v>
      </c>
      <c r="F263" s="232">
        <v>7</v>
      </c>
      <c r="G263" s="230"/>
      <c r="S263" s="225">
        <v>1930.093325</v>
      </c>
      <c r="T263" s="180" t="s">
        <v>8023</v>
      </c>
      <c r="Y263" s="225">
        <v>893.92</v>
      </c>
      <c r="Z263" s="180" t="s">
        <v>8023</v>
      </c>
      <c r="AA263" s="225">
        <v>87657.61</v>
      </c>
      <c r="AB263" s="180" t="s">
        <v>8023</v>
      </c>
      <c r="AC263">
        <v>40.06</v>
      </c>
      <c r="AD263" s="180" t="s">
        <v>8023</v>
      </c>
      <c r="AG263" s="225">
        <v>4.5705824279999998</v>
      </c>
      <c r="AH263" s="180" t="s">
        <v>8023</v>
      </c>
      <c r="AM263" s="225"/>
      <c r="BS263" s="225">
        <v>48.17</v>
      </c>
      <c r="BT263" s="180" t="s">
        <v>8023</v>
      </c>
      <c r="BU263" s="136">
        <v>22.31</v>
      </c>
      <c r="BV263" s="180" t="s">
        <v>8023</v>
      </c>
    </row>
    <row r="264" spans="1:74">
      <c r="A264" s="154" t="s">
        <v>7743</v>
      </c>
      <c r="B264" s="231" t="s">
        <v>257</v>
      </c>
      <c r="C264" s="231" t="s">
        <v>7982</v>
      </c>
      <c r="D264" s="231"/>
      <c r="E264" s="230">
        <v>18</v>
      </c>
      <c r="F264" s="232">
        <v>13</v>
      </c>
      <c r="G264" s="230"/>
      <c r="S264" s="225">
        <v>1472.2785329999999</v>
      </c>
      <c r="T264" s="180" t="s">
        <v>8023</v>
      </c>
      <c r="Y264" s="225">
        <v>621.49</v>
      </c>
      <c r="Z264" s="180" t="s">
        <v>8023</v>
      </c>
      <c r="AA264" s="225">
        <v>66514.64</v>
      </c>
      <c r="AB264" s="180" t="s">
        <v>8023</v>
      </c>
      <c r="AC264">
        <v>29.72</v>
      </c>
      <c r="AD264" s="180" t="s">
        <v>8023</v>
      </c>
      <c r="AG264" s="225">
        <v>4.4688995220000001</v>
      </c>
      <c r="AH264" s="180" t="s">
        <v>8023</v>
      </c>
      <c r="AM264" s="225"/>
      <c r="BS264" s="225">
        <v>49.53</v>
      </c>
      <c r="BT264" s="180" t="s">
        <v>8023</v>
      </c>
      <c r="BU264" s="136">
        <v>20.91</v>
      </c>
      <c r="BV264" s="180" t="s">
        <v>8023</v>
      </c>
    </row>
    <row r="265" spans="1:74">
      <c r="A265" s="154" t="s">
        <v>7743</v>
      </c>
      <c r="B265" s="231" t="s">
        <v>259</v>
      </c>
      <c r="C265" s="231" t="s">
        <v>7982</v>
      </c>
      <c r="D265" s="231"/>
      <c r="E265" s="230">
        <v>3</v>
      </c>
      <c r="F265" s="232">
        <v>61</v>
      </c>
      <c r="G265" s="230"/>
      <c r="S265" s="225">
        <v>1435.8039960000001</v>
      </c>
      <c r="T265" s="180" t="s">
        <v>8023</v>
      </c>
      <c r="Y265" s="225">
        <v>701.62</v>
      </c>
      <c r="Z265" s="180" t="s">
        <v>8023</v>
      </c>
      <c r="AA265" s="225">
        <v>67939.3</v>
      </c>
      <c r="AB265" s="180" t="s">
        <v>8023</v>
      </c>
      <c r="AC265">
        <v>30.57</v>
      </c>
      <c r="AD265" s="180" t="s">
        <v>8023</v>
      </c>
      <c r="AG265" s="225">
        <v>4.4995233560000001</v>
      </c>
      <c r="AH265" s="180" t="s">
        <v>8023</v>
      </c>
      <c r="AM265" s="225"/>
      <c r="BS265" s="225">
        <v>46.97</v>
      </c>
      <c r="BT265" s="180" t="s">
        <v>8023</v>
      </c>
      <c r="BU265" s="136">
        <v>22.95</v>
      </c>
      <c r="BV265" s="180" t="s">
        <v>8023</v>
      </c>
    </row>
    <row r="266" spans="1:74">
      <c r="A266" s="154" t="s">
        <v>7744</v>
      </c>
      <c r="B266" s="231" t="s">
        <v>257</v>
      </c>
      <c r="C266" s="231" t="s">
        <v>405</v>
      </c>
      <c r="D266" s="231"/>
      <c r="E266" s="229">
        <v>5</v>
      </c>
      <c r="F266" s="232">
        <v>27</v>
      </c>
      <c r="G266" s="230"/>
      <c r="S266" s="225">
        <v>1409.0794719999999</v>
      </c>
      <c r="T266" s="180" t="s">
        <v>8023</v>
      </c>
      <c r="Y266" s="225">
        <v>624.55999999999995</v>
      </c>
      <c r="Z266" s="180" t="s">
        <v>8023</v>
      </c>
      <c r="AA266" s="225">
        <v>56848.800000000003</v>
      </c>
      <c r="AB266" s="180" t="s">
        <v>8023</v>
      </c>
      <c r="AC266">
        <v>29.4</v>
      </c>
      <c r="AD266" s="180" t="s">
        <v>8023</v>
      </c>
      <c r="AG266" s="225">
        <v>5.1708428250000003</v>
      </c>
      <c r="AH266" s="180" t="s">
        <v>8023</v>
      </c>
      <c r="AM266" s="225"/>
      <c r="BS266" s="225">
        <v>47.94</v>
      </c>
      <c r="BT266" s="180" t="s">
        <v>8023</v>
      </c>
      <c r="BU266" s="136">
        <v>21.25</v>
      </c>
      <c r="BV266" s="180" t="s">
        <v>8023</v>
      </c>
    </row>
    <row r="267" spans="1:74">
      <c r="A267" s="154" t="s">
        <v>7744</v>
      </c>
      <c r="B267" s="231" t="s">
        <v>259</v>
      </c>
      <c r="C267" s="231" t="s">
        <v>405</v>
      </c>
      <c r="D267" s="231"/>
      <c r="E267" s="229">
        <v>12</v>
      </c>
      <c r="F267" s="232">
        <v>19</v>
      </c>
      <c r="G267" s="230"/>
      <c r="S267" s="225" t="s">
        <v>7965</v>
      </c>
      <c r="T267" s="180" t="s">
        <v>8023</v>
      </c>
      <c r="Y267" s="225" t="s">
        <v>7965</v>
      </c>
      <c r="Z267" s="180" t="s">
        <v>8023</v>
      </c>
      <c r="AA267" s="225" t="s">
        <v>7965</v>
      </c>
      <c r="AB267" s="180" t="s">
        <v>8023</v>
      </c>
      <c r="AC267" t="s">
        <v>7965</v>
      </c>
      <c r="AD267" s="180" t="s">
        <v>8023</v>
      </c>
      <c r="AG267" s="225" t="s">
        <v>7965</v>
      </c>
      <c r="AH267" s="180" t="s">
        <v>8023</v>
      </c>
      <c r="AM267" s="225"/>
      <c r="BS267" s="225" t="s">
        <v>7965</v>
      </c>
      <c r="BT267" s="180" t="s">
        <v>8023</v>
      </c>
      <c r="BU267" s="136" t="s">
        <v>7965</v>
      </c>
      <c r="BV267" s="180" t="s">
        <v>8023</v>
      </c>
    </row>
    <row r="268" spans="1:74">
      <c r="A268" s="154" t="s">
        <v>7744</v>
      </c>
      <c r="B268" s="231" t="s">
        <v>257</v>
      </c>
      <c r="C268" s="231" t="s">
        <v>7963</v>
      </c>
      <c r="D268" s="231"/>
      <c r="E268" s="229">
        <v>9</v>
      </c>
      <c r="F268" s="232">
        <v>40</v>
      </c>
      <c r="G268" s="230"/>
      <c r="S268" s="225">
        <v>1474.268016</v>
      </c>
      <c r="T268" s="180" t="s">
        <v>8023</v>
      </c>
      <c r="Y268" s="225">
        <v>735.89</v>
      </c>
      <c r="Z268" s="180" t="s">
        <v>8023</v>
      </c>
      <c r="AA268" s="225">
        <v>63499.86</v>
      </c>
      <c r="AB268" s="180" t="s">
        <v>8023</v>
      </c>
      <c r="AC268">
        <v>32.380000000000003</v>
      </c>
      <c r="AD268" s="180" t="s">
        <v>8023</v>
      </c>
      <c r="AG268" s="225">
        <v>5.0993377479999999</v>
      </c>
      <c r="AH268" s="180" t="s">
        <v>8023</v>
      </c>
      <c r="AM268" s="225"/>
      <c r="BS268" s="225">
        <v>45.53</v>
      </c>
      <c r="BT268" s="180" t="s">
        <v>8023</v>
      </c>
      <c r="BU268" s="136">
        <v>22.73</v>
      </c>
      <c r="BV268" s="180" t="s">
        <v>8023</v>
      </c>
    </row>
    <row r="269" spans="1:74">
      <c r="A269" s="154" t="s">
        <v>7744</v>
      </c>
      <c r="B269" s="231" t="s">
        <v>259</v>
      </c>
      <c r="C269" s="231" t="s">
        <v>7963</v>
      </c>
      <c r="D269" s="231"/>
      <c r="E269" s="229">
        <v>14</v>
      </c>
      <c r="F269" s="232">
        <v>57</v>
      </c>
      <c r="G269" s="230"/>
      <c r="S269" s="225">
        <v>1084.4769249999999</v>
      </c>
      <c r="T269" s="180" t="s">
        <v>8023</v>
      </c>
      <c r="Y269" s="225">
        <v>499.28</v>
      </c>
      <c r="Z269" s="180" t="s">
        <v>8023</v>
      </c>
      <c r="AA269" s="225">
        <v>45820.93</v>
      </c>
      <c r="AB269" s="180" t="s">
        <v>8023</v>
      </c>
      <c r="AC269">
        <v>23.21</v>
      </c>
      <c r="AD269" s="180" t="s">
        <v>8023</v>
      </c>
      <c r="AG269" s="225">
        <v>5.0655021830000004</v>
      </c>
      <c r="AH269" s="180" t="s">
        <v>8023</v>
      </c>
      <c r="AM269" s="225"/>
      <c r="BS269" s="225">
        <v>46.72</v>
      </c>
      <c r="BT269" s="180" t="s">
        <v>8023</v>
      </c>
      <c r="BU269" s="136">
        <v>21.51</v>
      </c>
      <c r="BV269" s="180" t="s">
        <v>8023</v>
      </c>
    </row>
    <row r="270" spans="1:74">
      <c r="A270" s="154" t="s">
        <v>7744</v>
      </c>
      <c r="B270" s="231" t="s">
        <v>257</v>
      </c>
      <c r="C270" s="231" t="s">
        <v>7964</v>
      </c>
      <c r="D270" s="231"/>
      <c r="E270" s="230">
        <v>15</v>
      </c>
      <c r="F270" s="232">
        <v>8</v>
      </c>
      <c r="G270" s="230"/>
      <c r="S270" s="225">
        <v>1211.308041</v>
      </c>
      <c r="T270" s="180" t="s">
        <v>8023</v>
      </c>
      <c r="Y270" s="225">
        <v>572.96</v>
      </c>
      <c r="Z270" s="180" t="s">
        <v>8023</v>
      </c>
      <c r="AA270" s="225">
        <v>49383.78</v>
      </c>
      <c r="AB270" s="180" t="s">
        <v>8023</v>
      </c>
      <c r="AC270">
        <v>25.87</v>
      </c>
      <c r="AD270" s="180" t="s">
        <v>8023</v>
      </c>
      <c r="AG270" s="225">
        <v>5.2375565609999999</v>
      </c>
      <c r="AH270" s="180" t="s">
        <v>8023</v>
      </c>
      <c r="AM270" s="225"/>
      <c r="BS270" s="225">
        <v>46.83</v>
      </c>
      <c r="BT270" s="180" t="s">
        <v>8023</v>
      </c>
      <c r="BU270" s="136">
        <v>22.15</v>
      </c>
      <c r="BV270" s="180" t="s">
        <v>8023</v>
      </c>
    </row>
    <row r="271" spans="1:74">
      <c r="A271" s="154" t="s">
        <v>7744</v>
      </c>
      <c r="B271" s="231" t="s">
        <v>259</v>
      </c>
      <c r="C271" s="231" t="s">
        <v>7964</v>
      </c>
      <c r="D271" s="231"/>
      <c r="E271" s="230">
        <v>21</v>
      </c>
      <c r="F271" s="232">
        <v>1</v>
      </c>
      <c r="G271" s="230"/>
      <c r="S271" s="225">
        <v>1305.591187</v>
      </c>
      <c r="T271" s="180" t="s">
        <v>8023</v>
      </c>
      <c r="Y271" s="225">
        <v>635.29</v>
      </c>
      <c r="Z271" s="180" t="s">
        <v>8023</v>
      </c>
      <c r="AA271" s="225">
        <v>55458.6</v>
      </c>
      <c r="AB271" s="180" t="s">
        <v>8023</v>
      </c>
      <c r="AC271">
        <v>28.36</v>
      </c>
      <c r="AD271" s="180" t="s">
        <v>8023</v>
      </c>
      <c r="AG271" s="225">
        <v>5.1145038170000001</v>
      </c>
      <c r="AH271" s="180" t="s">
        <v>8023</v>
      </c>
      <c r="AM271" s="225"/>
      <c r="BS271" s="225">
        <v>46.03</v>
      </c>
      <c r="BT271" s="180" t="s">
        <v>8023</v>
      </c>
      <c r="BU271" s="136">
        <v>22.4</v>
      </c>
      <c r="BV271" s="180" t="s">
        <v>8023</v>
      </c>
    </row>
    <row r="272" spans="1:74">
      <c r="A272" s="154" t="s">
        <v>7744</v>
      </c>
      <c r="B272" s="231" t="s">
        <v>257</v>
      </c>
      <c r="C272" s="231" t="s">
        <v>7982</v>
      </c>
      <c r="D272" s="231"/>
      <c r="E272" s="229">
        <v>21</v>
      </c>
      <c r="F272" s="232">
        <v>25</v>
      </c>
      <c r="G272" s="230"/>
      <c r="S272" s="225">
        <v>1303.095073</v>
      </c>
      <c r="T272" s="180" t="s">
        <v>8023</v>
      </c>
      <c r="Y272" s="225">
        <v>572.66</v>
      </c>
      <c r="Z272" s="180" t="s">
        <v>8023</v>
      </c>
      <c r="AA272" s="225">
        <v>61626.87</v>
      </c>
      <c r="AB272" s="180" t="s">
        <v>8023</v>
      </c>
      <c r="AC272">
        <v>27.23</v>
      </c>
      <c r="AD272" s="180" t="s">
        <v>8023</v>
      </c>
      <c r="AG272" s="225">
        <v>4.4183864919999998</v>
      </c>
      <c r="AH272" s="180" t="s">
        <v>8023</v>
      </c>
      <c r="AM272" s="225"/>
      <c r="BS272" s="225">
        <v>47.86</v>
      </c>
      <c r="BT272" s="180" t="s">
        <v>8023</v>
      </c>
      <c r="BU272" s="136">
        <v>21.03</v>
      </c>
      <c r="BV272" s="180" t="s">
        <v>8023</v>
      </c>
    </row>
    <row r="273" spans="1:74">
      <c r="A273" s="154" t="s">
        <v>7744</v>
      </c>
      <c r="B273" s="231" t="s">
        <v>259</v>
      </c>
      <c r="C273" s="231" t="s">
        <v>7982</v>
      </c>
      <c r="D273" s="231"/>
      <c r="E273" s="229">
        <v>3</v>
      </c>
      <c r="F273" s="232">
        <v>10</v>
      </c>
      <c r="G273" s="230"/>
      <c r="S273" s="225">
        <v>1121.121386</v>
      </c>
      <c r="T273" s="180" t="s">
        <v>8023</v>
      </c>
      <c r="Y273" s="225">
        <v>558.47</v>
      </c>
      <c r="Z273" s="180" t="s">
        <v>8023</v>
      </c>
      <c r="AA273" s="225">
        <v>51527.85</v>
      </c>
      <c r="AB273" s="180" t="s">
        <v>8023</v>
      </c>
      <c r="AC273">
        <v>24.73</v>
      </c>
      <c r="AD273" s="180" t="s">
        <v>8023</v>
      </c>
      <c r="AG273" s="225">
        <v>4.7995888999999998</v>
      </c>
      <c r="AH273" s="180" t="s">
        <v>8023</v>
      </c>
      <c r="AM273" s="225"/>
      <c r="BS273" s="225">
        <v>45.33</v>
      </c>
      <c r="BT273" s="180" t="s">
        <v>8023</v>
      </c>
      <c r="BU273" s="136">
        <v>22.58</v>
      </c>
      <c r="BV273" s="180" t="s">
        <v>8023</v>
      </c>
    </row>
    <row r="274" spans="1:74">
      <c r="A274" s="154" t="s">
        <v>7745</v>
      </c>
      <c r="B274" s="231" t="s">
        <v>257</v>
      </c>
      <c r="C274" s="231" t="s">
        <v>405</v>
      </c>
      <c r="D274" s="231"/>
      <c r="E274" s="229">
        <v>7</v>
      </c>
      <c r="F274" s="232">
        <v>46</v>
      </c>
      <c r="G274" s="230"/>
      <c r="S274" s="225">
        <v>1432.8930319999999</v>
      </c>
      <c r="T274" s="180" t="s">
        <v>8023</v>
      </c>
      <c r="Y274" s="225">
        <v>693.76</v>
      </c>
      <c r="Z274" s="180" t="s">
        <v>8023</v>
      </c>
      <c r="AA274" s="225">
        <v>64153.05</v>
      </c>
      <c r="AB274" s="180" t="s">
        <v>8023</v>
      </c>
      <c r="AC274">
        <v>30.76</v>
      </c>
      <c r="AD274" s="180" t="s">
        <v>8023</v>
      </c>
      <c r="AG274" s="225">
        <v>4.794086589</v>
      </c>
      <c r="AH274" s="180" t="s">
        <v>8023</v>
      </c>
      <c r="AM274" s="225"/>
      <c r="BS274" s="225">
        <v>46.59</v>
      </c>
      <c r="BT274" s="180" t="s">
        <v>8023</v>
      </c>
      <c r="BU274" s="136">
        <v>22.56</v>
      </c>
      <c r="BV274" s="180" t="s">
        <v>8023</v>
      </c>
    </row>
    <row r="275" spans="1:74">
      <c r="A275" s="154" t="s">
        <v>7745</v>
      </c>
      <c r="B275" s="231" t="s">
        <v>259</v>
      </c>
      <c r="C275" s="231" t="s">
        <v>405</v>
      </c>
      <c r="D275" s="231"/>
      <c r="E275" s="229">
        <v>7</v>
      </c>
      <c r="F275" s="232">
        <v>22</v>
      </c>
      <c r="G275" s="230"/>
      <c r="S275" s="225">
        <v>1687.182857</v>
      </c>
      <c r="T275" s="180" t="s">
        <v>8023</v>
      </c>
      <c r="Y275" s="225">
        <v>763.14</v>
      </c>
      <c r="Z275" s="180" t="s">
        <v>8023</v>
      </c>
      <c r="AA275" s="225">
        <v>74280</v>
      </c>
      <c r="AB275" s="180" t="s">
        <v>8023</v>
      </c>
      <c r="AC275">
        <v>35.659999999999997</v>
      </c>
      <c r="AD275" s="180" t="s">
        <v>8023</v>
      </c>
      <c r="AG275" s="225">
        <v>4.8012552299999998</v>
      </c>
      <c r="AH275" s="180" t="s">
        <v>8023</v>
      </c>
      <c r="AM275" s="225"/>
      <c r="BS275" s="225">
        <v>47.31</v>
      </c>
      <c r="BT275" s="180" t="s">
        <v>8023</v>
      </c>
      <c r="BU275" s="136">
        <v>21.4</v>
      </c>
      <c r="BV275" s="180" t="s">
        <v>8023</v>
      </c>
    </row>
    <row r="276" spans="1:74">
      <c r="A276" s="154" t="s">
        <v>7745</v>
      </c>
      <c r="B276" s="231" t="s">
        <v>257</v>
      </c>
      <c r="C276" s="231" t="s">
        <v>7963</v>
      </c>
      <c r="D276" s="231"/>
      <c r="E276" s="230">
        <v>12</v>
      </c>
      <c r="F276" s="232">
        <v>32</v>
      </c>
      <c r="G276" s="230"/>
      <c r="S276" s="225">
        <v>1677.61609</v>
      </c>
      <c r="T276" s="180" t="s">
        <v>8023</v>
      </c>
      <c r="Y276" s="225">
        <v>772.26</v>
      </c>
      <c r="Z276" s="180" t="s">
        <v>8023</v>
      </c>
      <c r="AA276" s="225">
        <v>75483.320000000007</v>
      </c>
      <c r="AB276" s="180" t="s">
        <v>8023</v>
      </c>
      <c r="AC276">
        <v>35.68</v>
      </c>
      <c r="AD276" s="180" t="s">
        <v>8023</v>
      </c>
      <c r="AG276" s="225">
        <v>4.7270854790000003</v>
      </c>
      <c r="AH276" s="180" t="s">
        <v>8023</v>
      </c>
      <c r="AM276" s="225"/>
      <c r="BS276" s="225">
        <v>47.02</v>
      </c>
      <c r="BT276" s="180" t="s">
        <v>8023</v>
      </c>
      <c r="BU276" s="136">
        <v>21.64</v>
      </c>
      <c r="BV276" s="180" t="s">
        <v>8023</v>
      </c>
    </row>
    <row r="277" spans="1:74">
      <c r="A277" s="154" t="s">
        <v>7745</v>
      </c>
      <c r="B277" s="231" t="s">
        <v>259</v>
      </c>
      <c r="C277" s="231" t="s">
        <v>7963</v>
      </c>
      <c r="D277" s="231"/>
      <c r="E277" s="230">
        <v>11</v>
      </c>
      <c r="F277" s="232">
        <v>38</v>
      </c>
      <c r="G277" s="230"/>
      <c r="S277" s="225">
        <v>1599.9140170000001</v>
      </c>
      <c r="T277" s="180" t="s">
        <v>8023</v>
      </c>
      <c r="Y277" s="225">
        <v>736.1</v>
      </c>
      <c r="Z277" s="180" t="s">
        <v>8023</v>
      </c>
      <c r="AA277" s="225">
        <v>70061.2</v>
      </c>
      <c r="AB277" s="180" t="s">
        <v>8023</v>
      </c>
      <c r="AC277">
        <v>33.979999999999997</v>
      </c>
      <c r="AD277" s="180" t="s">
        <v>8023</v>
      </c>
      <c r="AG277" s="225">
        <v>4.8494288680000004</v>
      </c>
      <c r="AH277" s="180" t="s">
        <v>8023</v>
      </c>
      <c r="AM277" s="225"/>
      <c r="BS277" s="225">
        <v>47.09</v>
      </c>
      <c r="BT277" s="180" t="s">
        <v>8023</v>
      </c>
      <c r="BU277" s="136">
        <v>21.67</v>
      </c>
      <c r="BV277" s="180" t="s">
        <v>8023</v>
      </c>
    </row>
    <row r="278" spans="1:74">
      <c r="A278" s="154" t="s">
        <v>7745</v>
      </c>
      <c r="B278" s="231" t="s">
        <v>257</v>
      </c>
      <c r="C278" s="231" t="s">
        <v>7964</v>
      </c>
      <c r="D278" s="231"/>
      <c r="E278" s="229">
        <v>15</v>
      </c>
      <c r="F278" s="232">
        <v>42</v>
      </c>
      <c r="G278" s="230"/>
      <c r="S278" s="225">
        <v>1572.3514700000001</v>
      </c>
      <c r="T278" s="180" t="s">
        <v>8023</v>
      </c>
      <c r="Y278" s="225">
        <v>749.79</v>
      </c>
      <c r="Z278" s="180" t="s">
        <v>8023</v>
      </c>
      <c r="AA278" s="225">
        <v>68090.880000000005</v>
      </c>
      <c r="AB278" s="180" t="s">
        <v>8023</v>
      </c>
      <c r="AC278">
        <v>33.57</v>
      </c>
      <c r="AD278" s="180" t="s">
        <v>8023</v>
      </c>
      <c r="AG278" s="225">
        <v>4.9301825990000001</v>
      </c>
      <c r="AH278" s="180" t="s">
        <v>8023</v>
      </c>
      <c r="AM278" s="225"/>
      <c r="BS278" s="225">
        <v>46.84</v>
      </c>
      <c r="BT278" s="180" t="s">
        <v>8023</v>
      </c>
      <c r="BU278" s="136">
        <v>22.34</v>
      </c>
      <c r="BV278" s="180" t="s">
        <v>8023</v>
      </c>
    </row>
    <row r="279" spans="1:74">
      <c r="A279" s="154" t="s">
        <v>7745</v>
      </c>
      <c r="B279" s="231" t="s">
        <v>259</v>
      </c>
      <c r="C279" s="231" t="s">
        <v>7964</v>
      </c>
      <c r="D279" s="231"/>
      <c r="E279" s="229">
        <v>13</v>
      </c>
      <c r="F279" s="232">
        <v>2</v>
      </c>
      <c r="G279" s="230"/>
      <c r="S279" s="225">
        <v>1504.342562</v>
      </c>
      <c r="T279" s="180" t="s">
        <v>8023</v>
      </c>
      <c r="Y279" s="225">
        <v>729.68</v>
      </c>
      <c r="Z279" s="180" t="s">
        <v>8023</v>
      </c>
      <c r="AA279" s="225">
        <v>65713.37</v>
      </c>
      <c r="AB279" s="180" t="s">
        <v>8023</v>
      </c>
      <c r="AC279">
        <v>32.369999999999997</v>
      </c>
      <c r="AD279" s="180" t="s">
        <v>8023</v>
      </c>
      <c r="AG279" s="225">
        <v>4.9252136750000002</v>
      </c>
      <c r="AH279" s="180" t="s">
        <v>8023</v>
      </c>
      <c r="AM279" s="225"/>
      <c r="BS279" s="225">
        <v>46.48</v>
      </c>
      <c r="BT279" s="180" t="s">
        <v>8023</v>
      </c>
      <c r="BU279" s="136">
        <v>22.55</v>
      </c>
      <c r="BV279" s="180" t="s">
        <v>8023</v>
      </c>
    </row>
    <row r="280" spans="1:74">
      <c r="A280" s="154" t="s">
        <v>7745</v>
      </c>
      <c r="B280" s="231" t="s">
        <v>257</v>
      </c>
      <c r="C280" s="231" t="s">
        <v>7982</v>
      </c>
      <c r="D280" s="231"/>
      <c r="E280" s="229">
        <v>19</v>
      </c>
      <c r="F280" s="232">
        <v>5</v>
      </c>
      <c r="G280" s="230"/>
      <c r="S280" s="225">
        <v>1631.3576069999999</v>
      </c>
      <c r="T280" s="180" t="s">
        <v>8023</v>
      </c>
      <c r="Y280" s="225">
        <v>729.35</v>
      </c>
      <c r="Z280" s="180" t="s">
        <v>8023</v>
      </c>
      <c r="AA280" s="225">
        <v>61383.199999999997</v>
      </c>
      <c r="AB280" s="180" t="s">
        <v>8023</v>
      </c>
      <c r="AC280">
        <v>34.159999999999997</v>
      </c>
      <c r="AD280" s="180" t="s">
        <v>8023</v>
      </c>
      <c r="AG280" s="225">
        <v>5.5648038050000004</v>
      </c>
      <c r="AH280" s="180" t="s">
        <v>8023</v>
      </c>
      <c r="AM280" s="225"/>
      <c r="BS280" s="225">
        <v>47.76</v>
      </c>
      <c r="BT280" s="180" t="s">
        <v>8023</v>
      </c>
      <c r="BU280" s="136">
        <v>21.35</v>
      </c>
      <c r="BV280" s="180" t="s">
        <v>8023</v>
      </c>
    </row>
    <row r="281" spans="1:74">
      <c r="A281" s="154" t="s">
        <v>7745</v>
      </c>
      <c r="B281" s="231" t="s">
        <v>259</v>
      </c>
      <c r="C281" s="231" t="s">
        <v>7982</v>
      </c>
      <c r="D281" s="231"/>
      <c r="E281" s="229">
        <v>1</v>
      </c>
      <c r="F281" s="232">
        <v>30</v>
      </c>
      <c r="G281" s="230"/>
      <c r="S281" s="225">
        <v>1191.940834</v>
      </c>
      <c r="T281" s="180" t="s">
        <v>8023</v>
      </c>
      <c r="Y281" s="225">
        <v>661.58</v>
      </c>
      <c r="Z281" s="180" t="s">
        <v>8023</v>
      </c>
      <c r="AA281" s="225">
        <v>63107</v>
      </c>
      <c r="AB281" s="180" t="s">
        <v>8023</v>
      </c>
      <c r="AC281">
        <v>26.82</v>
      </c>
      <c r="AD281" s="180" t="s">
        <v>8023</v>
      </c>
      <c r="AG281" s="225">
        <v>4.2504570380000004</v>
      </c>
      <c r="AH281" s="180" t="s">
        <v>8023</v>
      </c>
      <c r="AM281" s="225"/>
      <c r="BS281" s="225">
        <v>44.44</v>
      </c>
      <c r="BT281" s="180" t="s">
        <v>8023</v>
      </c>
      <c r="BU281" s="136">
        <v>24.66</v>
      </c>
      <c r="BV281" s="180" t="s">
        <v>8023</v>
      </c>
    </row>
    <row r="282" spans="1:74">
      <c r="A282" s="154" t="s">
        <v>7746</v>
      </c>
      <c r="B282" s="231" t="s">
        <v>257</v>
      </c>
      <c r="C282" s="231" t="s">
        <v>405</v>
      </c>
      <c r="D282" s="231"/>
      <c r="E282" s="230">
        <v>6</v>
      </c>
      <c r="F282" s="232">
        <v>64</v>
      </c>
      <c r="G282" s="230"/>
      <c r="S282" s="225">
        <v>1413.223234</v>
      </c>
      <c r="T282" s="180" t="s">
        <v>8023</v>
      </c>
      <c r="Y282" s="225">
        <v>637.67999999999995</v>
      </c>
      <c r="Z282" s="180" t="s">
        <v>8023</v>
      </c>
      <c r="AA282" s="225">
        <v>63145.71</v>
      </c>
      <c r="AB282" s="180" t="s">
        <v>8023</v>
      </c>
      <c r="AC282">
        <v>29.48</v>
      </c>
      <c r="AD282" s="180" t="s">
        <v>8023</v>
      </c>
      <c r="AG282" s="225">
        <v>4.6687054029999997</v>
      </c>
      <c r="AH282" s="180" t="s">
        <v>8023</v>
      </c>
      <c r="AM282" s="225"/>
      <c r="BS282" s="225">
        <v>47.94</v>
      </c>
      <c r="BT282" s="180" t="s">
        <v>8023</v>
      </c>
      <c r="BU282" s="136">
        <v>21.63</v>
      </c>
      <c r="BV282" s="180" t="s">
        <v>8023</v>
      </c>
    </row>
    <row r="283" spans="1:74">
      <c r="A283" s="154" t="s">
        <v>7746</v>
      </c>
      <c r="B283" s="231" t="s">
        <v>259</v>
      </c>
      <c r="C283" s="231" t="s">
        <v>405</v>
      </c>
      <c r="D283" s="231"/>
      <c r="E283" s="230">
        <v>7</v>
      </c>
      <c r="F283" s="232">
        <v>9</v>
      </c>
      <c r="G283" s="230"/>
      <c r="S283" s="225">
        <v>1543.6586010000001</v>
      </c>
      <c r="T283" s="180" t="s">
        <v>8023</v>
      </c>
      <c r="Y283" s="225">
        <v>708.58</v>
      </c>
      <c r="Z283" s="180" t="s">
        <v>8023</v>
      </c>
      <c r="AA283" s="225">
        <v>65517.34</v>
      </c>
      <c r="AB283" s="180" t="s">
        <v>8023</v>
      </c>
      <c r="AC283">
        <v>32.69</v>
      </c>
      <c r="AD283" s="180" t="s">
        <v>8023</v>
      </c>
      <c r="AG283" s="225">
        <v>4.989082969</v>
      </c>
      <c r="AH283" s="180" t="s">
        <v>8023</v>
      </c>
      <c r="AM283" s="225"/>
      <c r="BS283" s="225">
        <v>47.23</v>
      </c>
      <c r="BT283" s="180" t="s">
        <v>8023</v>
      </c>
      <c r="BU283" s="136">
        <v>21.68</v>
      </c>
      <c r="BV283" s="180" t="s">
        <v>8023</v>
      </c>
    </row>
    <row r="284" spans="1:74">
      <c r="A284" s="154" t="s">
        <v>7746</v>
      </c>
      <c r="B284" s="231" t="s">
        <v>257</v>
      </c>
      <c r="C284" s="231" t="s">
        <v>7963</v>
      </c>
      <c r="D284" s="231"/>
      <c r="E284" s="229">
        <v>12</v>
      </c>
      <c r="F284" s="232">
        <v>23</v>
      </c>
      <c r="G284" s="230"/>
      <c r="S284" s="225">
        <v>1490.4549569999999</v>
      </c>
      <c r="T284" s="180" t="s">
        <v>8023</v>
      </c>
      <c r="Y284" s="225">
        <v>632.16</v>
      </c>
      <c r="Z284" s="180" t="s">
        <v>8023</v>
      </c>
      <c r="AA284" s="225">
        <v>66721.84</v>
      </c>
      <c r="AB284" s="180" t="s">
        <v>8023</v>
      </c>
      <c r="AC284">
        <v>30.74</v>
      </c>
      <c r="AD284" s="180" t="s">
        <v>8023</v>
      </c>
      <c r="AG284" s="225">
        <v>4.6077457800000001</v>
      </c>
      <c r="AH284" s="180" t="s">
        <v>8023</v>
      </c>
      <c r="AM284" s="225"/>
      <c r="BS284" s="225">
        <v>48.48</v>
      </c>
      <c r="BT284" s="180" t="s">
        <v>8023</v>
      </c>
      <c r="BU284" s="136">
        <v>20.56</v>
      </c>
      <c r="BV284" s="180" t="s">
        <v>8023</v>
      </c>
    </row>
    <row r="285" spans="1:74">
      <c r="A285" s="154" t="s">
        <v>7746</v>
      </c>
      <c r="B285" s="231" t="s">
        <v>259</v>
      </c>
      <c r="C285" s="231" t="s">
        <v>7963</v>
      </c>
      <c r="D285" s="231"/>
      <c r="E285" s="229">
        <v>9</v>
      </c>
      <c r="F285" s="232">
        <v>38</v>
      </c>
      <c r="G285" s="230"/>
      <c r="S285" s="225">
        <v>1041.586865</v>
      </c>
      <c r="T285" s="180" t="s">
        <v>8023</v>
      </c>
      <c r="Y285" s="225">
        <v>517</v>
      </c>
      <c r="Z285" s="180" t="s">
        <v>8023</v>
      </c>
      <c r="AA285" s="225">
        <v>45123.38</v>
      </c>
      <c r="AB285" s="180" t="s">
        <v>8023</v>
      </c>
      <c r="AC285">
        <v>22.91</v>
      </c>
      <c r="AD285" s="180" t="s">
        <v>8023</v>
      </c>
      <c r="AG285" s="225">
        <v>5.0765864330000001</v>
      </c>
      <c r="AH285" s="180" t="s">
        <v>8023</v>
      </c>
      <c r="AM285" s="225"/>
      <c r="BS285" s="225">
        <v>45.47</v>
      </c>
      <c r="BT285" s="180" t="s">
        <v>8023</v>
      </c>
      <c r="BU285" s="136">
        <v>22.57</v>
      </c>
      <c r="BV285" s="180" t="s">
        <v>8023</v>
      </c>
    </row>
    <row r="286" spans="1:74">
      <c r="A286" s="154" t="s">
        <v>7746</v>
      </c>
      <c r="B286" s="231" t="s">
        <v>257</v>
      </c>
      <c r="C286" s="231" t="s">
        <v>7964</v>
      </c>
      <c r="D286" s="231"/>
      <c r="E286" s="229">
        <v>13</v>
      </c>
      <c r="F286" s="232">
        <v>36</v>
      </c>
      <c r="G286" s="230"/>
      <c r="S286" s="225">
        <v>1841.0632519999999</v>
      </c>
      <c r="T286" s="180" t="s">
        <v>8023</v>
      </c>
      <c r="Y286" s="225">
        <v>811.23</v>
      </c>
      <c r="Z286" s="180" t="s">
        <v>8023</v>
      </c>
      <c r="AA286" s="225">
        <v>81543.19</v>
      </c>
      <c r="AB286" s="180" t="s">
        <v>8023</v>
      </c>
      <c r="AC286">
        <v>38.58</v>
      </c>
      <c r="AD286" s="180" t="s">
        <v>8023</v>
      </c>
      <c r="AG286" s="225">
        <v>4.7314049589999998</v>
      </c>
      <c r="AH286" s="180" t="s">
        <v>8023</v>
      </c>
      <c r="AM286" s="225"/>
      <c r="BS286" s="225">
        <v>47.72</v>
      </c>
      <c r="BT286" s="180" t="s">
        <v>8023</v>
      </c>
      <c r="BU286" s="136">
        <v>21.03</v>
      </c>
      <c r="BV286" s="180" t="s">
        <v>8023</v>
      </c>
    </row>
    <row r="287" spans="1:74">
      <c r="A287" s="154" t="s">
        <v>7746</v>
      </c>
      <c r="B287" s="231" t="s">
        <v>259</v>
      </c>
      <c r="C287" s="231" t="s">
        <v>7964</v>
      </c>
      <c r="D287" s="231"/>
      <c r="E287" s="229">
        <v>14</v>
      </c>
      <c r="F287" s="232">
        <v>19</v>
      </c>
      <c r="G287" s="230"/>
      <c r="S287" s="225">
        <v>1480.7983850000001</v>
      </c>
      <c r="T287" s="180" t="s">
        <v>8023</v>
      </c>
      <c r="Y287" s="225">
        <v>653.34</v>
      </c>
      <c r="Z287" s="180" t="s">
        <v>8023</v>
      </c>
      <c r="AA287" s="225">
        <v>63820.56</v>
      </c>
      <c r="AB287" s="180" t="s">
        <v>8023</v>
      </c>
      <c r="AC287">
        <v>31.31</v>
      </c>
      <c r="AD287" s="180" t="s">
        <v>8023</v>
      </c>
      <c r="AG287" s="225">
        <v>4.9052631580000003</v>
      </c>
      <c r="AH287" s="180" t="s">
        <v>8023</v>
      </c>
      <c r="AM287" s="225"/>
      <c r="BS287" s="225">
        <v>47.3</v>
      </c>
      <c r="BT287" s="180" t="s">
        <v>8023</v>
      </c>
      <c r="BU287" s="136">
        <v>20.87</v>
      </c>
      <c r="BV287" s="180" t="s">
        <v>8023</v>
      </c>
    </row>
    <row r="288" spans="1:74">
      <c r="A288" s="154" t="s">
        <v>7746</v>
      </c>
      <c r="B288" s="231" t="s">
        <v>257</v>
      </c>
      <c r="C288" s="231" t="s">
        <v>7982</v>
      </c>
      <c r="D288" s="231"/>
      <c r="E288" s="230">
        <v>18</v>
      </c>
      <c r="F288" s="232">
        <v>4</v>
      </c>
      <c r="G288" s="230"/>
      <c r="S288" s="225">
        <v>1767.5732009999999</v>
      </c>
      <c r="T288" s="180" t="s">
        <v>8023</v>
      </c>
      <c r="Y288" s="225">
        <v>756.94</v>
      </c>
      <c r="Z288" s="180" t="s">
        <v>8023</v>
      </c>
      <c r="AA288" s="225">
        <v>81743.460000000006</v>
      </c>
      <c r="AB288" s="180" t="s">
        <v>8023</v>
      </c>
      <c r="AC288">
        <v>36.69</v>
      </c>
      <c r="AD288" s="180" t="s">
        <v>8023</v>
      </c>
      <c r="AG288" s="225">
        <v>4.4880382780000003</v>
      </c>
      <c r="AH288" s="180" t="s">
        <v>8023</v>
      </c>
      <c r="AM288" s="225"/>
      <c r="BS288" s="225">
        <v>48.18</v>
      </c>
      <c r="BT288" s="180" t="s">
        <v>8023</v>
      </c>
      <c r="BU288" s="136">
        <v>20.63</v>
      </c>
      <c r="BV288" s="180" t="s">
        <v>8023</v>
      </c>
    </row>
    <row r="289" spans="1:74">
      <c r="A289" s="154" t="s">
        <v>7746</v>
      </c>
      <c r="B289" s="231" t="s">
        <v>259</v>
      </c>
      <c r="C289" s="231" t="s">
        <v>7982</v>
      </c>
      <c r="D289" s="231"/>
      <c r="E289" s="230">
        <v>4</v>
      </c>
      <c r="F289" s="232">
        <v>24</v>
      </c>
      <c r="G289" s="230"/>
      <c r="S289" s="225">
        <v>1517.0073440000001</v>
      </c>
      <c r="T289" s="180" t="s">
        <v>8023</v>
      </c>
      <c r="Y289" s="225">
        <v>699.91</v>
      </c>
      <c r="Z289" s="180" t="s">
        <v>8023</v>
      </c>
      <c r="AA289" s="225">
        <v>64169.760000000002</v>
      </c>
      <c r="AB289" s="180" t="s">
        <v>8023</v>
      </c>
      <c r="AC289">
        <v>32.26</v>
      </c>
      <c r="AD289" s="180" t="s">
        <v>8023</v>
      </c>
      <c r="AG289" s="225">
        <v>5.0268528459999997</v>
      </c>
      <c r="AH289" s="180" t="s">
        <v>8023</v>
      </c>
      <c r="AM289" s="225"/>
      <c r="BS289" s="225">
        <v>47.03</v>
      </c>
      <c r="BT289" s="180" t="s">
        <v>8023</v>
      </c>
      <c r="BU289" s="136">
        <v>21.7</v>
      </c>
      <c r="BV289" s="180" t="s">
        <v>8023</v>
      </c>
    </row>
    <row r="290" spans="1:74">
      <c r="A290" s="154" t="s">
        <v>7747</v>
      </c>
      <c r="B290" s="231" t="s">
        <v>257</v>
      </c>
      <c r="C290" s="231" t="s">
        <v>405</v>
      </c>
      <c r="D290" s="231"/>
      <c r="E290" s="229">
        <v>8</v>
      </c>
      <c r="F290" s="232">
        <v>43</v>
      </c>
      <c r="G290" s="230"/>
      <c r="S290" s="225">
        <v>1659.2973770000001</v>
      </c>
      <c r="T290" s="180" t="s">
        <v>8023</v>
      </c>
      <c r="Y290" s="225">
        <v>659.66</v>
      </c>
      <c r="Z290" s="180" t="s">
        <v>8023</v>
      </c>
      <c r="AA290" s="225">
        <v>68007.58</v>
      </c>
      <c r="AB290" s="180" t="s">
        <v>8023</v>
      </c>
      <c r="AC290">
        <v>33.6</v>
      </c>
      <c r="AD290" s="180" t="s">
        <v>8023</v>
      </c>
      <c r="AG290" s="225">
        <v>4.9406688240000003</v>
      </c>
      <c r="AH290" s="180" t="s">
        <v>8023</v>
      </c>
      <c r="AM290" s="225"/>
      <c r="BS290" s="225">
        <v>49.38</v>
      </c>
      <c r="BT290" s="180" t="s">
        <v>8023</v>
      </c>
      <c r="BU290" s="136">
        <v>19.63</v>
      </c>
      <c r="BV290" s="180" t="s">
        <v>8023</v>
      </c>
    </row>
    <row r="291" spans="1:74">
      <c r="A291" s="154" t="s">
        <v>7747</v>
      </c>
      <c r="B291" s="231" t="s">
        <v>259</v>
      </c>
      <c r="C291" s="231" t="s">
        <v>405</v>
      </c>
      <c r="D291" s="231"/>
      <c r="E291" s="229">
        <v>8</v>
      </c>
      <c r="F291" s="232">
        <v>9</v>
      </c>
      <c r="G291" s="230"/>
      <c r="S291" s="225">
        <v>1920.7130360000001</v>
      </c>
      <c r="T291" s="180" t="s">
        <v>8023</v>
      </c>
      <c r="Y291" s="225">
        <v>724.42</v>
      </c>
      <c r="Z291" s="180" t="s">
        <v>8023</v>
      </c>
      <c r="AA291" s="225">
        <v>76566.100000000006</v>
      </c>
      <c r="AB291" s="180" t="s">
        <v>8023</v>
      </c>
      <c r="AC291">
        <v>38.200000000000003</v>
      </c>
      <c r="AD291" s="180" t="s">
        <v>8023</v>
      </c>
      <c r="AG291" s="225">
        <v>4.99</v>
      </c>
      <c r="AH291" s="180" t="s">
        <v>8023</v>
      </c>
      <c r="AM291" s="225"/>
      <c r="BS291" s="225">
        <v>50.28</v>
      </c>
      <c r="BT291" s="180" t="s">
        <v>8023</v>
      </c>
      <c r="BU291" s="136">
        <v>18.96</v>
      </c>
      <c r="BV291" s="180" t="s">
        <v>8023</v>
      </c>
    </row>
    <row r="292" spans="1:74">
      <c r="A292" s="154" t="s">
        <v>7747</v>
      </c>
      <c r="B292" s="231" t="s">
        <v>257</v>
      </c>
      <c r="C292" s="231" t="s">
        <v>7963</v>
      </c>
      <c r="D292" s="231"/>
      <c r="E292" s="229">
        <v>9</v>
      </c>
      <c r="F292" s="232">
        <v>3</v>
      </c>
      <c r="G292" s="230"/>
      <c r="S292" s="225">
        <v>1643.380858</v>
      </c>
      <c r="T292" s="180" t="s">
        <v>8023</v>
      </c>
      <c r="Y292" s="225">
        <v>661.07</v>
      </c>
      <c r="Z292" s="180" t="s">
        <v>8023</v>
      </c>
      <c r="AA292" s="225">
        <v>66812.75</v>
      </c>
      <c r="AB292" s="180" t="s">
        <v>8023</v>
      </c>
      <c r="AC292">
        <v>33.19</v>
      </c>
      <c r="AD292" s="180" t="s">
        <v>8023</v>
      </c>
      <c r="AG292" s="225">
        <v>4.9679487179999997</v>
      </c>
      <c r="AH292" s="180" t="s">
        <v>8023</v>
      </c>
      <c r="AM292" s="225"/>
      <c r="BS292" s="225">
        <v>49.51</v>
      </c>
      <c r="BT292" s="180" t="s">
        <v>8023</v>
      </c>
      <c r="BU292" s="136">
        <v>19.920000000000002</v>
      </c>
      <c r="BV292" s="180" t="s">
        <v>8023</v>
      </c>
    </row>
    <row r="293" spans="1:74">
      <c r="A293" s="154" t="s">
        <v>7747</v>
      </c>
      <c r="B293" s="231" t="s">
        <v>259</v>
      </c>
      <c r="C293" s="231" t="s">
        <v>7963</v>
      </c>
      <c r="D293" s="231"/>
      <c r="E293" s="229">
        <v>11</v>
      </c>
      <c r="F293" s="232">
        <v>53</v>
      </c>
      <c r="G293" s="230"/>
      <c r="S293" s="225">
        <v>1813.2885140000001</v>
      </c>
      <c r="T293" s="180" t="s">
        <v>8023</v>
      </c>
      <c r="Y293" s="225">
        <v>755.09</v>
      </c>
      <c r="Z293" s="180" t="s">
        <v>8023</v>
      </c>
      <c r="AA293" s="225">
        <v>70471.59</v>
      </c>
      <c r="AB293" s="180" t="s">
        <v>8023</v>
      </c>
      <c r="AC293">
        <v>37.25</v>
      </c>
      <c r="AD293" s="180" t="s">
        <v>8023</v>
      </c>
      <c r="AG293" s="225">
        <v>5.29</v>
      </c>
      <c r="AH293" s="180" t="s">
        <v>8023</v>
      </c>
      <c r="AM293" s="225"/>
      <c r="BS293" s="225">
        <v>48.68</v>
      </c>
      <c r="BT293" s="180" t="s">
        <v>8023</v>
      </c>
      <c r="BU293" s="136">
        <v>20.27</v>
      </c>
      <c r="BV293" s="180" t="s">
        <v>8023</v>
      </c>
    </row>
    <row r="294" spans="1:74">
      <c r="A294" s="154" t="s">
        <v>7747</v>
      </c>
      <c r="B294" s="231" t="s">
        <v>257</v>
      </c>
      <c r="C294" s="231" t="s">
        <v>7964</v>
      </c>
      <c r="D294" s="231"/>
      <c r="E294" s="230">
        <v>14</v>
      </c>
      <c r="F294" s="232">
        <v>51</v>
      </c>
      <c r="G294" s="230"/>
      <c r="S294" s="225">
        <v>1854.4328780000001</v>
      </c>
      <c r="T294" s="180" t="s">
        <v>8023</v>
      </c>
      <c r="Y294" s="225">
        <v>792.43</v>
      </c>
      <c r="Z294" s="180" t="s">
        <v>8023</v>
      </c>
      <c r="AA294" s="225">
        <v>75362.929999999993</v>
      </c>
      <c r="AB294" s="180" t="s">
        <v>8023</v>
      </c>
      <c r="AC294">
        <v>38.049999999999997</v>
      </c>
      <c r="AD294" s="180" t="s">
        <v>8023</v>
      </c>
      <c r="AG294" s="225">
        <v>5.0495049500000002</v>
      </c>
      <c r="AH294" s="180" t="s">
        <v>8023</v>
      </c>
      <c r="AM294" s="225"/>
      <c r="BS294" s="225">
        <v>48.73</v>
      </c>
      <c r="BT294" s="180" t="s">
        <v>8023</v>
      </c>
      <c r="BU294" s="136">
        <v>20.82</v>
      </c>
      <c r="BV294" s="180" t="s">
        <v>8023</v>
      </c>
    </row>
    <row r="295" spans="1:74">
      <c r="A295" s="154" t="s">
        <v>7747</v>
      </c>
      <c r="B295" s="231" t="s">
        <v>259</v>
      </c>
      <c r="C295" s="231" t="s">
        <v>7964</v>
      </c>
      <c r="D295" s="231"/>
      <c r="E295" s="230">
        <v>13</v>
      </c>
      <c r="F295" s="232">
        <v>14</v>
      </c>
      <c r="G295" s="230"/>
      <c r="S295" s="225">
        <v>1406.930529</v>
      </c>
      <c r="T295" s="180" t="s">
        <v>8023</v>
      </c>
      <c r="Y295" s="225">
        <v>625.82000000000005</v>
      </c>
      <c r="Z295" s="180" t="s">
        <v>8023</v>
      </c>
      <c r="AA295" s="225">
        <v>56411.15</v>
      </c>
      <c r="AB295" s="180" t="s">
        <v>8023</v>
      </c>
      <c r="AC295">
        <v>29.58</v>
      </c>
      <c r="AD295" s="180" t="s">
        <v>8023</v>
      </c>
      <c r="AG295" s="225">
        <v>5.24</v>
      </c>
      <c r="AH295" s="180" t="s">
        <v>8023</v>
      </c>
      <c r="AM295" s="225"/>
      <c r="BS295" s="225">
        <v>47.56</v>
      </c>
      <c r="BT295" s="180" t="s">
        <v>8023</v>
      </c>
      <c r="BU295" s="136">
        <v>21.16</v>
      </c>
      <c r="BV295" s="180" t="s">
        <v>8023</v>
      </c>
    </row>
    <row r="296" spans="1:74">
      <c r="A296" s="154" t="s">
        <v>7747</v>
      </c>
      <c r="B296" s="231" t="s">
        <v>257</v>
      </c>
      <c r="C296" s="231" t="s">
        <v>7982</v>
      </c>
      <c r="D296" s="231"/>
      <c r="E296" s="229">
        <v>19</v>
      </c>
      <c r="F296" s="232">
        <v>17</v>
      </c>
      <c r="G296" s="230"/>
      <c r="S296" s="225">
        <v>1527.2586699999999</v>
      </c>
      <c r="T296" s="180" t="s">
        <v>8023</v>
      </c>
      <c r="Y296" s="225">
        <v>599.76</v>
      </c>
      <c r="Z296" s="180" t="s">
        <v>8023</v>
      </c>
      <c r="AA296" s="225">
        <v>64051.360000000001</v>
      </c>
      <c r="AB296" s="180" t="s">
        <v>8023</v>
      </c>
      <c r="AC296">
        <v>30.85</v>
      </c>
      <c r="AD296" s="180" t="s">
        <v>8023</v>
      </c>
      <c r="AG296" s="225">
        <v>4.8167006109999999</v>
      </c>
      <c r="AH296" s="180" t="s">
        <v>8023</v>
      </c>
      <c r="AM296" s="225"/>
      <c r="BS296" s="225">
        <v>49.5</v>
      </c>
      <c r="BT296" s="180" t="s">
        <v>8023</v>
      </c>
      <c r="BU296" s="136">
        <v>19.440000000000001</v>
      </c>
      <c r="BV296" s="180" t="s">
        <v>8023</v>
      </c>
    </row>
    <row r="297" spans="1:74">
      <c r="A297" s="154" t="s">
        <v>7747</v>
      </c>
      <c r="B297" s="231" t="s">
        <v>259</v>
      </c>
      <c r="C297" s="231" t="s">
        <v>7982</v>
      </c>
      <c r="D297" s="231"/>
      <c r="E297" s="229">
        <v>4</v>
      </c>
      <c r="F297" s="232">
        <v>2</v>
      </c>
      <c r="G297" s="230"/>
      <c r="S297" s="225">
        <v>1450.438445</v>
      </c>
      <c r="T297" s="180" t="s">
        <v>8023</v>
      </c>
      <c r="Y297" s="225">
        <v>682.69</v>
      </c>
      <c r="Z297" s="180" t="s">
        <v>8023</v>
      </c>
      <c r="AA297" s="225">
        <v>64975.9</v>
      </c>
      <c r="AB297" s="180" t="s">
        <v>8023</v>
      </c>
      <c r="AC297">
        <v>31.26</v>
      </c>
      <c r="AD297" s="180" t="s">
        <v>8023</v>
      </c>
      <c r="AG297" s="225">
        <v>4.8099999999999996</v>
      </c>
      <c r="AH297" s="180" t="s">
        <v>8023</v>
      </c>
      <c r="AM297" s="225"/>
      <c r="BS297" s="225">
        <v>46.4</v>
      </c>
      <c r="BT297" s="180" t="s">
        <v>8023</v>
      </c>
      <c r="BU297" s="136">
        <v>21.84</v>
      </c>
      <c r="BV297" s="180" t="s">
        <v>8023</v>
      </c>
    </row>
    <row r="298" spans="1:74">
      <c r="A298" s="154" t="s">
        <v>7748</v>
      </c>
      <c r="B298" s="231" t="s">
        <v>257</v>
      </c>
      <c r="C298" s="231" t="s">
        <v>405</v>
      </c>
      <c r="D298" s="231"/>
      <c r="E298" s="229">
        <v>6</v>
      </c>
      <c r="F298" s="232">
        <v>9</v>
      </c>
      <c r="G298" s="230"/>
      <c r="S298" s="225">
        <v>1464.879416</v>
      </c>
      <c r="T298" s="180" t="s">
        <v>8023</v>
      </c>
      <c r="Y298" s="225">
        <v>601.13</v>
      </c>
      <c r="Z298" s="180" t="s">
        <v>8023</v>
      </c>
      <c r="AA298" s="225">
        <v>62531.61</v>
      </c>
      <c r="AB298" s="180" t="s">
        <v>8023</v>
      </c>
      <c r="AC298">
        <v>29.76</v>
      </c>
      <c r="AD298" s="180" t="s">
        <v>8023</v>
      </c>
      <c r="AG298" s="225">
        <v>4.76</v>
      </c>
      <c r="AH298" s="180" t="s">
        <v>8023</v>
      </c>
      <c r="AM298" s="225"/>
      <c r="BS298" s="225">
        <v>49.22</v>
      </c>
      <c r="BT298" s="180" t="s">
        <v>8023</v>
      </c>
      <c r="BU298" s="136">
        <v>20.2</v>
      </c>
      <c r="BV298" s="180" t="s">
        <v>8023</v>
      </c>
    </row>
    <row r="299" spans="1:74">
      <c r="A299" s="154" t="s">
        <v>7748</v>
      </c>
      <c r="B299" s="231" t="s">
        <v>259</v>
      </c>
      <c r="C299" s="231" t="s">
        <v>405</v>
      </c>
      <c r="D299" s="231"/>
      <c r="E299" s="229">
        <v>10</v>
      </c>
      <c r="F299" s="232">
        <v>5</v>
      </c>
      <c r="G299" s="230"/>
      <c r="S299" s="225">
        <v>1474.342447</v>
      </c>
      <c r="T299" s="180" t="s">
        <v>8023</v>
      </c>
      <c r="Y299" s="225">
        <v>603.85</v>
      </c>
      <c r="Z299" s="180" t="s">
        <v>8023</v>
      </c>
      <c r="AA299" s="225">
        <v>62482.83</v>
      </c>
      <c r="AB299" s="180" t="s">
        <v>8023</v>
      </c>
      <c r="AC299">
        <v>29.97</v>
      </c>
      <c r="AD299" s="180" t="s">
        <v>8023</v>
      </c>
      <c r="AG299" s="225">
        <v>4.8</v>
      </c>
      <c r="AH299" s="180" t="s">
        <v>8023</v>
      </c>
      <c r="AM299" s="225"/>
      <c r="BS299" s="225">
        <v>49.19</v>
      </c>
      <c r="BT299" s="180" t="s">
        <v>8023</v>
      </c>
      <c r="BU299" s="136">
        <v>20.149999999999999</v>
      </c>
      <c r="BV299" s="180" t="s">
        <v>8023</v>
      </c>
    </row>
    <row r="300" spans="1:74">
      <c r="A300" s="154" t="s">
        <v>7748</v>
      </c>
      <c r="B300" s="231" t="s">
        <v>257</v>
      </c>
      <c r="C300" s="231" t="s">
        <v>7963</v>
      </c>
      <c r="D300" s="231"/>
      <c r="E300" s="230">
        <v>10</v>
      </c>
      <c r="F300" s="232">
        <v>46</v>
      </c>
      <c r="G300" s="230"/>
      <c r="S300" s="225">
        <v>1621.1839809999999</v>
      </c>
      <c r="T300" s="180" t="s">
        <v>8023</v>
      </c>
      <c r="Y300" s="225">
        <v>637.13</v>
      </c>
      <c r="Z300" s="180" t="s">
        <v>8023</v>
      </c>
      <c r="AA300" s="225">
        <v>65820.62</v>
      </c>
      <c r="AB300" s="180" t="s">
        <v>8023</v>
      </c>
      <c r="AC300">
        <v>32.590000000000003</v>
      </c>
      <c r="AD300" s="180" t="s">
        <v>8023</v>
      </c>
      <c r="AG300" s="225">
        <v>4.95</v>
      </c>
      <c r="AH300" s="180" t="s">
        <v>8023</v>
      </c>
      <c r="AM300" s="225"/>
      <c r="BS300" s="225">
        <v>49.74</v>
      </c>
      <c r="BT300" s="180" t="s">
        <v>8023</v>
      </c>
      <c r="BU300" s="136">
        <v>19.55</v>
      </c>
      <c r="BV300" s="180" t="s">
        <v>8023</v>
      </c>
    </row>
    <row r="301" spans="1:74">
      <c r="A301" s="154" t="s">
        <v>7748</v>
      </c>
      <c r="B301" s="231" t="s">
        <v>259</v>
      </c>
      <c r="C301" s="231" t="s">
        <v>7963</v>
      </c>
      <c r="D301" s="231"/>
      <c r="E301" s="230">
        <v>14</v>
      </c>
      <c r="F301" s="232">
        <v>41</v>
      </c>
      <c r="G301" s="230"/>
      <c r="S301" s="225">
        <v>1352.094938</v>
      </c>
      <c r="T301" s="180" t="s">
        <v>8023</v>
      </c>
      <c r="Y301" s="225">
        <v>611.59</v>
      </c>
      <c r="Z301" s="180" t="s">
        <v>8023</v>
      </c>
      <c r="AA301" s="225">
        <v>63098.41</v>
      </c>
      <c r="AB301" s="180" t="s">
        <v>8023</v>
      </c>
      <c r="AC301">
        <v>28.44</v>
      </c>
      <c r="AD301" s="180" t="s">
        <v>8023</v>
      </c>
      <c r="AG301" s="225">
        <v>4.51</v>
      </c>
      <c r="AH301" s="180" t="s">
        <v>8023</v>
      </c>
      <c r="AM301" s="225"/>
      <c r="BS301" s="225">
        <v>47.54</v>
      </c>
      <c r="BT301" s="180" t="s">
        <v>8023</v>
      </c>
      <c r="BU301" s="136">
        <v>21.5</v>
      </c>
      <c r="BV301" s="180" t="s">
        <v>8023</v>
      </c>
    </row>
    <row r="302" spans="1:74">
      <c r="A302" s="154" t="s">
        <v>7748</v>
      </c>
      <c r="B302" s="231" t="s">
        <v>257</v>
      </c>
      <c r="C302" s="231" t="s">
        <v>7964</v>
      </c>
      <c r="D302" s="231"/>
      <c r="E302" s="229">
        <v>16</v>
      </c>
      <c r="F302" s="232">
        <v>29</v>
      </c>
      <c r="G302" s="230"/>
      <c r="S302" s="225">
        <v>1725.0478579999999</v>
      </c>
      <c r="T302" s="180" t="s">
        <v>8023</v>
      </c>
      <c r="Y302" s="225">
        <v>701.02</v>
      </c>
      <c r="Z302" s="180" t="s">
        <v>8023</v>
      </c>
      <c r="AA302" s="225">
        <v>71635.429999999993</v>
      </c>
      <c r="AB302" s="180" t="s">
        <v>8023</v>
      </c>
      <c r="AC302">
        <v>34.950000000000003</v>
      </c>
      <c r="AD302" s="180" t="s">
        <v>8023</v>
      </c>
      <c r="AG302" s="225">
        <v>4.88</v>
      </c>
      <c r="AH302" s="180" t="s">
        <v>8023</v>
      </c>
      <c r="AM302" s="225"/>
      <c r="BS302" s="225">
        <v>49.36</v>
      </c>
      <c r="BT302" s="180" t="s">
        <v>8023</v>
      </c>
      <c r="BU302" s="136">
        <v>20.059999999999999</v>
      </c>
      <c r="BV302" s="180" t="s">
        <v>8023</v>
      </c>
    </row>
    <row r="303" spans="1:74">
      <c r="A303" s="154" t="s">
        <v>7748</v>
      </c>
      <c r="B303" s="231" t="s">
        <v>259</v>
      </c>
      <c r="C303" s="231" t="s">
        <v>7964</v>
      </c>
      <c r="D303" s="231"/>
      <c r="E303" s="229">
        <v>18</v>
      </c>
      <c r="F303" s="232">
        <v>5</v>
      </c>
      <c r="G303" s="230"/>
      <c r="S303" s="225">
        <v>1575.280683</v>
      </c>
      <c r="T303" s="180" t="s">
        <v>8023</v>
      </c>
      <c r="Y303" s="225">
        <v>691.77</v>
      </c>
      <c r="Z303" s="180" t="s">
        <v>8023</v>
      </c>
      <c r="AA303" s="225">
        <v>68757.66</v>
      </c>
      <c r="AB303" s="180" t="s">
        <v>8023</v>
      </c>
      <c r="AC303">
        <v>32.69</v>
      </c>
      <c r="AD303" s="180" t="s">
        <v>8023</v>
      </c>
      <c r="AG303" s="225">
        <v>4.75</v>
      </c>
      <c r="AH303" s="180" t="s">
        <v>8023</v>
      </c>
      <c r="AM303" s="225"/>
      <c r="BS303" s="225">
        <v>48.19</v>
      </c>
      <c r="BT303" s="180" t="s">
        <v>8023</v>
      </c>
      <c r="BU303" s="136">
        <v>21.16</v>
      </c>
      <c r="BV303" s="180" t="s">
        <v>8023</v>
      </c>
    </row>
    <row r="304" spans="1:74">
      <c r="A304" s="154" t="s">
        <v>7748</v>
      </c>
      <c r="B304" s="231" t="s">
        <v>257</v>
      </c>
      <c r="C304" s="231" t="s">
        <v>7982</v>
      </c>
      <c r="D304" s="231"/>
      <c r="E304" s="229">
        <v>2</v>
      </c>
      <c r="F304" s="232">
        <v>7</v>
      </c>
      <c r="G304" s="230"/>
      <c r="S304" s="225">
        <v>1349.2124679999999</v>
      </c>
      <c r="T304" s="180" t="s">
        <v>8023</v>
      </c>
      <c r="Y304" s="225">
        <v>552.16999999999996</v>
      </c>
      <c r="Z304" s="180" t="s">
        <v>8023</v>
      </c>
      <c r="AA304" s="225">
        <v>54734.79</v>
      </c>
      <c r="AB304" s="180" t="s">
        <v>8023</v>
      </c>
      <c r="AC304">
        <v>27.69</v>
      </c>
      <c r="AD304" s="180" t="s">
        <v>8023</v>
      </c>
      <c r="AG304" s="225">
        <v>5.0599999999999996</v>
      </c>
      <c r="AH304" s="180" t="s">
        <v>8023</v>
      </c>
      <c r="AM304" s="225"/>
      <c r="BS304" s="225">
        <v>48.72</v>
      </c>
      <c r="BT304" s="180" t="s">
        <v>8023</v>
      </c>
      <c r="BU304" s="136">
        <v>19.940000000000001</v>
      </c>
      <c r="BV304" s="180" t="s">
        <v>8023</v>
      </c>
    </row>
    <row r="305" spans="1:74">
      <c r="A305" s="154" t="s">
        <v>7748</v>
      </c>
      <c r="B305" s="231" t="s">
        <v>259</v>
      </c>
      <c r="C305" s="231" t="s">
        <v>7982</v>
      </c>
      <c r="D305" s="231"/>
      <c r="E305" s="229">
        <v>1</v>
      </c>
      <c r="F305" s="232">
        <v>36</v>
      </c>
      <c r="G305" s="230"/>
      <c r="S305" s="225">
        <v>1681.5688190000001</v>
      </c>
      <c r="T305" s="180" t="s">
        <v>8023</v>
      </c>
      <c r="Y305" s="225">
        <v>745.39</v>
      </c>
      <c r="Z305" s="180" t="s">
        <v>8023</v>
      </c>
      <c r="AA305" s="225">
        <v>78060.28</v>
      </c>
      <c r="AB305" s="180" t="s">
        <v>8023</v>
      </c>
      <c r="AC305">
        <v>35.04</v>
      </c>
      <c r="AD305" s="180" t="s">
        <v>8023</v>
      </c>
      <c r="AG305" s="225">
        <v>4.49</v>
      </c>
      <c r="AH305" s="180" t="s">
        <v>8023</v>
      </c>
      <c r="AM305" s="225"/>
      <c r="BS305" s="225">
        <v>47.99</v>
      </c>
      <c r="BT305" s="180" t="s">
        <v>8023</v>
      </c>
      <c r="BU305" s="136">
        <v>21.27</v>
      </c>
      <c r="BV305" s="180" t="s">
        <v>8023</v>
      </c>
    </row>
    <row r="306" spans="1:74">
      <c r="A306" s="154" t="s">
        <v>7869</v>
      </c>
      <c r="B306" s="231" t="s">
        <v>257</v>
      </c>
      <c r="C306" s="231" t="s">
        <v>405</v>
      </c>
      <c r="D306" s="231"/>
      <c r="E306" s="230">
        <v>5</v>
      </c>
      <c r="F306" s="232">
        <v>28</v>
      </c>
      <c r="G306" s="230"/>
      <c r="S306" s="225">
        <v>1913.2053719999999</v>
      </c>
      <c r="T306" s="180" t="s">
        <v>8023</v>
      </c>
      <c r="Y306" s="225">
        <v>793.85</v>
      </c>
      <c r="Z306" s="180" t="s">
        <v>8023</v>
      </c>
      <c r="AA306" s="225">
        <v>88349.97</v>
      </c>
      <c r="AB306" s="180" t="s">
        <v>8023</v>
      </c>
      <c r="AC306">
        <v>38.56</v>
      </c>
      <c r="AD306" s="180" t="s">
        <v>8023</v>
      </c>
      <c r="AG306" s="225">
        <v>4.3600000000000003</v>
      </c>
      <c r="AH306" s="180" t="s">
        <v>8023</v>
      </c>
      <c r="AM306" s="225"/>
      <c r="BS306" s="225">
        <v>49.61</v>
      </c>
      <c r="BT306" s="180" t="s">
        <v>8023</v>
      </c>
      <c r="BU306" s="136">
        <v>20.59</v>
      </c>
      <c r="BV306" s="180" t="s">
        <v>8023</v>
      </c>
    </row>
    <row r="307" spans="1:74">
      <c r="A307" s="154" t="s">
        <v>7869</v>
      </c>
      <c r="B307" s="231" t="s">
        <v>259</v>
      </c>
      <c r="C307" s="231" t="s">
        <v>405</v>
      </c>
      <c r="D307" s="231"/>
      <c r="E307" s="230">
        <v>11</v>
      </c>
      <c r="F307" s="232">
        <v>6</v>
      </c>
      <c r="G307" s="230"/>
      <c r="S307" s="225" t="s">
        <v>7965</v>
      </c>
      <c r="T307" s="180" t="s">
        <v>8023</v>
      </c>
      <c r="Y307" s="225" t="s">
        <v>7965</v>
      </c>
      <c r="Z307" s="180" t="s">
        <v>8023</v>
      </c>
      <c r="AA307" s="225" t="s">
        <v>7965</v>
      </c>
      <c r="AB307" s="180" t="s">
        <v>8023</v>
      </c>
      <c r="AC307" t="s">
        <v>7965</v>
      </c>
      <c r="AD307" s="180" t="s">
        <v>8023</v>
      </c>
      <c r="AG307" s="225" t="s">
        <v>7965</v>
      </c>
      <c r="AH307" s="180" t="s">
        <v>8023</v>
      </c>
      <c r="AM307" s="225"/>
      <c r="BS307" s="225" t="s">
        <v>7965</v>
      </c>
      <c r="BT307" s="180" t="s">
        <v>8023</v>
      </c>
      <c r="BU307" s="136" t="s">
        <v>7965</v>
      </c>
      <c r="BV307" s="180" t="s">
        <v>8023</v>
      </c>
    </row>
    <row r="308" spans="1:74">
      <c r="A308" s="154" t="s">
        <v>7869</v>
      </c>
      <c r="B308" s="231" t="s">
        <v>257</v>
      </c>
      <c r="C308" s="231" t="s">
        <v>7963</v>
      </c>
      <c r="D308" s="231"/>
      <c r="E308" s="229">
        <v>9</v>
      </c>
      <c r="F308" s="232">
        <v>47</v>
      </c>
      <c r="G308" s="230"/>
      <c r="S308" s="225">
        <v>1593.2328219999999</v>
      </c>
      <c r="T308" s="180" t="s">
        <v>8023</v>
      </c>
      <c r="Y308" s="225">
        <v>683.34</v>
      </c>
      <c r="Z308" s="180" t="s">
        <v>8023</v>
      </c>
      <c r="AA308" s="225">
        <v>69439.16</v>
      </c>
      <c r="AB308" s="180" t="s">
        <v>8023</v>
      </c>
      <c r="AC308">
        <v>32.590000000000003</v>
      </c>
      <c r="AD308" s="180" t="s">
        <v>8023</v>
      </c>
      <c r="AG308" s="225">
        <v>4.6900000000000004</v>
      </c>
      <c r="AH308" s="180" t="s">
        <v>8023</v>
      </c>
      <c r="AM308" s="225"/>
      <c r="BS308" s="225">
        <v>48.89</v>
      </c>
      <c r="BT308" s="180" t="s">
        <v>8023</v>
      </c>
      <c r="BU308" s="136">
        <v>20.97</v>
      </c>
      <c r="BV308" s="180" t="s">
        <v>8023</v>
      </c>
    </row>
    <row r="309" spans="1:74">
      <c r="A309" s="154" t="s">
        <v>7869</v>
      </c>
      <c r="B309" s="231" t="s">
        <v>259</v>
      </c>
      <c r="C309" s="231" t="s">
        <v>7963</v>
      </c>
      <c r="D309" s="231"/>
      <c r="E309" s="229">
        <v>16</v>
      </c>
      <c r="F309" s="232">
        <v>41</v>
      </c>
      <c r="G309" s="230"/>
      <c r="S309" s="225">
        <v>1572.453213</v>
      </c>
      <c r="T309" s="180" t="s">
        <v>8023</v>
      </c>
      <c r="Y309" s="225">
        <v>717.21</v>
      </c>
      <c r="Z309" s="180" t="s">
        <v>8023</v>
      </c>
      <c r="AA309" s="225">
        <v>75871.62</v>
      </c>
      <c r="AB309" s="180" t="s">
        <v>8023</v>
      </c>
      <c r="AC309">
        <v>33.01</v>
      </c>
      <c r="AD309" s="180" t="s">
        <v>8023</v>
      </c>
      <c r="AG309" s="225">
        <v>4.3499999999999996</v>
      </c>
      <c r="AH309" s="180" t="s">
        <v>8023</v>
      </c>
      <c r="AM309" s="225"/>
      <c r="BS309" s="225">
        <v>47.64</v>
      </c>
      <c r="BT309" s="180" t="s">
        <v>8023</v>
      </c>
      <c r="BU309" s="136">
        <v>21.73</v>
      </c>
      <c r="BV309" s="180" t="s">
        <v>8023</v>
      </c>
    </row>
    <row r="310" spans="1:74">
      <c r="A310" s="154" t="s">
        <v>7869</v>
      </c>
      <c r="B310" s="231" t="s">
        <v>257</v>
      </c>
      <c r="C310" s="231" t="s">
        <v>7964</v>
      </c>
      <c r="D310" s="231"/>
      <c r="E310" s="229">
        <v>15</v>
      </c>
      <c r="F310" s="232">
        <v>18</v>
      </c>
      <c r="G310" s="230"/>
      <c r="S310" s="225">
        <v>1641.2042489999999</v>
      </c>
      <c r="T310" s="180" t="s">
        <v>8023</v>
      </c>
      <c r="Y310" s="225">
        <v>757.41</v>
      </c>
      <c r="Z310" s="180" t="s">
        <v>8023</v>
      </c>
      <c r="AA310" s="225">
        <v>73564.289999999994</v>
      </c>
      <c r="AB310" s="180" t="s">
        <v>8023</v>
      </c>
      <c r="AC310">
        <v>34.1</v>
      </c>
      <c r="AD310" s="180" t="s">
        <v>8023</v>
      </c>
      <c r="AG310" s="225">
        <v>4.6399999999999997</v>
      </c>
      <c r="AH310" s="180" t="s">
        <v>8023</v>
      </c>
      <c r="AM310" s="225"/>
      <c r="BS310" s="225">
        <v>48.13</v>
      </c>
      <c r="BT310" s="180" t="s">
        <v>8023</v>
      </c>
      <c r="BU310" s="136">
        <v>22.21</v>
      </c>
      <c r="BV310" s="180" t="s">
        <v>8023</v>
      </c>
    </row>
    <row r="311" spans="1:74">
      <c r="A311" s="154" t="s">
        <v>7869</v>
      </c>
      <c r="B311" s="231" t="s">
        <v>259</v>
      </c>
      <c r="C311" s="231" t="s">
        <v>7964</v>
      </c>
      <c r="D311" s="231"/>
      <c r="E311" s="229">
        <v>17</v>
      </c>
      <c r="F311" s="232">
        <v>5</v>
      </c>
      <c r="G311" s="230"/>
      <c r="S311" s="225">
        <v>1418.3594800000001</v>
      </c>
      <c r="T311" s="180" t="s">
        <v>8023</v>
      </c>
      <c r="Y311" s="225">
        <v>709.61</v>
      </c>
      <c r="Z311" s="180" t="s">
        <v>8023</v>
      </c>
      <c r="AA311" s="225">
        <v>74373.990000000005</v>
      </c>
      <c r="AB311" s="180" t="s">
        <v>8023</v>
      </c>
      <c r="AC311">
        <v>30.41</v>
      </c>
      <c r="AD311" s="180" t="s">
        <v>8023</v>
      </c>
      <c r="AG311" s="225">
        <v>4.09</v>
      </c>
      <c r="AH311" s="180" t="s">
        <v>8023</v>
      </c>
      <c r="AM311" s="225"/>
      <c r="BS311" s="225">
        <v>46.64</v>
      </c>
      <c r="BT311" s="180" t="s">
        <v>8023</v>
      </c>
      <c r="BU311" s="136">
        <v>23.33</v>
      </c>
      <c r="BV311" s="180" t="s">
        <v>8023</v>
      </c>
    </row>
    <row r="312" spans="1:74">
      <c r="A312" s="154" t="s">
        <v>7869</v>
      </c>
      <c r="B312" s="231" t="s">
        <v>257</v>
      </c>
      <c r="C312" s="231" t="s">
        <v>7982</v>
      </c>
      <c r="D312" s="231"/>
      <c r="E312" s="230">
        <v>2</v>
      </c>
      <c r="F312" s="232">
        <v>5</v>
      </c>
      <c r="G312" s="230"/>
      <c r="S312" s="225">
        <v>1618.44587</v>
      </c>
      <c r="T312" s="180" t="s">
        <v>8023</v>
      </c>
      <c r="Y312" s="225">
        <v>755.83</v>
      </c>
      <c r="Z312" s="180" t="s">
        <v>8023</v>
      </c>
      <c r="AA312" s="225">
        <v>70800.56</v>
      </c>
      <c r="AB312" s="180" t="s">
        <v>8023</v>
      </c>
      <c r="AC312">
        <v>34.08</v>
      </c>
      <c r="AD312" s="180" t="s">
        <v>8023</v>
      </c>
      <c r="AG312" s="225">
        <v>4.8099999999999996</v>
      </c>
      <c r="AH312" s="180" t="s">
        <v>8023</v>
      </c>
      <c r="AM312" s="225"/>
      <c r="BS312" s="225">
        <v>47.5</v>
      </c>
      <c r="BT312" s="180" t="s">
        <v>8023</v>
      </c>
      <c r="BU312" s="136">
        <v>22.18</v>
      </c>
      <c r="BV312" s="180" t="s">
        <v>8023</v>
      </c>
    </row>
    <row r="313" spans="1:74">
      <c r="A313" s="154" t="s">
        <v>7869</v>
      </c>
      <c r="B313" s="231" t="s">
        <v>259</v>
      </c>
      <c r="C313" s="231" t="s">
        <v>7982</v>
      </c>
      <c r="D313" s="231"/>
      <c r="E313" s="230">
        <v>2</v>
      </c>
      <c r="F313" s="232">
        <v>47</v>
      </c>
      <c r="G313" s="230"/>
      <c r="S313" s="225">
        <v>1465.292786</v>
      </c>
      <c r="T313" s="180" t="s">
        <v>8023</v>
      </c>
      <c r="Y313" s="225">
        <v>758.85</v>
      </c>
      <c r="Z313" s="180" t="s">
        <v>8023</v>
      </c>
      <c r="AA313" s="225">
        <v>77206.080000000002</v>
      </c>
      <c r="AB313" s="180" t="s">
        <v>8023</v>
      </c>
      <c r="AC313">
        <v>32.26</v>
      </c>
      <c r="AD313" s="180" t="s">
        <v>8023</v>
      </c>
      <c r="AG313" s="225">
        <v>4.18</v>
      </c>
      <c r="AH313" s="180" t="s">
        <v>8023</v>
      </c>
      <c r="AM313" s="225"/>
      <c r="BS313" s="225">
        <v>45.42</v>
      </c>
      <c r="BT313" s="180" t="s">
        <v>8023</v>
      </c>
      <c r="BU313" s="136">
        <v>23.52</v>
      </c>
      <c r="BV313" s="180" t="s">
        <v>8023</v>
      </c>
    </row>
    <row r="314" spans="1:74">
      <c r="A314" s="154" t="s">
        <v>7749</v>
      </c>
      <c r="B314" s="231" t="s">
        <v>257</v>
      </c>
      <c r="C314" s="231" t="s">
        <v>405</v>
      </c>
      <c r="D314" s="231"/>
      <c r="E314" s="229">
        <v>5</v>
      </c>
      <c r="F314" s="232">
        <v>10</v>
      </c>
      <c r="G314" s="230"/>
      <c r="S314" s="225">
        <v>1653.497118</v>
      </c>
      <c r="T314" s="180" t="s">
        <v>8023</v>
      </c>
      <c r="Y314" s="225">
        <v>746.55</v>
      </c>
      <c r="Z314" s="180" t="s">
        <v>8023</v>
      </c>
      <c r="AA314" s="225">
        <v>71382.2</v>
      </c>
      <c r="AB314" s="180" t="s">
        <v>8023</v>
      </c>
      <c r="AC314">
        <v>34.96</v>
      </c>
      <c r="AD314" s="180" t="s">
        <v>8023</v>
      </c>
      <c r="AG314" s="225">
        <v>4.9000000000000004</v>
      </c>
      <c r="AH314" s="180" t="s">
        <v>8023</v>
      </c>
      <c r="AM314" s="225"/>
      <c r="BS314" s="225">
        <v>47.29</v>
      </c>
      <c r="BT314" s="180" t="s">
        <v>8023</v>
      </c>
      <c r="BU314" s="136">
        <v>21.35</v>
      </c>
      <c r="BV314" s="180" t="s">
        <v>8023</v>
      </c>
    </row>
    <row r="315" spans="1:74">
      <c r="A315" s="154" t="s">
        <v>7749</v>
      </c>
      <c r="B315" s="231" t="s">
        <v>259</v>
      </c>
      <c r="C315" s="231" t="s">
        <v>405</v>
      </c>
      <c r="D315" s="231"/>
      <c r="E315" s="229">
        <v>11</v>
      </c>
      <c r="F315" s="232">
        <v>18</v>
      </c>
      <c r="G315" s="230"/>
      <c r="S315" s="225">
        <v>1602.5404120000001</v>
      </c>
      <c r="T315" s="180" t="s">
        <v>8023</v>
      </c>
      <c r="Y315" s="225">
        <v>730.61</v>
      </c>
      <c r="Z315" s="180" t="s">
        <v>8023</v>
      </c>
      <c r="AA315" s="225">
        <v>72074.78</v>
      </c>
      <c r="AB315" s="180" t="s">
        <v>8023</v>
      </c>
      <c r="AC315">
        <v>34.22</v>
      </c>
      <c r="AD315" s="180" t="s">
        <v>8023</v>
      </c>
      <c r="AG315" s="225">
        <v>4.75</v>
      </c>
      <c r="AH315" s="180" t="s">
        <v>8023</v>
      </c>
      <c r="AM315" s="225"/>
      <c r="BS315" s="225">
        <v>46.83</v>
      </c>
      <c r="BT315" s="180" t="s">
        <v>8023</v>
      </c>
      <c r="BU315" s="136">
        <v>21.35</v>
      </c>
      <c r="BV315" s="180" t="s">
        <v>8023</v>
      </c>
    </row>
    <row r="316" spans="1:74">
      <c r="A316" s="154" t="s">
        <v>7749</v>
      </c>
      <c r="B316" s="231" t="s">
        <v>257</v>
      </c>
      <c r="C316" s="231" t="s">
        <v>7963</v>
      </c>
      <c r="D316" s="231"/>
      <c r="E316" s="229">
        <v>12</v>
      </c>
      <c r="F316" s="232">
        <v>40</v>
      </c>
      <c r="G316" s="230"/>
      <c r="S316" s="225">
        <v>1334.069045</v>
      </c>
      <c r="T316" s="180" t="s">
        <v>8023</v>
      </c>
      <c r="Y316" s="225">
        <v>592.62</v>
      </c>
      <c r="Z316" s="180" t="s">
        <v>8023</v>
      </c>
      <c r="AA316" s="225">
        <v>55503.69</v>
      </c>
      <c r="AB316" s="180" t="s">
        <v>8023</v>
      </c>
      <c r="AC316">
        <v>28.21</v>
      </c>
      <c r="AD316" s="180" t="s">
        <v>8023</v>
      </c>
      <c r="AG316" s="225">
        <v>5.08</v>
      </c>
      <c r="AH316" s="180" t="s">
        <v>8023</v>
      </c>
      <c r="AM316" s="225"/>
      <c r="BS316" s="225">
        <v>47.29</v>
      </c>
      <c r="BT316" s="180" t="s">
        <v>8023</v>
      </c>
      <c r="BU316" s="136">
        <v>21.01</v>
      </c>
      <c r="BV316" s="180" t="s">
        <v>8023</v>
      </c>
    </row>
    <row r="317" spans="1:74">
      <c r="A317" s="154" t="s">
        <v>7749</v>
      </c>
      <c r="B317" s="231" t="s">
        <v>259</v>
      </c>
      <c r="C317" s="231" t="s">
        <v>7963</v>
      </c>
      <c r="D317" s="231"/>
      <c r="E317" s="229">
        <v>14</v>
      </c>
      <c r="F317" s="232">
        <v>36</v>
      </c>
      <c r="G317" s="230"/>
      <c r="S317" s="225">
        <v>1245.864822</v>
      </c>
      <c r="T317" s="180" t="s">
        <v>8023</v>
      </c>
      <c r="Y317" s="225">
        <v>593.17999999999995</v>
      </c>
      <c r="Z317" s="180" t="s">
        <v>8023</v>
      </c>
      <c r="AA317" s="225">
        <v>58860.72</v>
      </c>
      <c r="AB317" s="180" t="s">
        <v>8023</v>
      </c>
      <c r="AC317">
        <v>26.89</v>
      </c>
      <c r="AD317" s="180" t="s">
        <v>8023</v>
      </c>
      <c r="AG317" s="225">
        <v>4.57</v>
      </c>
      <c r="AH317" s="180" t="s">
        <v>8023</v>
      </c>
      <c r="AM317" s="225"/>
      <c r="BS317" s="225">
        <v>46.33</v>
      </c>
      <c r="BT317" s="180" t="s">
        <v>8023</v>
      </c>
      <c r="BU317" s="136">
        <v>22.06</v>
      </c>
      <c r="BV317" s="180" t="s">
        <v>8023</v>
      </c>
    </row>
    <row r="318" spans="1:74">
      <c r="A318" s="154" t="s">
        <v>7749</v>
      </c>
      <c r="B318" s="231" t="s">
        <v>257</v>
      </c>
      <c r="C318" s="231" t="s">
        <v>7964</v>
      </c>
      <c r="D318" s="231"/>
      <c r="E318" s="229">
        <v>15</v>
      </c>
      <c r="F318" s="232">
        <v>15</v>
      </c>
      <c r="G318" s="230"/>
      <c r="S318" s="225">
        <v>1318.4218069999999</v>
      </c>
      <c r="T318" s="180" t="s">
        <v>8023</v>
      </c>
      <c r="Y318" s="225">
        <v>608.83000000000004</v>
      </c>
      <c r="Z318" s="180" t="s">
        <v>8023</v>
      </c>
      <c r="AA318" s="225">
        <v>55265.43</v>
      </c>
      <c r="AB318" s="180" t="s">
        <v>8023</v>
      </c>
      <c r="AC318">
        <v>28.17</v>
      </c>
      <c r="AD318" s="180" t="s">
        <v>8023</v>
      </c>
      <c r="AG318" s="225">
        <v>5.0999999999999996</v>
      </c>
      <c r="AH318" s="180" t="s">
        <v>8023</v>
      </c>
      <c r="AM318" s="225"/>
      <c r="BS318" s="225">
        <v>46.79</v>
      </c>
      <c r="BT318" s="180" t="s">
        <v>8023</v>
      </c>
      <c r="BU318" s="136">
        <v>21.61</v>
      </c>
      <c r="BV318" s="180" t="s">
        <v>8023</v>
      </c>
    </row>
    <row r="319" spans="1:74">
      <c r="A319" s="154" t="s">
        <v>7749</v>
      </c>
      <c r="B319" s="231" t="s">
        <v>259</v>
      </c>
      <c r="C319" s="231" t="s">
        <v>7964</v>
      </c>
      <c r="D319" s="231"/>
      <c r="E319" s="230">
        <v>17</v>
      </c>
      <c r="F319" s="232">
        <v>27</v>
      </c>
      <c r="G319" s="230"/>
      <c r="S319" s="225">
        <v>1364.1950340000001</v>
      </c>
      <c r="T319" s="180" t="s">
        <v>8023</v>
      </c>
      <c r="Y319" s="225">
        <v>656.99</v>
      </c>
      <c r="Z319" s="180" t="s">
        <v>8023</v>
      </c>
      <c r="AA319" s="225">
        <v>59080.2</v>
      </c>
      <c r="AB319" s="180" t="s">
        <v>8023</v>
      </c>
      <c r="AC319">
        <v>29.57</v>
      </c>
      <c r="AD319" s="180" t="s">
        <v>8023</v>
      </c>
      <c r="AG319" s="225">
        <v>5.01</v>
      </c>
      <c r="AH319" s="180" t="s">
        <v>8023</v>
      </c>
      <c r="AM319" s="225"/>
      <c r="BS319" s="225">
        <v>46.13</v>
      </c>
      <c r="BT319" s="180" t="s">
        <v>8023</v>
      </c>
      <c r="BU319" s="136">
        <v>22.22</v>
      </c>
      <c r="BV319" s="180" t="s">
        <v>8023</v>
      </c>
    </row>
    <row r="320" spans="1:74">
      <c r="A320" s="154" t="s">
        <v>7749</v>
      </c>
      <c r="B320" s="231" t="s">
        <v>257</v>
      </c>
      <c r="C320" s="231" t="s">
        <v>7982</v>
      </c>
      <c r="D320" s="231"/>
      <c r="E320" s="229">
        <v>3</v>
      </c>
      <c r="F320" s="232">
        <v>22</v>
      </c>
      <c r="G320" s="230"/>
      <c r="S320" s="225">
        <v>1735.670824</v>
      </c>
      <c r="T320" s="180" t="s">
        <v>8023</v>
      </c>
      <c r="Y320" s="225">
        <v>790.71</v>
      </c>
      <c r="Z320" s="180" t="s">
        <v>8023</v>
      </c>
      <c r="AA320" s="225">
        <v>76589.3</v>
      </c>
      <c r="AB320" s="180" t="s">
        <v>8023</v>
      </c>
      <c r="AC320">
        <v>36.58</v>
      </c>
      <c r="AD320" s="180" t="s">
        <v>8023</v>
      </c>
      <c r="AG320" s="225">
        <v>4.78</v>
      </c>
      <c r="AH320" s="180" t="s">
        <v>8023</v>
      </c>
      <c r="AM320" s="225"/>
      <c r="BS320" s="225">
        <v>47.45</v>
      </c>
      <c r="BT320" s="180" t="s">
        <v>8023</v>
      </c>
      <c r="BU320" s="136">
        <v>21.61</v>
      </c>
      <c r="BV320" s="180" t="s">
        <v>8023</v>
      </c>
    </row>
    <row r="321" spans="1:74">
      <c r="A321" s="154" t="s">
        <v>7749</v>
      </c>
      <c r="B321" s="231" t="s">
        <v>259</v>
      </c>
      <c r="C321" s="231" t="s">
        <v>7982</v>
      </c>
      <c r="D321" s="231"/>
      <c r="E321" s="229">
        <v>1</v>
      </c>
      <c r="F321" s="232">
        <v>52</v>
      </c>
      <c r="G321" s="230"/>
      <c r="S321" s="225">
        <v>1692.847577</v>
      </c>
      <c r="T321" s="180" t="s">
        <v>8023</v>
      </c>
      <c r="Y321" s="225">
        <v>824.53</v>
      </c>
      <c r="Z321" s="180" t="s">
        <v>8023</v>
      </c>
      <c r="AA321" s="225">
        <v>76768.929999999993</v>
      </c>
      <c r="AB321" s="180" t="s">
        <v>8023</v>
      </c>
      <c r="AC321">
        <v>37</v>
      </c>
      <c r="AD321" s="180" t="s">
        <v>8023</v>
      </c>
      <c r="AG321" s="225">
        <v>4.82</v>
      </c>
      <c r="AH321" s="180" t="s">
        <v>8023</v>
      </c>
      <c r="AM321" s="225"/>
      <c r="BS321" s="225">
        <v>45.75</v>
      </c>
      <c r="BT321" s="180" t="s">
        <v>8023</v>
      </c>
      <c r="BU321" s="136">
        <v>22.28</v>
      </c>
      <c r="BV321" s="180" t="s">
        <v>8023</v>
      </c>
    </row>
    <row r="322" spans="1:74">
      <c r="A322" s="154" t="s">
        <v>7750</v>
      </c>
      <c r="B322" s="231" t="s">
        <v>257</v>
      </c>
      <c r="C322" s="231" t="s">
        <v>405</v>
      </c>
      <c r="D322" s="231"/>
      <c r="E322" s="229">
        <v>8</v>
      </c>
      <c r="F322" s="232">
        <v>26</v>
      </c>
      <c r="G322" s="230"/>
      <c r="S322" s="225">
        <v>1467.468171</v>
      </c>
      <c r="T322" s="180" t="s">
        <v>8023</v>
      </c>
      <c r="Y322" s="225">
        <v>643.57000000000005</v>
      </c>
      <c r="Z322" s="180" t="s">
        <v>8023</v>
      </c>
      <c r="AA322" s="225">
        <v>61020.51</v>
      </c>
      <c r="AB322" s="180" t="s">
        <v>8023</v>
      </c>
      <c r="AC322">
        <v>30.12</v>
      </c>
      <c r="AD322" s="180" t="s">
        <v>8023</v>
      </c>
      <c r="AG322" s="225">
        <v>4.9400000000000004</v>
      </c>
      <c r="AH322" s="180" t="s">
        <v>8023</v>
      </c>
      <c r="AM322" s="225"/>
      <c r="BS322" s="225">
        <v>48.72</v>
      </c>
      <c r="BT322" s="180" t="s">
        <v>8023</v>
      </c>
      <c r="BU322" s="136">
        <v>21.37</v>
      </c>
      <c r="BV322" s="180" t="s">
        <v>8023</v>
      </c>
    </row>
    <row r="323" spans="1:74">
      <c r="A323" s="154" t="s">
        <v>7750</v>
      </c>
      <c r="B323" s="231" t="s">
        <v>259</v>
      </c>
      <c r="C323" s="231" t="s">
        <v>405</v>
      </c>
      <c r="D323" s="231"/>
      <c r="E323" s="229">
        <v>9</v>
      </c>
      <c r="F323" s="232">
        <v>28</v>
      </c>
      <c r="G323" s="230"/>
      <c r="S323" s="225">
        <v>1747.058949</v>
      </c>
      <c r="T323" s="180" t="s">
        <v>8023</v>
      </c>
      <c r="Y323" s="225">
        <v>815.66</v>
      </c>
      <c r="Z323" s="180" t="s">
        <v>8023</v>
      </c>
      <c r="AA323" s="225">
        <v>72609.39</v>
      </c>
      <c r="AB323" s="180" t="s">
        <v>8023</v>
      </c>
      <c r="AC323">
        <v>36.869999999999997</v>
      </c>
      <c r="AD323" s="180" t="s">
        <v>8023</v>
      </c>
      <c r="AG323" s="225">
        <v>5.08</v>
      </c>
      <c r="AH323" s="180" t="s">
        <v>8023</v>
      </c>
      <c r="AM323" s="225"/>
      <c r="BS323" s="225">
        <v>47.39</v>
      </c>
      <c r="BT323" s="180" t="s">
        <v>8023</v>
      </c>
      <c r="BU323" s="136">
        <v>22.13</v>
      </c>
      <c r="BV323" s="180" t="s">
        <v>8023</v>
      </c>
    </row>
    <row r="324" spans="1:74">
      <c r="A324" s="154" t="s">
        <v>7750</v>
      </c>
      <c r="B324" s="231" t="s">
        <v>257</v>
      </c>
      <c r="C324" s="231" t="s">
        <v>7963</v>
      </c>
      <c r="D324" s="231"/>
      <c r="E324" s="230">
        <v>9</v>
      </c>
      <c r="F324" s="232">
        <v>42</v>
      </c>
      <c r="G324" s="230"/>
      <c r="S324" s="225">
        <v>1554.9575199999999</v>
      </c>
      <c r="T324" s="180" t="s">
        <v>8023</v>
      </c>
      <c r="Y324" s="225">
        <v>668.86</v>
      </c>
      <c r="Z324" s="180" t="s">
        <v>8023</v>
      </c>
      <c r="AA324" s="225">
        <v>64520.480000000003</v>
      </c>
      <c r="AB324" s="180" t="s">
        <v>8023</v>
      </c>
      <c r="AC324">
        <v>32.090000000000003</v>
      </c>
      <c r="AD324" s="180" t="s">
        <v>8023</v>
      </c>
      <c r="AG324" s="225">
        <v>4.97</v>
      </c>
      <c r="AH324" s="180" t="s">
        <v>8023</v>
      </c>
      <c r="AM324" s="225"/>
      <c r="BS324" s="225">
        <v>48.46</v>
      </c>
      <c r="BT324" s="180" t="s">
        <v>8023</v>
      </c>
      <c r="BU324" s="136">
        <v>20.85</v>
      </c>
      <c r="BV324" s="180" t="s">
        <v>8023</v>
      </c>
    </row>
    <row r="325" spans="1:74">
      <c r="A325" s="154" t="s">
        <v>7750</v>
      </c>
      <c r="B325" s="231" t="s">
        <v>259</v>
      </c>
      <c r="C325" s="231" t="s">
        <v>7963</v>
      </c>
      <c r="D325" s="231"/>
      <c r="E325" s="230">
        <v>13</v>
      </c>
      <c r="F325" s="232">
        <v>37</v>
      </c>
      <c r="G325" s="230"/>
      <c r="S325" s="225">
        <v>979.05823899999996</v>
      </c>
      <c r="T325" s="180" t="s">
        <v>8023</v>
      </c>
      <c r="Y325" s="225">
        <v>492.39</v>
      </c>
      <c r="Z325" s="180" t="s">
        <v>8023</v>
      </c>
      <c r="AA325" s="225">
        <v>41826.71</v>
      </c>
      <c r="AB325" s="180" t="s">
        <v>8023</v>
      </c>
      <c r="AC325">
        <v>21.07</v>
      </c>
      <c r="AD325" s="180" t="s">
        <v>8023</v>
      </c>
      <c r="AG325" s="225">
        <v>5.04</v>
      </c>
      <c r="AH325" s="180" t="s">
        <v>8023</v>
      </c>
      <c r="AM325" s="225"/>
      <c r="BS325" s="225">
        <v>46.46</v>
      </c>
      <c r="BT325" s="180" t="s">
        <v>8023</v>
      </c>
      <c r="BU325" s="136">
        <v>23.37</v>
      </c>
      <c r="BV325" s="180" t="s">
        <v>8023</v>
      </c>
    </row>
    <row r="326" spans="1:74">
      <c r="A326" s="154" t="s">
        <v>7750</v>
      </c>
      <c r="B326" s="231" t="s">
        <v>257</v>
      </c>
      <c r="C326" s="231" t="s">
        <v>7964</v>
      </c>
      <c r="D326" s="231"/>
      <c r="E326" s="229">
        <v>14</v>
      </c>
      <c r="F326" s="232">
        <v>31</v>
      </c>
      <c r="G326" s="230"/>
      <c r="S326" s="225">
        <v>1597.935342</v>
      </c>
      <c r="T326" s="180" t="s">
        <v>8023</v>
      </c>
      <c r="Y326" s="225">
        <v>712.49</v>
      </c>
      <c r="Z326" s="180" t="s">
        <v>8023</v>
      </c>
      <c r="AA326" s="225">
        <v>67953.789999999994</v>
      </c>
      <c r="AB326" s="180" t="s">
        <v>8023</v>
      </c>
      <c r="AC326">
        <v>33.15</v>
      </c>
      <c r="AD326" s="180" t="s">
        <v>8023</v>
      </c>
      <c r="AG326" s="225">
        <v>4.88</v>
      </c>
      <c r="AH326" s="180" t="s">
        <v>8023</v>
      </c>
      <c r="AM326" s="225"/>
      <c r="BS326" s="225">
        <v>48.2</v>
      </c>
      <c r="BT326" s="180" t="s">
        <v>8023</v>
      </c>
      <c r="BU326" s="136">
        <v>21.49</v>
      </c>
      <c r="BV326" s="180" t="s">
        <v>8023</v>
      </c>
    </row>
    <row r="327" spans="1:74">
      <c r="A327" s="154" t="s">
        <v>7750</v>
      </c>
      <c r="B327" s="231" t="s">
        <v>259</v>
      </c>
      <c r="C327" s="231" t="s">
        <v>7964</v>
      </c>
      <c r="D327" s="231"/>
      <c r="E327" s="229">
        <v>17</v>
      </c>
      <c r="F327" s="232">
        <v>6</v>
      </c>
      <c r="G327" s="230"/>
      <c r="S327" s="225">
        <v>1487.8614600000001</v>
      </c>
      <c r="T327" s="180" t="s">
        <v>8023</v>
      </c>
      <c r="Y327" s="225">
        <v>704.16</v>
      </c>
      <c r="Z327" s="180" t="s">
        <v>8023</v>
      </c>
      <c r="AA327" s="225">
        <v>63997.83</v>
      </c>
      <c r="AB327" s="180" t="s">
        <v>8023</v>
      </c>
      <c r="AC327">
        <v>31.43</v>
      </c>
      <c r="AD327" s="180" t="s">
        <v>8023</v>
      </c>
      <c r="AG327" s="225">
        <v>4.91</v>
      </c>
      <c r="AH327" s="180" t="s">
        <v>8023</v>
      </c>
      <c r="AM327" s="225"/>
      <c r="BS327" s="225">
        <v>47.35</v>
      </c>
      <c r="BT327" s="180" t="s">
        <v>8023</v>
      </c>
      <c r="BU327" s="136">
        <v>22.41</v>
      </c>
      <c r="BV327" s="180" t="s">
        <v>8023</v>
      </c>
    </row>
    <row r="328" spans="1:74">
      <c r="A328" s="154" t="s">
        <v>7750</v>
      </c>
      <c r="B328" s="231" t="s">
        <v>257</v>
      </c>
      <c r="C328" s="231" t="s">
        <v>7982</v>
      </c>
      <c r="D328" s="231"/>
      <c r="E328" s="229">
        <v>1</v>
      </c>
      <c r="F328" s="232">
        <v>9</v>
      </c>
      <c r="G328" s="230"/>
      <c r="S328" s="225">
        <v>1468.663908</v>
      </c>
      <c r="T328" s="180" t="s">
        <v>8023</v>
      </c>
      <c r="Y328" s="225">
        <v>651.87</v>
      </c>
      <c r="Z328" s="180" t="s">
        <v>8023</v>
      </c>
      <c r="AA328" s="225">
        <v>61515.27</v>
      </c>
      <c r="AB328" s="180" t="s">
        <v>8023</v>
      </c>
      <c r="AC328">
        <v>30.46</v>
      </c>
      <c r="AD328" s="180" t="s">
        <v>8023</v>
      </c>
      <c r="AG328" s="225">
        <v>4.95</v>
      </c>
      <c r="AH328" s="180" t="s">
        <v>8023</v>
      </c>
      <c r="AM328" s="225"/>
      <c r="BS328" s="225">
        <v>48.21</v>
      </c>
      <c r="BT328" s="180" t="s">
        <v>8023</v>
      </c>
      <c r="BU328" s="136">
        <v>21.4</v>
      </c>
      <c r="BV328" s="180" t="s">
        <v>8023</v>
      </c>
    </row>
    <row r="329" spans="1:74">
      <c r="A329" s="154" t="s">
        <v>7750</v>
      </c>
      <c r="B329" s="231" t="s">
        <v>259</v>
      </c>
      <c r="C329" s="231" t="s">
        <v>7982</v>
      </c>
      <c r="D329" s="231"/>
      <c r="E329" s="229">
        <v>4</v>
      </c>
      <c r="F329" s="232">
        <v>64</v>
      </c>
      <c r="G329" s="230"/>
      <c r="S329" s="225">
        <v>1049.9209430000001</v>
      </c>
      <c r="T329" s="180" t="s">
        <v>8023</v>
      </c>
      <c r="Y329" s="225">
        <v>546.79999999999995</v>
      </c>
      <c r="Z329" s="180" t="s">
        <v>8023</v>
      </c>
      <c r="AA329" s="225">
        <v>49068.53</v>
      </c>
      <c r="AB329" s="180" t="s">
        <v>8023</v>
      </c>
      <c r="AC329">
        <v>22.97</v>
      </c>
      <c r="AD329" s="180" t="s">
        <v>8023</v>
      </c>
      <c r="AG329" s="225">
        <v>4.68</v>
      </c>
      <c r="AH329" s="180" t="s">
        <v>8023</v>
      </c>
      <c r="AM329" s="225"/>
      <c r="BS329" s="225">
        <v>45.71</v>
      </c>
      <c r="BT329" s="180" t="s">
        <v>8023</v>
      </c>
      <c r="BU329" s="136">
        <v>23.81</v>
      </c>
      <c r="BV329" s="180" t="s">
        <v>8023</v>
      </c>
    </row>
    <row r="330" spans="1:74">
      <c r="A330" s="154" t="s">
        <v>7751</v>
      </c>
      <c r="B330" s="231" t="s">
        <v>257</v>
      </c>
      <c r="C330" s="231" t="s">
        <v>405</v>
      </c>
      <c r="D330" s="231"/>
      <c r="E330" s="230">
        <v>6</v>
      </c>
      <c r="F330" s="232">
        <v>2</v>
      </c>
      <c r="G330" s="230"/>
      <c r="S330" s="225">
        <v>1528.152368</v>
      </c>
      <c r="T330" s="180" t="s">
        <v>8023</v>
      </c>
      <c r="Y330" s="225">
        <v>667.78</v>
      </c>
      <c r="Z330" s="180" t="s">
        <v>8023</v>
      </c>
      <c r="AA330" s="225">
        <v>69535.61</v>
      </c>
      <c r="AB330" s="180" t="s">
        <v>8023</v>
      </c>
      <c r="AC330">
        <v>31.92</v>
      </c>
      <c r="AD330" s="180" t="s">
        <v>8023</v>
      </c>
      <c r="AG330" s="225">
        <v>4.59</v>
      </c>
      <c r="AH330" s="180" t="s">
        <v>8023</v>
      </c>
      <c r="AM330" s="225"/>
      <c r="BS330" s="225">
        <v>47.88</v>
      </c>
      <c r="BT330" s="180" t="s">
        <v>8023</v>
      </c>
      <c r="BU330" s="136">
        <v>20.92</v>
      </c>
      <c r="BV330" s="180" t="s">
        <v>8023</v>
      </c>
    </row>
    <row r="331" spans="1:74">
      <c r="A331" s="154" t="s">
        <v>7751</v>
      </c>
      <c r="B331" s="231" t="s">
        <v>259</v>
      </c>
      <c r="C331" s="231" t="s">
        <v>405</v>
      </c>
      <c r="D331" s="231"/>
      <c r="E331" s="230">
        <v>10</v>
      </c>
      <c r="F331" s="232">
        <v>13</v>
      </c>
      <c r="G331" s="230"/>
      <c r="S331" s="225">
        <v>1696.416328</v>
      </c>
      <c r="T331" s="180" t="s">
        <v>8023</v>
      </c>
      <c r="Y331" s="225">
        <v>796.61</v>
      </c>
      <c r="Z331" s="180" t="s">
        <v>8023</v>
      </c>
      <c r="AA331" s="225">
        <v>79406.95</v>
      </c>
      <c r="AB331" s="180" t="s">
        <v>8023</v>
      </c>
      <c r="AC331">
        <v>35.71</v>
      </c>
      <c r="AD331" s="180" t="s">
        <v>8023</v>
      </c>
      <c r="AG331" s="225">
        <v>4.5</v>
      </c>
      <c r="AH331" s="180" t="s">
        <v>8023</v>
      </c>
      <c r="AM331" s="225"/>
      <c r="BS331" s="225">
        <v>47.51</v>
      </c>
      <c r="BT331" s="180" t="s">
        <v>8023</v>
      </c>
      <c r="BU331" s="136">
        <v>22.31</v>
      </c>
      <c r="BV331" s="180" t="s">
        <v>8023</v>
      </c>
    </row>
    <row r="332" spans="1:74">
      <c r="A332" s="154" t="s">
        <v>7751</v>
      </c>
      <c r="B332" s="231" t="s">
        <v>257</v>
      </c>
      <c r="C332" s="231" t="s">
        <v>7963</v>
      </c>
      <c r="D332" s="231"/>
      <c r="E332" s="229">
        <v>12</v>
      </c>
      <c r="F332" s="232">
        <v>34</v>
      </c>
      <c r="G332" s="230"/>
      <c r="S332" s="225">
        <v>1601.6560010000001</v>
      </c>
      <c r="T332" s="180" t="s">
        <v>8023</v>
      </c>
      <c r="Y332" s="225">
        <v>716.69</v>
      </c>
      <c r="Z332" s="180" t="s">
        <v>8023</v>
      </c>
      <c r="AA332" s="225">
        <v>73731.820000000007</v>
      </c>
      <c r="AB332" s="180" t="s">
        <v>8023</v>
      </c>
      <c r="AC332">
        <v>33.479999999999997</v>
      </c>
      <c r="AD332" s="180" t="s">
        <v>8023</v>
      </c>
      <c r="AG332" s="225">
        <v>4.54</v>
      </c>
      <c r="AH332" s="180" t="s">
        <v>8023</v>
      </c>
      <c r="AM332" s="225"/>
      <c r="BS332" s="225">
        <v>47.84</v>
      </c>
      <c r="BT332" s="180" t="s">
        <v>8023</v>
      </c>
      <c r="BU332" s="136">
        <v>21.41</v>
      </c>
      <c r="BV332" s="180" t="s">
        <v>8023</v>
      </c>
    </row>
    <row r="333" spans="1:74">
      <c r="A333" s="154" t="s">
        <v>7751</v>
      </c>
      <c r="B333" s="231" t="s">
        <v>259</v>
      </c>
      <c r="C333" s="231" t="s">
        <v>7963</v>
      </c>
      <c r="D333" s="231"/>
      <c r="E333" s="229">
        <v>14</v>
      </c>
      <c r="F333" s="232">
        <v>56</v>
      </c>
      <c r="G333" s="230"/>
      <c r="S333" s="225">
        <v>1293.20372</v>
      </c>
      <c r="T333" s="180" t="s">
        <v>8023</v>
      </c>
      <c r="Y333" s="225">
        <v>605.92999999999995</v>
      </c>
      <c r="Z333" s="180" t="s">
        <v>8023</v>
      </c>
      <c r="AA333" s="225">
        <v>57428.28</v>
      </c>
      <c r="AB333" s="180" t="s">
        <v>8023</v>
      </c>
      <c r="AC333">
        <v>27.36</v>
      </c>
      <c r="AD333" s="180" t="s">
        <v>8023</v>
      </c>
      <c r="AG333" s="225">
        <v>4.76</v>
      </c>
      <c r="AH333" s="180" t="s">
        <v>8023</v>
      </c>
      <c r="AM333" s="225"/>
      <c r="BS333" s="225">
        <v>47.26</v>
      </c>
      <c r="BT333" s="180" t="s">
        <v>8023</v>
      </c>
      <c r="BU333" s="136">
        <v>22.14</v>
      </c>
      <c r="BV333" s="180" t="s">
        <v>8023</v>
      </c>
    </row>
    <row r="334" spans="1:74">
      <c r="A334" s="154" t="s">
        <v>7751</v>
      </c>
      <c r="B334" s="231" t="s">
        <v>257</v>
      </c>
      <c r="C334" s="231" t="s">
        <v>7964</v>
      </c>
      <c r="D334" s="231"/>
      <c r="E334" s="229">
        <v>13</v>
      </c>
      <c r="F334" s="232">
        <v>21</v>
      </c>
      <c r="G334" s="230"/>
      <c r="S334" s="225">
        <v>1556.242043</v>
      </c>
      <c r="T334" s="180" t="s">
        <v>8023</v>
      </c>
      <c r="Y334" s="225">
        <v>758.5</v>
      </c>
      <c r="Z334" s="180" t="s">
        <v>8023</v>
      </c>
      <c r="AA334" s="225">
        <v>76428.12</v>
      </c>
      <c r="AB334" s="180" t="s">
        <v>8023</v>
      </c>
      <c r="AC334">
        <v>33.54</v>
      </c>
      <c r="AD334" s="180" t="s">
        <v>8023</v>
      </c>
      <c r="AG334" s="225">
        <v>4.3899999999999997</v>
      </c>
      <c r="AH334" s="180" t="s">
        <v>8023</v>
      </c>
      <c r="AM334" s="225"/>
      <c r="BS334" s="225">
        <v>46.4</v>
      </c>
      <c r="BT334" s="180" t="s">
        <v>8023</v>
      </c>
      <c r="BU334" s="136">
        <v>22.62</v>
      </c>
      <c r="BV334" s="180" t="s">
        <v>8023</v>
      </c>
    </row>
    <row r="335" spans="1:74">
      <c r="A335" s="154" t="s">
        <v>7751</v>
      </c>
      <c r="B335" s="231" t="s">
        <v>259</v>
      </c>
      <c r="C335" s="231" t="s">
        <v>7964</v>
      </c>
      <c r="D335" s="231"/>
      <c r="E335" s="229">
        <v>21</v>
      </c>
      <c r="F335" s="232">
        <v>18</v>
      </c>
      <c r="G335" s="230"/>
      <c r="S335" s="225">
        <v>1607.0080760000001</v>
      </c>
      <c r="T335" s="180" t="s">
        <v>8023</v>
      </c>
      <c r="Y335" s="225">
        <v>770.5</v>
      </c>
      <c r="Z335" s="180" t="s">
        <v>8023</v>
      </c>
      <c r="AA335" s="225">
        <v>71592.31</v>
      </c>
      <c r="AB335" s="180" t="s">
        <v>8023</v>
      </c>
      <c r="AC335">
        <v>33.99</v>
      </c>
      <c r="AD335" s="180" t="s">
        <v>8023</v>
      </c>
      <c r="AG335" s="225">
        <v>4.75</v>
      </c>
      <c r="AH335" s="180" t="s">
        <v>8023</v>
      </c>
      <c r="AM335" s="225"/>
      <c r="BS335" s="225">
        <v>47.27</v>
      </c>
      <c r="BT335" s="180" t="s">
        <v>8023</v>
      </c>
      <c r="BU335" s="136">
        <v>22.67</v>
      </c>
      <c r="BV335" s="180" t="s">
        <v>8023</v>
      </c>
    </row>
    <row r="336" spans="1:74">
      <c r="A336" s="154" t="s">
        <v>7751</v>
      </c>
      <c r="B336" s="231" t="s">
        <v>257</v>
      </c>
      <c r="C336" s="231" t="s">
        <v>7982</v>
      </c>
      <c r="D336" s="231"/>
      <c r="E336" s="229">
        <v>2</v>
      </c>
      <c r="F336" s="232">
        <v>12</v>
      </c>
      <c r="G336" s="230"/>
      <c r="S336" s="225">
        <v>1461.8532190000001</v>
      </c>
      <c r="T336" s="180" t="s">
        <v>8023</v>
      </c>
      <c r="Y336" s="225">
        <v>681.54</v>
      </c>
      <c r="Z336" s="180" t="s">
        <v>8023</v>
      </c>
      <c r="AA336" s="225">
        <v>67547.19</v>
      </c>
      <c r="AB336" s="180" t="s">
        <v>8023</v>
      </c>
      <c r="AC336">
        <v>31.1</v>
      </c>
      <c r="AD336" s="180" t="s">
        <v>8023</v>
      </c>
      <c r="AG336" s="225">
        <v>4.5999999999999996</v>
      </c>
      <c r="AH336" s="180" t="s">
        <v>8023</v>
      </c>
      <c r="AM336" s="225"/>
      <c r="BS336" s="225">
        <v>47</v>
      </c>
      <c r="BT336" s="180" t="s">
        <v>8023</v>
      </c>
      <c r="BU336" s="136">
        <v>21.91</v>
      </c>
      <c r="BV336" s="180" t="s">
        <v>8023</v>
      </c>
    </row>
    <row r="337" spans="1:74">
      <c r="A337" s="154" t="s">
        <v>7751</v>
      </c>
      <c r="B337" s="231" t="s">
        <v>259</v>
      </c>
      <c r="C337" s="231" t="s">
        <v>7982</v>
      </c>
      <c r="D337" s="231"/>
      <c r="E337" s="230">
        <v>2</v>
      </c>
      <c r="F337" s="232">
        <v>55</v>
      </c>
      <c r="G337" s="230"/>
      <c r="S337" s="225">
        <v>1577.8695929999999</v>
      </c>
      <c r="T337" s="180" t="s">
        <v>8023</v>
      </c>
      <c r="Y337" s="225">
        <v>790.82</v>
      </c>
      <c r="Z337" s="180" t="s">
        <v>8023</v>
      </c>
      <c r="AA337" s="225">
        <v>73043.42</v>
      </c>
      <c r="AB337" s="180" t="s">
        <v>8023</v>
      </c>
      <c r="AC337">
        <v>34.22</v>
      </c>
      <c r="AD337" s="180" t="s">
        <v>8023</v>
      </c>
      <c r="AG337" s="225">
        <v>4.68</v>
      </c>
      <c r="AH337" s="180" t="s">
        <v>8023</v>
      </c>
      <c r="AM337" s="225"/>
      <c r="BS337" s="225">
        <v>46.11</v>
      </c>
      <c r="BT337" s="180" t="s">
        <v>8023</v>
      </c>
      <c r="BU337" s="136">
        <v>23.11</v>
      </c>
      <c r="BV337" s="180" t="s">
        <v>8023</v>
      </c>
    </row>
    <row r="338" spans="1:74">
      <c r="A338" s="154" t="s">
        <v>7752</v>
      </c>
      <c r="B338" s="231" t="s">
        <v>257</v>
      </c>
      <c r="C338" s="231" t="s">
        <v>405</v>
      </c>
      <c r="D338" s="231"/>
      <c r="E338" s="229">
        <v>6</v>
      </c>
      <c r="F338" s="232">
        <v>15</v>
      </c>
      <c r="G338" s="230"/>
      <c r="S338" s="225">
        <v>1329.498703</v>
      </c>
      <c r="T338" s="180" t="s">
        <v>8023</v>
      </c>
      <c r="Y338" s="225">
        <v>570.87</v>
      </c>
      <c r="Z338" s="180" t="s">
        <v>8023</v>
      </c>
      <c r="AA338" s="225">
        <v>53001.07</v>
      </c>
      <c r="AB338" s="180" t="s">
        <v>8023</v>
      </c>
      <c r="AC338">
        <v>27.21</v>
      </c>
      <c r="AD338" s="180" t="s">
        <v>8023</v>
      </c>
      <c r="AG338" s="225">
        <v>5.13</v>
      </c>
      <c r="AH338" s="180" t="s">
        <v>8023</v>
      </c>
      <c r="AM338" s="225"/>
      <c r="BS338" s="225">
        <v>48.85</v>
      </c>
      <c r="BT338" s="180" t="s">
        <v>8023</v>
      </c>
      <c r="BU338" s="136">
        <v>20.98</v>
      </c>
      <c r="BV338" s="180" t="s">
        <v>8023</v>
      </c>
    </row>
    <row r="339" spans="1:74">
      <c r="A339" s="154" t="s">
        <v>7752</v>
      </c>
      <c r="B339" s="231" t="s">
        <v>259</v>
      </c>
      <c r="C339" s="231" t="s">
        <v>405</v>
      </c>
      <c r="D339" s="231"/>
      <c r="E339" s="229">
        <v>10</v>
      </c>
      <c r="F339" s="232">
        <v>20</v>
      </c>
      <c r="G339" s="230"/>
      <c r="S339" s="225">
        <v>1245.97894</v>
      </c>
      <c r="T339" s="180" t="s">
        <v>8023</v>
      </c>
      <c r="Y339" s="225">
        <v>588.28</v>
      </c>
      <c r="Z339" s="180" t="s">
        <v>8023</v>
      </c>
      <c r="AA339" s="225">
        <v>49877.79</v>
      </c>
      <c r="AB339" s="180" t="s">
        <v>8023</v>
      </c>
      <c r="AC339">
        <v>26.27</v>
      </c>
      <c r="AD339" s="180" t="s">
        <v>8023</v>
      </c>
      <c r="AG339" s="225">
        <v>5.27</v>
      </c>
      <c r="AH339" s="180" t="s">
        <v>8023</v>
      </c>
      <c r="AM339" s="225"/>
      <c r="BS339" s="225">
        <v>47.43</v>
      </c>
      <c r="BT339" s="180" t="s">
        <v>8023</v>
      </c>
      <c r="BU339" s="136">
        <v>22.39</v>
      </c>
      <c r="BV339" s="180" t="s">
        <v>8023</v>
      </c>
    </row>
    <row r="340" spans="1:74">
      <c r="A340" s="154" t="s">
        <v>7752</v>
      </c>
      <c r="B340" s="231" t="s">
        <v>257</v>
      </c>
      <c r="C340" s="231" t="s">
        <v>7963</v>
      </c>
      <c r="D340" s="231"/>
      <c r="E340" s="229">
        <v>12</v>
      </c>
      <c r="F340" s="232">
        <v>43</v>
      </c>
      <c r="G340" s="230"/>
      <c r="S340" s="225">
        <v>1353.5773039999999</v>
      </c>
      <c r="T340" s="180" t="s">
        <v>8023</v>
      </c>
      <c r="Y340" s="225">
        <v>587.5</v>
      </c>
      <c r="Z340" s="180" t="s">
        <v>8023</v>
      </c>
      <c r="AA340" s="225">
        <v>54554.98</v>
      </c>
      <c r="AB340" s="180" t="s">
        <v>8023</v>
      </c>
      <c r="AC340">
        <v>27.79</v>
      </c>
      <c r="AD340" s="180" t="s">
        <v>8023</v>
      </c>
      <c r="AG340" s="225">
        <v>5.09</v>
      </c>
      <c r="AH340" s="180" t="s">
        <v>8023</v>
      </c>
      <c r="AM340" s="225"/>
      <c r="BS340" s="225">
        <v>48.71</v>
      </c>
      <c r="BT340" s="180" t="s">
        <v>8023</v>
      </c>
      <c r="BU340" s="136">
        <v>21.14</v>
      </c>
      <c r="BV340" s="180" t="s">
        <v>8023</v>
      </c>
    </row>
    <row r="341" spans="1:74">
      <c r="A341" s="154" t="s">
        <v>7752</v>
      </c>
      <c r="B341" s="231" t="s">
        <v>259</v>
      </c>
      <c r="C341" s="231" t="s">
        <v>7963</v>
      </c>
      <c r="D341" s="231"/>
      <c r="E341" s="229">
        <v>15</v>
      </c>
      <c r="F341" s="232">
        <v>35</v>
      </c>
      <c r="G341" s="230"/>
      <c r="S341" s="225">
        <v>1057.8636080000001</v>
      </c>
      <c r="T341" s="180" t="s">
        <v>8023</v>
      </c>
      <c r="Y341" s="225">
        <v>517.70000000000005</v>
      </c>
      <c r="Z341" s="180" t="s">
        <v>8023</v>
      </c>
      <c r="AA341" s="225">
        <v>42328.53</v>
      </c>
      <c r="AB341" s="180" t="s">
        <v>8023</v>
      </c>
      <c r="AC341">
        <v>22.57</v>
      </c>
      <c r="AD341" s="180" t="s">
        <v>8023</v>
      </c>
      <c r="AG341" s="225">
        <v>5.33</v>
      </c>
      <c r="AH341" s="180" t="s">
        <v>8023</v>
      </c>
      <c r="AM341" s="225"/>
      <c r="BS341" s="225">
        <v>46.87</v>
      </c>
      <c r="BT341" s="180" t="s">
        <v>8023</v>
      </c>
      <c r="BU341" s="136">
        <v>22.94</v>
      </c>
      <c r="BV341" s="180" t="s">
        <v>8023</v>
      </c>
    </row>
    <row r="342" spans="1:74">
      <c r="A342" s="154" t="s">
        <v>7752</v>
      </c>
      <c r="B342" s="231" t="s">
        <v>257</v>
      </c>
      <c r="C342" s="231" t="s">
        <v>7964</v>
      </c>
      <c r="D342" s="231"/>
      <c r="E342" s="230">
        <v>14</v>
      </c>
      <c r="F342" s="232">
        <v>21</v>
      </c>
      <c r="G342" s="230"/>
      <c r="S342" s="225">
        <v>1169.9628279999999</v>
      </c>
      <c r="T342" s="180" t="s">
        <v>8023</v>
      </c>
      <c r="Y342" s="225">
        <v>521.91</v>
      </c>
      <c r="Z342" s="180" t="s">
        <v>8023</v>
      </c>
      <c r="AA342" s="225">
        <v>46795.48</v>
      </c>
      <c r="AB342" s="180" t="s">
        <v>8023</v>
      </c>
      <c r="AC342">
        <v>24.12</v>
      </c>
      <c r="AD342" s="180" t="s">
        <v>8023</v>
      </c>
      <c r="AG342" s="225">
        <v>5.15</v>
      </c>
      <c r="AH342" s="180" t="s">
        <v>8023</v>
      </c>
      <c r="AM342" s="225"/>
      <c r="BS342" s="225">
        <v>48.51</v>
      </c>
      <c r="BT342" s="180" t="s">
        <v>8023</v>
      </c>
      <c r="BU342" s="136">
        <v>21.64</v>
      </c>
      <c r="BV342" s="180" t="s">
        <v>8023</v>
      </c>
    </row>
    <row r="343" spans="1:74">
      <c r="A343" s="154" t="s">
        <v>7752</v>
      </c>
      <c r="B343" s="231" t="s">
        <v>259</v>
      </c>
      <c r="C343" s="231" t="s">
        <v>7964</v>
      </c>
      <c r="D343" s="231"/>
      <c r="E343" s="230">
        <v>20</v>
      </c>
      <c r="F343" s="232">
        <v>11</v>
      </c>
      <c r="G343" s="230"/>
      <c r="S343" s="225">
        <v>1299.056124</v>
      </c>
      <c r="T343" s="180" t="s">
        <v>8023</v>
      </c>
      <c r="Y343" s="225">
        <v>592.9</v>
      </c>
      <c r="Z343" s="180" t="s">
        <v>8023</v>
      </c>
      <c r="AA343" s="225">
        <v>51953.9</v>
      </c>
      <c r="AB343" s="180" t="s">
        <v>8023</v>
      </c>
      <c r="AC343">
        <v>26.97</v>
      </c>
      <c r="AD343" s="180" t="s">
        <v>8023</v>
      </c>
      <c r="AG343" s="225">
        <v>5.19</v>
      </c>
      <c r="AH343" s="180" t="s">
        <v>8023</v>
      </c>
      <c r="AM343" s="225"/>
      <c r="BS343" s="225">
        <v>48.16</v>
      </c>
      <c r="BT343" s="180" t="s">
        <v>8023</v>
      </c>
      <c r="BU343" s="136">
        <v>21.98</v>
      </c>
      <c r="BV343" s="180" t="s">
        <v>8023</v>
      </c>
    </row>
    <row r="344" spans="1:74">
      <c r="A344" s="154" t="s">
        <v>7752</v>
      </c>
      <c r="B344" s="231" t="s">
        <v>257</v>
      </c>
      <c r="C344" s="231" t="s">
        <v>7982</v>
      </c>
      <c r="D344" s="231"/>
      <c r="E344" s="229">
        <v>3</v>
      </c>
      <c r="F344" s="232">
        <v>24</v>
      </c>
      <c r="G344" s="230"/>
      <c r="S344" s="225">
        <v>1103.2859080000001</v>
      </c>
      <c r="T344" s="180" t="s">
        <v>8023</v>
      </c>
      <c r="Y344" s="225">
        <v>530.16999999999996</v>
      </c>
      <c r="Z344" s="180" t="s">
        <v>8023</v>
      </c>
      <c r="AA344" s="225">
        <v>45735.95</v>
      </c>
      <c r="AB344" s="180" t="s">
        <v>8023</v>
      </c>
      <c r="AC344">
        <v>23.7</v>
      </c>
      <c r="AD344" s="180" t="s">
        <v>8023</v>
      </c>
      <c r="AG344" s="225">
        <v>5.18</v>
      </c>
      <c r="AH344" s="180" t="s">
        <v>8023</v>
      </c>
      <c r="AM344" s="225"/>
      <c r="BS344" s="225">
        <v>46.54</v>
      </c>
      <c r="BT344" s="180" t="s">
        <v>8023</v>
      </c>
      <c r="BU344" s="136">
        <v>22.37</v>
      </c>
      <c r="BV344" s="180" t="s">
        <v>8023</v>
      </c>
    </row>
    <row r="345" spans="1:74">
      <c r="A345" s="154" t="s">
        <v>7752</v>
      </c>
      <c r="B345" s="231" t="s">
        <v>259</v>
      </c>
      <c r="C345" s="231" t="s">
        <v>7982</v>
      </c>
      <c r="D345" s="231"/>
      <c r="E345" s="229">
        <v>4</v>
      </c>
      <c r="F345" s="232">
        <v>54</v>
      </c>
      <c r="G345" s="230"/>
      <c r="S345" s="225">
        <v>1086.03468</v>
      </c>
      <c r="T345" s="180" t="s">
        <v>8023</v>
      </c>
      <c r="Y345" s="225">
        <v>522.28</v>
      </c>
      <c r="Z345" s="180" t="s">
        <v>8023</v>
      </c>
      <c r="AA345" s="225">
        <v>46899.01</v>
      </c>
      <c r="AB345" s="180" t="s">
        <v>8023</v>
      </c>
      <c r="AC345">
        <v>23.1</v>
      </c>
      <c r="AD345" s="180" t="s">
        <v>8023</v>
      </c>
      <c r="AG345" s="225">
        <v>4.93</v>
      </c>
      <c r="AH345" s="180" t="s">
        <v>8023</v>
      </c>
      <c r="AM345" s="225"/>
      <c r="BS345" s="225">
        <v>47.01</v>
      </c>
      <c r="BT345" s="180" t="s">
        <v>8023</v>
      </c>
      <c r="BU345" s="136">
        <v>22.6</v>
      </c>
      <c r="BV345" s="180" t="s">
        <v>8023</v>
      </c>
    </row>
    <row r="346" spans="1:74">
      <c r="A346" s="154" t="s">
        <v>7870</v>
      </c>
      <c r="B346" s="231" t="s">
        <v>257</v>
      </c>
      <c r="C346" s="231" t="s">
        <v>405</v>
      </c>
      <c r="D346" s="231"/>
      <c r="E346" s="229">
        <v>7</v>
      </c>
      <c r="F346" s="232">
        <v>17</v>
      </c>
      <c r="G346" s="230"/>
      <c r="S346" s="225">
        <v>1284.7254820000001</v>
      </c>
      <c r="T346" s="180" t="s">
        <v>8023</v>
      </c>
      <c r="Y346" s="225">
        <v>538.35</v>
      </c>
      <c r="Z346" s="180" t="s">
        <v>8023</v>
      </c>
      <c r="AA346" s="225">
        <v>55225.89</v>
      </c>
      <c r="AB346" s="180" t="s">
        <v>8023</v>
      </c>
      <c r="AC346">
        <v>26.34</v>
      </c>
      <c r="AD346" s="180" t="s">
        <v>8023</v>
      </c>
      <c r="AG346" s="225">
        <v>4.7699999999999996</v>
      </c>
      <c r="AH346" s="180" t="s">
        <v>8023</v>
      </c>
      <c r="AM346" s="225"/>
      <c r="BS346" s="225">
        <v>48.78</v>
      </c>
      <c r="BT346" s="180" t="s">
        <v>8023</v>
      </c>
      <c r="BU346" s="136">
        <v>20.440000000000001</v>
      </c>
      <c r="BV346" s="180" t="s">
        <v>8023</v>
      </c>
    </row>
    <row r="347" spans="1:74">
      <c r="A347" s="154" t="s">
        <v>7870</v>
      </c>
      <c r="B347" s="231" t="s">
        <v>259</v>
      </c>
      <c r="C347" s="231" t="s">
        <v>405</v>
      </c>
      <c r="D347" s="231"/>
      <c r="E347" s="229">
        <v>11</v>
      </c>
      <c r="F347" s="232">
        <v>29</v>
      </c>
      <c r="G347" s="230"/>
      <c r="S347" s="225">
        <v>1643.7744070000001</v>
      </c>
      <c r="T347" s="180" t="s">
        <v>8023</v>
      </c>
      <c r="Y347" s="225">
        <v>721.36</v>
      </c>
      <c r="Z347" s="180" t="s">
        <v>8023</v>
      </c>
      <c r="AA347" s="225">
        <v>71097.42</v>
      </c>
      <c r="AB347" s="180" t="s">
        <v>8023</v>
      </c>
      <c r="AC347">
        <v>33.909999999999997</v>
      </c>
      <c r="AD347" s="180" t="s">
        <v>8023</v>
      </c>
      <c r="AG347" s="225">
        <v>4.7699999999999996</v>
      </c>
      <c r="AH347" s="180" t="s">
        <v>8023</v>
      </c>
      <c r="AM347" s="225"/>
      <c r="BS347" s="225">
        <v>48.48</v>
      </c>
      <c r="BT347" s="180" t="s">
        <v>8023</v>
      </c>
      <c r="BU347" s="136">
        <v>21.27</v>
      </c>
      <c r="BV347" s="180" t="s">
        <v>8023</v>
      </c>
    </row>
    <row r="348" spans="1:74">
      <c r="A348" s="154" t="s">
        <v>7870</v>
      </c>
      <c r="B348" s="231" t="s">
        <v>257</v>
      </c>
      <c r="C348" s="231" t="s">
        <v>7963</v>
      </c>
      <c r="D348" s="231"/>
      <c r="E348" s="230">
        <v>9</v>
      </c>
      <c r="F348" s="232">
        <v>57</v>
      </c>
      <c r="G348" s="230"/>
      <c r="S348" s="225">
        <v>1339.620105</v>
      </c>
      <c r="T348" s="180" t="s">
        <v>8023</v>
      </c>
      <c r="Y348" s="225">
        <v>580.17999999999995</v>
      </c>
      <c r="Z348" s="180" t="s">
        <v>8023</v>
      </c>
      <c r="AA348" s="225">
        <v>59310.83</v>
      </c>
      <c r="AB348" s="180" t="s">
        <v>8023</v>
      </c>
      <c r="AC348">
        <v>28</v>
      </c>
      <c r="AD348" s="180" t="s">
        <v>8023</v>
      </c>
      <c r="AG348" s="225">
        <v>4.72</v>
      </c>
      <c r="AH348" s="180" t="s">
        <v>8023</v>
      </c>
      <c r="AM348" s="225"/>
      <c r="BS348" s="225">
        <v>47.84</v>
      </c>
      <c r="BT348" s="180" t="s">
        <v>8023</v>
      </c>
      <c r="BU348" s="136">
        <v>20.72</v>
      </c>
      <c r="BV348" s="180" t="s">
        <v>8023</v>
      </c>
    </row>
    <row r="349" spans="1:74">
      <c r="A349" s="154" t="s">
        <v>7870</v>
      </c>
      <c r="B349" s="231" t="s">
        <v>259</v>
      </c>
      <c r="C349" s="231" t="s">
        <v>7963</v>
      </c>
      <c r="D349" s="231"/>
      <c r="E349" s="230">
        <v>14</v>
      </c>
      <c r="F349" s="232">
        <v>46</v>
      </c>
      <c r="G349" s="230"/>
      <c r="S349" s="225">
        <v>1362.2287719999999</v>
      </c>
      <c r="T349" s="180" t="s">
        <v>8023</v>
      </c>
      <c r="Y349" s="225">
        <v>647.71</v>
      </c>
      <c r="Z349" s="180" t="s">
        <v>8023</v>
      </c>
      <c r="AA349" s="225">
        <v>58628.55</v>
      </c>
      <c r="AB349" s="180" t="s">
        <v>8023</v>
      </c>
      <c r="AC349">
        <v>29.31</v>
      </c>
      <c r="AD349" s="180" t="s">
        <v>8023</v>
      </c>
      <c r="AG349" s="225">
        <v>5</v>
      </c>
      <c r="AH349" s="180" t="s">
        <v>8023</v>
      </c>
      <c r="AM349" s="225"/>
      <c r="BS349" s="225">
        <v>46.47</v>
      </c>
      <c r="BT349" s="180" t="s">
        <v>8023</v>
      </c>
      <c r="BU349" s="136">
        <v>22.1</v>
      </c>
      <c r="BV349" s="180" t="s">
        <v>8023</v>
      </c>
    </row>
    <row r="350" spans="1:74">
      <c r="A350" s="154" t="s">
        <v>7870</v>
      </c>
      <c r="B350" s="231" t="s">
        <v>257</v>
      </c>
      <c r="C350" s="231" t="s">
        <v>7964</v>
      </c>
      <c r="D350" s="231"/>
      <c r="E350" s="229">
        <v>13</v>
      </c>
      <c r="F350" s="232">
        <v>10</v>
      </c>
      <c r="G350" s="230"/>
      <c r="S350" s="225">
        <v>1212.6348290000001</v>
      </c>
      <c r="T350" s="180" t="s">
        <v>8023</v>
      </c>
      <c r="Y350" s="225">
        <v>581.9</v>
      </c>
      <c r="Z350" s="180" t="s">
        <v>8023</v>
      </c>
      <c r="AA350" s="225">
        <v>55681.279999999999</v>
      </c>
      <c r="AB350" s="180" t="s">
        <v>8023</v>
      </c>
      <c r="AC350">
        <v>26.41</v>
      </c>
      <c r="AD350" s="180" t="s">
        <v>8023</v>
      </c>
      <c r="AG350" s="225">
        <v>4.74</v>
      </c>
      <c r="AH350" s="180" t="s">
        <v>8023</v>
      </c>
      <c r="AM350" s="225"/>
      <c r="BS350" s="225">
        <v>45.91</v>
      </c>
      <c r="BT350" s="180" t="s">
        <v>8023</v>
      </c>
      <c r="BU350" s="136">
        <v>22.03</v>
      </c>
      <c r="BV350" s="180" t="s">
        <v>8023</v>
      </c>
    </row>
    <row r="351" spans="1:74">
      <c r="A351" s="154" t="s">
        <v>7870</v>
      </c>
      <c r="B351" s="231" t="s">
        <v>259</v>
      </c>
      <c r="C351" s="231" t="s">
        <v>7964</v>
      </c>
      <c r="D351" s="231"/>
      <c r="E351" s="229">
        <v>18</v>
      </c>
      <c r="F351" s="232">
        <v>24</v>
      </c>
      <c r="G351" s="230"/>
      <c r="S351" s="225">
        <v>1221.2968900000001</v>
      </c>
      <c r="T351" s="180" t="s">
        <v>8023</v>
      </c>
      <c r="Y351" s="225">
        <v>599.1</v>
      </c>
      <c r="Z351" s="180" t="s">
        <v>8023</v>
      </c>
      <c r="AA351" s="225">
        <v>53376.59</v>
      </c>
      <c r="AB351" s="180" t="s">
        <v>8023</v>
      </c>
      <c r="AC351">
        <v>26.6</v>
      </c>
      <c r="AD351" s="180" t="s">
        <v>8023</v>
      </c>
      <c r="AG351" s="225">
        <v>4.9800000000000004</v>
      </c>
      <c r="AH351" s="180" t="s">
        <v>8023</v>
      </c>
      <c r="AM351" s="225"/>
      <c r="BS351" s="225">
        <v>45.91</v>
      </c>
      <c r="BT351" s="180" t="s">
        <v>8023</v>
      </c>
      <c r="BU351" s="136">
        <v>22.52</v>
      </c>
      <c r="BV351" s="180" t="s">
        <v>8023</v>
      </c>
    </row>
    <row r="352" spans="1:74">
      <c r="A352" s="154" t="s">
        <v>7870</v>
      </c>
      <c r="B352" s="231" t="s">
        <v>257</v>
      </c>
      <c r="C352" s="231" t="s">
        <v>7982</v>
      </c>
      <c r="D352" s="231"/>
      <c r="E352" s="229">
        <v>2</v>
      </c>
      <c r="F352" s="232">
        <v>27</v>
      </c>
      <c r="G352" s="230"/>
      <c r="S352" s="225">
        <v>1282.757617</v>
      </c>
      <c r="T352" s="180" t="s">
        <v>8023</v>
      </c>
      <c r="Y352" s="225">
        <v>563.86</v>
      </c>
      <c r="Z352" s="180" t="s">
        <v>8023</v>
      </c>
      <c r="AA352" s="225">
        <v>58089.55</v>
      </c>
      <c r="AB352" s="180" t="s">
        <v>8023</v>
      </c>
      <c r="AC352">
        <v>27.03</v>
      </c>
      <c r="AD352" s="180" t="s">
        <v>8023</v>
      </c>
      <c r="AG352" s="225">
        <v>4.6500000000000004</v>
      </c>
      <c r="AH352" s="180" t="s">
        <v>8023</v>
      </c>
      <c r="AM352" s="225"/>
      <c r="BS352" s="225">
        <v>47.45</v>
      </c>
      <c r="BT352" s="180" t="s">
        <v>8023</v>
      </c>
      <c r="BU352" s="136">
        <v>20.86</v>
      </c>
      <c r="BV352" s="180" t="s">
        <v>8023</v>
      </c>
    </row>
    <row r="353" spans="1:74">
      <c r="A353" s="154" t="s">
        <v>7870</v>
      </c>
      <c r="B353" s="231" t="s">
        <v>259</v>
      </c>
      <c r="C353" s="231" t="s">
        <v>7982</v>
      </c>
      <c r="D353" s="231"/>
      <c r="E353" s="229">
        <v>2</v>
      </c>
      <c r="F353" s="232">
        <v>42</v>
      </c>
      <c r="G353" s="230"/>
      <c r="S353" s="225">
        <v>1383.1435959999999</v>
      </c>
      <c r="T353" s="180" t="s">
        <v>8023</v>
      </c>
      <c r="Y353" s="225">
        <v>679.64</v>
      </c>
      <c r="Z353" s="180" t="s">
        <v>8023</v>
      </c>
      <c r="AA353" s="225">
        <v>66526.149999999994</v>
      </c>
      <c r="AB353" s="180" t="s">
        <v>8023</v>
      </c>
      <c r="AC353">
        <v>30.02</v>
      </c>
      <c r="AD353" s="180" t="s">
        <v>8023</v>
      </c>
      <c r="AG353" s="225">
        <v>4.51</v>
      </c>
      <c r="AH353" s="180" t="s">
        <v>8023</v>
      </c>
      <c r="AM353" s="225"/>
      <c r="BS353" s="225">
        <v>46.07</v>
      </c>
      <c r="BT353" s="180" t="s">
        <v>8023</v>
      </c>
      <c r="BU353" s="136">
        <v>22.64</v>
      </c>
      <c r="BV353" s="180" t="s">
        <v>8023</v>
      </c>
    </row>
    <row r="354" spans="1:74">
      <c r="A354" s="154" t="s">
        <v>7871</v>
      </c>
      <c r="B354" s="231" t="s">
        <v>257</v>
      </c>
      <c r="C354" s="231" t="s">
        <v>405</v>
      </c>
      <c r="D354" s="231"/>
      <c r="E354" s="230">
        <v>8</v>
      </c>
      <c r="F354" s="232">
        <v>4</v>
      </c>
      <c r="G354" s="230"/>
      <c r="S354" s="225">
        <v>1487.1791989999999</v>
      </c>
      <c r="T354" s="180" t="s">
        <v>8023</v>
      </c>
      <c r="Y354" s="225">
        <v>641.42999999999995</v>
      </c>
      <c r="Z354" s="180" t="s">
        <v>8023</v>
      </c>
      <c r="AA354" s="225">
        <v>57694.76</v>
      </c>
      <c r="AB354" s="180" t="s">
        <v>8023</v>
      </c>
      <c r="AC354">
        <v>30.81</v>
      </c>
      <c r="AD354" s="180" t="s">
        <v>8023</v>
      </c>
      <c r="AG354" s="225">
        <v>5.34</v>
      </c>
      <c r="AH354" s="180" t="s">
        <v>8023</v>
      </c>
      <c r="AM354" s="225"/>
      <c r="BS354" s="225">
        <v>48.27</v>
      </c>
      <c r="BT354" s="180" t="s">
        <v>8023</v>
      </c>
      <c r="BU354" s="136">
        <v>20.82</v>
      </c>
      <c r="BV354" s="180" t="s">
        <v>8023</v>
      </c>
    </row>
    <row r="355" spans="1:74">
      <c r="A355" s="154" t="s">
        <v>7871</v>
      </c>
      <c r="B355" s="231" t="s">
        <v>259</v>
      </c>
      <c r="C355" s="231" t="s">
        <v>405</v>
      </c>
      <c r="D355" s="231"/>
      <c r="E355" s="230">
        <v>9</v>
      </c>
      <c r="F355" s="232">
        <v>31</v>
      </c>
      <c r="G355" s="230"/>
      <c r="S355" s="225">
        <v>1727.3425749999999</v>
      </c>
      <c r="T355" s="180" t="s">
        <v>8023</v>
      </c>
      <c r="Y355" s="225">
        <v>783.41</v>
      </c>
      <c r="Z355" s="180" t="s">
        <v>8023</v>
      </c>
      <c r="AA355" s="225">
        <v>71213.58</v>
      </c>
      <c r="AB355" s="180" t="s">
        <v>8023</v>
      </c>
      <c r="AC355">
        <v>36.24</v>
      </c>
      <c r="AD355" s="180" t="s">
        <v>8023</v>
      </c>
      <c r="AG355" s="225">
        <v>5.09</v>
      </c>
      <c r="AH355" s="180" t="s">
        <v>8023</v>
      </c>
      <c r="AM355" s="225"/>
      <c r="BS355" s="225">
        <v>47.66</v>
      </c>
      <c r="BT355" s="180" t="s">
        <v>8023</v>
      </c>
      <c r="BU355" s="136">
        <v>21.61</v>
      </c>
      <c r="BV355" s="180" t="s">
        <v>8023</v>
      </c>
    </row>
    <row r="356" spans="1:74">
      <c r="A356" s="154" t="s">
        <v>7871</v>
      </c>
      <c r="B356" s="231" t="s">
        <v>257</v>
      </c>
      <c r="C356" s="231" t="s">
        <v>7963</v>
      </c>
      <c r="D356" s="231"/>
      <c r="E356" s="229">
        <v>11</v>
      </c>
      <c r="F356" s="232">
        <v>48</v>
      </c>
      <c r="G356" s="230"/>
      <c r="S356" s="225">
        <v>1590.4012319999999</v>
      </c>
      <c r="T356" s="180" t="s">
        <v>8023</v>
      </c>
      <c r="Y356" s="225">
        <v>722.14</v>
      </c>
      <c r="Z356" s="180" t="s">
        <v>8023</v>
      </c>
      <c r="AA356" s="225">
        <v>66327.149999999994</v>
      </c>
      <c r="AB356" s="180" t="s">
        <v>8023</v>
      </c>
      <c r="AC356">
        <v>33.24</v>
      </c>
      <c r="AD356" s="180" t="s">
        <v>8023</v>
      </c>
      <c r="AG356" s="225">
        <v>5.01</v>
      </c>
      <c r="AH356" s="180" t="s">
        <v>8023</v>
      </c>
      <c r="AM356" s="225"/>
      <c r="BS356" s="225">
        <v>47.85</v>
      </c>
      <c r="BT356" s="180" t="s">
        <v>8023</v>
      </c>
      <c r="BU356" s="136">
        <v>21.73</v>
      </c>
      <c r="BV356" s="180" t="s">
        <v>8023</v>
      </c>
    </row>
    <row r="357" spans="1:74">
      <c r="A357" s="154" t="s">
        <v>7871</v>
      </c>
      <c r="B357" s="231" t="s">
        <v>259</v>
      </c>
      <c r="C357" s="231" t="s">
        <v>7963</v>
      </c>
      <c r="D357" s="231"/>
      <c r="E357" s="229">
        <v>16</v>
      </c>
      <c r="F357" s="232">
        <v>49</v>
      </c>
      <c r="G357" s="230"/>
      <c r="S357" s="225">
        <v>1265.7830739999999</v>
      </c>
      <c r="T357" s="180" t="s">
        <v>8023</v>
      </c>
      <c r="Y357" s="225">
        <v>602.82000000000005</v>
      </c>
      <c r="Z357" s="180" t="s">
        <v>8023</v>
      </c>
      <c r="AA357" s="225">
        <v>50941.760000000002</v>
      </c>
      <c r="AB357" s="180" t="s">
        <v>8023</v>
      </c>
      <c r="AC357">
        <v>26.95</v>
      </c>
      <c r="AD357" s="180" t="s">
        <v>8023</v>
      </c>
      <c r="AG357" s="225">
        <v>5.29</v>
      </c>
      <c r="AH357" s="180" t="s">
        <v>8023</v>
      </c>
      <c r="AM357" s="225"/>
      <c r="BS357" s="225">
        <v>46.96</v>
      </c>
      <c r="BT357" s="180" t="s">
        <v>8023</v>
      </c>
      <c r="BU357" s="136">
        <v>22.37</v>
      </c>
      <c r="BV357" s="180" t="s">
        <v>8023</v>
      </c>
    </row>
    <row r="358" spans="1:74">
      <c r="A358" s="154" t="s">
        <v>7871</v>
      </c>
      <c r="B358" s="231" t="s">
        <v>257</v>
      </c>
      <c r="C358" s="231" t="s">
        <v>7964</v>
      </c>
      <c r="D358" s="231"/>
      <c r="E358" s="229">
        <v>16</v>
      </c>
      <c r="F358" s="232">
        <v>5</v>
      </c>
      <c r="G358" s="230"/>
      <c r="S358" s="225">
        <v>1826.5752930000001</v>
      </c>
      <c r="T358" s="180" t="s">
        <v>8023</v>
      </c>
      <c r="Y358" s="225">
        <v>777.09</v>
      </c>
      <c r="Z358" s="180" t="s">
        <v>8023</v>
      </c>
      <c r="AA358" s="225">
        <v>75168.31</v>
      </c>
      <c r="AB358" s="180" t="s">
        <v>8023</v>
      </c>
      <c r="AC358">
        <v>37.54</v>
      </c>
      <c r="AD358" s="180" t="s">
        <v>8023</v>
      </c>
      <c r="AG358" s="225">
        <v>4.99</v>
      </c>
      <c r="AH358" s="180" t="s">
        <v>8023</v>
      </c>
      <c r="AM358" s="225"/>
      <c r="BS358" s="225">
        <v>48.65</v>
      </c>
      <c r="BT358" s="180" t="s">
        <v>8023</v>
      </c>
      <c r="BU358" s="136">
        <v>20.7</v>
      </c>
      <c r="BV358" s="180" t="s">
        <v>8023</v>
      </c>
    </row>
    <row r="359" spans="1:74">
      <c r="A359" s="154" t="s">
        <v>7871</v>
      </c>
      <c r="B359" s="231" t="s">
        <v>259</v>
      </c>
      <c r="C359" s="231" t="s">
        <v>7964</v>
      </c>
      <c r="D359" s="231"/>
      <c r="E359" s="229">
        <v>19</v>
      </c>
      <c r="F359" s="232">
        <v>27</v>
      </c>
      <c r="G359" s="230"/>
      <c r="S359" s="225">
        <v>1555.15272</v>
      </c>
      <c r="T359" s="180" t="s">
        <v>8023</v>
      </c>
      <c r="Y359" s="225">
        <v>726.72</v>
      </c>
      <c r="Z359" s="180" t="s">
        <v>8023</v>
      </c>
      <c r="AA359" s="225">
        <v>57768.62</v>
      </c>
      <c r="AB359" s="180" t="s">
        <v>8023</v>
      </c>
      <c r="AC359">
        <v>32.93</v>
      </c>
      <c r="AD359" s="180" t="s">
        <v>8023</v>
      </c>
      <c r="AG359" s="225">
        <v>5.7</v>
      </c>
      <c r="AH359" s="180" t="s">
        <v>8023</v>
      </c>
      <c r="AM359" s="225"/>
      <c r="BS359" s="225">
        <v>47.23</v>
      </c>
      <c r="BT359" s="180" t="s">
        <v>8023</v>
      </c>
      <c r="BU359" s="136">
        <v>22.07</v>
      </c>
      <c r="BV359" s="180" t="s">
        <v>8023</v>
      </c>
    </row>
    <row r="360" spans="1:74">
      <c r="A360" s="154" t="s">
        <v>7871</v>
      </c>
      <c r="B360" s="231" t="s">
        <v>257</v>
      </c>
      <c r="C360" s="231" t="s">
        <v>7982</v>
      </c>
      <c r="D360" s="231"/>
      <c r="E360" s="230">
        <v>1</v>
      </c>
      <c r="F360" s="232">
        <v>23</v>
      </c>
      <c r="G360" s="230"/>
      <c r="S360" s="225">
        <v>1748.277184</v>
      </c>
      <c r="T360" s="180" t="s">
        <v>8023</v>
      </c>
      <c r="Y360" s="225">
        <v>769.97</v>
      </c>
      <c r="Z360" s="180" t="s">
        <v>8023</v>
      </c>
      <c r="AA360" s="225">
        <v>68588.17</v>
      </c>
      <c r="AB360" s="180" t="s">
        <v>8023</v>
      </c>
      <c r="AC360">
        <v>36.35</v>
      </c>
      <c r="AD360" s="180" t="s">
        <v>8023</v>
      </c>
      <c r="AG360" s="225">
        <v>5.3</v>
      </c>
      <c r="AH360" s="180" t="s">
        <v>8023</v>
      </c>
      <c r="AM360" s="225"/>
      <c r="BS360" s="225">
        <v>48.1</v>
      </c>
      <c r="BT360" s="180" t="s">
        <v>8023</v>
      </c>
      <c r="BU360" s="136">
        <v>21.18</v>
      </c>
      <c r="BV360" s="180" t="s">
        <v>8023</v>
      </c>
    </row>
    <row r="361" spans="1:74">
      <c r="A361" s="154" t="s">
        <v>7871</v>
      </c>
      <c r="B361" s="231" t="s">
        <v>259</v>
      </c>
      <c r="C361" s="231" t="s">
        <v>7982</v>
      </c>
      <c r="D361" s="231"/>
      <c r="E361" s="230">
        <v>3</v>
      </c>
      <c r="F361" s="232">
        <v>42</v>
      </c>
      <c r="G361" s="230"/>
      <c r="S361" s="225">
        <v>1443.488656</v>
      </c>
      <c r="T361" s="180" t="s">
        <v>8023</v>
      </c>
      <c r="Y361" s="225">
        <v>723.57</v>
      </c>
      <c r="Z361" s="180" t="s">
        <v>8023</v>
      </c>
      <c r="AA361" s="225">
        <v>58531.44</v>
      </c>
      <c r="AB361" s="180" t="s">
        <v>8023</v>
      </c>
      <c r="AC361">
        <v>31.54</v>
      </c>
      <c r="AD361" s="180" t="s">
        <v>8023</v>
      </c>
      <c r="AG361" s="225">
        <v>5.39</v>
      </c>
      <c r="AH361" s="180" t="s">
        <v>8023</v>
      </c>
      <c r="AM361" s="225"/>
      <c r="BS361" s="225">
        <v>45.76</v>
      </c>
      <c r="BT361" s="180" t="s">
        <v>8023</v>
      </c>
      <c r="BU361" s="136">
        <v>22.94</v>
      </c>
      <c r="BV361" s="180" t="s">
        <v>8023</v>
      </c>
    </row>
    <row r="362" spans="1:74">
      <c r="A362" s="154" t="s">
        <v>7853</v>
      </c>
      <c r="B362" s="231" t="s">
        <v>257</v>
      </c>
      <c r="C362" s="231" t="s">
        <v>405</v>
      </c>
      <c r="D362" s="231"/>
      <c r="E362" s="229">
        <v>6</v>
      </c>
      <c r="F362" s="232">
        <v>17</v>
      </c>
      <c r="G362" s="230"/>
      <c r="S362" s="225">
        <v>1414.164755</v>
      </c>
      <c r="T362" s="180" t="s">
        <v>8023</v>
      </c>
      <c r="Y362" s="225">
        <v>682.05</v>
      </c>
      <c r="Z362" s="180" t="s">
        <v>8023</v>
      </c>
      <c r="AA362" s="225">
        <v>66993.570000000007</v>
      </c>
      <c r="AB362" s="180" t="s">
        <v>8023</v>
      </c>
      <c r="AC362">
        <v>29.62</v>
      </c>
      <c r="AD362" s="180" t="s">
        <v>8023</v>
      </c>
      <c r="AG362" s="225">
        <v>4.42</v>
      </c>
      <c r="AH362" s="180" t="s">
        <v>8023</v>
      </c>
      <c r="AM362" s="225"/>
      <c r="BS362" s="225">
        <v>47.74</v>
      </c>
      <c r="BT362" s="180" t="s">
        <v>8023</v>
      </c>
      <c r="BU362" s="136">
        <v>23.03</v>
      </c>
      <c r="BV362" s="180" t="s">
        <v>8023</v>
      </c>
    </row>
    <row r="363" spans="1:74">
      <c r="A363" s="154" t="s">
        <v>7853</v>
      </c>
      <c r="B363" s="231" t="s">
        <v>259</v>
      </c>
      <c r="C363" s="231" t="s">
        <v>405</v>
      </c>
      <c r="D363" s="231"/>
      <c r="E363" s="229">
        <v>10</v>
      </c>
      <c r="F363" s="232">
        <v>9</v>
      </c>
      <c r="G363" s="230"/>
      <c r="S363" s="225">
        <v>1420.441787</v>
      </c>
      <c r="T363" s="180" t="s">
        <v>8023</v>
      </c>
      <c r="Y363" s="225">
        <v>691.45</v>
      </c>
      <c r="Z363" s="180" t="s">
        <v>8023</v>
      </c>
      <c r="AA363" s="225">
        <v>67602.2</v>
      </c>
      <c r="AB363" s="180" t="s">
        <v>8023</v>
      </c>
      <c r="AC363">
        <v>29.56</v>
      </c>
      <c r="AD363" s="180" t="s">
        <v>8023</v>
      </c>
      <c r="AG363" s="225">
        <v>4.37</v>
      </c>
      <c r="AH363" s="180" t="s">
        <v>8023</v>
      </c>
      <c r="AM363" s="225"/>
      <c r="BS363" s="225">
        <v>48.06</v>
      </c>
      <c r="BT363" s="180" t="s">
        <v>8023</v>
      </c>
      <c r="BU363" s="136">
        <v>23.39</v>
      </c>
      <c r="BV363" s="180" t="s">
        <v>8023</v>
      </c>
    </row>
    <row r="364" spans="1:74">
      <c r="A364" s="154" t="s">
        <v>7853</v>
      </c>
      <c r="B364" s="231" t="s">
        <v>257</v>
      </c>
      <c r="C364" s="231" t="s">
        <v>7963</v>
      </c>
      <c r="D364" s="231"/>
      <c r="E364" s="229">
        <v>11</v>
      </c>
      <c r="F364" s="232">
        <v>34</v>
      </c>
      <c r="G364" s="230"/>
      <c r="S364" s="225">
        <v>1487.7969849999999</v>
      </c>
      <c r="T364" s="180" t="s">
        <v>8023</v>
      </c>
      <c r="Y364" s="225">
        <v>655.95</v>
      </c>
      <c r="Z364" s="180" t="s">
        <v>8023</v>
      </c>
      <c r="AA364" s="225">
        <v>69381.070000000007</v>
      </c>
      <c r="AB364" s="180" t="s">
        <v>8023</v>
      </c>
      <c r="AC364">
        <v>30.05</v>
      </c>
      <c r="AD364" s="180" t="s">
        <v>8023</v>
      </c>
      <c r="AG364" s="225">
        <v>4.33</v>
      </c>
      <c r="AH364" s="180" t="s">
        <v>8023</v>
      </c>
      <c r="AM364" s="225"/>
      <c r="BS364" s="225">
        <v>49.51</v>
      </c>
      <c r="BT364" s="180" t="s">
        <v>8023</v>
      </c>
      <c r="BU364" s="136">
        <v>21.83</v>
      </c>
      <c r="BV364" s="180" t="s">
        <v>8023</v>
      </c>
    </row>
    <row r="365" spans="1:74">
      <c r="A365" s="154" t="s">
        <v>7853</v>
      </c>
      <c r="B365" s="231" t="s">
        <v>259</v>
      </c>
      <c r="C365" s="231" t="s">
        <v>7963</v>
      </c>
      <c r="D365" s="231"/>
      <c r="E365" s="229">
        <v>13</v>
      </c>
      <c r="F365" s="232">
        <v>48</v>
      </c>
      <c r="G365" s="230"/>
      <c r="S365" s="225">
        <v>1270.7917870000001</v>
      </c>
      <c r="T365" s="180" t="s">
        <v>8023</v>
      </c>
      <c r="Y365" s="225">
        <v>613.69000000000005</v>
      </c>
      <c r="Z365" s="180" t="s">
        <v>8023</v>
      </c>
      <c r="AA365" s="225">
        <v>59103.42</v>
      </c>
      <c r="AB365" s="180" t="s">
        <v>8023</v>
      </c>
      <c r="AC365">
        <v>26.53</v>
      </c>
      <c r="AD365" s="180" t="s">
        <v>8023</v>
      </c>
      <c r="AG365" s="225">
        <v>4.49</v>
      </c>
      <c r="AH365" s="180" t="s">
        <v>8023</v>
      </c>
      <c r="AM365" s="225"/>
      <c r="BS365" s="225">
        <v>47.9</v>
      </c>
      <c r="BT365" s="180" t="s">
        <v>8023</v>
      </c>
      <c r="BU365" s="136">
        <v>23.13</v>
      </c>
      <c r="BV365" s="180" t="s">
        <v>8023</v>
      </c>
    </row>
    <row r="366" spans="1:74">
      <c r="A366" s="154" t="s">
        <v>7853</v>
      </c>
      <c r="B366" s="231" t="s">
        <v>257</v>
      </c>
      <c r="C366" s="231" t="s">
        <v>7964</v>
      </c>
      <c r="D366" s="231"/>
      <c r="E366" s="230">
        <v>15</v>
      </c>
      <c r="F366" s="232">
        <v>30</v>
      </c>
      <c r="G366" s="230"/>
      <c r="S366" s="225">
        <v>1509.1845920000001</v>
      </c>
      <c r="T366" s="180" t="s">
        <v>8023</v>
      </c>
      <c r="Y366" s="225">
        <v>690.63</v>
      </c>
      <c r="Z366" s="180" t="s">
        <v>8023</v>
      </c>
      <c r="AA366" s="225">
        <v>72357.69</v>
      </c>
      <c r="AB366" s="180" t="s">
        <v>8023</v>
      </c>
      <c r="AC366">
        <v>31.3</v>
      </c>
      <c r="AD366" s="180" t="s">
        <v>8023</v>
      </c>
      <c r="AG366" s="225">
        <v>4.33</v>
      </c>
      <c r="AH366" s="180" t="s">
        <v>8023</v>
      </c>
      <c r="AM366" s="225"/>
      <c r="BS366" s="225">
        <v>48.22</v>
      </c>
      <c r="BT366" s="180" t="s">
        <v>8023</v>
      </c>
      <c r="BU366" s="136">
        <v>22.07</v>
      </c>
      <c r="BV366" s="180" t="s">
        <v>8023</v>
      </c>
    </row>
    <row r="367" spans="1:74">
      <c r="A367" s="154" t="s">
        <v>7853</v>
      </c>
      <c r="B367" s="231" t="s">
        <v>259</v>
      </c>
      <c r="C367" s="231" t="s">
        <v>7964</v>
      </c>
      <c r="D367" s="231"/>
      <c r="E367" s="230">
        <v>20</v>
      </c>
      <c r="F367" s="232">
        <v>14</v>
      </c>
      <c r="G367" s="230"/>
      <c r="S367" s="225">
        <v>1274.7937400000001</v>
      </c>
      <c r="T367" s="180" t="s">
        <v>8023</v>
      </c>
      <c r="Y367" s="225">
        <v>643.07000000000005</v>
      </c>
      <c r="Z367" s="180" t="s">
        <v>8023</v>
      </c>
      <c r="AA367" s="225">
        <v>63286.37</v>
      </c>
      <c r="AB367" s="180" t="s">
        <v>8023</v>
      </c>
      <c r="AC367">
        <v>26.86</v>
      </c>
      <c r="AD367" s="180" t="s">
        <v>8023</v>
      </c>
      <c r="AG367" s="225">
        <v>4.24</v>
      </c>
      <c r="AH367" s="180" t="s">
        <v>8023</v>
      </c>
      <c r="AM367" s="225"/>
      <c r="BS367" s="225">
        <v>47.47</v>
      </c>
      <c r="BT367" s="180" t="s">
        <v>8023</v>
      </c>
      <c r="BU367" s="136">
        <v>23.94</v>
      </c>
      <c r="BV367" s="180" t="s">
        <v>8023</v>
      </c>
    </row>
    <row r="368" spans="1:74">
      <c r="A368" s="154" t="s">
        <v>7853</v>
      </c>
      <c r="B368" s="231" t="s">
        <v>257</v>
      </c>
      <c r="C368" s="231" t="s">
        <v>7982</v>
      </c>
      <c r="D368" s="231"/>
      <c r="E368" s="229">
        <v>1</v>
      </c>
      <c r="F368" s="232">
        <v>7</v>
      </c>
      <c r="G368" s="230"/>
      <c r="S368" s="225">
        <v>1297.0058140000001</v>
      </c>
      <c r="T368" s="180" t="s">
        <v>8023</v>
      </c>
      <c r="Y368" s="225">
        <v>653.34</v>
      </c>
      <c r="Z368" s="180" t="s">
        <v>8023</v>
      </c>
      <c r="AA368" s="225">
        <v>57474.080000000002</v>
      </c>
      <c r="AB368" s="180" t="s">
        <v>8023</v>
      </c>
      <c r="AC368">
        <v>27.87</v>
      </c>
      <c r="AD368" s="180" t="s">
        <v>8023</v>
      </c>
      <c r="AG368" s="225">
        <v>4.8499999999999996</v>
      </c>
      <c r="AH368" s="180" t="s">
        <v>8023</v>
      </c>
      <c r="AM368" s="225"/>
      <c r="BS368" s="225">
        <v>46.53</v>
      </c>
      <c r="BT368" s="180" t="s">
        <v>8023</v>
      </c>
      <c r="BU368" s="136">
        <v>23.44</v>
      </c>
      <c r="BV368" s="180" t="s">
        <v>8023</v>
      </c>
    </row>
    <row r="369" spans="1:74">
      <c r="A369" s="154" t="s">
        <v>7853</v>
      </c>
      <c r="B369" s="231" t="s">
        <v>259</v>
      </c>
      <c r="C369" s="231" t="s">
        <v>7982</v>
      </c>
      <c r="D369" s="231"/>
      <c r="E369" s="229">
        <v>4</v>
      </c>
      <c r="F369" s="232">
        <v>62</v>
      </c>
      <c r="G369" s="230"/>
      <c r="S369" s="225">
        <v>1314.866495</v>
      </c>
      <c r="T369" s="180" t="s">
        <v>8023</v>
      </c>
      <c r="Y369" s="225">
        <v>643.86</v>
      </c>
      <c r="Z369" s="180" t="s">
        <v>8023</v>
      </c>
      <c r="AA369" s="225">
        <v>62481.73</v>
      </c>
      <c r="AB369" s="180" t="s">
        <v>8023</v>
      </c>
      <c r="AC369">
        <v>27.74</v>
      </c>
      <c r="AD369" s="180" t="s">
        <v>8023</v>
      </c>
      <c r="AG369" s="225">
        <v>4.4400000000000004</v>
      </c>
      <c r="AH369" s="180" t="s">
        <v>8023</v>
      </c>
      <c r="AM369" s="225"/>
      <c r="BS369" s="225">
        <v>47.4</v>
      </c>
      <c r="BT369" s="180" t="s">
        <v>8023</v>
      </c>
      <c r="BU369" s="136">
        <v>23.21</v>
      </c>
      <c r="BV369" s="180" t="s">
        <v>8023</v>
      </c>
    </row>
    <row r="370" spans="1:74">
      <c r="A370" s="154" t="s">
        <v>7753</v>
      </c>
      <c r="B370" s="231" t="s">
        <v>257</v>
      </c>
      <c r="C370" s="231" t="s">
        <v>405</v>
      </c>
      <c r="D370" s="231"/>
      <c r="E370" s="229">
        <v>6</v>
      </c>
      <c r="F370" s="232">
        <v>27</v>
      </c>
      <c r="G370" s="230"/>
      <c r="S370" s="225">
        <v>1398.4174599999999</v>
      </c>
      <c r="T370" s="180" t="s">
        <v>8023</v>
      </c>
      <c r="Y370" s="225">
        <v>626.73</v>
      </c>
      <c r="Z370" s="180" t="s">
        <v>8023</v>
      </c>
      <c r="AA370" s="225">
        <v>56116.29</v>
      </c>
      <c r="AB370" s="180" t="s">
        <v>8023</v>
      </c>
      <c r="AC370">
        <v>30.17</v>
      </c>
      <c r="AD370" s="180" t="s">
        <v>8023</v>
      </c>
      <c r="AG370" s="225">
        <v>5.38</v>
      </c>
      <c r="AH370" s="180" t="s">
        <v>8023</v>
      </c>
      <c r="AM370" s="225"/>
      <c r="BS370" s="225">
        <v>46.35</v>
      </c>
      <c r="BT370" s="180" t="s">
        <v>8023</v>
      </c>
      <c r="BU370" s="136">
        <v>20.77</v>
      </c>
      <c r="BV370" s="180" t="s">
        <v>8023</v>
      </c>
    </row>
    <row r="371" spans="1:74">
      <c r="A371" s="154" t="s">
        <v>7753</v>
      </c>
      <c r="B371" s="231" t="s">
        <v>259</v>
      </c>
      <c r="C371" s="231" t="s">
        <v>405</v>
      </c>
      <c r="D371" s="231"/>
      <c r="E371" s="229">
        <v>12</v>
      </c>
      <c r="F371" s="232">
        <v>1</v>
      </c>
      <c r="G371" s="230"/>
      <c r="S371" s="225">
        <v>1827.537231</v>
      </c>
      <c r="T371" s="180" t="s">
        <v>8023</v>
      </c>
      <c r="Y371" s="225">
        <v>790.58</v>
      </c>
      <c r="Z371" s="180" t="s">
        <v>8023</v>
      </c>
      <c r="AA371" s="225">
        <v>76531.710000000006</v>
      </c>
      <c r="AB371" s="180" t="s">
        <v>8023</v>
      </c>
      <c r="AC371">
        <v>38.31</v>
      </c>
      <c r="AD371" s="180" t="s">
        <v>8023</v>
      </c>
      <c r="AG371" s="225">
        <v>5.01</v>
      </c>
      <c r="AH371" s="180" t="s">
        <v>8023</v>
      </c>
      <c r="AM371" s="225"/>
      <c r="BS371" s="225">
        <v>47.71</v>
      </c>
      <c r="BT371" s="180" t="s">
        <v>8023</v>
      </c>
      <c r="BU371" s="136">
        <v>20.64</v>
      </c>
      <c r="BV371" s="180" t="s">
        <v>8023</v>
      </c>
    </row>
    <row r="372" spans="1:74">
      <c r="A372" s="154" t="s">
        <v>7753</v>
      </c>
      <c r="B372" s="231" t="s">
        <v>257</v>
      </c>
      <c r="C372" s="231" t="s">
        <v>7963</v>
      </c>
      <c r="D372" s="231"/>
      <c r="E372" s="230">
        <v>10</v>
      </c>
      <c r="F372" s="232">
        <v>38</v>
      </c>
      <c r="G372" s="230"/>
      <c r="S372" s="225">
        <v>1613.706101</v>
      </c>
      <c r="T372" s="180" t="s">
        <v>8023</v>
      </c>
      <c r="Y372" s="225">
        <v>792.52</v>
      </c>
      <c r="Z372" s="180" t="s">
        <v>8023</v>
      </c>
      <c r="AA372" s="225">
        <v>64455.93</v>
      </c>
      <c r="AB372" s="180" t="s">
        <v>8023</v>
      </c>
      <c r="AC372">
        <v>33.64</v>
      </c>
      <c r="AD372" s="180" t="s">
        <v>8023</v>
      </c>
      <c r="AG372" s="225">
        <v>5.22</v>
      </c>
      <c r="AH372" s="180" t="s">
        <v>8023</v>
      </c>
      <c r="AM372" s="225"/>
      <c r="BS372" s="225">
        <v>47.97</v>
      </c>
      <c r="BT372" s="180" t="s">
        <v>8023</v>
      </c>
      <c r="BU372" s="136">
        <v>23.56</v>
      </c>
      <c r="BV372" s="180" t="s">
        <v>8023</v>
      </c>
    </row>
    <row r="373" spans="1:74">
      <c r="A373" s="154" t="s">
        <v>7753</v>
      </c>
      <c r="B373" s="231" t="s">
        <v>259</v>
      </c>
      <c r="C373" s="231" t="s">
        <v>7963</v>
      </c>
      <c r="D373" s="231"/>
      <c r="E373" s="230">
        <v>16</v>
      </c>
      <c r="F373" s="232">
        <v>34</v>
      </c>
      <c r="G373" s="230"/>
      <c r="S373" s="225">
        <v>1335.813314</v>
      </c>
      <c r="T373" s="180" t="s">
        <v>8023</v>
      </c>
      <c r="Y373" s="225">
        <v>583.25</v>
      </c>
      <c r="Z373" s="180" t="s">
        <v>8023</v>
      </c>
      <c r="AA373" s="225">
        <v>54866.22</v>
      </c>
      <c r="AB373" s="180" t="s">
        <v>8023</v>
      </c>
      <c r="AC373">
        <v>28.23</v>
      </c>
      <c r="AD373" s="180" t="s">
        <v>8023</v>
      </c>
      <c r="AG373" s="225">
        <v>5.15</v>
      </c>
      <c r="AH373" s="180" t="s">
        <v>8023</v>
      </c>
      <c r="AM373" s="225"/>
      <c r="BS373" s="225">
        <v>47.31</v>
      </c>
      <c r="BT373" s="180" t="s">
        <v>8023</v>
      </c>
      <c r="BU373" s="136">
        <v>20.66</v>
      </c>
      <c r="BV373" s="180" t="s">
        <v>8023</v>
      </c>
    </row>
    <row r="374" spans="1:74">
      <c r="A374" s="154" t="s">
        <v>7753</v>
      </c>
      <c r="B374" s="231" t="s">
        <v>257</v>
      </c>
      <c r="C374" s="231" t="s">
        <v>7964</v>
      </c>
      <c r="D374" s="231"/>
      <c r="E374" s="229">
        <v>13</v>
      </c>
      <c r="F374" s="232">
        <v>13</v>
      </c>
      <c r="G374" s="230"/>
      <c r="S374" s="225">
        <v>1501.0603470000001</v>
      </c>
      <c r="T374" s="180" t="s">
        <v>8023</v>
      </c>
      <c r="Y374" s="225">
        <v>677.51</v>
      </c>
      <c r="Z374" s="180" t="s">
        <v>8023</v>
      </c>
      <c r="AA374" s="225">
        <v>62508.75</v>
      </c>
      <c r="AB374" s="180" t="s">
        <v>8023</v>
      </c>
      <c r="AC374">
        <v>32.49</v>
      </c>
      <c r="AD374" s="180" t="s">
        <v>8023</v>
      </c>
      <c r="AG374" s="225">
        <v>5.2</v>
      </c>
      <c r="AH374" s="180" t="s">
        <v>8023</v>
      </c>
      <c r="AM374" s="225"/>
      <c r="BS374" s="225">
        <v>46.2</v>
      </c>
      <c r="BT374" s="180" t="s">
        <v>8023</v>
      </c>
      <c r="BU374" s="136">
        <v>20.85</v>
      </c>
      <c r="BV374" s="180" t="s">
        <v>8023</v>
      </c>
    </row>
    <row r="375" spans="1:74">
      <c r="A375" s="154" t="s">
        <v>7753</v>
      </c>
      <c r="B375" s="231" t="s">
        <v>259</v>
      </c>
      <c r="C375" s="231" t="s">
        <v>7964</v>
      </c>
      <c r="D375" s="231"/>
      <c r="E375" s="229">
        <v>19</v>
      </c>
      <c r="F375" s="232">
        <v>16</v>
      </c>
      <c r="G375" s="230"/>
      <c r="S375" s="225">
        <v>1272.5176670000001</v>
      </c>
      <c r="T375" s="180" t="s">
        <v>8023</v>
      </c>
      <c r="Y375" s="225">
        <v>598.74</v>
      </c>
      <c r="Z375" s="180" t="s">
        <v>8023</v>
      </c>
      <c r="AA375" s="225">
        <v>55959.96</v>
      </c>
      <c r="AB375" s="180" t="s">
        <v>8023</v>
      </c>
      <c r="AC375">
        <v>27.77</v>
      </c>
      <c r="AD375" s="180" t="s">
        <v>8023</v>
      </c>
      <c r="AG375" s="225">
        <v>4.96</v>
      </c>
      <c r="AH375" s="180" t="s">
        <v>8023</v>
      </c>
      <c r="AM375" s="225"/>
      <c r="BS375" s="225">
        <v>45.82</v>
      </c>
      <c r="BT375" s="180" t="s">
        <v>8023</v>
      </c>
      <c r="BU375" s="136">
        <v>21.56</v>
      </c>
      <c r="BV375" s="180" t="s">
        <v>8023</v>
      </c>
    </row>
    <row r="376" spans="1:74">
      <c r="A376" s="154" t="s">
        <v>7753</v>
      </c>
      <c r="B376" s="231" t="s">
        <v>257</v>
      </c>
      <c r="C376" s="231" t="s">
        <v>7982</v>
      </c>
      <c r="D376" s="231"/>
      <c r="E376" s="229">
        <v>1</v>
      </c>
      <c r="F376" s="232">
        <v>22</v>
      </c>
      <c r="G376" s="230"/>
      <c r="S376" s="225">
        <v>1631.295447</v>
      </c>
      <c r="T376" s="180" t="s">
        <v>8023</v>
      </c>
      <c r="Y376" s="225">
        <v>694.78</v>
      </c>
      <c r="Z376" s="180" t="s">
        <v>8023</v>
      </c>
      <c r="AA376" s="225">
        <v>61954.33</v>
      </c>
      <c r="AB376" s="180" t="s">
        <v>8023</v>
      </c>
      <c r="AC376">
        <v>34.1</v>
      </c>
      <c r="AD376" s="180" t="s">
        <v>8023</v>
      </c>
      <c r="AG376" s="225">
        <v>5.5</v>
      </c>
      <c r="AH376" s="180" t="s">
        <v>8023</v>
      </c>
      <c r="AM376" s="225"/>
      <c r="BS376" s="225">
        <v>47.84</v>
      </c>
      <c r="BT376" s="180" t="s">
        <v>8023</v>
      </c>
      <c r="BU376" s="136">
        <v>20.38</v>
      </c>
      <c r="BV376" s="180" t="s">
        <v>8023</v>
      </c>
    </row>
    <row r="377" spans="1:74">
      <c r="A377" s="154" t="s">
        <v>7753</v>
      </c>
      <c r="B377" s="231" t="s">
        <v>259</v>
      </c>
      <c r="C377" s="231" t="s">
        <v>7982</v>
      </c>
      <c r="D377" s="231"/>
      <c r="E377" s="229">
        <v>2</v>
      </c>
      <c r="F377" s="232">
        <v>44</v>
      </c>
      <c r="G377" s="230"/>
      <c r="S377" s="225">
        <v>1451.1635900000001</v>
      </c>
      <c r="T377" s="180" t="s">
        <v>8023</v>
      </c>
      <c r="Y377" s="225">
        <v>699.77</v>
      </c>
      <c r="Z377" s="180" t="s">
        <v>8023</v>
      </c>
      <c r="AA377" s="225">
        <v>66508.210000000006</v>
      </c>
      <c r="AB377" s="180" t="s">
        <v>8023</v>
      </c>
      <c r="AC377">
        <v>31.63</v>
      </c>
      <c r="AD377" s="180" t="s">
        <v>8023</v>
      </c>
      <c r="AG377" s="225">
        <v>4.76</v>
      </c>
      <c r="AH377" s="180" t="s">
        <v>8023</v>
      </c>
      <c r="AM377" s="225"/>
      <c r="BS377" s="225">
        <v>45.88</v>
      </c>
      <c r="BT377" s="180" t="s">
        <v>8023</v>
      </c>
      <c r="BU377" s="136">
        <v>22.12</v>
      </c>
      <c r="BV377" s="180" t="s">
        <v>8023</v>
      </c>
    </row>
    <row r="378" spans="1:74">
      <c r="A378" s="154" t="s">
        <v>7754</v>
      </c>
      <c r="B378" s="231" t="s">
        <v>257</v>
      </c>
      <c r="C378" s="231" t="s">
        <v>405</v>
      </c>
      <c r="D378" s="231"/>
      <c r="E378" s="230">
        <v>5</v>
      </c>
      <c r="F378" s="232">
        <v>20</v>
      </c>
      <c r="G378" s="230"/>
      <c r="S378" s="225">
        <v>1608.969036</v>
      </c>
      <c r="T378" s="180" t="s">
        <v>8023</v>
      </c>
      <c r="Y378" s="225">
        <v>719.98</v>
      </c>
      <c r="Z378" s="180" t="s">
        <v>8023</v>
      </c>
      <c r="AA378" s="225">
        <v>66882.259999999995</v>
      </c>
      <c r="AB378" s="180" t="s">
        <v>8023</v>
      </c>
      <c r="AC378">
        <v>33.81</v>
      </c>
      <c r="AD378" s="180" t="s">
        <v>8023</v>
      </c>
      <c r="AG378" s="225">
        <v>5.0599999999999996</v>
      </c>
      <c r="AH378" s="180" t="s">
        <v>8023</v>
      </c>
      <c r="AM378" s="225"/>
      <c r="BS378" s="225">
        <v>47.59</v>
      </c>
      <c r="BT378" s="180" t="s">
        <v>8023</v>
      </c>
      <c r="BU378" s="136">
        <v>21.29</v>
      </c>
      <c r="BV378" s="180" t="s">
        <v>8023</v>
      </c>
    </row>
    <row r="379" spans="1:74">
      <c r="A379" s="154" t="s">
        <v>7754</v>
      </c>
      <c r="B379" s="231" t="s">
        <v>259</v>
      </c>
      <c r="C379" s="231" t="s">
        <v>405</v>
      </c>
      <c r="D379" s="231"/>
      <c r="E379" s="230">
        <v>12</v>
      </c>
      <c r="F379" s="232">
        <v>27</v>
      </c>
      <c r="G379" s="230"/>
      <c r="S379" s="225">
        <v>1341.671844</v>
      </c>
      <c r="T379" s="180" t="s">
        <v>8023</v>
      </c>
      <c r="Y379" s="225">
        <v>653.41999999999996</v>
      </c>
      <c r="Z379" s="180" t="s">
        <v>8023</v>
      </c>
      <c r="AA379" s="225">
        <v>59928.59</v>
      </c>
      <c r="AB379" s="180" t="s">
        <v>8023</v>
      </c>
      <c r="AC379">
        <v>28.87</v>
      </c>
      <c r="AD379" s="180" t="s">
        <v>8023</v>
      </c>
      <c r="AG379" s="225">
        <v>4.82</v>
      </c>
      <c r="AH379" s="180" t="s">
        <v>8023</v>
      </c>
      <c r="AM379" s="225"/>
      <c r="BS379" s="225">
        <v>46.48</v>
      </c>
      <c r="BT379" s="180" t="s">
        <v>8023</v>
      </c>
      <c r="BU379" s="136">
        <v>22.63</v>
      </c>
      <c r="BV379" s="180" t="s">
        <v>8023</v>
      </c>
    </row>
    <row r="380" spans="1:74">
      <c r="A380" s="154" t="s">
        <v>7754</v>
      </c>
      <c r="B380" s="231" t="s">
        <v>257</v>
      </c>
      <c r="C380" s="231" t="s">
        <v>7963</v>
      </c>
      <c r="D380" s="231"/>
      <c r="E380" s="229">
        <v>11</v>
      </c>
      <c r="F380" s="232">
        <v>49</v>
      </c>
      <c r="G380" s="230"/>
      <c r="S380" s="225">
        <v>1319.431108</v>
      </c>
      <c r="T380" s="180" t="s">
        <v>8023</v>
      </c>
      <c r="Y380" s="225">
        <v>592.1</v>
      </c>
      <c r="Z380" s="180" t="s">
        <v>8023</v>
      </c>
      <c r="AA380" s="225">
        <v>57871.43</v>
      </c>
      <c r="AB380" s="180" t="s">
        <v>8023</v>
      </c>
      <c r="AC380">
        <v>27.51</v>
      </c>
      <c r="AD380" s="180" t="s">
        <v>8023</v>
      </c>
      <c r="AG380" s="225">
        <v>4.75</v>
      </c>
      <c r="AH380" s="180" t="s">
        <v>8023</v>
      </c>
      <c r="AM380" s="225"/>
      <c r="BS380" s="225">
        <v>47.96</v>
      </c>
      <c r="BT380" s="180" t="s">
        <v>8023</v>
      </c>
      <c r="BU380" s="136">
        <v>21.52</v>
      </c>
      <c r="BV380" s="180" t="s">
        <v>8023</v>
      </c>
    </row>
    <row r="381" spans="1:74">
      <c r="A381" s="154" t="s">
        <v>7754</v>
      </c>
      <c r="B381" s="231" t="s">
        <v>259</v>
      </c>
      <c r="C381" s="231" t="s">
        <v>7963</v>
      </c>
      <c r="D381" s="231"/>
      <c r="E381" s="229">
        <v>14</v>
      </c>
      <c r="F381" s="232">
        <v>62</v>
      </c>
      <c r="G381" s="230"/>
      <c r="S381" s="225">
        <v>1220.4846210000001</v>
      </c>
      <c r="T381" s="180" t="s">
        <v>8023</v>
      </c>
      <c r="Y381" s="225">
        <v>618.08000000000004</v>
      </c>
      <c r="Z381" s="180" t="s">
        <v>8023</v>
      </c>
      <c r="AA381" s="225">
        <v>57758.3</v>
      </c>
      <c r="AB381" s="180" t="s">
        <v>8023</v>
      </c>
      <c r="AC381">
        <v>27</v>
      </c>
      <c r="AD381" s="180" t="s">
        <v>8023</v>
      </c>
      <c r="AG381" s="225">
        <v>4.67</v>
      </c>
      <c r="AH381" s="180" t="s">
        <v>8023</v>
      </c>
      <c r="AM381" s="225"/>
      <c r="BS381" s="225">
        <v>45.21</v>
      </c>
      <c r="BT381" s="180" t="s">
        <v>8023</v>
      </c>
      <c r="BU381" s="136">
        <v>22.89</v>
      </c>
      <c r="BV381" s="180" t="s">
        <v>8023</v>
      </c>
    </row>
    <row r="382" spans="1:74">
      <c r="A382" s="154" t="s">
        <v>7754</v>
      </c>
      <c r="B382" s="231" t="s">
        <v>257</v>
      </c>
      <c r="C382" s="231" t="s">
        <v>7964</v>
      </c>
      <c r="D382" s="231"/>
      <c r="E382" s="229">
        <v>16</v>
      </c>
      <c r="F382" s="232">
        <v>13</v>
      </c>
      <c r="G382" s="230"/>
      <c r="S382" s="225">
        <v>1457.8137839999999</v>
      </c>
      <c r="T382" s="180" t="s">
        <v>8023</v>
      </c>
      <c r="Y382" s="225">
        <v>694.33</v>
      </c>
      <c r="Z382" s="180" t="s">
        <v>8023</v>
      </c>
      <c r="AA382" s="225">
        <v>66684.399999999994</v>
      </c>
      <c r="AB382" s="180" t="s">
        <v>8023</v>
      </c>
      <c r="AC382">
        <v>31.27</v>
      </c>
      <c r="AD382" s="180" t="s">
        <v>8023</v>
      </c>
      <c r="AG382" s="225">
        <v>4.6900000000000004</v>
      </c>
      <c r="AH382" s="180" t="s">
        <v>8023</v>
      </c>
      <c r="AM382" s="225"/>
      <c r="BS382" s="225">
        <v>46.62</v>
      </c>
      <c r="BT382" s="180" t="s">
        <v>8023</v>
      </c>
      <c r="BU382" s="136">
        <v>22.21</v>
      </c>
      <c r="BV382" s="180" t="s">
        <v>8023</v>
      </c>
    </row>
    <row r="383" spans="1:74">
      <c r="A383" s="154" t="s">
        <v>7754</v>
      </c>
      <c r="B383" s="231" t="s">
        <v>259</v>
      </c>
      <c r="C383" s="231" t="s">
        <v>7964</v>
      </c>
      <c r="D383" s="231"/>
      <c r="E383" s="229">
        <v>20</v>
      </c>
      <c r="F383" s="232">
        <v>4</v>
      </c>
      <c r="G383" s="230"/>
      <c r="S383" s="225">
        <v>1013.36554</v>
      </c>
      <c r="T383" s="180" t="s">
        <v>8023</v>
      </c>
      <c r="Y383" s="225">
        <v>536.5</v>
      </c>
      <c r="Z383" s="180" t="s">
        <v>8023</v>
      </c>
      <c r="AA383" s="225">
        <v>45566.42</v>
      </c>
      <c r="AB383" s="180" t="s">
        <v>8023</v>
      </c>
      <c r="AC383">
        <v>22.91</v>
      </c>
      <c r="AD383" s="180" t="s">
        <v>8023</v>
      </c>
      <c r="AG383" s="225">
        <v>5.03</v>
      </c>
      <c r="AH383" s="180" t="s">
        <v>8023</v>
      </c>
      <c r="AM383" s="225"/>
      <c r="BS383" s="225">
        <v>44.24</v>
      </c>
      <c r="BT383" s="180" t="s">
        <v>8023</v>
      </c>
      <c r="BU383" s="136">
        <v>23.42</v>
      </c>
      <c r="BV383" s="180" t="s">
        <v>8023</v>
      </c>
    </row>
    <row r="384" spans="1:74">
      <c r="A384" s="154" t="s">
        <v>7754</v>
      </c>
      <c r="B384" s="231" t="s">
        <v>257</v>
      </c>
      <c r="C384" s="231" t="s">
        <v>7982</v>
      </c>
      <c r="D384" s="231"/>
      <c r="E384" s="230">
        <v>3</v>
      </c>
      <c r="F384" s="232">
        <v>18</v>
      </c>
      <c r="G384" s="230"/>
      <c r="S384" s="225">
        <v>1371.8905789999999</v>
      </c>
      <c r="T384" s="180" t="s">
        <v>8023</v>
      </c>
      <c r="Y384" s="225">
        <v>644.44000000000005</v>
      </c>
      <c r="Z384" s="180" t="s">
        <v>8023</v>
      </c>
      <c r="AA384" s="225">
        <v>60263.72</v>
      </c>
      <c r="AB384" s="180" t="s">
        <v>8023</v>
      </c>
      <c r="AC384">
        <v>29.29</v>
      </c>
      <c r="AD384" s="180" t="s">
        <v>8023</v>
      </c>
      <c r="AG384" s="225">
        <v>4.8600000000000003</v>
      </c>
      <c r="AH384" s="180" t="s">
        <v>8023</v>
      </c>
      <c r="AM384" s="225"/>
      <c r="BS384" s="225">
        <v>46.85</v>
      </c>
      <c r="BT384" s="180" t="s">
        <v>8023</v>
      </c>
      <c r="BU384" s="136">
        <v>22.01</v>
      </c>
      <c r="BV384" s="180" t="s">
        <v>8023</v>
      </c>
    </row>
    <row r="385" spans="1:74">
      <c r="A385" s="154" t="s">
        <v>7754</v>
      </c>
      <c r="B385" s="231" t="s">
        <v>259</v>
      </c>
      <c r="C385" s="231" t="s">
        <v>7982</v>
      </c>
      <c r="D385" s="231"/>
      <c r="E385" s="230">
        <v>3</v>
      </c>
      <c r="F385" s="232">
        <v>39</v>
      </c>
      <c r="G385" s="230"/>
      <c r="S385" s="225">
        <v>1267.1530990000001</v>
      </c>
      <c r="T385" s="180" t="s">
        <v>8023</v>
      </c>
      <c r="Y385" s="225">
        <v>618.79999999999995</v>
      </c>
      <c r="Z385" s="180" t="s">
        <v>8023</v>
      </c>
      <c r="AA385" s="225">
        <v>71462.320000000007</v>
      </c>
      <c r="AB385" s="180" t="s">
        <v>8023</v>
      </c>
      <c r="AC385">
        <v>27.62</v>
      </c>
      <c r="AD385" s="180" t="s">
        <v>8023</v>
      </c>
      <c r="AG385" s="225">
        <v>3.86</v>
      </c>
      <c r="AH385" s="180" t="s">
        <v>8023</v>
      </c>
      <c r="AM385" s="225"/>
      <c r="BS385" s="225">
        <v>45.88</v>
      </c>
      <c r="BT385" s="180" t="s">
        <v>8023</v>
      </c>
      <c r="BU385" s="136">
        <v>22.41</v>
      </c>
      <c r="BV385" s="180" t="s">
        <v>8023</v>
      </c>
    </row>
    <row r="386" spans="1:74">
      <c r="A386" s="154" t="s">
        <v>7755</v>
      </c>
      <c r="B386" s="231" t="s">
        <v>257</v>
      </c>
      <c r="C386" s="231" t="s">
        <v>405</v>
      </c>
      <c r="D386" s="231"/>
      <c r="E386" s="229">
        <v>8</v>
      </c>
      <c r="F386" s="232">
        <v>6</v>
      </c>
      <c r="G386" s="230"/>
      <c r="S386" s="225">
        <v>1582.2729549999999</v>
      </c>
      <c r="T386" s="180" t="s">
        <v>8023</v>
      </c>
      <c r="Y386" s="225">
        <v>704.49</v>
      </c>
      <c r="Z386" s="180" t="s">
        <v>8023</v>
      </c>
      <c r="AA386" s="225">
        <v>69145.77</v>
      </c>
      <c r="AB386" s="180" t="s">
        <v>8023</v>
      </c>
      <c r="AC386">
        <v>33.200000000000003</v>
      </c>
      <c r="AD386" s="180" t="s">
        <v>8023</v>
      </c>
      <c r="AG386" s="225">
        <v>4.8</v>
      </c>
      <c r="AH386" s="180" t="s">
        <v>8023</v>
      </c>
      <c r="AM386" s="225"/>
      <c r="BS386" s="225">
        <v>47.66</v>
      </c>
      <c r="BT386" s="180" t="s">
        <v>8023</v>
      </c>
      <c r="BU386" s="136">
        <v>21.22</v>
      </c>
      <c r="BV386" s="180" t="s">
        <v>8023</v>
      </c>
    </row>
    <row r="387" spans="1:74">
      <c r="A387" s="154" t="s">
        <v>7755</v>
      </c>
      <c r="B387" s="231" t="s">
        <v>259</v>
      </c>
      <c r="C387" s="231" t="s">
        <v>405</v>
      </c>
      <c r="D387" s="231"/>
      <c r="E387" s="229">
        <v>12</v>
      </c>
      <c r="F387" s="232">
        <v>29</v>
      </c>
      <c r="G387" s="230"/>
      <c r="S387" s="225">
        <v>1425.7463600000001</v>
      </c>
      <c r="T387" s="180" t="s">
        <v>8023</v>
      </c>
      <c r="Y387" s="225">
        <v>687.42</v>
      </c>
      <c r="Z387" s="180" t="s">
        <v>8023</v>
      </c>
      <c r="AA387" s="225">
        <v>63531.54</v>
      </c>
      <c r="AB387" s="180" t="s">
        <v>8023</v>
      </c>
      <c r="AC387">
        <v>30.5</v>
      </c>
      <c r="AD387" s="180" t="s">
        <v>8023</v>
      </c>
      <c r="AG387" s="225">
        <v>4.8</v>
      </c>
      <c r="AH387" s="180" t="s">
        <v>8023</v>
      </c>
      <c r="AM387" s="225"/>
      <c r="BS387" s="225">
        <v>46.75</v>
      </c>
      <c r="BT387" s="180" t="s">
        <v>8023</v>
      </c>
      <c r="BU387" s="136">
        <v>22.54</v>
      </c>
      <c r="BV387" s="180" t="s">
        <v>8023</v>
      </c>
    </row>
    <row r="388" spans="1:74">
      <c r="A388" s="154" t="s">
        <v>7755</v>
      </c>
      <c r="B388" s="231" t="s">
        <v>257</v>
      </c>
      <c r="C388" s="231" t="s">
        <v>7963</v>
      </c>
      <c r="D388" s="231"/>
      <c r="E388" s="229">
        <v>12</v>
      </c>
      <c r="F388" s="232">
        <v>35</v>
      </c>
      <c r="G388" s="230"/>
      <c r="S388" s="225">
        <v>1608.7554709999999</v>
      </c>
      <c r="T388" s="180" t="s">
        <v>8023</v>
      </c>
      <c r="Y388" s="225">
        <v>739.13</v>
      </c>
      <c r="Z388" s="180" t="s">
        <v>8023</v>
      </c>
      <c r="AA388" s="225">
        <v>69130.039999999994</v>
      </c>
      <c r="AB388" s="180" t="s">
        <v>8023</v>
      </c>
      <c r="AC388">
        <v>34.090000000000003</v>
      </c>
      <c r="AD388" s="180" t="s">
        <v>8023</v>
      </c>
      <c r="AG388" s="225">
        <v>4.93</v>
      </c>
      <c r="AH388" s="180" t="s">
        <v>8023</v>
      </c>
      <c r="AM388" s="225"/>
      <c r="BS388" s="225">
        <v>47.19</v>
      </c>
      <c r="BT388" s="180" t="s">
        <v>8023</v>
      </c>
      <c r="BU388" s="136">
        <v>21.68</v>
      </c>
      <c r="BV388" s="180" t="s">
        <v>8023</v>
      </c>
    </row>
    <row r="389" spans="1:74">
      <c r="A389" s="154" t="s">
        <v>7755</v>
      </c>
      <c r="B389" s="231" t="s">
        <v>259</v>
      </c>
      <c r="C389" s="231" t="s">
        <v>7963</v>
      </c>
      <c r="D389" s="231"/>
      <c r="E389" s="229">
        <v>13</v>
      </c>
      <c r="F389" s="232">
        <v>59</v>
      </c>
      <c r="G389" s="230"/>
      <c r="S389" s="225">
        <v>1693.9564290000001</v>
      </c>
      <c r="T389" s="180" t="s">
        <v>8023</v>
      </c>
      <c r="Y389" s="225">
        <v>769.21</v>
      </c>
      <c r="Z389" s="180" t="s">
        <v>8023</v>
      </c>
      <c r="AA389" s="225">
        <v>74052.98</v>
      </c>
      <c r="AB389" s="180" t="s">
        <v>8023</v>
      </c>
      <c r="AC389">
        <v>35.369999999999997</v>
      </c>
      <c r="AD389" s="180" t="s">
        <v>8023</v>
      </c>
      <c r="AG389" s="225">
        <v>4.78</v>
      </c>
      <c r="AH389" s="180" t="s">
        <v>8023</v>
      </c>
      <c r="AM389" s="225"/>
      <c r="BS389" s="225">
        <v>47.89</v>
      </c>
      <c r="BT389" s="180" t="s">
        <v>8023</v>
      </c>
      <c r="BU389" s="136">
        <v>21.75</v>
      </c>
      <c r="BV389" s="180" t="s">
        <v>8023</v>
      </c>
    </row>
    <row r="390" spans="1:74">
      <c r="A390" s="154" t="s">
        <v>7755</v>
      </c>
      <c r="B390" s="231" t="s">
        <v>257</v>
      </c>
      <c r="C390" s="231" t="s">
        <v>7964</v>
      </c>
      <c r="D390" s="231"/>
      <c r="E390" s="229">
        <v>16</v>
      </c>
      <c r="F390" s="232">
        <v>12</v>
      </c>
      <c r="G390" s="230"/>
      <c r="S390" s="225">
        <v>1470.5227649999999</v>
      </c>
      <c r="T390" s="180" t="s">
        <v>8023</v>
      </c>
      <c r="Y390" s="225">
        <v>713.44</v>
      </c>
      <c r="Z390" s="180" t="s">
        <v>8023</v>
      </c>
      <c r="AA390" s="225">
        <v>73007.87</v>
      </c>
      <c r="AB390" s="180" t="s">
        <v>8023</v>
      </c>
      <c r="AC390">
        <v>31.91</v>
      </c>
      <c r="AD390" s="180" t="s">
        <v>8023</v>
      </c>
      <c r="AG390" s="225">
        <v>4.37</v>
      </c>
      <c r="AH390" s="180" t="s">
        <v>8023</v>
      </c>
      <c r="AM390" s="225"/>
      <c r="BS390" s="225">
        <v>46.09</v>
      </c>
      <c r="BT390" s="180" t="s">
        <v>8023</v>
      </c>
      <c r="BU390" s="136">
        <v>22.36</v>
      </c>
      <c r="BV390" s="180" t="s">
        <v>8023</v>
      </c>
    </row>
    <row r="391" spans="1:74">
      <c r="A391" s="154" t="s">
        <v>7755</v>
      </c>
      <c r="B391" s="231" t="s">
        <v>259</v>
      </c>
      <c r="C391" s="231" t="s">
        <v>7964</v>
      </c>
      <c r="D391" s="231"/>
      <c r="E391" s="230">
        <v>17</v>
      </c>
      <c r="F391" s="232">
        <v>21</v>
      </c>
      <c r="G391" s="230"/>
      <c r="S391" s="225">
        <v>1346.0480749999999</v>
      </c>
      <c r="T391" s="180" t="s">
        <v>8023</v>
      </c>
      <c r="Y391" s="225">
        <v>651.19000000000005</v>
      </c>
      <c r="Z391" s="180" t="s">
        <v>8023</v>
      </c>
      <c r="AA391" s="225">
        <v>62793.42</v>
      </c>
      <c r="AB391" s="180" t="s">
        <v>8023</v>
      </c>
      <c r="AC391">
        <v>29.04</v>
      </c>
      <c r="AD391" s="180" t="s">
        <v>8023</v>
      </c>
      <c r="AG391" s="225">
        <v>4.62</v>
      </c>
      <c r="AH391" s="180" t="s">
        <v>8023</v>
      </c>
      <c r="AM391" s="225"/>
      <c r="BS391" s="225">
        <v>46.35</v>
      </c>
      <c r="BT391" s="180" t="s">
        <v>8023</v>
      </c>
      <c r="BU391" s="136">
        <v>22.42</v>
      </c>
      <c r="BV391" s="180" t="s">
        <v>8023</v>
      </c>
    </row>
    <row r="392" spans="1:74">
      <c r="A392" s="154" t="s">
        <v>7755</v>
      </c>
      <c r="B392" s="231" t="s">
        <v>257</v>
      </c>
      <c r="C392" s="231" t="s">
        <v>7982</v>
      </c>
      <c r="D392" s="231"/>
      <c r="E392" s="229">
        <v>4</v>
      </c>
      <c r="F392" s="232">
        <v>5</v>
      </c>
      <c r="G392" s="230"/>
      <c r="S392" s="225">
        <v>1573.153386</v>
      </c>
      <c r="T392" s="180" t="s">
        <v>8023</v>
      </c>
      <c r="Y392" s="225">
        <v>729.66</v>
      </c>
      <c r="Z392" s="180" t="s">
        <v>8023</v>
      </c>
      <c r="AA392" s="225">
        <v>70436.850000000006</v>
      </c>
      <c r="AB392" s="180" t="s">
        <v>8023</v>
      </c>
      <c r="AC392">
        <v>33.979999999999997</v>
      </c>
      <c r="AD392" s="180" t="s">
        <v>8023</v>
      </c>
      <c r="AG392" s="225">
        <v>4.82</v>
      </c>
      <c r="AH392" s="180" t="s">
        <v>8023</v>
      </c>
      <c r="AM392" s="225"/>
      <c r="BS392" s="225">
        <v>46.29</v>
      </c>
      <c r="BT392" s="180" t="s">
        <v>8023</v>
      </c>
      <c r="BU392" s="136">
        <v>21.47</v>
      </c>
      <c r="BV392" s="180" t="s">
        <v>8023</v>
      </c>
    </row>
    <row r="393" spans="1:74">
      <c r="A393" s="154" t="s">
        <v>7755</v>
      </c>
      <c r="B393" s="231" t="s">
        <v>259</v>
      </c>
      <c r="C393" s="231" t="s">
        <v>7982</v>
      </c>
      <c r="D393" s="231"/>
      <c r="E393" s="229">
        <v>4</v>
      </c>
      <c r="F393" s="232">
        <v>34</v>
      </c>
      <c r="G393" s="230"/>
      <c r="S393" s="225">
        <v>1148.455473</v>
      </c>
      <c r="T393" s="180" t="s">
        <v>8023</v>
      </c>
      <c r="Y393" s="225">
        <v>579.13</v>
      </c>
      <c r="Z393" s="180" t="s">
        <v>8023</v>
      </c>
      <c r="AA393" s="225">
        <v>57110.09</v>
      </c>
      <c r="AB393" s="180" t="s">
        <v>8023</v>
      </c>
      <c r="AC393">
        <v>25.49</v>
      </c>
      <c r="AD393" s="180" t="s">
        <v>8023</v>
      </c>
      <c r="AG393" s="225">
        <v>4.46</v>
      </c>
      <c r="AH393" s="180" t="s">
        <v>8023</v>
      </c>
      <c r="AM393" s="225"/>
      <c r="BS393" s="225">
        <v>45.06</v>
      </c>
      <c r="BT393" s="180" t="s">
        <v>8023</v>
      </c>
      <c r="BU393" s="136">
        <v>22.72</v>
      </c>
      <c r="BV393" s="180" t="s">
        <v>8023</v>
      </c>
    </row>
    <row r="394" spans="1:74">
      <c r="A394" s="154" t="s">
        <v>7872</v>
      </c>
      <c r="B394" s="231" t="s">
        <v>257</v>
      </c>
      <c r="C394" s="231" t="s">
        <v>405</v>
      </c>
      <c r="D394" s="231"/>
      <c r="E394" s="229">
        <v>8</v>
      </c>
      <c r="F394" s="232">
        <v>25</v>
      </c>
      <c r="G394" s="230"/>
      <c r="S394" s="225">
        <v>1371.2974650000001</v>
      </c>
      <c r="T394" s="180" t="s">
        <v>8023</v>
      </c>
      <c r="Y394" s="225">
        <v>612.30999999999995</v>
      </c>
      <c r="Z394" s="180" t="s">
        <v>8023</v>
      </c>
      <c r="AA394" s="225">
        <v>54967.59</v>
      </c>
      <c r="AB394" s="180" t="s">
        <v>8023</v>
      </c>
      <c r="AC394">
        <v>28.09</v>
      </c>
      <c r="AD394" s="180" t="s">
        <v>8023</v>
      </c>
      <c r="AG394" s="225">
        <v>5.1100000000000003</v>
      </c>
      <c r="AH394" s="180" t="s">
        <v>8023</v>
      </c>
      <c r="AM394" s="225"/>
      <c r="BS394" s="225">
        <v>48.81</v>
      </c>
      <c r="BT394" s="180" t="s">
        <v>8023</v>
      </c>
      <c r="BU394" s="136">
        <v>21.79</v>
      </c>
      <c r="BV394" s="180" t="s">
        <v>8023</v>
      </c>
    </row>
    <row r="395" spans="1:74">
      <c r="A395" s="154" t="s">
        <v>7872</v>
      </c>
      <c r="B395" s="231" t="s">
        <v>259</v>
      </c>
      <c r="C395" s="231" t="s">
        <v>405</v>
      </c>
      <c r="D395" s="231"/>
      <c r="E395" s="229">
        <v>11</v>
      </c>
      <c r="F395" s="232">
        <v>32</v>
      </c>
      <c r="G395" s="230"/>
      <c r="S395" s="225">
        <v>1249.3726489999999</v>
      </c>
      <c r="T395" s="180" t="s">
        <v>8023</v>
      </c>
      <c r="Y395" s="225">
        <v>603.05999999999995</v>
      </c>
      <c r="Z395" s="180" t="s">
        <v>8023</v>
      </c>
      <c r="AA395" s="225">
        <v>54243.14</v>
      </c>
      <c r="AB395" s="180" t="s">
        <v>8023</v>
      </c>
      <c r="AC395">
        <v>26.35</v>
      </c>
      <c r="AD395" s="180" t="s">
        <v>8023</v>
      </c>
      <c r="AG395" s="225">
        <v>4.8600000000000003</v>
      </c>
      <c r="AH395" s="180" t="s">
        <v>8023</v>
      </c>
      <c r="AM395" s="225"/>
      <c r="BS395" s="225">
        <v>47.42</v>
      </c>
      <c r="BT395" s="180" t="s">
        <v>8023</v>
      </c>
      <c r="BU395" s="136">
        <v>22.89</v>
      </c>
      <c r="BV395" s="180" t="s">
        <v>8023</v>
      </c>
    </row>
    <row r="396" spans="1:74">
      <c r="A396" s="154" t="s">
        <v>7872</v>
      </c>
      <c r="B396" s="231" t="s">
        <v>257</v>
      </c>
      <c r="C396" s="231" t="s">
        <v>7963</v>
      </c>
      <c r="D396" s="231"/>
      <c r="E396" s="229">
        <v>10</v>
      </c>
      <c r="F396" s="232">
        <v>62</v>
      </c>
      <c r="G396" s="230"/>
      <c r="S396" s="225">
        <v>1199.8221120000001</v>
      </c>
      <c r="T396" s="180" t="s">
        <v>8023</v>
      </c>
      <c r="Y396" s="225">
        <v>532.87</v>
      </c>
      <c r="Z396" s="180" t="s">
        <v>8023</v>
      </c>
      <c r="AA396" s="225">
        <v>48282.84</v>
      </c>
      <c r="AB396" s="180" t="s">
        <v>8023</v>
      </c>
      <c r="AC396">
        <v>24.76</v>
      </c>
      <c r="AD396" s="180" t="s">
        <v>8023</v>
      </c>
      <c r="AG396" s="225">
        <v>5.13</v>
      </c>
      <c r="AH396" s="180" t="s">
        <v>8023</v>
      </c>
      <c r="AM396" s="225"/>
      <c r="BS396" s="225">
        <v>48.46</v>
      </c>
      <c r="BT396" s="180" t="s">
        <v>8023</v>
      </c>
      <c r="BU396" s="136">
        <v>21.52</v>
      </c>
      <c r="BV396" s="180" t="s">
        <v>8023</v>
      </c>
    </row>
    <row r="397" spans="1:74">
      <c r="A397" s="154" t="s">
        <v>7872</v>
      </c>
      <c r="B397" s="231" t="s">
        <v>259</v>
      </c>
      <c r="C397" s="231" t="s">
        <v>7963</v>
      </c>
      <c r="D397" s="231"/>
      <c r="E397" s="230">
        <v>16</v>
      </c>
      <c r="F397" s="232">
        <v>60</v>
      </c>
      <c r="G397" s="230"/>
      <c r="S397" s="225">
        <v>1463.511788</v>
      </c>
      <c r="T397" s="180" t="s">
        <v>8023</v>
      </c>
      <c r="Y397" s="225">
        <v>698.75</v>
      </c>
      <c r="Z397" s="180" t="s">
        <v>8023</v>
      </c>
      <c r="AA397" s="225">
        <v>61143.22</v>
      </c>
      <c r="AB397" s="180" t="s">
        <v>8023</v>
      </c>
      <c r="AC397">
        <v>30.71</v>
      </c>
      <c r="AD397" s="180" t="s">
        <v>8023</v>
      </c>
      <c r="AG397" s="225">
        <v>5.0199999999999996</v>
      </c>
      <c r="AH397" s="180" t="s">
        <v>8023</v>
      </c>
      <c r="AM397" s="225"/>
      <c r="BS397" s="225">
        <v>47.66</v>
      </c>
      <c r="BT397" s="180" t="s">
        <v>8023</v>
      </c>
      <c r="BU397" s="136">
        <v>22.76</v>
      </c>
      <c r="BV397" s="180" t="s">
        <v>8023</v>
      </c>
    </row>
    <row r="398" spans="1:74">
      <c r="A398" s="154" t="s">
        <v>7872</v>
      </c>
      <c r="B398" s="231" t="s">
        <v>257</v>
      </c>
      <c r="C398" s="231" t="s">
        <v>7964</v>
      </c>
      <c r="D398" s="231"/>
      <c r="E398" s="229">
        <v>14</v>
      </c>
      <c r="F398" s="232">
        <v>1</v>
      </c>
      <c r="G398" s="230"/>
      <c r="S398" s="225">
        <v>1256.9895019999999</v>
      </c>
      <c r="T398" s="180" t="s">
        <v>8023</v>
      </c>
      <c r="Y398" s="225">
        <v>533.36</v>
      </c>
      <c r="Z398" s="180" t="s">
        <v>8023</v>
      </c>
      <c r="AA398" s="225">
        <v>52349.65</v>
      </c>
      <c r="AB398" s="180" t="s">
        <v>8023</v>
      </c>
      <c r="AC398">
        <v>25.62</v>
      </c>
      <c r="AD398" s="180" t="s">
        <v>8023</v>
      </c>
      <c r="AG398" s="225">
        <v>4.8899999999999997</v>
      </c>
      <c r="AH398" s="180" t="s">
        <v>8023</v>
      </c>
      <c r="AM398" s="225"/>
      <c r="BS398" s="225">
        <v>49.06</v>
      </c>
      <c r="BT398" s="180" t="s">
        <v>8023</v>
      </c>
      <c r="BU398" s="136">
        <v>20.82</v>
      </c>
      <c r="BV398" s="180" t="s">
        <v>8023</v>
      </c>
    </row>
    <row r="399" spans="1:74">
      <c r="A399" s="154" t="s">
        <v>7872</v>
      </c>
      <c r="B399" s="231" t="s">
        <v>259</v>
      </c>
      <c r="C399" s="231" t="s">
        <v>7964</v>
      </c>
      <c r="D399" s="231"/>
      <c r="E399" s="229">
        <v>17</v>
      </c>
      <c r="F399" s="232">
        <v>16</v>
      </c>
      <c r="G399" s="230"/>
      <c r="S399" s="225">
        <v>1485.1817100000001</v>
      </c>
      <c r="T399" s="180" t="s">
        <v>8023</v>
      </c>
      <c r="Y399" s="225">
        <v>719.22</v>
      </c>
      <c r="Z399" s="180" t="s">
        <v>8023</v>
      </c>
      <c r="AA399" s="225">
        <v>63188.04</v>
      </c>
      <c r="AB399" s="180" t="s">
        <v>8023</v>
      </c>
      <c r="AC399">
        <v>31.42</v>
      </c>
      <c r="AD399" s="180" t="s">
        <v>8023</v>
      </c>
      <c r="AG399" s="225">
        <v>4.97</v>
      </c>
      <c r="AH399" s="180" t="s">
        <v>8023</v>
      </c>
      <c r="AM399" s="225"/>
      <c r="BS399" s="225">
        <v>47.26</v>
      </c>
      <c r="BT399" s="180" t="s">
        <v>8023</v>
      </c>
      <c r="BU399" s="136">
        <v>22.89</v>
      </c>
      <c r="BV399" s="180" t="s">
        <v>8023</v>
      </c>
    </row>
    <row r="400" spans="1:74">
      <c r="A400" s="154" t="s">
        <v>7872</v>
      </c>
      <c r="B400" s="231" t="s">
        <v>257</v>
      </c>
      <c r="C400" s="231" t="s">
        <v>7982</v>
      </c>
      <c r="D400" s="231"/>
      <c r="E400" s="229">
        <v>3</v>
      </c>
      <c r="F400" s="232">
        <v>23</v>
      </c>
      <c r="G400" s="230"/>
      <c r="S400" s="225">
        <v>1216.3803009999999</v>
      </c>
      <c r="T400" s="180" t="s">
        <v>8023</v>
      </c>
      <c r="Y400" s="225">
        <v>565.39</v>
      </c>
      <c r="Z400" s="180" t="s">
        <v>8023</v>
      </c>
      <c r="AA400" s="225">
        <v>52267.45</v>
      </c>
      <c r="AB400" s="180" t="s">
        <v>8023</v>
      </c>
      <c r="AC400">
        <v>25.65</v>
      </c>
      <c r="AD400" s="180" t="s">
        <v>8023</v>
      </c>
      <c r="AG400" s="225">
        <v>4.91</v>
      </c>
      <c r="AH400" s="180" t="s">
        <v>8023</v>
      </c>
      <c r="AM400" s="225"/>
      <c r="BS400" s="225">
        <v>47.43</v>
      </c>
      <c r="BT400" s="180" t="s">
        <v>8023</v>
      </c>
      <c r="BU400" s="136">
        <v>22.05</v>
      </c>
      <c r="BV400" s="180" t="s">
        <v>8023</v>
      </c>
    </row>
    <row r="401" spans="1:74">
      <c r="A401" s="154" t="s">
        <v>7872</v>
      </c>
      <c r="B401" s="231" t="s">
        <v>259</v>
      </c>
      <c r="C401" s="231" t="s">
        <v>7982</v>
      </c>
      <c r="D401" s="231"/>
      <c r="E401" s="229">
        <v>1</v>
      </c>
      <c r="F401" s="232">
        <v>38</v>
      </c>
      <c r="G401" s="230"/>
      <c r="S401" s="225">
        <v>1477.5438770000001</v>
      </c>
      <c r="T401" s="180" t="s">
        <v>8023</v>
      </c>
      <c r="Y401" s="225">
        <v>725.74</v>
      </c>
      <c r="Z401" s="180" t="s">
        <v>8023</v>
      </c>
      <c r="AA401" s="225">
        <v>61534.29</v>
      </c>
      <c r="AB401" s="180" t="s">
        <v>8023</v>
      </c>
      <c r="AC401">
        <v>31.57</v>
      </c>
      <c r="AD401" s="180" t="s">
        <v>8023</v>
      </c>
      <c r="AG401" s="225">
        <v>5.13</v>
      </c>
      <c r="AH401" s="180" t="s">
        <v>8023</v>
      </c>
      <c r="AM401" s="225"/>
      <c r="BS401" s="225">
        <v>46.81</v>
      </c>
      <c r="BT401" s="180" t="s">
        <v>8023</v>
      </c>
      <c r="BU401" s="136">
        <v>22.99</v>
      </c>
      <c r="BV401" s="180" t="s">
        <v>8023</v>
      </c>
    </row>
    <row r="402" spans="1:74">
      <c r="A402" s="154" t="s">
        <v>7873</v>
      </c>
      <c r="B402" s="231" t="s">
        <v>257</v>
      </c>
      <c r="C402" s="231" t="s">
        <v>405</v>
      </c>
      <c r="D402" s="231"/>
      <c r="E402" s="230">
        <v>8</v>
      </c>
      <c r="F402" s="232">
        <v>31</v>
      </c>
      <c r="G402" s="230"/>
      <c r="S402" s="225">
        <v>1710.5753110000001</v>
      </c>
      <c r="T402" s="180" t="s">
        <v>8023</v>
      </c>
      <c r="Y402" s="225">
        <v>681.49</v>
      </c>
      <c r="Z402" s="180" t="s">
        <v>8023</v>
      </c>
      <c r="AA402" s="225">
        <v>69905.789999999994</v>
      </c>
      <c r="AB402" s="180" t="s">
        <v>8023</v>
      </c>
      <c r="AC402">
        <v>34.65</v>
      </c>
      <c r="AD402" s="180" t="s">
        <v>8023</v>
      </c>
      <c r="AG402" s="225">
        <v>4.96</v>
      </c>
      <c r="AH402" s="180" t="s">
        <v>8023</v>
      </c>
      <c r="AM402" s="225"/>
      <c r="BS402" s="225">
        <v>49.37</v>
      </c>
      <c r="BT402" s="180" t="s">
        <v>8023</v>
      </c>
      <c r="BU402" s="136">
        <v>19.670000000000002</v>
      </c>
      <c r="BV402" s="180" t="s">
        <v>8023</v>
      </c>
    </row>
    <row r="403" spans="1:74">
      <c r="A403" s="154" t="s">
        <v>7873</v>
      </c>
      <c r="B403" s="231" t="s">
        <v>259</v>
      </c>
      <c r="C403" s="231" t="s">
        <v>405</v>
      </c>
      <c r="D403" s="231"/>
      <c r="E403" s="230">
        <v>12</v>
      </c>
      <c r="F403" s="232">
        <v>28</v>
      </c>
      <c r="G403" s="230"/>
      <c r="S403" s="225">
        <v>2053.4687730000001</v>
      </c>
      <c r="T403" s="180" t="s">
        <v>8023</v>
      </c>
      <c r="Y403" s="225">
        <v>853.38</v>
      </c>
      <c r="Z403" s="180" t="s">
        <v>8023</v>
      </c>
      <c r="AA403" s="225">
        <v>82053.77</v>
      </c>
      <c r="AB403" s="180" t="s">
        <v>8023</v>
      </c>
      <c r="AC403">
        <v>41.57</v>
      </c>
      <c r="AD403" s="180" t="s">
        <v>8023</v>
      </c>
      <c r="AG403" s="225">
        <v>5.07</v>
      </c>
      <c r="AH403" s="180" t="s">
        <v>8023</v>
      </c>
      <c r="AM403" s="225"/>
      <c r="BS403" s="225">
        <v>49.4</v>
      </c>
      <c r="BT403" s="180" t="s">
        <v>8023</v>
      </c>
      <c r="BU403" s="136">
        <v>20.53</v>
      </c>
      <c r="BV403" s="180" t="s">
        <v>8023</v>
      </c>
    </row>
    <row r="404" spans="1:74">
      <c r="A404" s="154" t="s">
        <v>7873</v>
      </c>
      <c r="B404" s="231" t="s">
        <v>257</v>
      </c>
      <c r="C404" s="231" t="s">
        <v>7963</v>
      </c>
      <c r="D404" s="231"/>
      <c r="E404" s="229">
        <v>9</v>
      </c>
      <c r="F404" s="232">
        <v>43</v>
      </c>
      <c r="G404" s="230"/>
      <c r="S404" s="225">
        <v>1794.745598</v>
      </c>
      <c r="T404" s="180" t="s">
        <v>8023</v>
      </c>
      <c r="Y404" s="225">
        <v>703.93</v>
      </c>
      <c r="Z404" s="180" t="s">
        <v>8023</v>
      </c>
      <c r="AA404" s="225">
        <v>75217.990000000005</v>
      </c>
      <c r="AB404" s="180" t="s">
        <v>8023</v>
      </c>
      <c r="AC404">
        <v>36.33</v>
      </c>
      <c r="AD404" s="180" t="s">
        <v>8023</v>
      </c>
      <c r="AG404" s="225">
        <v>4.83</v>
      </c>
      <c r="AH404" s="180" t="s">
        <v>8023</v>
      </c>
      <c r="AM404" s="225"/>
      <c r="BS404" s="225">
        <v>49.4</v>
      </c>
      <c r="BT404" s="180" t="s">
        <v>8023</v>
      </c>
      <c r="BU404" s="136">
        <v>19.38</v>
      </c>
      <c r="BV404" s="180" t="s">
        <v>8023</v>
      </c>
    </row>
    <row r="405" spans="1:74">
      <c r="A405" s="154" t="s">
        <v>7873</v>
      </c>
      <c r="B405" s="231" t="s">
        <v>259</v>
      </c>
      <c r="C405" s="231" t="s">
        <v>7963</v>
      </c>
      <c r="D405" s="231"/>
      <c r="E405" s="229">
        <v>14</v>
      </c>
      <c r="F405" s="232">
        <v>49</v>
      </c>
      <c r="G405" s="230"/>
      <c r="S405" s="225">
        <v>2119.0772609999999</v>
      </c>
      <c r="T405" s="180" t="s">
        <v>8023</v>
      </c>
      <c r="Y405" s="225">
        <v>887.09</v>
      </c>
      <c r="Z405" s="180" t="s">
        <v>8023</v>
      </c>
      <c r="AA405" s="225">
        <v>83703.17</v>
      </c>
      <c r="AB405" s="180" t="s">
        <v>8023</v>
      </c>
      <c r="AC405">
        <v>43.54</v>
      </c>
      <c r="AD405" s="180" t="s">
        <v>8023</v>
      </c>
      <c r="AG405" s="225">
        <v>5.2</v>
      </c>
      <c r="AH405" s="180" t="s">
        <v>8023</v>
      </c>
      <c r="AM405" s="225"/>
      <c r="BS405" s="225">
        <v>48.66</v>
      </c>
      <c r="BT405" s="180" t="s">
        <v>8023</v>
      </c>
      <c r="BU405" s="136">
        <v>20.37</v>
      </c>
      <c r="BV405" s="180" t="s">
        <v>8023</v>
      </c>
    </row>
    <row r="406" spans="1:74">
      <c r="A406" s="154" t="s">
        <v>7873</v>
      </c>
      <c r="B406" s="231" t="s">
        <v>257</v>
      </c>
      <c r="C406" s="231" t="s">
        <v>7964</v>
      </c>
      <c r="D406" s="231"/>
      <c r="E406" s="229">
        <v>16</v>
      </c>
      <c r="F406" s="232">
        <v>17</v>
      </c>
      <c r="G406" s="230"/>
      <c r="S406" s="225">
        <v>1555.776069</v>
      </c>
      <c r="T406" s="180" t="s">
        <v>8023</v>
      </c>
      <c r="Y406" s="225">
        <v>675.54</v>
      </c>
      <c r="Z406" s="180" t="s">
        <v>8023</v>
      </c>
      <c r="AA406" s="225">
        <v>65981</v>
      </c>
      <c r="AB406" s="180" t="s">
        <v>8023</v>
      </c>
      <c r="AC406">
        <v>32.5</v>
      </c>
      <c r="AD406" s="180" t="s">
        <v>8023</v>
      </c>
      <c r="AG406" s="225">
        <v>4.93</v>
      </c>
      <c r="AH406" s="180" t="s">
        <v>8023</v>
      </c>
      <c r="AM406" s="225"/>
      <c r="BS406" s="225">
        <v>47.87</v>
      </c>
      <c r="BT406" s="180" t="s">
        <v>8023</v>
      </c>
      <c r="BU406" s="136">
        <v>20.79</v>
      </c>
      <c r="BV406" s="180" t="s">
        <v>8023</v>
      </c>
    </row>
    <row r="407" spans="1:74">
      <c r="A407" s="154" t="s">
        <v>7873</v>
      </c>
      <c r="B407" s="231" t="s">
        <v>259</v>
      </c>
      <c r="C407" s="231" t="s">
        <v>7964</v>
      </c>
      <c r="D407" s="231"/>
      <c r="E407" s="229">
        <v>18</v>
      </c>
      <c r="F407" s="232">
        <v>20</v>
      </c>
      <c r="G407" s="230"/>
      <c r="S407" s="225">
        <v>1512.850649</v>
      </c>
      <c r="T407" s="180" t="s">
        <v>8023</v>
      </c>
      <c r="Y407" s="225">
        <v>665.55</v>
      </c>
      <c r="Z407" s="180" t="s">
        <v>8023</v>
      </c>
      <c r="AA407" s="225">
        <v>65544.649999999994</v>
      </c>
      <c r="AB407" s="180" t="s">
        <v>8023</v>
      </c>
      <c r="AC407">
        <v>31.46</v>
      </c>
      <c r="AD407" s="180" t="s">
        <v>8023</v>
      </c>
      <c r="AG407" s="225">
        <v>4.8</v>
      </c>
      <c r="AH407" s="180" t="s">
        <v>8023</v>
      </c>
      <c r="AM407" s="225"/>
      <c r="BS407" s="225">
        <v>48.09</v>
      </c>
      <c r="BT407" s="180" t="s">
        <v>8023</v>
      </c>
      <c r="BU407" s="136">
        <v>21.16</v>
      </c>
      <c r="BV407" s="180" t="s">
        <v>8023</v>
      </c>
    </row>
    <row r="408" spans="1:74">
      <c r="A408" s="154" t="s">
        <v>7873</v>
      </c>
      <c r="B408" s="231" t="s">
        <v>257</v>
      </c>
      <c r="C408" s="231" t="s">
        <v>7982</v>
      </c>
      <c r="D408" s="231"/>
      <c r="E408" s="230">
        <v>3</v>
      </c>
      <c r="F408" s="232">
        <v>9</v>
      </c>
      <c r="G408" s="230"/>
      <c r="S408" s="225">
        <v>1853.1004949999999</v>
      </c>
      <c r="T408" s="180" t="s">
        <v>8023</v>
      </c>
      <c r="Y408" s="225">
        <v>742.31</v>
      </c>
      <c r="Z408" s="180" t="s">
        <v>8023</v>
      </c>
      <c r="AA408" s="225">
        <v>76723.600000000006</v>
      </c>
      <c r="AB408" s="180" t="s">
        <v>8023</v>
      </c>
      <c r="AC408">
        <v>37.56</v>
      </c>
      <c r="AD408" s="180" t="s">
        <v>8023</v>
      </c>
      <c r="AG408" s="225">
        <v>4.9000000000000004</v>
      </c>
      <c r="AH408" s="180" t="s">
        <v>8023</v>
      </c>
      <c r="AM408" s="225"/>
      <c r="BS408" s="225">
        <v>49.34</v>
      </c>
      <c r="BT408" s="180" t="s">
        <v>8023</v>
      </c>
      <c r="BU408" s="136">
        <v>19.760000000000002</v>
      </c>
      <c r="BV408" s="180" t="s">
        <v>8023</v>
      </c>
    </row>
    <row r="409" spans="1:74">
      <c r="A409" s="154" t="s">
        <v>7873</v>
      </c>
      <c r="B409" s="231" t="s">
        <v>259</v>
      </c>
      <c r="C409" s="231" t="s">
        <v>7982</v>
      </c>
      <c r="D409" s="231"/>
      <c r="E409" s="230">
        <v>3</v>
      </c>
      <c r="F409" s="232">
        <v>41</v>
      </c>
      <c r="G409" s="230"/>
      <c r="S409" s="225">
        <v>1417.466191</v>
      </c>
      <c r="T409" s="180" t="s">
        <v>8023</v>
      </c>
      <c r="Y409" s="225">
        <v>641.48</v>
      </c>
      <c r="Z409" s="180" t="s">
        <v>8023</v>
      </c>
      <c r="AA409" s="225">
        <v>58799.17</v>
      </c>
      <c r="AB409" s="180" t="s">
        <v>8023</v>
      </c>
      <c r="AC409">
        <v>30.04</v>
      </c>
      <c r="AD409" s="180" t="s">
        <v>8023</v>
      </c>
      <c r="AG409" s="225">
        <v>5.1100000000000003</v>
      </c>
      <c r="AH409" s="180" t="s">
        <v>8023</v>
      </c>
      <c r="AM409" s="225"/>
      <c r="BS409" s="225">
        <v>47.18</v>
      </c>
      <c r="BT409" s="180" t="s">
        <v>8023</v>
      </c>
      <c r="BU409" s="136">
        <v>21.35</v>
      </c>
      <c r="BV409" s="180" t="s">
        <v>8023</v>
      </c>
    </row>
    <row r="410" spans="1:74">
      <c r="A410" s="154" t="s">
        <v>7756</v>
      </c>
      <c r="B410" s="231" t="s">
        <v>257</v>
      </c>
      <c r="C410" s="231" t="s">
        <v>405</v>
      </c>
      <c r="D410" s="231"/>
      <c r="E410" s="229">
        <v>8</v>
      </c>
      <c r="F410" s="232">
        <v>1</v>
      </c>
      <c r="G410" s="230"/>
      <c r="S410" s="225">
        <v>1050.338176</v>
      </c>
      <c r="T410" s="180" t="s">
        <v>8023</v>
      </c>
      <c r="Y410" s="225">
        <v>513.77</v>
      </c>
      <c r="Z410" s="180" t="s">
        <v>8023</v>
      </c>
      <c r="AA410" s="225">
        <v>46006.67</v>
      </c>
      <c r="AB410" s="180" t="s">
        <v>8023</v>
      </c>
      <c r="AC410">
        <v>22.75</v>
      </c>
      <c r="AD410" s="180" t="s">
        <v>8023</v>
      </c>
      <c r="AG410" s="225">
        <v>4.9400000000000004</v>
      </c>
      <c r="AH410" s="180" t="s">
        <v>8023</v>
      </c>
      <c r="AM410" s="225"/>
      <c r="BS410" s="225">
        <v>46.17</v>
      </c>
      <c r="BT410" s="180" t="s">
        <v>8023</v>
      </c>
      <c r="BU410" s="136">
        <v>22.58</v>
      </c>
      <c r="BV410" s="180" t="s">
        <v>8023</v>
      </c>
    </row>
    <row r="411" spans="1:74">
      <c r="A411" s="154" t="s">
        <v>7756</v>
      </c>
      <c r="B411" s="231" t="s">
        <v>259</v>
      </c>
      <c r="C411" s="231" t="s">
        <v>405</v>
      </c>
      <c r="D411" s="231"/>
      <c r="E411" s="229">
        <v>9</v>
      </c>
      <c r="F411" s="232">
        <v>32</v>
      </c>
      <c r="G411" s="230"/>
      <c r="S411" s="225">
        <v>1438.445103</v>
      </c>
      <c r="T411" s="180" t="s">
        <v>8023</v>
      </c>
      <c r="Y411" s="225">
        <v>707.91</v>
      </c>
      <c r="Z411" s="180" t="s">
        <v>8023</v>
      </c>
      <c r="AA411" s="225">
        <v>66149.3</v>
      </c>
      <c r="AB411" s="180" t="s">
        <v>8023</v>
      </c>
      <c r="AC411">
        <v>30.96</v>
      </c>
      <c r="AD411" s="180" t="s">
        <v>8023</v>
      </c>
      <c r="AG411" s="225">
        <v>4.68</v>
      </c>
      <c r="AH411" s="180" t="s">
        <v>8023</v>
      </c>
      <c r="AM411" s="225"/>
      <c r="BS411" s="225">
        <v>46.46</v>
      </c>
      <c r="BT411" s="180" t="s">
        <v>8023</v>
      </c>
      <c r="BU411" s="136">
        <v>22.86</v>
      </c>
      <c r="BV411" s="180" t="s">
        <v>8023</v>
      </c>
    </row>
    <row r="412" spans="1:74">
      <c r="A412" s="154" t="s">
        <v>7756</v>
      </c>
      <c r="B412" s="231" t="s">
        <v>257</v>
      </c>
      <c r="C412" s="231" t="s">
        <v>7963</v>
      </c>
      <c r="D412" s="231"/>
      <c r="E412" s="229">
        <v>10</v>
      </c>
      <c r="F412" s="232">
        <v>47</v>
      </c>
      <c r="G412" s="230"/>
      <c r="S412" s="225">
        <v>1263.462599</v>
      </c>
      <c r="T412" s="180" t="s">
        <v>8023</v>
      </c>
      <c r="Y412" s="225">
        <v>584.54999999999995</v>
      </c>
      <c r="Z412" s="180" t="s">
        <v>8023</v>
      </c>
      <c r="AA412" s="225">
        <v>52823.8</v>
      </c>
      <c r="AB412" s="180" t="s">
        <v>8023</v>
      </c>
      <c r="AC412">
        <v>26.88</v>
      </c>
      <c r="AD412" s="180" t="s">
        <v>8023</v>
      </c>
      <c r="AG412" s="225">
        <v>5.09</v>
      </c>
      <c r="AH412" s="180" t="s">
        <v>8023</v>
      </c>
      <c r="AM412" s="225"/>
      <c r="BS412" s="225">
        <v>47</v>
      </c>
      <c r="BT412" s="180" t="s">
        <v>8023</v>
      </c>
      <c r="BU412" s="136">
        <v>21.75</v>
      </c>
      <c r="BV412" s="180" t="s">
        <v>8023</v>
      </c>
    </row>
    <row r="413" spans="1:74">
      <c r="A413" s="154" t="s">
        <v>7756</v>
      </c>
      <c r="B413" s="231" t="s">
        <v>259</v>
      </c>
      <c r="C413" s="231" t="s">
        <v>7963</v>
      </c>
      <c r="D413" s="231"/>
      <c r="E413" s="229">
        <v>15</v>
      </c>
      <c r="F413" s="232">
        <v>50</v>
      </c>
      <c r="G413" s="230"/>
      <c r="S413" s="225">
        <v>1174.2932679999999</v>
      </c>
      <c r="T413" s="180" t="s">
        <v>8023</v>
      </c>
      <c r="Y413" s="225">
        <v>600.58000000000004</v>
      </c>
      <c r="Z413" s="180" t="s">
        <v>8023</v>
      </c>
      <c r="AA413" s="225">
        <v>59779.83</v>
      </c>
      <c r="AB413" s="180" t="s">
        <v>8023</v>
      </c>
      <c r="AC413">
        <v>25.78</v>
      </c>
      <c r="AD413" s="180" t="s">
        <v>8023</v>
      </c>
      <c r="AG413" s="225">
        <v>4.3099999999999996</v>
      </c>
      <c r="AH413" s="180" t="s">
        <v>8023</v>
      </c>
      <c r="AM413" s="225"/>
      <c r="BS413" s="225">
        <v>45.55</v>
      </c>
      <c r="BT413" s="180" t="s">
        <v>8023</v>
      </c>
      <c r="BU413" s="136">
        <v>23.3</v>
      </c>
      <c r="BV413" s="180" t="s">
        <v>8023</v>
      </c>
    </row>
    <row r="414" spans="1:74">
      <c r="A414" s="154" t="s">
        <v>7756</v>
      </c>
      <c r="B414" s="231" t="s">
        <v>257</v>
      </c>
      <c r="C414" s="231" t="s">
        <v>7964</v>
      </c>
      <c r="D414" s="231"/>
      <c r="E414" s="230">
        <v>15</v>
      </c>
      <c r="F414" s="232">
        <v>6</v>
      </c>
      <c r="G414" s="230"/>
      <c r="S414" s="225">
        <v>1187.388187</v>
      </c>
      <c r="T414" s="180" t="s">
        <v>8023</v>
      </c>
      <c r="Y414" s="225">
        <v>577.30999999999995</v>
      </c>
      <c r="Z414" s="180" t="s">
        <v>8023</v>
      </c>
      <c r="AA414" s="225">
        <v>55675.73</v>
      </c>
      <c r="AB414" s="180" t="s">
        <v>8023</v>
      </c>
      <c r="AC414">
        <v>25.99</v>
      </c>
      <c r="AD414" s="180" t="s">
        <v>8023</v>
      </c>
      <c r="AG414" s="225">
        <v>4.67</v>
      </c>
      <c r="AH414" s="180" t="s">
        <v>8023</v>
      </c>
      <c r="AM414" s="225"/>
      <c r="BS414" s="225">
        <v>45.68</v>
      </c>
      <c r="BT414" s="180" t="s">
        <v>8023</v>
      </c>
      <c r="BU414" s="136">
        <v>22.21</v>
      </c>
      <c r="BV414" s="180" t="s">
        <v>8023</v>
      </c>
    </row>
    <row r="415" spans="1:74">
      <c r="A415" s="154" t="s">
        <v>7756</v>
      </c>
      <c r="B415" s="231" t="s">
        <v>259</v>
      </c>
      <c r="C415" s="231" t="s">
        <v>7964</v>
      </c>
      <c r="D415" s="231"/>
      <c r="E415" s="230">
        <v>19</v>
      </c>
      <c r="F415" s="232">
        <v>18</v>
      </c>
      <c r="G415" s="230"/>
      <c r="S415" s="225">
        <v>1197.0884940000001</v>
      </c>
      <c r="T415" s="180" t="s">
        <v>8023</v>
      </c>
      <c r="Y415" s="225">
        <v>622.20000000000005</v>
      </c>
      <c r="Z415" s="180" t="s">
        <v>8023</v>
      </c>
      <c r="AA415" s="225">
        <v>59211.3</v>
      </c>
      <c r="AB415" s="180" t="s">
        <v>8023</v>
      </c>
      <c r="AC415">
        <v>26.43</v>
      </c>
      <c r="AD415" s="180" t="s">
        <v>8023</v>
      </c>
      <c r="AG415" s="225">
        <v>4.46</v>
      </c>
      <c r="AH415" s="180" t="s">
        <v>8023</v>
      </c>
      <c r="AM415" s="225"/>
      <c r="BS415" s="225">
        <v>45.3</v>
      </c>
      <c r="BT415" s="180" t="s">
        <v>8023</v>
      </c>
      <c r="BU415" s="136">
        <v>23.55</v>
      </c>
      <c r="BV415" s="180" t="s">
        <v>8023</v>
      </c>
    </row>
    <row r="416" spans="1:74">
      <c r="A416" s="154" t="s">
        <v>7756</v>
      </c>
      <c r="B416" s="231" t="s">
        <v>257</v>
      </c>
      <c r="C416" s="231" t="s">
        <v>7982</v>
      </c>
      <c r="D416" s="231"/>
      <c r="E416" s="229">
        <v>3</v>
      </c>
      <c r="F416" s="232">
        <v>4</v>
      </c>
      <c r="G416" s="230"/>
      <c r="S416" s="225">
        <v>1112.415127</v>
      </c>
      <c r="T416" s="180" t="s">
        <v>8023</v>
      </c>
      <c r="Y416" s="225">
        <v>518.36</v>
      </c>
      <c r="Z416" s="180" t="s">
        <v>8023</v>
      </c>
      <c r="AA416" s="225">
        <v>50071.31</v>
      </c>
      <c r="AB416" s="180" t="s">
        <v>8023</v>
      </c>
      <c r="AC416">
        <v>23.74</v>
      </c>
      <c r="AD416" s="180" t="s">
        <v>8023</v>
      </c>
      <c r="AG416" s="225">
        <v>4.74</v>
      </c>
      <c r="AH416" s="180" t="s">
        <v>8023</v>
      </c>
      <c r="AM416" s="225"/>
      <c r="BS416" s="225">
        <v>46.85</v>
      </c>
      <c r="BT416" s="180" t="s">
        <v>8023</v>
      </c>
      <c r="BU416" s="136">
        <v>21.83</v>
      </c>
      <c r="BV416" s="180" t="s">
        <v>8023</v>
      </c>
    </row>
    <row r="417" spans="1:74">
      <c r="A417" s="154" t="s">
        <v>7756</v>
      </c>
      <c r="B417" s="231" t="s">
        <v>259</v>
      </c>
      <c r="C417" s="231" t="s">
        <v>7982</v>
      </c>
      <c r="D417" s="231"/>
      <c r="E417" s="229">
        <v>4</v>
      </c>
      <c r="F417" s="232">
        <v>45</v>
      </c>
      <c r="G417" s="230"/>
      <c r="S417" s="225">
        <v>1158.761246</v>
      </c>
      <c r="T417" s="180" t="s">
        <v>8023</v>
      </c>
      <c r="Y417" s="225">
        <v>640.13</v>
      </c>
      <c r="Z417" s="180" t="s">
        <v>8023</v>
      </c>
      <c r="AA417" s="225">
        <v>56772.52</v>
      </c>
      <c r="AB417" s="180" t="s">
        <v>8023</v>
      </c>
      <c r="AC417">
        <v>26.5</v>
      </c>
      <c r="AD417" s="180" t="s">
        <v>8023</v>
      </c>
      <c r="AG417" s="225">
        <v>4.67</v>
      </c>
      <c r="AH417" s="180" t="s">
        <v>8023</v>
      </c>
      <c r="AM417" s="225"/>
      <c r="BS417" s="225">
        <v>43.72</v>
      </c>
      <c r="BT417" s="180" t="s">
        <v>8023</v>
      </c>
      <c r="BU417" s="136">
        <v>24.15</v>
      </c>
      <c r="BV417" s="180" t="s">
        <v>8023</v>
      </c>
    </row>
    <row r="418" spans="1:74">
      <c r="A418" s="154" t="s">
        <v>7757</v>
      </c>
      <c r="B418" s="231" t="s">
        <v>257</v>
      </c>
      <c r="C418" s="231" t="s">
        <v>405</v>
      </c>
      <c r="D418" s="231"/>
      <c r="E418" s="229">
        <v>8</v>
      </c>
      <c r="F418" s="232">
        <v>14</v>
      </c>
      <c r="G418" s="230"/>
      <c r="S418" s="225">
        <v>1376.0178510000001</v>
      </c>
      <c r="T418" s="180" t="s">
        <v>8023</v>
      </c>
      <c r="Y418" s="225">
        <v>587.45000000000005</v>
      </c>
      <c r="Z418" s="180" t="s">
        <v>8023</v>
      </c>
      <c r="AA418" s="225">
        <v>54685.48</v>
      </c>
      <c r="AB418" s="180" t="s">
        <v>8023</v>
      </c>
      <c r="AC418">
        <v>28.39</v>
      </c>
      <c r="AD418" s="180" t="s">
        <v>8023</v>
      </c>
      <c r="AG418" s="225">
        <v>5.19</v>
      </c>
      <c r="AH418" s="180" t="s">
        <v>8023</v>
      </c>
      <c r="AM418" s="225"/>
      <c r="BS418" s="225">
        <v>48.47</v>
      </c>
      <c r="BT418" s="180" t="s">
        <v>8023</v>
      </c>
      <c r="BU418" s="136">
        <v>20.69</v>
      </c>
      <c r="BV418" s="180" t="s">
        <v>8023</v>
      </c>
    </row>
    <row r="419" spans="1:74">
      <c r="A419" s="154" t="s">
        <v>7757</v>
      </c>
      <c r="B419" s="231" t="s">
        <v>259</v>
      </c>
      <c r="C419" s="231" t="s">
        <v>405</v>
      </c>
      <c r="D419" s="231"/>
      <c r="E419" s="229">
        <v>11</v>
      </c>
      <c r="F419" s="232">
        <v>24</v>
      </c>
      <c r="G419" s="230"/>
      <c r="S419" s="225">
        <v>1573.5374529999999</v>
      </c>
      <c r="T419" s="180" t="s">
        <v>8023</v>
      </c>
      <c r="Y419" s="225">
        <v>719.12</v>
      </c>
      <c r="Z419" s="180" t="s">
        <v>8023</v>
      </c>
      <c r="AA419" s="225">
        <v>60988.43</v>
      </c>
      <c r="AB419" s="180" t="s">
        <v>8023</v>
      </c>
      <c r="AC419">
        <v>32.700000000000003</v>
      </c>
      <c r="AD419" s="180" t="s">
        <v>8023</v>
      </c>
      <c r="AG419" s="225">
        <v>5.36</v>
      </c>
      <c r="AH419" s="180" t="s">
        <v>8023</v>
      </c>
      <c r="AM419" s="225"/>
      <c r="BS419" s="225">
        <v>48.12</v>
      </c>
      <c r="BT419" s="180" t="s">
        <v>8023</v>
      </c>
      <c r="BU419" s="136">
        <v>21.99</v>
      </c>
      <c r="BV419" s="180" t="s">
        <v>8023</v>
      </c>
    </row>
    <row r="420" spans="1:74">
      <c r="A420" s="154" t="s">
        <v>7757</v>
      </c>
      <c r="B420" s="231" t="s">
        <v>257</v>
      </c>
      <c r="C420" s="231" t="s">
        <v>7963</v>
      </c>
      <c r="D420" s="231"/>
      <c r="E420" s="229">
        <v>11</v>
      </c>
      <c r="F420" s="232">
        <v>44</v>
      </c>
      <c r="G420" s="230"/>
      <c r="S420" s="225">
        <v>1377.8420940000001</v>
      </c>
      <c r="T420" s="180" t="s">
        <v>8023</v>
      </c>
      <c r="Y420" s="225">
        <v>597.41999999999996</v>
      </c>
      <c r="Z420" s="180" t="s">
        <v>8023</v>
      </c>
      <c r="AA420" s="225">
        <v>55646.82</v>
      </c>
      <c r="AB420" s="180" t="s">
        <v>8023</v>
      </c>
      <c r="AC420">
        <v>28.16</v>
      </c>
      <c r="AD420" s="180" t="s">
        <v>8023</v>
      </c>
      <c r="AG420" s="225">
        <v>5.0599999999999996</v>
      </c>
      <c r="AH420" s="180" t="s">
        <v>8023</v>
      </c>
      <c r="AM420" s="225"/>
      <c r="BS420" s="225">
        <v>48.93</v>
      </c>
      <c r="BT420" s="180" t="s">
        <v>8023</v>
      </c>
      <c r="BU420" s="136">
        <v>21.21</v>
      </c>
      <c r="BV420" s="180" t="s">
        <v>8023</v>
      </c>
    </row>
    <row r="421" spans="1:74">
      <c r="A421" s="154" t="s">
        <v>7757</v>
      </c>
      <c r="B421" s="231" t="s">
        <v>259</v>
      </c>
      <c r="C421" s="231" t="s">
        <v>7963</v>
      </c>
      <c r="D421" s="231"/>
      <c r="E421" s="230">
        <v>16</v>
      </c>
      <c r="F421" s="232">
        <v>37</v>
      </c>
      <c r="G421" s="230"/>
      <c r="S421" s="225">
        <v>1355.2355379999999</v>
      </c>
      <c r="T421" s="180" t="s">
        <v>8023</v>
      </c>
      <c r="Y421" s="225">
        <v>613.41</v>
      </c>
      <c r="Z421" s="180" t="s">
        <v>8023</v>
      </c>
      <c r="AA421" s="225">
        <v>51216.54</v>
      </c>
      <c r="AB421" s="180" t="s">
        <v>8023</v>
      </c>
      <c r="AC421">
        <v>28.29</v>
      </c>
      <c r="AD421" s="180" t="s">
        <v>8023</v>
      </c>
      <c r="AG421" s="225">
        <v>5.52</v>
      </c>
      <c r="AH421" s="180" t="s">
        <v>8023</v>
      </c>
      <c r="AM421" s="225"/>
      <c r="BS421" s="225">
        <v>47.9</v>
      </c>
      <c r="BT421" s="180" t="s">
        <v>8023</v>
      </c>
      <c r="BU421" s="136">
        <v>21.68</v>
      </c>
      <c r="BV421" s="180" t="s">
        <v>8023</v>
      </c>
    </row>
    <row r="422" spans="1:74">
      <c r="A422" s="154" t="s">
        <v>7757</v>
      </c>
      <c r="B422" s="231" t="s">
        <v>257</v>
      </c>
      <c r="C422" s="231" t="s">
        <v>7964</v>
      </c>
      <c r="D422" s="231"/>
      <c r="E422" s="229">
        <v>15</v>
      </c>
      <c r="F422" s="232">
        <v>9</v>
      </c>
      <c r="G422" s="230"/>
      <c r="S422" s="225">
        <v>1343.786112</v>
      </c>
      <c r="T422" s="180" t="s">
        <v>8023</v>
      </c>
      <c r="Y422" s="225">
        <v>593.88</v>
      </c>
      <c r="Z422" s="180" t="s">
        <v>8023</v>
      </c>
      <c r="AA422" s="225">
        <v>56842.73</v>
      </c>
      <c r="AB422" s="180" t="s">
        <v>8023</v>
      </c>
      <c r="AC422">
        <v>28.15</v>
      </c>
      <c r="AD422" s="180" t="s">
        <v>8023</v>
      </c>
      <c r="AG422" s="225">
        <v>4.95</v>
      </c>
      <c r="AH422" s="180" t="s">
        <v>8023</v>
      </c>
      <c r="AM422" s="225"/>
      <c r="BS422" s="225">
        <v>47.74</v>
      </c>
      <c r="BT422" s="180" t="s">
        <v>8023</v>
      </c>
      <c r="BU422" s="136">
        <v>21.1</v>
      </c>
      <c r="BV422" s="180" t="s">
        <v>8023</v>
      </c>
    </row>
    <row r="423" spans="1:74">
      <c r="A423" s="154" t="s">
        <v>7757</v>
      </c>
      <c r="B423" s="231" t="s">
        <v>259</v>
      </c>
      <c r="C423" s="231" t="s">
        <v>7964</v>
      </c>
      <c r="D423" s="231"/>
      <c r="E423" s="229">
        <v>21</v>
      </c>
      <c r="F423" s="232">
        <v>3</v>
      </c>
      <c r="G423" s="230"/>
      <c r="S423" s="225">
        <v>1329.169901</v>
      </c>
      <c r="T423" s="180" t="s">
        <v>8023</v>
      </c>
      <c r="Y423" s="225">
        <v>639.82000000000005</v>
      </c>
      <c r="Z423" s="180" t="s">
        <v>8023</v>
      </c>
      <c r="AA423" s="225">
        <v>56520.800000000003</v>
      </c>
      <c r="AB423" s="180" t="s">
        <v>8023</v>
      </c>
      <c r="AC423">
        <v>28.29</v>
      </c>
      <c r="AD423" s="180" t="s">
        <v>8023</v>
      </c>
      <c r="AG423" s="225">
        <v>5.01</v>
      </c>
      <c r="AH423" s="180" t="s">
        <v>8023</v>
      </c>
      <c r="AM423" s="225"/>
      <c r="BS423" s="225">
        <v>46.98</v>
      </c>
      <c r="BT423" s="180" t="s">
        <v>8023</v>
      </c>
      <c r="BU423" s="136">
        <v>22.62</v>
      </c>
      <c r="BV423" s="180" t="s">
        <v>8023</v>
      </c>
    </row>
    <row r="424" spans="1:74">
      <c r="A424" s="154" t="s">
        <v>7757</v>
      </c>
      <c r="B424" s="231" t="s">
        <v>257</v>
      </c>
      <c r="C424" s="231" t="s">
        <v>7982</v>
      </c>
      <c r="D424" s="231"/>
      <c r="E424" s="229">
        <v>2</v>
      </c>
      <c r="F424" s="232">
        <v>15</v>
      </c>
      <c r="G424" s="230"/>
      <c r="S424" s="225">
        <v>1375.3471300000001</v>
      </c>
      <c r="T424" s="180" t="s">
        <v>8023</v>
      </c>
      <c r="Y424" s="225">
        <v>636.82000000000005</v>
      </c>
      <c r="Z424" s="180" t="s">
        <v>8023</v>
      </c>
      <c r="AA424" s="225">
        <v>60777.2</v>
      </c>
      <c r="AB424" s="180" t="s">
        <v>8023</v>
      </c>
      <c r="AC424">
        <v>29.28</v>
      </c>
      <c r="AD424" s="180" t="s">
        <v>8023</v>
      </c>
      <c r="AG424" s="225">
        <v>4.82</v>
      </c>
      <c r="AH424" s="180" t="s">
        <v>8023</v>
      </c>
      <c r="AM424" s="225"/>
      <c r="BS424" s="225">
        <v>46.97</v>
      </c>
      <c r="BT424" s="180" t="s">
        <v>8023</v>
      </c>
      <c r="BU424" s="136">
        <v>21.75</v>
      </c>
      <c r="BV424" s="180" t="s">
        <v>8023</v>
      </c>
    </row>
    <row r="425" spans="1:74">
      <c r="A425" s="154" t="s">
        <v>7757</v>
      </c>
      <c r="B425" s="231" t="s">
        <v>259</v>
      </c>
      <c r="C425" s="231" t="s">
        <v>7982</v>
      </c>
      <c r="D425" s="231"/>
      <c r="E425" s="229">
        <v>2</v>
      </c>
      <c r="F425" s="232">
        <v>59</v>
      </c>
      <c r="G425" s="230"/>
      <c r="S425" s="225">
        <v>1245.437052</v>
      </c>
      <c r="T425" s="180" t="s">
        <v>8023</v>
      </c>
      <c r="Y425" s="225">
        <v>604.65</v>
      </c>
      <c r="Z425" s="180" t="s">
        <v>8023</v>
      </c>
      <c r="AA425" s="225">
        <v>54275.15</v>
      </c>
      <c r="AB425" s="180" t="s">
        <v>8023</v>
      </c>
      <c r="AC425">
        <v>26.52</v>
      </c>
      <c r="AD425" s="180" t="s">
        <v>8023</v>
      </c>
      <c r="AG425" s="225">
        <v>4.8899999999999997</v>
      </c>
      <c r="AH425" s="180" t="s">
        <v>8023</v>
      </c>
      <c r="AM425" s="225"/>
      <c r="BS425" s="225">
        <v>46.97</v>
      </c>
      <c r="BT425" s="180" t="s">
        <v>8023</v>
      </c>
      <c r="BU425" s="136">
        <v>22.8</v>
      </c>
      <c r="BV425" s="180" t="s">
        <v>8023</v>
      </c>
    </row>
    <row r="426" spans="1:74">
      <c r="A426" s="154" t="s">
        <v>7874</v>
      </c>
      <c r="B426" s="231" t="s">
        <v>257</v>
      </c>
      <c r="C426" s="231" t="s">
        <v>405</v>
      </c>
      <c r="D426" s="231"/>
      <c r="E426" s="230">
        <v>7</v>
      </c>
      <c r="F426" s="232">
        <v>26</v>
      </c>
      <c r="G426" s="230"/>
      <c r="S426" s="225">
        <v>1569.141799</v>
      </c>
      <c r="T426" s="180" t="s">
        <v>8023</v>
      </c>
      <c r="Y426" s="225">
        <v>704.32</v>
      </c>
      <c r="Z426" s="180" t="s">
        <v>8023</v>
      </c>
      <c r="AA426" s="225">
        <v>63850.400000000001</v>
      </c>
      <c r="AB426" s="180" t="s">
        <v>8023</v>
      </c>
      <c r="AC426">
        <v>33.01</v>
      </c>
      <c r="AD426" s="180" t="s">
        <v>8023</v>
      </c>
      <c r="AG426" s="225">
        <v>5.17</v>
      </c>
      <c r="AH426" s="180" t="s">
        <v>8023</v>
      </c>
      <c r="AM426" s="225"/>
      <c r="BS426" s="225">
        <v>47.53</v>
      </c>
      <c r="BT426" s="180" t="s">
        <v>8023</v>
      </c>
      <c r="BU426" s="136">
        <v>21.34</v>
      </c>
      <c r="BV426" s="180" t="s">
        <v>8023</v>
      </c>
    </row>
    <row r="427" spans="1:74">
      <c r="A427" s="154" t="s">
        <v>7874</v>
      </c>
      <c r="B427" s="231" t="s">
        <v>259</v>
      </c>
      <c r="C427" s="231" t="s">
        <v>405</v>
      </c>
      <c r="D427" s="231"/>
      <c r="E427" s="230">
        <v>12</v>
      </c>
      <c r="F427" s="232">
        <v>24</v>
      </c>
      <c r="G427" s="230"/>
      <c r="S427" s="225">
        <v>1379.5393120000001</v>
      </c>
      <c r="T427" s="180" t="s">
        <v>8023</v>
      </c>
      <c r="Y427" s="225">
        <v>686.99</v>
      </c>
      <c r="Z427" s="180" t="s">
        <v>8023</v>
      </c>
      <c r="AA427" s="225">
        <v>58825.2</v>
      </c>
      <c r="AB427" s="180" t="s">
        <v>8023</v>
      </c>
      <c r="AC427">
        <v>30.06</v>
      </c>
      <c r="AD427" s="180" t="s">
        <v>8023</v>
      </c>
      <c r="AG427" s="225">
        <v>5.1100000000000003</v>
      </c>
      <c r="AH427" s="180" t="s">
        <v>8023</v>
      </c>
      <c r="AM427" s="225"/>
      <c r="BS427" s="225">
        <v>45.89</v>
      </c>
      <c r="BT427" s="180" t="s">
        <v>8023</v>
      </c>
      <c r="BU427" s="136">
        <v>22.85</v>
      </c>
      <c r="BV427" s="180" t="s">
        <v>8023</v>
      </c>
    </row>
    <row r="428" spans="1:74">
      <c r="A428" s="154" t="s">
        <v>7874</v>
      </c>
      <c r="B428" s="231" t="s">
        <v>257</v>
      </c>
      <c r="C428" s="231" t="s">
        <v>7963</v>
      </c>
      <c r="D428" s="231"/>
      <c r="E428" s="229">
        <v>10</v>
      </c>
      <c r="F428" s="232">
        <v>53</v>
      </c>
      <c r="G428" s="230"/>
      <c r="S428" s="225">
        <v>1417.589048</v>
      </c>
      <c r="T428" s="180" t="s">
        <v>8023</v>
      </c>
      <c r="Y428" s="225">
        <v>628.35</v>
      </c>
      <c r="Z428" s="180" t="s">
        <v>8023</v>
      </c>
      <c r="AA428" s="225">
        <v>58496.05</v>
      </c>
      <c r="AB428" s="180" t="s">
        <v>8023</v>
      </c>
      <c r="AC428">
        <v>30.11</v>
      </c>
      <c r="AD428" s="180" t="s">
        <v>8023</v>
      </c>
      <c r="AG428" s="225">
        <v>5.15</v>
      </c>
      <c r="AH428" s="180" t="s">
        <v>8023</v>
      </c>
      <c r="AM428" s="225"/>
      <c r="BS428" s="225">
        <v>47.08</v>
      </c>
      <c r="BT428" s="180" t="s">
        <v>8023</v>
      </c>
      <c r="BU428" s="136">
        <v>20.87</v>
      </c>
      <c r="BV428" s="180" t="s">
        <v>8023</v>
      </c>
    </row>
    <row r="429" spans="1:74">
      <c r="A429" s="154" t="s">
        <v>7874</v>
      </c>
      <c r="B429" s="231" t="s">
        <v>259</v>
      </c>
      <c r="C429" s="231" t="s">
        <v>7963</v>
      </c>
      <c r="D429" s="231"/>
      <c r="E429" s="229">
        <v>14</v>
      </c>
      <c r="F429" s="232">
        <v>33</v>
      </c>
      <c r="G429" s="230"/>
      <c r="S429" s="225">
        <v>1521.1017119999999</v>
      </c>
      <c r="T429" s="180" t="s">
        <v>8023</v>
      </c>
      <c r="Y429" s="225">
        <v>681.91</v>
      </c>
      <c r="Z429" s="180" t="s">
        <v>8023</v>
      </c>
      <c r="AA429" s="225">
        <v>64340.33</v>
      </c>
      <c r="AB429" s="180" t="s">
        <v>8023</v>
      </c>
      <c r="AC429">
        <v>32.03</v>
      </c>
      <c r="AD429" s="180" t="s">
        <v>8023</v>
      </c>
      <c r="AG429" s="225">
        <v>4.9800000000000004</v>
      </c>
      <c r="AH429" s="180" t="s">
        <v>8023</v>
      </c>
      <c r="AM429" s="225"/>
      <c r="BS429" s="225">
        <v>47.49</v>
      </c>
      <c r="BT429" s="180" t="s">
        <v>8023</v>
      </c>
      <c r="BU429" s="136">
        <v>21.29</v>
      </c>
      <c r="BV429" s="180" t="s">
        <v>8023</v>
      </c>
    </row>
    <row r="430" spans="1:74">
      <c r="A430" s="154" t="s">
        <v>7874</v>
      </c>
      <c r="B430" s="231" t="s">
        <v>257</v>
      </c>
      <c r="C430" s="231" t="s">
        <v>7964</v>
      </c>
      <c r="D430" s="231"/>
      <c r="E430" s="229">
        <v>15</v>
      </c>
      <c r="F430" s="232">
        <v>2</v>
      </c>
      <c r="G430" s="230"/>
      <c r="S430" s="225">
        <v>1429.564887</v>
      </c>
      <c r="T430" s="180" t="s">
        <v>8023</v>
      </c>
      <c r="Y430" s="225">
        <v>671.51</v>
      </c>
      <c r="Z430" s="180" t="s">
        <v>8023</v>
      </c>
      <c r="AA430" s="225">
        <v>61696.66</v>
      </c>
      <c r="AB430" s="180" t="s">
        <v>8023</v>
      </c>
      <c r="AC430">
        <v>30.92</v>
      </c>
      <c r="AD430" s="180" t="s">
        <v>8023</v>
      </c>
      <c r="AG430" s="225">
        <v>5.01</v>
      </c>
      <c r="AH430" s="180" t="s">
        <v>8023</v>
      </c>
      <c r="AM430" s="225"/>
      <c r="BS430" s="225">
        <v>46.24</v>
      </c>
      <c r="BT430" s="180" t="s">
        <v>8023</v>
      </c>
      <c r="BU430" s="136">
        <v>21.72</v>
      </c>
      <c r="BV430" s="180" t="s">
        <v>8023</v>
      </c>
    </row>
    <row r="431" spans="1:74">
      <c r="A431" s="154" t="s">
        <v>7874</v>
      </c>
      <c r="B431" s="231" t="s">
        <v>259</v>
      </c>
      <c r="C431" s="231" t="s">
        <v>7964</v>
      </c>
      <c r="D431" s="231"/>
      <c r="E431" s="229">
        <v>18</v>
      </c>
      <c r="F431" s="232">
        <v>21</v>
      </c>
      <c r="G431" s="230"/>
      <c r="S431" s="225">
        <v>1338.824269</v>
      </c>
      <c r="T431" s="180" t="s">
        <v>8023</v>
      </c>
      <c r="Y431" s="225">
        <v>591.34</v>
      </c>
      <c r="Z431" s="180" t="s">
        <v>8023</v>
      </c>
      <c r="AA431" s="225">
        <v>58300.24</v>
      </c>
      <c r="AB431" s="180" t="s">
        <v>8023</v>
      </c>
      <c r="AC431">
        <v>28.09</v>
      </c>
      <c r="AD431" s="180" t="s">
        <v>8023</v>
      </c>
      <c r="AG431" s="225">
        <v>4.82</v>
      </c>
      <c r="AH431" s="180" t="s">
        <v>8023</v>
      </c>
      <c r="AM431" s="225"/>
      <c r="BS431" s="225">
        <v>47.66</v>
      </c>
      <c r="BT431" s="180" t="s">
        <v>8023</v>
      </c>
      <c r="BU431" s="136">
        <v>21.05</v>
      </c>
      <c r="BV431" s="180" t="s">
        <v>8023</v>
      </c>
    </row>
    <row r="432" spans="1:74">
      <c r="A432" s="154" t="s">
        <v>7874</v>
      </c>
      <c r="B432" s="231" t="s">
        <v>257</v>
      </c>
      <c r="C432" s="231" t="s">
        <v>7982</v>
      </c>
      <c r="D432" s="231"/>
      <c r="E432" s="230">
        <v>3</v>
      </c>
      <c r="F432" s="232">
        <v>26</v>
      </c>
      <c r="G432" s="230"/>
      <c r="S432" s="225">
        <v>1566.9972749999999</v>
      </c>
      <c r="T432" s="180" t="s">
        <v>8023</v>
      </c>
      <c r="Y432" s="225">
        <v>679.56</v>
      </c>
      <c r="Z432" s="180" t="s">
        <v>8023</v>
      </c>
      <c r="AA432" s="225">
        <v>65796.100000000006</v>
      </c>
      <c r="AB432" s="180" t="s">
        <v>8023</v>
      </c>
      <c r="AC432">
        <v>33.36</v>
      </c>
      <c r="AD432" s="180" t="s">
        <v>8023</v>
      </c>
      <c r="AG432" s="225">
        <v>5.07</v>
      </c>
      <c r="AH432" s="180" t="s">
        <v>8023</v>
      </c>
      <c r="AM432" s="225"/>
      <c r="BS432" s="225">
        <v>46.97</v>
      </c>
      <c r="BT432" s="180" t="s">
        <v>8023</v>
      </c>
      <c r="BU432" s="136">
        <v>20.37</v>
      </c>
      <c r="BV432" s="180" t="s">
        <v>8023</v>
      </c>
    </row>
    <row r="433" spans="1:74">
      <c r="A433" s="154" t="s">
        <v>7874</v>
      </c>
      <c r="B433" s="231" t="s">
        <v>259</v>
      </c>
      <c r="C433" s="231" t="s">
        <v>7982</v>
      </c>
      <c r="D433" s="231"/>
      <c r="E433" s="230">
        <v>3</v>
      </c>
      <c r="F433" s="232">
        <v>51</v>
      </c>
      <c r="G433" s="230"/>
      <c r="S433" s="225">
        <v>1120.274531</v>
      </c>
      <c r="T433" s="180" t="s">
        <v>8023</v>
      </c>
      <c r="Y433" s="225">
        <v>592.1</v>
      </c>
      <c r="Z433" s="180" t="s">
        <v>8023</v>
      </c>
      <c r="AA433" s="225">
        <v>55711.59</v>
      </c>
      <c r="AB433" s="180" t="s">
        <v>8023</v>
      </c>
      <c r="AC433">
        <v>25.28</v>
      </c>
      <c r="AD433" s="180" t="s">
        <v>8023</v>
      </c>
      <c r="AG433" s="225">
        <v>4.54</v>
      </c>
      <c r="AH433" s="180" t="s">
        <v>8023</v>
      </c>
      <c r="AM433" s="225"/>
      <c r="BS433" s="225">
        <v>44.32</v>
      </c>
      <c r="BT433" s="180" t="s">
        <v>8023</v>
      </c>
      <c r="BU433" s="136">
        <v>23.42</v>
      </c>
      <c r="BV433" s="180" t="s">
        <v>8023</v>
      </c>
    </row>
    <row r="434" spans="1:74">
      <c r="A434" s="154" t="s">
        <v>7758</v>
      </c>
      <c r="B434" s="231" t="s">
        <v>257</v>
      </c>
      <c r="C434" s="231" t="s">
        <v>405</v>
      </c>
      <c r="D434" s="231"/>
      <c r="E434" s="229">
        <v>5</v>
      </c>
      <c r="F434" s="232">
        <v>17</v>
      </c>
      <c r="G434" s="230"/>
      <c r="S434" s="225">
        <v>1432.7624089999999</v>
      </c>
      <c r="T434" s="180" t="s">
        <v>8023</v>
      </c>
      <c r="Y434" s="225">
        <v>645.62</v>
      </c>
      <c r="Z434" s="180" t="s">
        <v>8023</v>
      </c>
      <c r="AA434" s="225">
        <v>59895.25</v>
      </c>
      <c r="AB434" s="180" t="s">
        <v>8023</v>
      </c>
      <c r="AC434">
        <v>29.46</v>
      </c>
      <c r="AD434" s="180" t="s">
        <v>8023</v>
      </c>
      <c r="AG434" s="225">
        <v>4.92</v>
      </c>
      <c r="AH434" s="180" t="s">
        <v>8023</v>
      </c>
      <c r="AM434" s="225"/>
      <c r="BS434" s="225">
        <v>48.63</v>
      </c>
      <c r="BT434" s="180" t="s">
        <v>8023</v>
      </c>
      <c r="BU434" s="136">
        <v>21.91</v>
      </c>
      <c r="BV434" s="180" t="s">
        <v>8023</v>
      </c>
    </row>
    <row r="435" spans="1:74">
      <c r="A435" s="154" t="s">
        <v>7758</v>
      </c>
      <c r="B435" s="231" t="s">
        <v>259</v>
      </c>
      <c r="C435" s="231" t="s">
        <v>405</v>
      </c>
      <c r="D435" s="231"/>
      <c r="E435" s="229">
        <v>10</v>
      </c>
      <c r="F435" s="232">
        <v>8</v>
      </c>
      <c r="G435" s="230"/>
      <c r="S435" s="225">
        <v>1844.598602</v>
      </c>
      <c r="T435" s="180" t="s">
        <v>8023</v>
      </c>
      <c r="Y435" s="225">
        <v>843.63</v>
      </c>
      <c r="Z435" s="180" t="s">
        <v>8023</v>
      </c>
      <c r="AA435" s="225">
        <v>83740.259999999995</v>
      </c>
      <c r="AB435" s="180" t="s">
        <v>8023</v>
      </c>
      <c r="AC435">
        <v>37.99</v>
      </c>
      <c r="AD435" s="180" t="s">
        <v>8023</v>
      </c>
      <c r="AG435" s="225">
        <v>4.54</v>
      </c>
      <c r="AH435" s="180" t="s">
        <v>8023</v>
      </c>
      <c r="AM435" s="225"/>
      <c r="BS435" s="225">
        <v>48.56</v>
      </c>
      <c r="BT435" s="180" t="s">
        <v>8023</v>
      </c>
      <c r="BU435" s="136">
        <v>22.21</v>
      </c>
      <c r="BV435" s="180" t="s">
        <v>8023</v>
      </c>
    </row>
    <row r="436" spans="1:74">
      <c r="A436" s="154" t="s">
        <v>7758</v>
      </c>
      <c r="B436" s="231" t="s">
        <v>257</v>
      </c>
      <c r="C436" s="231" t="s">
        <v>7963</v>
      </c>
      <c r="D436" s="231"/>
      <c r="E436" s="229">
        <v>11</v>
      </c>
      <c r="F436" s="232">
        <v>55</v>
      </c>
      <c r="G436" s="230"/>
      <c r="S436" s="225">
        <v>1489.505408</v>
      </c>
      <c r="T436" s="180" t="s">
        <v>8023</v>
      </c>
      <c r="Y436" s="225">
        <v>630.85</v>
      </c>
      <c r="Z436" s="180" t="s">
        <v>8023</v>
      </c>
      <c r="AA436" s="225">
        <v>63181.43</v>
      </c>
      <c r="AB436" s="180" t="s">
        <v>8023</v>
      </c>
      <c r="AC436">
        <v>30.25</v>
      </c>
      <c r="AD436" s="180" t="s">
        <v>8023</v>
      </c>
      <c r="AG436" s="225">
        <v>4.79</v>
      </c>
      <c r="AH436" s="180" t="s">
        <v>8023</v>
      </c>
      <c r="AM436" s="225"/>
      <c r="BS436" s="225">
        <v>49.24</v>
      </c>
      <c r="BT436" s="180" t="s">
        <v>8023</v>
      </c>
      <c r="BU436" s="136">
        <v>20.85</v>
      </c>
      <c r="BV436" s="180" t="s">
        <v>8023</v>
      </c>
    </row>
    <row r="437" spans="1:74">
      <c r="A437" s="154" t="s">
        <v>7758</v>
      </c>
      <c r="B437" s="231" t="s">
        <v>259</v>
      </c>
      <c r="C437" s="231" t="s">
        <v>7963</v>
      </c>
      <c r="D437" s="231"/>
      <c r="E437" s="229">
        <v>13</v>
      </c>
      <c r="F437" s="232">
        <v>63</v>
      </c>
      <c r="G437" s="230"/>
      <c r="S437" s="225">
        <v>1393.968605</v>
      </c>
      <c r="T437" s="180" t="s">
        <v>8023</v>
      </c>
      <c r="Y437" s="225">
        <v>654.03</v>
      </c>
      <c r="Z437" s="180" t="s">
        <v>8023</v>
      </c>
      <c r="AA437" s="225">
        <v>64553.120000000003</v>
      </c>
      <c r="AB437" s="180" t="s">
        <v>8023</v>
      </c>
      <c r="AC437">
        <v>29.28</v>
      </c>
      <c r="AD437" s="180" t="s">
        <v>8023</v>
      </c>
      <c r="AG437" s="225">
        <v>4.54</v>
      </c>
      <c r="AH437" s="180" t="s">
        <v>8023</v>
      </c>
      <c r="AM437" s="225"/>
      <c r="BS437" s="225">
        <v>47.61</v>
      </c>
      <c r="BT437" s="180" t="s">
        <v>8023</v>
      </c>
      <c r="BU437" s="136">
        <v>22.34</v>
      </c>
      <c r="BV437" s="180" t="s">
        <v>8023</v>
      </c>
    </row>
    <row r="438" spans="1:74">
      <c r="A438" s="154" t="s">
        <v>7758</v>
      </c>
      <c r="B438" s="231" t="s">
        <v>257</v>
      </c>
      <c r="C438" s="231" t="s">
        <v>7964</v>
      </c>
      <c r="D438" s="231"/>
      <c r="E438" s="230">
        <v>15</v>
      </c>
      <c r="F438" s="232">
        <v>13</v>
      </c>
      <c r="G438" s="230"/>
      <c r="S438" s="225">
        <v>1424.1412949999999</v>
      </c>
      <c r="T438" s="180" t="s">
        <v>8023</v>
      </c>
      <c r="Y438" s="225">
        <v>668.14</v>
      </c>
      <c r="Z438" s="180" t="s">
        <v>8023</v>
      </c>
      <c r="AA438" s="225">
        <v>62977.32</v>
      </c>
      <c r="AB438" s="180" t="s">
        <v>8023</v>
      </c>
      <c r="AC438">
        <v>29.87</v>
      </c>
      <c r="AD438" s="180" t="s">
        <v>8023</v>
      </c>
      <c r="AG438" s="225">
        <v>4.74</v>
      </c>
      <c r="AH438" s="180" t="s">
        <v>8023</v>
      </c>
      <c r="AM438" s="225"/>
      <c r="BS438" s="225">
        <v>47.67</v>
      </c>
      <c r="BT438" s="180" t="s">
        <v>8023</v>
      </c>
      <c r="BU438" s="136">
        <v>22.37</v>
      </c>
      <c r="BV438" s="180" t="s">
        <v>8023</v>
      </c>
    </row>
    <row r="439" spans="1:74">
      <c r="A439" s="154" t="s">
        <v>7758</v>
      </c>
      <c r="B439" s="231" t="s">
        <v>259</v>
      </c>
      <c r="C439" s="231" t="s">
        <v>7964</v>
      </c>
      <c r="D439" s="231"/>
      <c r="E439" s="230">
        <v>17</v>
      </c>
      <c r="F439" s="232">
        <v>13</v>
      </c>
      <c r="G439" s="230"/>
      <c r="S439" s="225">
        <v>1378.1856580000001</v>
      </c>
      <c r="T439" s="180" t="s">
        <v>8023</v>
      </c>
      <c r="Y439" s="225">
        <v>705.99</v>
      </c>
      <c r="Z439" s="180" t="s">
        <v>8023</v>
      </c>
      <c r="AA439" s="225">
        <v>68406.2</v>
      </c>
      <c r="AB439" s="180" t="s">
        <v>8023</v>
      </c>
      <c r="AC439">
        <v>29.88</v>
      </c>
      <c r="AD439" s="180" t="s">
        <v>8023</v>
      </c>
      <c r="AG439" s="225">
        <v>4.37</v>
      </c>
      <c r="AH439" s="180" t="s">
        <v>8023</v>
      </c>
      <c r="AM439" s="225"/>
      <c r="BS439" s="225">
        <v>46.13</v>
      </c>
      <c r="BT439" s="180" t="s">
        <v>8023</v>
      </c>
      <c r="BU439" s="136">
        <v>23.63</v>
      </c>
      <c r="BV439" s="180" t="s">
        <v>8023</v>
      </c>
    </row>
    <row r="440" spans="1:74">
      <c r="A440" s="154" t="s">
        <v>7758</v>
      </c>
      <c r="B440" s="231" t="s">
        <v>257</v>
      </c>
      <c r="C440" s="231" t="s">
        <v>7982</v>
      </c>
      <c r="D440" s="231"/>
      <c r="E440" s="229">
        <v>2</v>
      </c>
      <c r="F440" s="232">
        <v>4</v>
      </c>
      <c r="G440" s="230"/>
      <c r="S440" s="225">
        <v>1455.3723050000001</v>
      </c>
      <c r="T440" s="180" t="s">
        <v>8023</v>
      </c>
      <c r="Y440" s="225">
        <v>659</v>
      </c>
      <c r="Z440" s="180" t="s">
        <v>8023</v>
      </c>
      <c r="AA440" s="225">
        <v>71242.47</v>
      </c>
      <c r="AB440" s="180" t="s">
        <v>8023</v>
      </c>
      <c r="AC440">
        <v>30.15</v>
      </c>
      <c r="AD440" s="180" t="s">
        <v>8023</v>
      </c>
      <c r="AG440" s="225">
        <v>4.2300000000000004</v>
      </c>
      <c r="AH440" s="180" t="s">
        <v>8023</v>
      </c>
      <c r="AM440" s="225"/>
      <c r="BS440" s="225">
        <v>48.27</v>
      </c>
      <c r="BT440" s="180" t="s">
        <v>8023</v>
      </c>
      <c r="BU440" s="136">
        <v>21.85</v>
      </c>
      <c r="BV440" s="180" t="s">
        <v>8023</v>
      </c>
    </row>
    <row r="441" spans="1:74">
      <c r="A441" s="154" t="s">
        <v>7758</v>
      </c>
      <c r="B441" s="231" t="s">
        <v>259</v>
      </c>
      <c r="C441" s="231" t="s">
        <v>7982</v>
      </c>
      <c r="D441" s="231"/>
      <c r="E441" s="229">
        <v>2</v>
      </c>
      <c r="F441" s="232">
        <v>39</v>
      </c>
      <c r="G441" s="230"/>
      <c r="S441" s="225">
        <v>1366.5114719999999</v>
      </c>
      <c r="T441" s="180" t="s">
        <v>8023</v>
      </c>
      <c r="Y441" s="225">
        <v>658.51</v>
      </c>
      <c r="Z441" s="180" t="s">
        <v>8023</v>
      </c>
      <c r="AA441" s="225">
        <v>66235.289999999994</v>
      </c>
      <c r="AB441" s="180" t="s">
        <v>8023</v>
      </c>
      <c r="AC441">
        <v>29.09</v>
      </c>
      <c r="AD441" s="180" t="s">
        <v>8023</v>
      </c>
      <c r="AG441" s="225">
        <v>4.3899999999999997</v>
      </c>
      <c r="AH441" s="180" t="s">
        <v>8023</v>
      </c>
      <c r="AM441" s="225"/>
      <c r="BS441" s="225">
        <v>46.98</v>
      </c>
      <c r="BT441" s="180" t="s">
        <v>8023</v>
      </c>
      <c r="BU441" s="136">
        <v>22.64</v>
      </c>
      <c r="BV441" s="180" t="s">
        <v>8023</v>
      </c>
    </row>
    <row r="442" spans="1:74">
      <c r="A442" s="154" t="s">
        <v>7759</v>
      </c>
      <c r="B442" s="231" t="s">
        <v>257</v>
      </c>
      <c r="C442" s="231" t="s">
        <v>405</v>
      </c>
      <c r="D442" s="231"/>
      <c r="E442" s="229">
        <v>6</v>
      </c>
      <c r="F442" s="232">
        <v>11</v>
      </c>
      <c r="G442" s="230"/>
      <c r="S442" s="225">
        <v>1410.5625239999999</v>
      </c>
      <c r="T442" s="180" t="s">
        <v>8023</v>
      </c>
      <c r="Y442" s="225">
        <v>607.02</v>
      </c>
      <c r="Z442" s="180" t="s">
        <v>8023</v>
      </c>
      <c r="AA442" s="225">
        <v>58388.61</v>
      </c>
      <c r="AB442" s="180" t="s">
        <v>8023</v>
      </c>
      <c r="AC442">
        <v>29.1</v>
      </c>
      <c r="AD442" s="180" t="s">
        <v>8023</v>
      </c>
      <c r="AG442" s="225">
        <v>4.9800000000000004</v>
      </c>
      <c r="AH442" s="180" t="s">
        <v>8023</v>
      </c>
      <c r="AM442" s="225"/>
      <c r="BS442" s="225">
        <v>48.47</v>
      </c>
      <c r="BT442" s="180" t="s">
        <v>8023</v>
      </c>
      <c r="BU442" s="136">
        <v>20.86</v>
      </c>
      <c r="BV442" s="180" t="s">
        <v>8023</v>
      </c>
    </row>
    <row r="443" spans="1:74">
      <c r="A443" s="154" t="s">
        <v>7759</v>
      </c>
      <c r="B443" s="231" t="s">
        <v>259</v>
      </c>
      <c r="C443" s="231" t="s">
        <v>405</v>
      </c>
      <c r="D443" s="231"/>
      <c r="E443" s="229">
        <v>9</v>
      </c>
      <c r="F443" s="232">
        <v>21</v>
      </c>
      <c r="G443" s="230"/>
      <c r="S443" s="225">
        <v>1858.3671529999999</v>
      </c>
      <c r="T443" s="180" t="s">
        <v>8023</v>
      </c>
      <c r="Y443" s="225">
        <v>837</v>
      </c>
      <c r="Z443" s="180" t="s">
        <v>8023</v>
      </c>
      <c r="AA443" s="225">
        <v>75752.679999999993</v>
      </c>
      <c r="AB443" s="180" t="s">
        <v>8023</v>
      </c>
      <c r="AC443">
        <v>38.93</v>
      </c>
      <c r="AD443" s="180" t="s">
        <v>8023</v>
      </c>
      <c r="AG443" s="225">
        <v>5.14</v>
      </c>
      <c r="AH443" s="180" t="s">
        <v>8023</v>
      </c>
      <c r="AM443" s="225"/>
      <c r="BS443" s="225">
        <v>47.73</v>
      </c>
      <c r="BT443" s="180" t="s">
        <v>8023</v>
      </c>
      <c r="BU443" s="136">
        <v>21.5</v>
      </c>
      <c r="BV443" s="180" t="s">
        <v>8023</v>
      </c>
    </row>
    <row r="444" spans="1:74">
      <c r="A444" s="154" t="s">
        <v>7759</v>
      </c>
      <c r="B444" s="231" t="s">
        <v>257</v>
      </c>
      <c r="C444" s="231" t="s">
        <v>7963</v>
      </c>
      <c r="D444" s="231"/>
      <c r="E444" s="230">
        <v>10</v>
      </c>
      <c r="F444" s="232">
        <v>49</v>
      </c>
      <c r="G444" s="230"/>
      <c r="S444" s="225">
        <v>1626.7070269999999</v>
      </c>
      <c r="T444" s="180" t="s">
        <v>8023</v>
      </c>
      <c r="Y444" s="225">
        <v>715.31</v>
      </c>
      <c r="Z444" s="180" t="s">
        <v>8023</v>
      </c>
      <c r="AA444" s="225">
        <v>65816.75</v>
      </c>
      <c r="AB444" s="180" t="s">
        <v>8023</v>
      </c>
      <c r="AC444">
        <v>33.86</v>
      </c>
      <c r="AD444" s="180" t="s">
        <v>8023</v>
      </c>
      <c r="AG444" s="225">
        <v>5.14</v>
      </c>
      <c r="AH444" s="180" t="s">
        <v>8023</v>
      </c>
      <c r="AM444" s="225"/>
      <c r="BS444" s="225">
        <v>48.04</v>
      </c>
      <c r="BT444" s="180" t="s">
        <v>8023</v>
      </c>
      <c r="BU444" s="136">
        <v>21.12</v>
      </c>
      <c r="BV444" s="180" t="s">
        <v>8023</v>
      </c>
    </row>
    <row r="445" spans="1:74">
      <c r="A445" s="154" t="s">
        <v>7759</v>
      </c>
      <c r="B445" s="231" t="s">
        <v>259</v>
      </c>
      <c r="C445" s="231" t="s">
        <v>7963</v>
      </c>
      <c r="D445" s="231"/>
      <c r="E445" s="230">
        <v>15</v>
      </c>
      <c r="F445" s="232">
        <v>64</v>
      </c>
      <c r="G445" s="230"/>
      <c r="S445" s="225">
        <v>1196.850704</v>
      </c>
      <c r="T445" s="180" t="s">
        <v>8023</v>
      </c>
      <c r="Y445" s="225">
        <v>609.54999999999995</v>
      </c>
      <c r="Z445" s="180" t="s">
        <v>8023</v>
      </c>
      <c r="AA445" s="225">
        <v>55103.22</v>
      </c>
      <c r="AB445" s="180" t="s">
        <v>8023</v>
      </c>
      <c r="AC445">
        <v>26.31</v>
      </c>
      <c r="AD445" s="180" t="s">
        <v>8023</v>
      </c>
      <c r="AG445" s="225">
        <v>4.7699999999999996</v>
      </c>
      <c r="AH445" s="180" t="s">
        <v>8023</v>
      </c>
      <c r="AM445" s="225"/>
      <c r="BS445" s="225">
        <v>45.49</v>
      </c>
      <c r="BT445" s="180" t="s">
        <v>8023</v>
      </c>
      <c r="BU445" s="136">
        <v>23.17</v>
      </c>
      <c r="BV445" s="180" t="s">
        <v>8023</v>
      </c>
    </row>
    <row r="446" spans="1:74">
      <c r="A446" s="154" t="s">
        <v>7759</v>
      </c>
      <c r="B446" s="231" t="s">
        <v>257</v>
      </c>
      <c r="C446" s="231" t="s">
        <v>7964</v>
      </c>
      <c r="D446" s="231"/>
      <c r="E446" s="229">
        <v>13</v>
      </c>
      <c r="F446" s="232">
        <v>31</v>
      </c>
      <c r="G446" s="230"/>
      <c r="S446" s="225">
        <v>1471.0313060000001</v>
      </c>
      <c r="T446" s="180" t="s">
        <v>8023</v>
      </c>
      <c r="Y446" s="225">
        <v>715.4</v>
      </c>
      <c r="Z446" s="180" t="s">
        <v>8023</v>
      </c>
      <c r="AA446" s="225">
        <v>63903.839999999997</v>
      </c>
      <c r="AB446" s="180" t="s">
        <v>8023</v>
      </c>
      <c r="AC446">
        <v>31.81</v>
      </c>
      <c r="AD446" s="180" t="s">
        <v>8023</v>
      </c>
      <c r="AG446" s="225">
        <v>4.9800000000000004</v>
      </c>
      <c r="AH446" s="180" t="s">
        <v>8023</v>
      </c>
      <c r="AM446" s="225"/>
      <c r="BS446" s="225">
        <v>46.24</v>
      </c>
      <c r="BT446" s="180" t="s">
        <v>8023</v>
      </c>
      <c r="BU446" s="136">
        <v>22.49</v>
      </c>
      <c r="BV446" s="180" t="s">
        <v>8023</v>
      </c>
    </row>
    <row r="447" spans="1:74">
      <c r="A447" s="154" t="s">
        <v>7759</v>
      </c>
      <c r="B447" s="231" t="s">
        <v>259</v>
      </c>
      <c r="C447" s="231" t="s">
        <v>7964</v>
      </c>
      <c r="D447" s="231"/>
      <c r="E447" s="229">
        <v>18</v>
      </c>
      <c r="F447" s="232">
        <v>15</v>
      </c>
      <c r="G447" s="230"/>
      <c r="S447" s="225">
        <v>1265.183158</v>
      </c>
      <c r="T447" s="180" t="s">
        <v>8023</v>
      </c>
      <c r="Y447" s="225">
        <v>657.07</v>
      </c>
      <c r="Z447" s="180" t="s">
        <v>8023</v>
      </c>
      <c r="AA447" s="225">
        <v>57401.66</v>
      </c>
      <c r="AB447" s="180" t="s">
        <v>8023</v>
      </c>
      <c r="AC447">
        <v>28.06</v>
      </c>
      <c r="AD447" s="180" t="s">
        <v>8023</v>
      </c>
      <c r="AG447" s="225">
        <v>4.8899999999999997</v>
      </c>
      <c r="AH447" s="180" t="s">
        <v>8023</v>
      </c>
      <c r="AM447" s="225"/>
      <c r="BS447" s="225">
        <v>45.09</v>
      </c>
      <c r="BT447" s="180" t="s">
        <v>8023</v>
      </c>
      <c r="BU447" s="136">
        <v>23.42</v>
      </c>
      <c r="BV447" s="180" t="s">
        <v>8023</v>
      </c>
    </row>
    <row r="448" spans="1:74">
      <c r="A448" s="154" t="s">
        <v>7759</v>
      </c>
      <c r="B448" s="231" t="s">
        <v>257</v>
      </c>
      <c r="C448" s="231" t="s">
        <v>7982</v>
      </c>
      <c r="D448" s="231"/>
      <c r="E448" s="229">
        <v>3</v>
      </c>
      <c r="F448" s="232">
        <v>12</v>
      </c>
      <c r="G448" s="230"/>
      <c r="S448" s="225">
        <v>1527.7226949999999</v>
      </c>
      <c r="T448" s="180" t="s">
        <v>8023</v>
      </c>
      <c r="Y448" s="225">
        <v>779.09</v>
      </c>
      <c r="Z448" s="180" t="s">
        <v>8023</v>
      </c>
      <c r="AA448" s="225">
        <v>77000.58</v>
      </c>
      <c r="AB448" s="180" t="s">
        <v>8023</v>
      </c>
      <c r="AC448">
        <v>33.630000000000003</v>
      </c>
      <c r="AD448" s="180" t="s">
        <v>8023</v>
      </c>
      <c r="AG448" s="225">
        <v>4.37</v>
      </c>
      <c r="AH448" s="180" t="s">
        <v>8023</v>
      </c>
      <c r="AM448" s="225"/>
      <c r="BS448" s="225">
        <v>45.42</v>
      </c>
      <c r="BT448" s="180" t="s">
        <v>8023</v>
      </c>
      <c r="BU448" s="136">
        <v>23.16</v>
      </c>
      <c r="BV448" s="180" t="s">
        <v>8023</v>
      </c>
    </row>
    <row r="449" spans="1:74">
      <c r="A449" s="154" t="s">
        <v>7759</v>
      </c>
      <c r="B449" s="231" t="s">
        <v>259</v>
      </c>
      <c r="C449" s="231" t="s">
        <v>7982</v>
      </c>
      <c r="D449" s="231"/>
      <c r="E449" s="229">
        <v>2</v>
      </c>
      <c r="F449" s="232">
        <v>63</v>
      </c>
      <c r="G449" s="230"/>
      <c r="S449" s="225">
        <v>1298.816599</v>
      </c>
      <c r="T449" s="180" t="s">
        <v>8023</v>
      </c>
      <c r="Y449" s="225">
        <v>659.82</v>
      </c>
      <c r="Z449" s="180" t="s">
        <v>8023</v>
      </c>
      <c r="AA449" s="225">
        <v>57917.14</v>
      </c>
      <c r="AB449" s="180" t="s">
        <v>8023</v>
      </c>
      <c r="AC449">
        <v>28.41</v>
      </c>
      <c r="AD449" s="180" t="s">
        <v>8023</v>
      </c>
      <c r="AG449" s="225">
        <v>4.91</v>
      </c>
      <c r="AH449" s="180" t="s">
        <v>8023</v>
      </c>
      <c r="AM449" s="225"/>
      <c r="BS449" s="225">
        <v>45.71</v>
      </c>
      <c r="BT449" s="180" t="s">
        <v>8023</v>
      </c>
      <c r="BU449" s="136">
        <v>23.22</v>
      </c>
      <c r="BV449" s="180" t="s">
        <v>8023</v>
      </c>
    </row>
    <row r="450" spans="1:74">
      <c r="A450" s="154" t="s">
        <v>7760</v>
      </c>
      <c r="B450" s="231" t="s">
        <v>257</v>
      </c>
      <c r="C450" s="231" t="s">
        <v>405</v>
      </c>
      <c r="D450" s="231"/>
      <c r="E450" s="230">
        <v>8</v>
      </c>
      <c r="F450" s="232">
        <v>22</v>
      </c>
      <c r="G450" s="230"/>
      <c r="S450" s="225">
        <v>1295.3211960000001</v>
      </c>
      <c r="T450" s="180" t="s">
        <v>8023</v>
      </c>
      <c r="Y450" s="225">
        <v>600.51</v>
      </c>
      <c r="Z450" s="180" t="s">
        <v>8023</v>
      </c>
      <c r="AA450" s="225">
        <v>53350.18</v>
      </c>
      <c r="AB450" s="180" t="s">
        <v>8023</v>
      </c>
      <c r="AC450">
        <v>28.04</v>
      </c>
      <c r="AD450" s="180" t="s">
        <v>8023</v>
      </c>
      <c r="AG450" s="225">
        <v>5.26</v>
      </c>
      <c r="AH450" s="180" t="s">
        <v>8023</v>
      </c>
      <c r="AM450" s="225"/>
      <c r="BS450" s="225">
        <v>46.2</v>
      </c>
      <c r="BT450" s="180" t="s">
        <v>8023</v>
      </c>
      <c r="BU450" s="136">
        <v>21.42</v>
      </c>
      <c r="BV450" s="180" t="s">
        <v>8023</v>
      </c>
    </row>
    <row r="451" spans="1:74">
      <c r="A451" s="154" t="s">
        <v>7760</v>
      </c>
      <c r="B451" s="231" t="s">
        <v>259</v>
      </c>
      <c r="C451" s="231" t="s">
        <v>405</v>
      </c>
      <c r="D451" s="231"/>
      <c r="E451" s="230">
        <v>11</v>
      </c>
      <c r="F451" s="232">
        <v>7</v>
      </c>
      <c r="G451" s="230"/>
      <c r="S451" s="225">
        <v>1356.7106839999999</v>
      </c>
      <c r="T451" s="180" t="s">
        <v>8023</v>
      </c>
      <c r="Y451" s="225">
        <v>638.72</v>
      </c>
      <c r="Z451" s="180" t="s">
        <v>8023</v>
      </c>
      <c r="AA451" s="225">
        <v>65272.97</v>
      </c>
      <c r="AB451" s="180" t="s">
        <v>8023</v>
      </c>
      <c r="AC451">
        <v>29.53</v>
      </c>
      <c r="AD451" s="180" t="s">
        <v>8023</v>
      </c>
      <c r="AG451" s="225">
        <v>4.5199999999999996</v>
      </c>
      <c r="AH451" s="180" t="s">
        <v>8023</v>
      </c>
      <c r="AM451" s="225"/>
      <c r="BS451" s="225">
        <v>45.94</v>
      </c>
      <c r="BT451" s="180" t="s">
        <v>8023</v>
      </c>
      <c r="BU451" s="136">
        <v>21.63</v>
      </c>
      <c r="BV451" s="180" t="s">
        <v>8023</v>
      </c>
    </row>
    <row r="452" spans="1:74">
      <c r="A452" s="154" t="s">
        <v>7760</v>
      </c>
      <c r="B452" s="231" t="s">
        <v>257</v>
      </c>
      <c r="C452" s="231" t="s">
        <v>7963</v>
      </c>
      <c r="D452" s="231"/>
      <c r="E452" s="229">
        <v>9</v>
      </c>
      <c r="F452" s="232">
        <v>50</v>
      </c>
      <c r="G452" s="230"/>
      <c r="S452" s="225">
        <v>1276.7563459999999</v>
      </c>
      <c r="T452" s="180" t="s">
        <v>8023</v>
      </c>
      <c r="Y452" s="225">
        <v>557.17999999999995</v>
      </c>
      <c r="Z452" s="180" t="s">
        <v>8023</v>
      </c>
      <c r="AA452" s="225">
        <v>52460.86</v>
      </c>
      <c r="AB452" s="180" t="s">
        <v>8023</v>
      </c>
      <c r="AC452">
        <v>27.36</v>
      </c>
      <c r="AD452" s="180" t="s">
        <v>8023</v>
      </c>
      <c r="AG452" s="225">
        <v>5.22</v>
      </c>
      <c r="AH452" s="180" t="s">
        <v>8023</v>
      </c>
      <c r="AM452" s="225"/>
      <c r="BS452" s="225">
        <v>46.66</v>
      </c>
      <c r="BT452" s="180" t="s">
        <v>8023</v>
      </c>
      <c r="BU452" s="136">
        <v>20.36</v>
      </c>
      <c r="BV452" s="180" t="s">
        <v>8023</v>
      </c>
    </row>
    <row r="453" spans="1:74">
      <c r="A453" s="154" t="s">
        <v>7760</v>
      </c>
      <c r="B453" s="231" t="s">
        <v>259</v>
      </c>
      <c r="C453" s="231" t="s">
        <v>7963</v>
      </c>
      <c r="D453" s="231"/>
      <c r="E453" s="229">
        <v>15</v>
      </c>
      <c r="F453" s="232">
        <v>44</v>
      </c>
      <c r="G453" s="230"/>
      <c r="S453" s="225">
        <v>1164.506729</v>
      </c>
      <c r="T453" s="180" t="s">
        <v>8023</v>
      </c>
      <c r="Y453" s="225">
        <v>612.41</v>
      </c>
      <c r="Z453" s="180" t="s">
        <v>8023</v>
      </c>
      <c r="AA453" s="225">
        <v>56260.47</v>
      </c>
      <c r="AB453" s="180" t="s">
        <v>8023</v>
      </c>
      <c r="AC453">
        <v>26.27</v>
      </c>
      <c r="AD453" s="180" t="s">
        <v>8023</v>
      </c>
      <c r="AG453" s="225">
        <v>4.67</v>
      </c>
      <c r="AH453" s="180" t="s">
        <v>8023</v>
      </c>
      <c r="AM453" s="225"/>
      <c r="BS453" s="225">
        <v>44.33</v>
      </c>
      <c r="BT453" s="180" t="s">
        <v>8023</v>
      </c>
      <c r="BU453" s="136">
        <v>23.32</v>
      </c>
      <c r="BV453" s="180" t="s">
        <v>8023</v>
      </c>
    </row>
    <row r="454" spans="1:74">
      <c r="A454" s="154" t="s">
        <v>7760</v>
      </c>
      <c r="B454" s="231" t="s">
        <v>257</v>
      </c>
      <c r="C454" s="231" t="s">
        <v>7964</v>
      </c>
      <c r="D454" s="231"/>
      <c r="E454" s="229">
        <v>14</v>
      </c>
      <c r="F454" s="232">
        <v>13</v>
      </c>
      <c r="G454" s="230"/>
      <c r="S454" s="225">
        <v>1385.573414</v>
      </c>
      <c r="T454" s="180" t="s">
        <v>8023</v>
      </c>
      <c r="Y454" s="225">
        <v>671.01</v>
      </c>
      <c r="Z454" s="180" t="s">
        <v>8023</v>
      </c>
      <c r="AA454" s="225">
        <v>62402.8</v>
      </c>
      <c r="AB454" s="180" t="s">
        <v>8023</v>
      </c>
      <c r="AC454">
        <v>30.41</v>
      </c>
      <c r="AD454" s="180" t="s">
        <v>8023</v>
      </c>
      <c r="AG454" s="225">
        <v>4.87</v>
      </c>
      <c r="AH454" s="180" t="s">
        <v>8023</v>
      </c>
      <c r="AM454" s="225"/>
      <c r="BS454" s="225">
        <v>45.57</v>
      </c>
      <c r="BT454" s="180" t="s">
        <v>8023</v>
      </c>
      <c r="BU454" s="136">
        <v>22.07</v>
      </c>
      <c r="BV454" s="180" t="s">
        <v>8023</v>
      </c>
    </row>
    <row r="455" spans="1:74">
      <c r="A455" s="154" t="s">
        <v>7760</v>
      </c>
      <c r="B455" s="231" t="s">
        <v>259</v>
      </c>
      <c r="C455" s="231" t="s">
        <v>7964</v>
      </c>
      <c r="D455" s="231"/>
      <c r="E455" s="229">
        <v>19</v>
      </c>
      <c r="F455" s="232">
        <v>8</v>
      </c>
      <c r="G455" s="230"/>
      <c r="S455" s="225">
        <v>1164.2933720000001</v>
      </c>
      <c r="T455" s="180" t="s">
        <v>8023</v>
      </c>
      <c r="Y455" s="225">
        <v>585.01</v>
      </c>
      <c r="Z455" s="180" t="s">
        <v>8023</v>
      </c>
      <c r="AA455" s="225">
        <v>56352.639999999999</v>
      </c>
      <c r="AB455" s="180" t="s">
        <v>8023</v>
      </c>
      <c r="AC455">
        <v>25.75</v>
      </c>
      <c r="AD455" s="180" t="s">
        <v>8023</v>
      </c>
      <c r="AG455" s="225">
        <v>4.57</v>
      </c>
      <c r="AH455" s="180" t="s">
        <v>8023</v>
      </c>
      <c r="AM455" s="225"/>
      <c r="BS455" s="225">
        <v>45.22</v>
      </c>
      <c r="BT455" s="180" t="s">
        <v>8023</v>
      </c>
      <c r="BU455" s="136">
        <v>22.72</v>
      </c>
      <c r="BV455" s="180" t="s">
        <v>8023</v>
      </c>
    </row>
    <row r="456" spans="1:74">
      <c r="A456" s="154" t="s">
        <v>7760</v>
      </c>
      <c r="B456" s="231" t="s">
        <v>257</v>
      </c>
      <c r="C456" s="231" t="s">
        <v>7982</v>
      </c>
      <c r="D456" s="231"/>
      <c r="E456" s="230">
        <v>3</v>
      </c>
      <c r="F456" s="232">
        <v>20</v>
      </c>
      <c r="G456" s="230"/>
      <c r="S456" s="225">
        <v>1241.1248519999999</v>
      </c>
      <c r="T456" s="180" t="s">
        <v>8023</v>
      </c>
      <c r="Y456" s="225">
        <v>585.09</v>
      </c>
      <c r="Z456" s="180" t="s">
        <v>8023</v>
      </c>
      <c r="AA456" s="225">
        <v>55609.01</v>
      </c>
      <c r="AB456" s="180" t="s">
        <v>8023</v>
      </c>
      <c r="AC456">
        <v>27.13</v>
      </c>
      <c r="AD456" s="180" t="s">
        <v>8023</v>
      </c>
      <c r="AG456" s="225">
        <v>4.88</v>
      </c>
      <c r="AH456" s="180" t="s">
        <v>8023</v>
      </c>
      <c r="AM456" s="225"/>
      <c r="BS456" s="225">
        <v>45.74</v>
      </c>
      <c r="BT456" s="180" t="s">
        <v>8023</v>
      </c>
      <c r="BU456" s="136">
        <v>21.56</v>
      </c>
      <c r="BV456" s="180" t="s">
        <v>8023</v>
      </c>
    </row>
    <row r="457" spans="1:74">
      <c r="A457" s="154" t="s">
        <v>7760</v>
      </c>
      <c r="B457" s="231" t="s">
        <v>259</v>
      </c>
      <c r="C457" s="231" t="s">
        <v>7982</v>
      </c>
      <c r="D457" s="231"/>
      <c r="E457" s="230">
        <v>1</v>
      </c>
      <c r="F457" s="232">
        <v>54</v>
      </c>
      <c r="G457" s="230"/>
      <c r="S457" s="225">
        <v>1039.2006739999999</v>
      </c>
      <c r="T457" s="180" t="s">
        <v>8023</v>
      </c>
      <c r="Y457" s="225">
        <v>532.84</v>
      </c>
      <c r="Z457" s="180" t="s">
        <v>8023</v>
      </c>
      <c r="AA457" s="225">
        <v>48374.23</v>
      </c>
      <c r="AB457" s="180" t="s">
        <v>8023</v>
      </c>
      <c r="AC457">
        <v>23.39</v>
      </c>
      <c r="AD457" s="180" t="s">
        <v>8023</v>
      </c>
      <c r="AG457" s="225">
        <v>4.83</v>
      </c>
      <c r="AH457" s="180" t="s">
        <v>8023</v>
      </c>
      <c r="AM457" s="225"/>
      <c r="BS457" s="225">
        <v>44.44</v>
      </c>
      <c r="BT457" s="180" t="s">
        <v>8023</v>
      </c>
      <c r="BU457" s="136">
        <v>22.78</v>
      </c>
      <c r="BV457" s="180" t="s">
        <v>8023</v>
      </c>
    </row>
    <row r="458" spans="1:74">
      <c r="A458" s="154" t="s">
        <v>7854</v>
      </c>
      <c r="B458" s="231" t="s">
        <v>257</v>
      </c>
      <c r="C458" s="231" t="s">
        <v>405</v>
      </c>
      <c r="D458" s="231"/>
      <c r="E458" s="229">
        <v>7</v>
      </c>
      <c r="F458" s="232">
        <v>23</v>
      </c>
      <c r="G458" s="230"/>
      <c r="S458" s="225">
        <v>1385.318301</v>
      </c>
      <c r="T458" s="180" t="s">
        <v>8023</v>
      </c>
      <c r="Y458" s="225">
        <v>563.49</v>
      </c>
      <c r="Z458" s="180" t="s">
        <v>8023</v>
      </c>
      <c r="AA458" s="225">
        <v>59406.34</v>
      </c>
      <c r="AB458" s="180" t="s">
        <v>8023</v>
      </c>
      <c r="AC458">
        <v>28.27</v>
      </c>
      <c r="AD458" s="180" t="s">
        <v>8023</v>
      </c>
      <c r="AG458" s="225">
        <v>4.76</v>
      </c>
      <c r="AH458" s="180" t="s">
        <v>8023</v>
      </c>
      <c r="AM458" s="225"/>
      <c r="BS458" s="225">
        <v>49</v>
      </c>
      <c r="BT458" s="180" t="s">
        <v>8023</v>
      </c>
      <c r="BU458" s="136">
        <v>19.93</v>
      </c>
      <c r="BV458" s="180" t="s">
        <v>8023</v>
      </c>
    </row>
    <row r="459" spans="1:74">
      <c r="A459" s="154" t="s">
        <v>7854</v>
      </c>
      <c r="B459" s="231" t="s">
        <v>259</v>
      </c>
      <c r="C459" s="231" t="s">
        <v>405</v>
      </c>
      <c r="D459" s="231"/>
      <c r="E459" s="229">
        <v>10</v>
      </c>
      <c r="F459" s="232">
        <v>30</v>
      </c>
      <c r="G459" s="230"/>
      <c r="S459" s="225">
        <v>1400.804537</v>
      </c>
      <c r="T459" s="180" t="s">
        <v>8023</v>
      </c>
      <c r="Y459" s="225">
        <v>617.29</v>
      </c>
      <c r="Z459" s="180" t="s">
        <v>8023</v>
      </c>
      <c r="AA459" s="225">
        <v>63499.95</v>
      </c>
      <c r="AB459" s="180" t="s">
        <v>8023</v>
      </c>
      <c r="AC459">
        <v>29.14</v>
      </c>
      <c r="AD459" s="180" t="s">
        <v>8023</v>
      </c>
      <c r="AG459" s="225">
        <v>4.59</v>
      </c>
      <c r="AH459" s="180" t="s">
        <v>8023</v>
      </c>
      <c r="AM459" s="225"/>
      <c r="BS459" s="225">
        <v>48.07</v>
      </c>
      <c r="BT459" s="180" t="s">
        <v>8023</v>
      </c>
      <c r="BU459" s="136">
        <v>21.18</v>
      </c>
      <c r="BV459" s="180" t="s">
        <v>8023</v>
      </c>
    </row>
    <row r="460" spans="1:74">
      <c r="A460" s="154" t="s">
        <v>7854</v>
      </c>
      <c r="B460" s="231" t="s">
        <v>257</v>
      </c>
      <c r="C460" s="231" t="s">
        <v>7963</v>
      </c>
      <c r="D460" s="231"/>
      <c r="E460" s="229">
        <v>11</v>
      </c>
      <c r="F460" s="232">
        <v>36</v>
      </c>
      <c r="G460" s="230"/>
      <c r="S460" s="225">
        <v>1538.2406820000001</v>
      </c>
      <c r="T460" s="180" t="s">
        <v>8023</v>
      </c>
      <c r="Y460" s="225">
        <v>606.87</v>
      </c>
      <c r="Z460" s="180" t="s">
        <v>8023</v>
      </c>
      <c r="AA460" s="225">
        <v>63914.09</v>
      </c>
      <c r="AB460" s="180" t="s">
        <v>8023</v>
      </c>
      <c r="AC460">
        <v>31.28</v>
      </c>
      <c r="AD460" s="180" t="s">
        <v>8023</v>
      </c>
      <c r="AG460" s="225">
        <v>4.8899999999999997</v>
      </c>
      <c r="AH460" s="180" t="s">
        <v>8023</v>
      </c>
      <c r="AM460" s="225"/>
      <c r="BS460" s="225">
        <v>49.18</v>
      </c>
      <c r="BT460" s="180" t="s">
        <v>8023</v>
      </c>
      <c r="BU460" s="136">
        <v>19.399999999999999</v>
      </c>
      <c r="BV460" s="180" t="s">
        <v>8023</v>
      </c>
    </row>
    <row r="461" spans="1:74">
      <c r="A461" s="154" t="s">
        <v>7854</v>
      </c>
      <c r="B461" s="231" t="s">
        <v>259</v>
      </c>
      <c r="C461" s="231" t="s">
        <v>7963</v>
      </c>
      <c r="D461" s="231"/>
      <c r="E461" s="229">
        <v>15</v>
      </c>
      <c r="F461" s="232">
        <v>60</v>
      </c>
      <c r="G461" s="230"/>
      <c r="S461" s="225">
        <v>1278.311418</v>
      </c>
      <c r="T461" s="180" t="s">
        <v>8023</v>
      </c>
      <c r="Y461" s="225">
        <v>566.21</v>
      </c>
      <c r="Z461" s="180" t="s">
        <v>8023</v>
      </c>
      <c r="AA461" s="225">
        <v>54631.82</v>
      </c>
      <c r="AB461" s="180" t="s">
        <v>8023</v>
      </c>
      <c r="AC461">
        <v>26.88</v>
      </c>
      <c r="AD461" s="180" t="s">
        <v>8023</v>
      </c>
      <c r="AG461" s="225">
        <v>4.92</v>
      </c>
      <c r="AH461" s="180" t="s">
        <v>8023</v>
      </c>
      <c r="AM461" s="225"/>
      <c r="BS461" s="225">
        <v>47.56</v>
      </c>
      <c r="BT461" s="180" t="s">
        <v>8023</v>
      </c>
      <c r="BU461" s="136">
        <v>21.06</v>
      </c>
      <c r="BV461" s="180" t="s">
        <v>8023</v>
      </c>
    </row>
    <row r="462" spans="1:74">
      <c r="A462" s="154" t="s">
        <v>7854</v>
      </c>
      <c r="B462" s="231" t="s">
        <v>257</v>
      </c>
      <c r="C462" s="231" t="s">
        <v>7964</v>
      </c>
      <c r="D462" s="231"/>
      <c r="E462" s="230">
        <v>16</v>
      </c>
      <c r="F462" s="232">
        <v>11</v>
      </c>
      <c r="G462" s="230"/>
      <c r="S462" s="225">
        <v>1187.9045739999999</v>
      </c>
      <c r="T462" s="180" t="s">
        <v>8023</v>
      </c>
      <c r="Y462" s="225">
        <v>489.21</v>
      </c>
      <c r="Z462" s="180" t="s">
        <v>8023</v>
      </c>
      <c r="AA462" s="225">
        <v>54724.13</v>
      </c>
      <c r="AB462" s="180" t="s">
        <v>8023</v>
      </c>
      <c r="AC462">
        <v>24.55</v>
      </c>
      <c r="AD462" s="180" t="s">
        <v>8023</v>
      </c>
      <c r="AG462" s="225">
        <v>4.49</v>
      </c>
      <c r="AH462" s="180" t="s">
        <v>8023</v>
      </c>
      <c r="AM462" s="225"/>
      <c r="BS462" s="225">
        <v>48.38</v>
      </c>
      <c r="BT462" s="180" t="s">
        <v>8023</v>
      </c>
      <c r="BU462" s="136">
        <v>19.93</v>
      </c>
      <c r="BV462" s="180" t="s">
        <v>8023</v>
      </c>
    </row>
    <row r="463" spans="1:74">
      <c r="A463" s="154" t="s">
        <v>7854</v>
      </c>
      <c r="B463" s="231" t="s">
        <v>259</v>
      </c>
      <c r="C463" s="231" t="s">
        <v>7964</v>
      </c>
      <c r="D463" s="231"/>
      <c r="E463" s="230">
        <v>21</v>
      </c>
      <c r="F463" s="232">
        <v>5</v>
      </c>
      <c r="G463" s="230"/>
      <c r="S463" s="225">
        <v>911.73159369999996</v>
      </c>
      <c r="T463" s="180" t="s">
        <v>8023</v>
      </c>
      <c r="Y463" s="225">
        <v>422.07</v>
      </c>
      <c r="Z463" s="180" t="s">
        <v>8023</v>
      </c>
      <c r="AA463" s="225">
        <v>44304.67</v>
      </c>
      <c r="AB463" s="180" t="s">
        <v>8023</v>
      </c>
      <c r="AC463">
        <v>19.53</v>
      </c>
      <c r="AD463" s="180" t="s">
        <v>8023</v>
      </c>
      <c r="AG463" s="225">
        <v>4.41</v>
      </c>
      <c r="AH463" s="180" t="s">
        <v>8023</v>
      </c>
      <c r="AM463" s="225"/>
      <c r="BS463" s="225">
        <v>46.68</v>
      </c>
      <c r="BT463" s="180" t="s">
        <v>8023</v>
      </c>
      <c r="BU463" s="136">
        <v>21.61</v>
      </c>
      <c r="BV463" s="180" t="s">
        <v>8023</v>
      </c>
    </row>
    <row r="464" spans="1:74">
      <c r="A464" s="154" t="s">
        <v>7854</v>
      </c>
      <c r="B464" s="231" t="s">
        <v>257</v>
      </c>
      <c r="C464" s="231" t="s">
        <v>7982</v>
      </c>
      <c r="D464" s="231"/>
      <c r="E464" s="229">
        <v>1</v>
      </c>
      <c r="F464" s="232">
        <v>20</v>
      </c>
      <c r="G464" s="230"/>
      <c r="S464" s="225">
        <v>1385.5463199999999</v>
      </c>
      <c r="T464" s="180" t="s">
        <v>8023</v>
      </c>
      <c r="Y464" s="225">
        <v>583.97</v>
      </c>
      <c r="Z464" s="180" t="s">
        <v>8023</v>
      </c>
      <c r="AA464" s="225">
        <v>62487.78</v>
      </c>
      <c r="AB464" s="180" t="s">
        <v>8023</v>
      </c>
      <c r="AC464">
        <v>28.33</v>
      </c>
      <c r="AD464" s="180" t="s">
        <v>8023</v>
      </c>
      <c r="AG464" s="225">
        <v>4.53</v>
      </c>
      <c r="AH464" s="180" t="s">
        <v>8023</v>
      </c>
      <c r="AM464" s="225"/>
      <c r="BS464" s="225">
        <v>48.91</v>
      </c>
      <c r="BT464" s="180" t="s">
        <v>8023</v>
      </c>
      <c r="BU464" s="136">
        <v>20.62</v>
      </c>
      <c r="BV464" s="180" t="s">
        <v>8023</v>
      </c>
    </row>
    <row r="465" spans="1:74">
      <c r="A465" s="154" t="s">
        <v>7854</v>
      </c>
      <c r="B465" s="231" t="s">
        <v>259</v>
      </c>
      <c r="C465" s="231" t="s">
        <v>7982</v>
      </c>
      <c r="D465" s="231"/>
      <c r="E465" s="229">
        <v>1</v>
      </c>
      <c r="F465" s="232">
        <v>48</v>
      </c>
      <c r="G465" s="230"/>
      <c r="S465" s="225">
        <v>899.75168880000001</v>
      </c>
      <c r="T465" s="180" t="s">
        <v>8023</v>
      </c>
      <c r="Y465" s="225">
        <v>452.59</v>
      </c>
      <c r="Z465" s="180" t="s">
        <v>8023</v>
      </c>
      <c r="AA465" s="225">
        <v>43783.05</v>
      </c>
      <c r="AB465" s="180" t="s">
        <v>8023</v>
      </c>
      <c r="AC465">
        <v>19.53</v>
      </c>
      <c r="AD465" s="180" t="s">
        <v>8023</v>
      </c>
      <c r="AG465" s="225">
        <v>4.46</v>
      </c>
      <c r="AH465" s="180" t="s">
        <v>8023</v>
      </c>
      <c r="AM465" s="225"/>
      <c r="BS465" s="225">
        <v>46.07</v>
      </c>
      <c r="BT465" s="180" t="s">
        <v>8023</v>
      </c>
      <c r="BU465" s="136">
        <v>23.18</v>
      </c>
      <c r="BV465" s="180" t="s">
        <v>8023</v>
      </c>
    </row>
    <row r="466" spans="1:74">
      <c r="A466" s="154" t="s">
        <v>7761</v>
      </c>
      <c r="B466" s="231" t="s">
        <v>257</v>
      </c>
      <c r="C466" s="231" t="s">
        <v>405</v>
      </c>
      <c r="D466" s="231"/>
      <c r="E466" s="229">
        <v>6</v>
      </c>
      <c r="F466" s="232">
        <v>28</v>
      </c>
      <c r="G466" s="230"/>
      <c r="S466" s="225">
        <v>1658.240622</v>
      </c>
      <c r="T466" s="180" t="s">
        <v>8023</v>
      </c>
      <c r="Y466" s="225">
        <v>705.94</v>
      </c>
      <c r="Z466" s="180" t="s">
        <v>8023</v>
      </c>
      <c r="AA466" s="225">
        <v>64672.68</v>
      </c>
      <c r="AB466" s="180" t="s">
        <v>8023</v>
      </c>
      <c r="AC466">
        <v>34.049999999999997</v>
      </c>
      <c r="AD466" s="180" t="s">
        <v>8023</v>
      </c>
      <c r="AG466" s="225">
        <v>5.26</v>
      </c>
      <c r="AH466" s="180" t="s">
        <v>8023</v>
      </c>
      <c r="AM466" s="225"/>
      <c r="BS466" s="225">
        <v>48.7</v>
      </c>
      <c r="BT466" s="180" t="s">
        <v>8023</v>
      </c>
      <c r="BU466" s="136">
        <v>20.73</v>
      </c>
      <c r="BV466" s="180" t="s">
        <v>8023</v>
      </c>
    </row>
    <row r="467" spans="1:74">
      <c r="A467" s="154" t="s">
        <v>7761</v>
      </c>
      <c r="B467" s="231" t="s">
        <v>259</v>
      </c>
      <c r="C467" s="231" t="s">
        <v>405</v>
      </c>
      <c r="D467" s="231"/>
      <c r="E467" s="229">
        <v>10</v>
      </c>
      <c r="F467" s="232">
        <v>32</v>
      </c>
      <c r="G467" s="230"/>
      <c r="S467" s="225">
        <v>1993.073993</v>
      </c>
      <c r="T467" s="180" t="s">
        <v>8023</v>
      </c>
      <c r="Y467" s="225">
        <v>924.79</v>
      </c>
      <c r="Z467" s="180" t="s">
        <v>8023</v>
      </c>
      <c r="AA467" s="225">
        <v>86030.22</v>
      </c>
      <c r="AB467" s="180" t="s">
        <v>8023</v>
      </c>
      <c r="AC467">
        <v>42.32</v>
      </c>
      <c r="AD467" s="180" t="s">
        <v>8023</v>
      </c>
      <c r="AG467" s="225">
        <v>4.92</v>
      </c>
      <c r="AH467" s="180" t="s">
        <v>8023</v>
      </c>
      <c r="AM467" s="225"/>
      <c r="BS467" s="225">
        <v>47.1</v>
      </c>
      <c r="BT467" s="180" t="s">
        <v>8023</v>
      </c>
      <c r="BU467" s="136">
        <v>21.85</v>
      </c>
      <c r="BV467" s="180" t="s">
        <v>8023</v>
      </c>
    </row>
    <row r="468" spans="1:74">
      <c r="A468" s="154" t="s">
        <v>7761</v>
      </c>
      <c r="B468" s="231" t="s">
        <v>257</v>
      </c>
      <c r="C468" s="231" t="s">
        <v>7963</v>
      </c>
      <c r="D468" s="231"/>
      <c r="E468" s="230">
        <v>11</v>
      </c>
      <c r="F468" s="232">
        <v>43</v>
      </c>
      <c r="G468" s="230"/>
      <c r="S468" s="225">
        <v>1909.0843589999999</v>
      </c>
      <c r="T468" s="180" t="s">
        <v>8023</v>
      </c>
      <c r="Y468" s="225">
        <v>845.97</v>
      </c>
      <c r="Z468" s="180" t="s">
        <v>8023</v>
      </c>
      <c r="AA468" s="225">
        <v>77623.38</v>
      </c>
      <c r="AB468" s="180" t="s">
        <v>8023</v>
      </c>
      <c r="AC468">
        <v>39.770000000000003</v>
      </c>
      <c r="AD468" s="180" t="s">
        <v>8023</v>
      </c>
      <c r="AG468" s="225">
        <v>5.12</v>
      </c>
      <c r="AH468" s="180" t="s">
        <v>8023</v>
      </c>
      <c r="AM468" s="225"/>
      <c r="BS468" s="225">
        <v>48</v>
      </c>
      <c r="BT468" s="180" t="s">
        <v>8023</v>
      </c>
      <c r="BU468" s="136">
        <v>21.27</v>
      </c>
      <c r="BV468" s="180" t="s">
        <v>8023</v>
      </c>
    </row>
    <row r="469" spans="1:74">
      <c r="A469" s="154" t="s">
        <v>7761</v>
      </c>
      <c r="B469" s="231" t="s">
        <v>259</v>
      </c>
      <c r="C469" s="231" t="s">
        <v>7963</v>
      </c>
      <c r="D469" s="231"/>
      <c r="E469" s="230">
        <v>13</v>
      </c>
      <c r="F469" s="232">
        <v>52</v>
      </c>
      <c r="G469" s="230"/>
      <c r="S469" s="225">
        <v>1339.0430980000001</v>
      </c>
      <c r="T469" s="180" t="s">
        <v>8023</v>
      </c>
      <c r="Y469" s="225">
        <v>653.01</v>
      </c>
      <c r="Z469" s="180" t="s">
        <v>8023</v>
      </c>
      <c r="AA469" s="225">
        <v>63901.01</v>
      </c>
      <c r="AB469" s="180" t="s">
        <v>8023</v>
      </c>
      <c r="AC469">
        <v>29.06</v>
      </c>
      <c r="AD469" s="180" t="s">
        <v>8023</v>
      </c>
      <c r="AG469" s="225">
        <v>4.55</v>
      </c>
      <c r="AH469" s="180" t="s">
        <v>8023</v>
      </c>
      <c r="AM469" s="225"/>
      <c r="BS469" s="225">
        <v>46.07</v>
      </c>
      <c r="BT469" s="180" t="s">
        <v>8023</v>
      </c>
      <c r="BU469" s="136">
        <v>22.47</v>
      </c>
      <c r="BV469" s="180" t="s">
        <v>8023</v>
      </c>
    </row>
    <row r="470" spans="1:74">
      <c r="A470" s="154" t="s">
        <v>7761</v>
      </c>
      <c r="B470" s="231" t="s">
        <v>257</v>
      </c>
      <c r="C470" s="231" t="s">
        <v>7964</v>
      </c>
      <c r="D470" s="231"/>
      <c r="E470" s="229">
        <v>15</v>
      </c>
      <c r="F470" s="232">
        <v>5</v>
      </c>
      <c r="G470" s="230"/>
      <c r="S470" s="225">
        <v>1451.179267</v>
      </c>
      <c r="T470" s="180" t="s">
        <v>8023</v>
      </c>
      <c r="Y470" s="225">
        <v>634.25</v>
      </c>
      <c r="Z470" s="180" t="s">
        <v>8023</v>
      </c>
      <c r="AA470" s="225">
        <v>63048.62</v>
      </c>
      <c r="AB470" s="180" t="s">
        <v>8023</v>
      </c>
      <c r="AC470">
        <v>30.15</v>
      </c>
      <c r="AD470" s="180" t="s">
        <v>8023</v>
      </c>
      <c r="AG470" s="225">
        <v>4.78</v>
      </c>
      <c r="AH470" s="180" t="s">
        <v>8023</v>
      </c>
      <c r="AM470" s="225"/>
      <c r="BS470" s="225">
        <v>48.14</v>
      </c>
      <c r="BT470" s="180" t="s">
        <v>8023</v>
      </c>
      <c r="BU470" s="136">
        <v>21.04</v>
      </c>
      <c r="BV470" s="180" t="s">
        <v>8023</v>
      </c>
    </row>
    <row r="471" spans="1:74">
      <c r="A471" s="154" t="s">
        <v>7761</v>
      </c>
      <c r="B471" s="231" t="s">
        <v>259</v>
      </c>
      <c r="C471" s="231" t="s">
        <v>7964</v>
      </c>
      <c r="D471" s="231"/>
      <c r="E471" s="229">
        <v>20</v>
      </c>
      <c r="F471" s="232">
        <v>9</v>
      </c>
      <c r="G471" s="230"/>
      <c r="S471" s="225">
        <v>1490.2949900000001</v>
      </c>
      <c r="T471" s="180" t="s">
        <v>8023</v>
      </c>
      <c r="Y471" s="225">
        <v>724.13</v>
      </c>
      <c r="Z471" s="180" t="s">
        <v>8023</v>
      </c>
      <c r="AA471" s="225">
        <v>67710.880000000005</v>
      </c>
      <c r="AB471" s="180" t="s">
        <v>8023</v>
      </c>
      <c r="AC471">
        <v>32.24</v>
      </c>
      <c r="AD471" s="180" t="s">
        <v>8023</v>
      </c>
      <c r="AG471" s="225">
        <v>4.76</v>
      </c>
      <c r="AH471" s="180" t="s">
        <v>8023</v>
      </c>
      <c r="AM471" s="225"/>
      <c r="BS471" s="225">
        <v>46.22</v>
      </c>
      <c r="BT471" s="180" t="s">
        <v>8023</v>
      </c>
      <c r="BU471" s="136">
        <v>22.46</v>
      </c>
      <c r="BV471" s="180" t="s">
        <v>8023</v>
      </c>
    </row>
    <row r="472" spans="1:74">
      <c r="A472" s="154" t="s">
        <v>7761</v>
      </c>
      <c r="B472" s="231" t="s">
        <v>257</v>
      </c>
      <c r="C472" s="231" t="s">
        <v>7982</v>
      </c>
      <c r="D472" s="231"/>
      <c r="E472" s="229">
        <v>3</v>
      </c>
      <c r="F472" s="232">
        <v>29</v>
      </c>
      <c r="G472" s="230"/>
      <c r="S472" s="225">
        <v>1770.8610630000001</v>
      </c>
      <c r="T472" s="180" t="s">
        <v>8023</v>
      </c>
      <c r="Y472" s="225">
        <v>768.2</v>
      </c>
      <c r="Z472" s="180" t="s">
        <v>8023</v>
      </c>
      <c r="AA472" s="225">
        <v>91248.77</v>
      </c>
      <c r="AB472" s="180" t="s">
        <v>8023</v>
      </c>
      <c r="AC472">
        <v>36.72</v>
      </c>
      <c r="AD472" s="180" t="s">
        <v>8023</v>
      </c>
      <c r="AG472" s="225">
        <v>4.0199999999999996</v>
      </c>
      <c r="AH472" s="180" t="s">
        <v>8023</v>
      </c>
      <c r="AM472" s="225"/>
      <c r="BS472" s="225">
        <v>48.23</v>
      </c>
      <c r="BT472" s="180" t="s">
        <v>8023</v>
      </c>
      <c r="BU472" s="136">
        <v>20.92</v>
      </c>
      <c r="BV472" s="180" t="s">
        <v>8023</v>
      </c>
    </row>
    <row r="473" spans="1:74">
      <c r="A473" s="154" t="s">
        <v>7761</v>
      </c>
      <c r="B473" s="231" t="s">
        <v>259</v>
      </c>
      <c r="C473" s="231" t="s">
        <v>7982</v>
      </c>
      <c r="D473" s="231"/>
      <c r="E473" s="229">
        <v>2</v>
      </c>
      <c r="F473" s="232">
        <v>53</v>
      </c>
      <c r="G473" s="230"/>
      <c r="S473" s="225">
        <v>1931.501166</v>
      </c>
      <c r="T473" s="180" t="s">
        <v>8023</v>
      </c>
      <c r="Y473" s="225">
        <v>940.24</v>
      </c>
      <c r="Z473" s="180" t="s">
        <v>8023</v>
      </c>
      <c r="AA473" s="225">
        <v>89430.81</v>
      </c>
      <c r="AB473" s="180" t="s">
        <v>8023</v>
      </c>
      <c r="AC473">
        <v>41.8</v>
      </c>
      <c r="AD473" s="180" t="s">
        <v>8023</v>
      </c>
      <c r="AG473" s="225">
        <v>4.67</v>
      </c>
      <c r="AH473" s="180" t="s">
        <v>8023</v>
      </c>
      <c r="AM473" s="225"/>
      <c r="BS473" s="225">
        <v>46.21</v>
      </c>
      <c r="BT473" s="180" t="s">
        <v>8023</v>
      </c>
      <c r="BU473" s="136">
        <v>22.49</v>
      </c>
      <c r="BV473" s="180" t="s">
        <v>8023</v>
      </c>
    </row>
    <row r="474" spans="1:74">
      <c r="A474" s="154" t="s">
        <v>7875</v>
      </c>
      <c r="B474" s="231" t="s">
        <v>257</v>
      </c>
      <c r="C474" s="231" t="s">
        <v>405</v>
      </c>
      <c r="D474" s="231"/>
      <c r="E474" s="230">
        <v>5</v>
      </c>
      <c r="F474" s="232">
        <v>6</v>
      </c>
      <c r="G474" s="230"/>
      <c r="S474" s="225">
        <v>1239.674585</v>
      </c>
      <c r="T474" s="180" t="s">
        <v>8023</v>
      </c>
      <c r="Y474" s="225">
        <v>520.9</v>
      </c>
      <c r="Z474" s="180" t="s">
        <v>8023</v>
      </c>
      <c r="AA474" s="225">
        <v>56939.040000000001</v>
      </c>
      <c r="AB474" s="180" t="s">
        <v>8023</v>
      </c>
      <c r="AC474">
        <v>25.8</v>
      </c>
      <c r="AD474" s="180" t="s">
        <v>8023</v>
      </c>
      <c r="AG474" s="225">
        <v>4.53</v>
      </c>
      <c r="AH474" s="180" t="s">
        <v>8023</v>
      </c>
      <c r="AM474" s="225"/>
      <c r="BS474" s="225">
        <v>48.04</v>
      </c>
      <c r="BT474" s="180" t="s">
        <v>8023</v>
      </c>
      <c r="BU474" s="136">
        <v>20.190000000000001</v>
      </c>
      <c r="BV474" s="180" t="s">
        <v>8023</v>
      </c>
    </row>
    <row r="475" spans="1:74">
      <c r="A475" s="154" t="s">
        <v>7875</v>
      </c>
      <c r="B475" s="231" t="s">
        <v>259</v>
      </c>
      <c r="C475" s="231" t="s">
        <v>405</v>
      </c>
      <c r="D475" s="231"/>
      <c r="E475" s="230">
        <v>11</v>
      </c>
      <c r="F475" s="232">
        <v>28</v>
      </c>
      <c r="G475" s="230"/>
      <c r="S475" s="225">
        <v>1328.097383</v>
      </c>
      <c r="T475" s="180" t="s">
        <v>8023</v>
      </c>
      <c r="Y475" s="225">
        <v>608.66999999999996</v>
      </c>
      <c r="Z475" s="180" t="s">
        <v>8023</v>
      </c>
      <c r="AA475" s="225">
        <v>63043.76</v>
      </c>
      <c r="AB475" s="180" t="s">
        <v>8023</v>
      </c>
      <c r="AC475">
        <v>28.13</v>
      </c>
      <c r="AD475" s="180" t="s">
        <v>8023</v>
      </c>
      <c r="AG475" s="225">
        <v>4.46</v>
      </c>
      <c r="AH475" s="180" t="s">
        <v>8023</v>
      </c>
      <c r="AM475" s="225"/>
      <c r="BS475" s="225">
        <v>47.2</v>
      </c>
      <c r="BT475" s="180" t="s">
        <v>8023</v>
      </c>
      <c r="BU475" s="136">
        <v>21.63</v>
      </c>
      <c r="BV475" s="180" t="s">
        <v>8023</v>
      </c>
    </row>
    <row r="476" spans="1:74">
      <c r="A476" s="154" t="s">
        <v>7875</v>
      </c>
      <c r="B476" s="231" t="s">
        <v>257</v>
      </c>
      <c r="C476" s="231" t="s">
        <v>7963</v>
      </c>
      <c r="D476" s="231"/>
      <c r="E476" s="229">
        <v>12</v>
      </c>
      <c r="F476" s="232">
        <v>48</v>
      </c>
      <c r="G476" s="230"/>
      <c r="S476" s="225">
        <v>1514.845378</v>
      </c>
      <c r="T476" s="180" t="s">
        <v>8023</v>
      </c>
      <c r="Y476" s="225">
        <v>658.96</v>
      </c>
      <c r="Z476" s="180" t="s">
        <v>8023</v>
      </c>
      <c r="AA476" s="225">
        <v>74876.2</v>
      </c>
      <c r="AB476" s="180" t="s">
        <v>8023</v>
      </c>
      <c r="AC476">
        <v>31.92</v>
      </c>
      <c r="AD476" s="180" t="s">
        <v>8023</v>
      </c>
      <c r="AG476" s="225">
        <v>4.26</v>
      </c>
      <c r="AH476" s="180" t="s">
        <v>8023</v>
      </c>
      <c r="AM476" s="225"/>
      <c r="BS476" s="225">
        <v>47.45</v>
      </c>
      <c r="BT476" s="180" t="s">
        <v>8023</v>
      </c>
      <c r="BU476" s="136">
        <v>20.64</v>
      </c>
      <c r="BV476" s="180" t="s">
        <v>8023</v>
      </c>
    </row>
    <row r="477" spans="1:74">
      <c r="A477" s="154" t="s">
        <v>7875</v>
      </c>
      <c r="B477" s="231" t="s">
        <v>259</v>
      </c>
      <c r="C477" s="231" t="s">
        <v>7963</v>
      </c>
      <c r="D477" s="231"/>
      <c r="E477" s="229">
        <v>16</v>
      </c>
      <c r="F477" s="232">
        <v>57</v>
      </c>
      <c r="G477" s="230"/>
      <c r="S477" s="225">
        <v>1200.516662</v>
      </c>
      <c r="T477" s="180" t="s">
        <v>8023</v>
      </c>
      <c r="Y477" s="225">
        <v>544.69000000000005</v>
      </c>
      <c r="Z477" s="180" t="s">
        <v>8023</v>
      </c>
      <c r="AA477" s="225">
        <v>57359.22</v>
      </c>
      <c r="AB477" s="180" t="s">
        <v>8023</v>
      </c>
      <c r="AC477">
        <v>25.71</v>
      </c>
      <c r="AD477" s="180" t="s">
        <v>8023</v>
      </c>
      <c r="AG477" s="225">
        <v>4.4800000000000004</v>
      </c>
      <c r="AH477" s="180" t="s">
        <v>8023</v>
      </c>
      <c r="AM477" s="225"/>
      <c r="BS477" s="225">
        <v>46.7</v>
      </c>
      <c r="BT477" s="180" t="s">
        <v>8023</v>
      </c>
      <c r="BU477" s="136">
        <v>21.19</v>
      </c>
      <c r="BV477" s="180" t="s">
        <v>8023</v>
      </c>
    </row>
    <row r="478" spans="1:74">
      <c r="A478" s="154" t="s">
        <v>7875</v>
      </c>
      <c r="B478" s="231" t="s">
        <v>257</v>
      </c>
      <c r="C478" s="231" t="s">
        <v>7964</v>
      </c>
      <c r="D478" s="231"/>
      <c r="E478" s="229">
        <v>16</v>
      </c>
      <c r="F478" s="232">
        <v>3</v>
      </c>
      <c r="G478" s="230"/>
      <c r="S478" s="225">
        <v>1503.096207</v>
      </c>
      <c r="T478" s="180" t="s">
        <v>8023</v>
      </c>
      <c r="Y478" s="225">
        <v>656.53</v>
      </c>
      <c r="Z478" s="180" t="s">
        <v>8023</v>
      </c>
      <c r="AA478" s="225">
        <v>74217.63</v>
      </c>
      <c r="AB478" s="180" t="s">
        <v>8023</v>
      </c>
      <c r="AC478">
        <v>31.57</v>
      </c>
      <c r="AD478" s="180" t="s">
        <v>8023</v>
      </c>
      <c r="AG478" s="225">
        <v>4.25</v>
      </c>
      <c r="AH478" s="180" t="s">
        <v>8023</v>
      </c>
      <c r="AM478" s="225"/>
      <c r="BS478" s="225">
        <v>47.61</v>
      </c>
      <c r="BT478" s="180" t="s">
        <v>8023</v>
      </c>
      <c r="BU478" s="136">
        <v>20.79</v>
      </c>
      <c r="BV478" s="180" t="s">
        <v>8023</v>
      </c>
    </row>
    <row r="479" spans="1:74">
      <c r="A479" s="154" t="s">
        <v>7875</v>
      </c>
      <c r="B479" s="231" t="s">
        <v>259</v>
      </c>
      <c r="C479" s="231" t="s">
        <v>7964</v>
      </c>
      <c r="D479" s="231"/>
      <c r="E479" s="229">
        <v>21</v>
      </c>
      <c r="F479" s="232">
        <v>13</v>
      </c>
      <c r="G479" s="230"/>
      <c r="S479" s="225">
        <v>1068.1202370000001</v>
      </c>
      <c r="T479" s="180" t="s">
        <v>8023</v>
      </c>
      <c r="Y479" s="225">
        <v>496.39</v>
      </c>
      <c r="Z479" s="180" t="s">
        <v>8023</v>
      </c>
      <c r="AA479" s="225">
        <v>51462.5</v>
      </c>
      <c r="AB479" s="180" t="s">
        <v>8023</v>
      </c>
      <c r="AC479">
        <v>23.17</v>
      </c>
      <c r="AD479" s="180" t="s">
        <v>8023</v>
      </c>
      <c r="AG479" s="225">
        <v>4.5</v>
      </c>
      <c r="AH479" s="180" t="s">
        <v>8023</v>
      </c>
      <c r="AM479" s="225"/>
      <c r="BS479" s="225">
        <v>46.1</v>
      </c>
      <c r="BT479" s="180" t="s">
        <v>8023</v>
      </c>
      <c r="BU479" s="136">
        <v>21.42</v>
      </c>
      <c r="BV479" s="180" t="s">
        <v>8023</v>
      </c>
    </row>
    <row r="480" spans="1:74">
      <c r="A480" s="154" t="s">
        <v>7875</v>
      </c>
      <c r="B480" s="231" t="s">
        <v>257</v>
      </c>
      <c r="C480" s="231" t="s">
        <v>7982</v>
      </c>
      <c r="D480" s="231"/>
      <c r="E480" s="230">
        <v>4</v>
      </c>
      <c r="F480" s="232">
        <v>31</v>
      </c>
      <c r="G480" s="230"/>
      <c r="S480" s="225">
        <v>1152.962614</v>
      </c>
      <c r="T480" s="180" t="s">
        <v>8023</v>
      </c>
      <c r="Y480" s="225">
        <v>534.69000000000005</v>
      </c>
      <c r="Z480" s="180" t="s">
        <v>8023</v>
      </c>
      <c r="AA480" s="225">
        <v>50612.03</v>
      </c>
      <c r="AB480" s="180" t="s">
        <v>8023</v>
      </c>
      <c r="AC480">
        <v>24.85</v>
      </c>
      <c r="AD480" s="180" t="s">
        <v>8023</v>
      </c>
      <c r="AG480" s="225">
        <v>4.91</v>
      </c>
      <c r="AH480" s="180" t="s">
        <v>8023</v>
      </c>
      <c r="AM480" s="225"/>
      <c r="BS480" s="225">
        <v>46.4</v>
      </c>
      <c r="BT480" s="180" t="s">
        <v>8023</v>
      </c>
      <c r="BU480" s="136">
        <v>21.52</v>
      </c>
      <c r="BV480" s="180" t="s">
        <v>8023</v>
      </c>
    </row>
    <row r="481" spans="1:74">
      <c r="A481" s="154" t="s">
        <v>7875</v>
      </c>
      <c r="B481" s="231" t="s">
        <v>259</v>
      </c>
      <c r="C481" s="231" t="s">
        <v>7982</v>
      </c>
      <c r="D481" s="231"/>
      <c r="E481" s="230">
        <v>4</v>
      </c>
      <c r="F481" s="232">
        <v>39</v>
      </c>
      <c r="G481" s="230"/>
      <c r="S481" s="225">
        <v>922.28126210000005</v>
      </c>
      <c r="T481" s="180" t="s">
        <v>8023</v>
      </c>
      <c r="Y481" s="225">
        <v>434.18</v>
      </c>
      <c r="Z481" s="180" t="s">
        <v>8023</v>
      </c>
      <c r="AA481" s="225">
        <v>49153.09</v>
      </c>
      <c r="AB481" s="180" t="s">
        <v>8023</v>
      </c>
      <c r="AC481">
        <v>20.010000000000002</v>
      </c>
      <c r="AD481" s="180" t="s">
        <v>8023</v>
      </c>
      <c r="AG481" s="225">
        <v>4.07</v>
      </c>
      <c r="AH481" s="180" t="s">
        <v>8023</v>
      </c>
      <c r="AM481" s="225"/>
      <c r="BS481" s="225">
        <v>46.08</v>
      </c>
      <c r="BT481" s="180" t="s">
        <v>8023</v>
      </c>
      <c r="BU481" s="136">
        <v>21.7</v>
      </c>
      <c r="BV481" s="180" t="s">
        <v>8023</v>
      </c>
    </row>
    <row r="482" spans="1:74">
      <c r="A482" s="154" t="s">
        <v>7762</v>
      </c>
      <c r="B482" s="231" t="s">
        <v>257</v>
      </c>
      <c r="C482" s="231" t="s">
        <v>405</v>
      </c>
      <c r="D482" s="231"/>
      <c r="E482" s="229">
        <v>8</v>
      </c>
      <c r="F482" s="232">
        <v>8</v>
      </c>
      <c r="G482" s="230"/>
      <c r="S482" s="225">
        <v>1139.0407749999999</v>
      </c>
      <c r="T482" s="180" t="s">
        <v>8023</v>
      </c>
      <c r="Y482" s="225">
        <v>503.64</v>
      </c>
      <c r="Z482" s="180" t="s">
        <v>8023</v>
      </c>
      <c r="AA482" s="225">
        <v>53469.18</v>
      </c>
      <c r="AB482" s="180" t="s">
        <v>8023</v>
      </c>
      <c r="AC482">
        <v>23.48</v>
      </c>
      <c r="AD482" s="180" t="s">
        <v>8023</v>
      </c>
      <c r="AG482" s="225">
        <v>4.3899999999999997</v>
      </c>
      <c r="AH482" s="180" t="s">
        <v>8023</v>
      </c>
      <c r="AM482" s="225"/>
      <c r="BS482" s="225">
        <v>48.5</v>
      </c>
      <c r="BT482" s="180" t="s">
        <v>8023</v>
      </c>
      <c r="BU482" s="136">
        <v>21.45</v>
      </c>
      <c r="BV482" s="180" t="s">
        <v>8023</v>
      </c>
    </row>
    <row r="483" spans="1:74">
      <c r="A483" s="154" t="s">
        <v>7762</v>
      </c>
      <c r="B483" s="231" t="s">
        <v>259</v>
      </c>
      <c r="C483" s="231" t="s">
        <v>405</v>
      </c>
      <c r="D483" s="231"/>
      <c r="E483" s="229">
        <v>9</v>
      </c>
      <c r="F483" s="232">
        <v>9</v>
      </c>
      <c r="G483" s="230"/>
      <c r="S483" s="225">
        <v>1449.4493279999999</v>
      </c>
      <c r="T483" s="180" t="s">
        <v>8023</v>
      </c>
      <c r="Y483" s="225">
        <v>651.13</v>
      </c>
      <c r="Z483" s="180" t="s">
        <v>8023</v>
      </c>
      <c r="AA483" s="225">
        <v>71910.789999999994</v>
      </c>
      <c r="AB483" s="180" t="s">
        <v>8023</v>
      </c>
      <c r="AC483">
        <v>30.38</v>
      </c>
      <c r="AD483" s="180" t="s">
        <v>8023</v>
      </c>
      <c r="AG483" s="225">
        <v>4.22</v>
      </c>
      <c r="AH483" s="180" t="s">
        <v>8023</v>
      </c>
      <c r="AM483" s="225"/>
      <c r="BS483" s="225">
        <v>47.71</v>
      </c>
      <c r="BT483" s="180" t="s">
        <v>8023</v>
      </c>
      <c r="BU483" s="136">
        <v>21.43</v>
      </c>
      <c r="BV483" s="180" t="s">
        <v>8023</v>
      </c>
    </row>
    <row r="484" spans="1:74">
      <c r="A484" s="154" t="s">
        <v>7762</v>
      </c>
      <c r="B484" s="231" t="s">
        <v>257</v>
      </c>
      <c r="C484" s="231" t="s">
        <v>7963</v>
      </c>
      <c r="D484" s="231"/>
      <c r="E484" s="229">
        <v>10</v>
      </c>
      <c r="F484" s="232">
        <v>45</v>
      </c>
      <c r="G484" s="230"/>
      <c r="S484" s="225">
        <v>1380.200194</v>
      </c>
      <c r="T484" s="180" t="s">
        <v>8023</v>
      </c>
      <c r="Y484" s="225">
        <v>594.07000000000005</v>
      </c>
      <c r="Z484" s="180" t="s">
        <v>8023</v>
      </c>
      <c r="AA484" s="225">
        <v>63844.18</v>
      </c>
      <c r="AB484" s="180" t="s">
        <v>8023</v>
      </c>
      <c r="AC484">
        <v>28.62</v>
      </c>
      <c r="AD484" s="180" t="s">
        <v>8023</v>
      </c>
      <c r="AG484" s="225">
        <v>4.4800000000000004</v>
      </c>
      <c r="AH484" s="180" t="s">
        <v>8023</v>
      </c>
      <c r="AM484" s="225"/>
      <c r="BS484" s="225">
        <v>48.23</v>
      </c>
      <c r="BT484" s="180" t="s">
        <v>8023</v>
      </c>
      <c r="BU484" s="136">
        <v>20.76</v>
      </c>
      <c r="BV484" s="180" t="s">
        <v>8023</v>
      </c>
    </row>
    <row r="485" spans="1:74">
      <c r="A485" s="154" t="s">
        <v>7762</v>
      </c>
      <c r="B485" s="231" t="s">
        <v>259</v>
      </c>
      <c r="C485" s="231" t="s">
        <v>7963</v>
      </c>
      <c r="D485" s="231"/>
      <c r="E485" s="229">
        <v>16</v>
      </c>
      <c r="F485" s="232">
        <v>44</v>
      </c>
      <c r="G485" s="230"/>
      <c r="S485" s="225">
        <v>1218.2868470000001</v>
      </c>
      <c r="T485" s="180" t="s">
        <v>8023</v>
      </c>
      <c r="Y485" s="225">
        <v>579.91</v>
      </c>
      <c r="Z485" s="180" t="s">
        <v>8023</v>
      </c>
      <c r="AA485" s="225">
        <v>58984.95</v>
      </c>
      <c r="AB485" s="180" t="s">
        <v>8023</v>
      </c>
      <c r="AC485">
        <v>26.14</v>
      </c>
      <c r="AD485" s="180" t="s">
        <v>8023</v>
      </c>
      <c r="AG485" s="225">
        <v>4.43</v>
      </c>
      <c r="AH485" s="180" t="s">
        <v>8023</v>
      </c>
      <c r="AM485" s="225"/>
      <c r="BS485" s="225">
        <v>46.61</v>
      </c>
      <c r="BT485" s="180" t="s">
        <v>8023</v>
      </c>
      <c r="BU485" s="136">
        <v>22.19</v>
      </c>
      <c r="BV485" s="180" t="s">
        <v>8023</v>
      </c>
    </row>
    <row r="486" spans="1:74">
      <c r="A486" s="154" t="s">
        <v>7762</v>
      </c>
      <c r="B486" s="231" t="s">
        <v>257</v>
      </c>
      <c r="C486" s="231" t="s">
        <v>7964</v>
      </c>
      <c r="D486" s="231"/>
      <c r="E486" s="230">
        <v>16</v>
      </c>
      <c r="F486" s="232">
        <v>4</v>
      </c>
      <c r="G486" s="230"/>
      <c r="S486" s="225">
        <v>1324.643603</v>
      </c>
      <c r="T486" s="180" t="s">
        <v>8023</v>
      </c>
      <c r="Y486" s="225">
        <v>657.05</v>
      </c>
      <c r="Z486" s="180" t="s">
        <v>8023</v>
      </c>
      <c r="AA486" s="225">
        <v>70892.58</v>
      </c>
      <c r="AB486" s="180" t="s">
        <v>8023</v>
      </c>
      <c r="AC486">
        <v>28.92</v>
      </c>
      <c r="AD486" s="180" t="s">
        <v>8023</v>
      </c>
      <c r="AG486" s="225">
        <v>4.08</v>
      </c>
      <c r="AH486" s="180" t="s">
        <v>8023</v>
      </c>
      <c r="AM486" s="225"/>
      <c r="BS486" s="225">
        <v>45.8</v>
      </c>
      <c r="BT486" s="180" t="s">
        <v>8023</v>
      </c>
      <c r="BU486" s="136">
        <v>22.72</v>
      </c>
      <c r="BV486" s="180" t="s">
        <v>8023</v>
      </c>
    </row>
    <row r="487" spans="1:74">
      <c r="A487" s="154" t="s">
        <v>7762</v>
      </c>
      <c r="B487" s="231" t="s">
        <v>259</v>
      </c>
      <c r="C487" s="231" t="s">
        <v>7964</v>
      </c>
      <c r="D487" s="231"/>
      <c r="E487" s="230">
        <v>19</v>
      </c>
      <c r="F487" s="232">
        <v>3</v>
      </c>
      <c r="G487" s="230"/>
      <c r="S487" s="225">
        <v>1320.0722720000001</v>
      </c>
      <c r="T487" s="180" t="s">
        <v>8023</v>
      </c>
      <c r="Y487" s="225">
        <v>645.72</v>
      </c>
      <c r="Z487" s="180" t="s">
        <v>8023</v>
      </c>
      <c r="AA487" s="225">
        <v>66433.89</v>
      </c>
      <c r="AB487" s="180" t="s">
        <v>8023</v>
      </c>
      <c r="AC487">
        <v>28.69</v>
      </c>
      <c r="AD487" s="180" t="s">
        <v>8023</v>
      </c>
      <c r="AG487" s="225">
        <v>4.32</v>
      </c>
      <c r="AH487" s="180" t="s">
        <v>8023</v>
      </c>
      <c r="AM487" s="225"/>
      <c r="BS487" s="225">
        <v>46</v>
      </c>
      <c r="BT487" s="180" t="s">
        <v>8023</v>
      </c>
      <c r="BU487" s="136">
        <v>22.5</v>
      </c>
      <c r="BV487" s="180" t="s">
        <v>8023</v>
      </c>
    </row>
    <row r="488" spans="1:74">
      <c r="A488" s="154" t="s">
        <v>7762</v>
      </c>
      <c r="B488" s="231" t="s">
        <v>257</v>
      </c>
      <c r="C488" s="231" t="s">
        <v>7982</v>
      </c>
      <c r="D488" s="231"/>
      <c r="E488" s="229">
        <v>4</v>
      </c>
      <c r="F488" s="232">
        <v>16</v>
      </c>
      <c r="G488" s="230"/>
      <c r="S488" s="225">
        <v>1165.7361679999999</v>
      </c>
      <c r="T488" s="180" t="s">
        <v>8023</v>
      </c>
      <c r="Y488" s="225">
        <v>547.55999999999995</v>
      </c>
      <c r="Z488" s="180" t="s">
        <v>8023</v>
      </c>
      <c r="AA488" s="225">
        <v>54490.13</v>
      </c>
      <c r="AB488" s="180" t="s">
        <v>8023</v>
      </c>
      <c r="AC488">
        <v>24.68</v>
      </c>
      <c r="AD488" s="180" t="s">
        <v>8023</v>
      </c>
      <c r="AG488" s="225">
        <v>4.53</v>
      </c>
      <c r="AH488" s="180" t="s">
        <v>8023</v>
      </c>
      <c r="AM488" s="225"/>
      <c r="BS488" s="225">
        <v>47.24</v>
      </c>
      <c r="BT488" s="180" t="s">
        <v>8023</v>
      </c>
      <c r="BU488" s="136">
        <v>22.19</v>
      </c>
      <c r="BV488" s="180" t="s">
        <v>8023</v>
      </c>
    </row>
    <row r="489" spans="1:74">
      <c r="A489" s="154" t="s">
        <v>7762</v>
      </c>
      <c r="B489" s="231" t="s">
        <v>259</v>
      </c>
      <c r="C489" s="231" t="s">
        <v>7982</v>
      </c>
      <c r="D489" s="231"/>
      <c r="E489" s="229">
        <v>4</v>
      </c>
      <c r="F489" s="232">
        <v>38</v>
      </c>
      <c r="G489" s="230"/>
      <c r="S489" s="225">
        <v>988.44499089999999</v>
      </c>
      <c r="T489" s="180" t="s">
        <v>8023</v>
      </c>
      <c r="Y489" s="225">
        <v>507.58</v>
      </c>
      <c r="Z489" s="180" t="s">
        <v>8023</v>
      </c>
      <c r="AA489" s="225">
        <v>51347.03</v>
      </c>
      <c r="AB489" s="180" t="s">
        <v>8023</v>
      </c>
      <c r="AC489">
        <v>21.81</v>
      </c>
      <c r="AD489" s="180" t="s">
        <v>8023</v>
      </c>
      <c r="AG489" s="225">
        <v>4.25</v>
      </c>
      <c r="AH489" s="180" t="s">
        <v>8023</v>
      </c>
      <c r="AM489" s="225"/>
      <c r="BS489" s="225">
        <v>45.31</v>
      </c>
      <c r="BT489" s="180" t="s">
        <v>8023</v>
      </c>
      <c r="BU489" s="136">
        <v>23.27</v>
      </c>
      <c r="BV489" s="180" t="s">
        <v>8023</v>
      </c>
    </row>
    <row r="490" spans="1:74">
      <c r="A490" s="154" t="s">
        <v>7763</v>
      </c>
      <c r="B490" s="231" t="s">
        <v>257</v>
      </c>
      <c r="C490" s="231" t="s">
        <v>405</v>
      </c>
      <c r="D490" s="231"/>
      <c r="E490" s="229">
        <v>5</v>
      </c>
      <c r="F490" s="232">
        <v>21</v>
      </c>
      <c r="G490" s="230"/>
      <c r="S490" s="225">
        <v>1861.8006330000001</v>
      </c>
      <c r="T490" s="180" t="s">
        <v>8023</v>
      </c>
      <c r="Y490" s="225">
        <v>799.89</v>
      </c>
      <c r="Z490" s="180" t="s">
        <v>8023</v>
      </c>
      <c r="AA490" s="225">
        <v>78494.31</v>
      </c>
      <c r="AB490" s="180" t="s">
        <v>8023</v>
      </c>
      <c r="AC490">
        <v>39.42</v>
      </c>
      <c r="AD490" s="180" t="s">
        <v>8023</v>
      </c>
      <c r="AG490" s="225">
        <v>5.0199999999999996</v>
      </c>
      <c r="AH490" s="180" t="s">
        <v>8023</v>
      </c>
      <c r="AM490" s="225"/>
      <c r="BS490" s="225">
        <v>47.23</v>
      </c>
      <c r="BT490" s="180" t="s">
        <v>8023</v>
      </c>
      <c r="BU490" s="136">
        <v>20.29</v>
      </c>
      <c r="BV490" s="180" t="s">
        <v>8023</v>
      </c>
    </row>
    <row r="491" spans="1:74">
      <c r="A491" s="154" t="s">
        <v>7763</v>
      </c>
      <c r="B491" s="231" t="s">
        <v>259</v>
      </c>
      <c r="C491" s="231" t="s">
        <v>405</v>
      </c>
      <c r="D491" s="231"/>
      <c r="E491" s="229">
        <v>10</v>
      </c>
      <c r="F491" s="232">
        <v>10</v>
      </c>
      <c r="G491" s="230"/>
      <c r="S491" s="225">
        <v>1905.2178060000001</v>
      </c>
      <c r="T491" s="180" t="s">
        <v>8023</v>
      </c>
      <c r="Y491" s="225">
        <v>828</v>
      </c>
      <c r="Z491" s="180" t="s">
        <v>8023</v>
      </c>
      <c r="AA491" s="225">
        <v>80086.460000000006</v>
      </c>
      <c r="AB491" s="180" t="s">
        <v>8023</v>
      </c>
      <c r="AC491">
        <v>40.17</v>
      </c>
      <c r="AD491" s="180" t="s">
        <v>8023</v>
      </c>
      <c r="AG491" s="225">
        <v>5.0199999999999996</v>
      </c>
      <c r="AH491" s="180" t="s">
        <v>8023</v>
      </c>
      <c r="AM491" s="225"/>
      <c r="BS491" s="225">
        <v>47.42</v>
      </c>
      <c r="BT491" s="180" t="s">
        <v>8023</v>
      </c>
      <c r="BU491" s="136">
        <v>20.61</v>
      </c>
      <c r="BV491" s="180" t="s">
        <v>8023</v>
      </c>
    </row>
    <row r="492" spans="1:74">
      <c r="A492" s="154" t="s">
        <v>7763</v>
      </c>
      <c r="B492" s="231" t="s">
        <v>257</v>
      </c>
      <c r="C492" s="231" t="s">
        <v>7963</v>
      </c>
      <c r="D492" s="231"/>
      <c r="E492" s="230">
        <v>9</v>
      </c>
      <c r="F492" s="232">
        <v>62</v>
      </c>
      <c r="G492" s="230"/>
      <c r="S492" s="225">
        <v>1811.9826370000001</v>
      </c>
      <c r="T492" s="180" t="s">
        <v>8023</v>
      </c>
      <c r="Y492" s="225">
        <v>734.51</v>
      </c>
      <c r="Z492" s="180" t="s">
        <v>8023</v>
      </c>
      <c r="AA492" s="225">
        <v>71196.320000000007</v>
      </c>
      <c r="AB492" s="180" t="s">
        <v>8023</v>
      </c>
      <c r="AC492">
        <v>36.979999999999997</v>
      </c>
      <c r="AD492" s="180" t="s">
        <v>8023</v>
      </c>
      <c r="AG492" s="225">
        <v>5.19</v>
      </c>
      <c r="AH492" s="180" t="s">
        <v>8023</v>
      </c>
      <c r="AM492" s="225"/>
      <c r="BS492" s="225">
        <v>49</v>
      </c>
      <c r="BT492" s="180" t="s">
        <v>8023</v>
      </c>
      <c r="BU492" s="136">
        <v>19.86</v>
      </c>
      <c r="BV492" s="180" t="s">
        <v>8023</v>
      </c>
    </row>
    <row r="493" spans="1:74">
      <c r="A493" s="154" t="s">
        <v>7763</v>
      </c>
      <c r="B493" s="231" t="s">
        <v>259</v>
      </c>
      <c r="C493" s="231" t="s">
        <v>7963</v>
      </c>
      <c r="D493" s="231"/>
      <c r="E493" s="230">
        <v>14</v>
      </c>
      <c r="F493" s="232">
        <v>42</v>
      </c>
      <c r="G493" s="230"/>
      <c r="S493" s="225">
        <v>1717.2139179999999</v>
      </c>
      <c r="T493" s="180" t="s">
        <v>8023</v>
      </c>
      <c r="Y493" s="225">
        <v>771.36</v>
      </c>
      <c r="Z493" s="180" t="s">
        <v>8023</v>
      </c>
      <c r="AA493" s="225">
        <v>74706.289999999994</v>
      </c>
      <c r="AB493" s="180" t="s">
        <v>8023</v>
      </c>
      <c r="AC493">
        <v>36.79</v>
      </c>
      <c r="AD493" s="180" t="s">
        <v>8023</v>
      </c>
      <c r="AG493" s="225">
        <v>4.92</v>
      </c>
      <c r="AH493" s="180" t="s">
        <v>8023</v>
      </c>
      <c r="AM493" s="225"/>
      <c r="BS493" s="225">
        <v>46.67</v>
      </c>
      <c r="BT493" s="180" t="s">
        <v>8023</v>
      </c>
      <c r="BU493" s="136">
        <v>20.97</v>
      </c>
      <c r="BV493" s="180" t="s">
        <v>8023</v>
      </c>
    </row>
    <row r="494" spans="1:74">
      <c r="A494" s="154" t="s">
        <v>7763</v>
      </c>
      <c r="B494" s="231" t="s">
        <v>257</v>
      </c>
      <c r="C494" s="231" t="s">
        <v>7964</v>
      </c>
      <c r="D494" s="231"/>
      <c r="E494" s="229">
        <v>15</v>
      </c>
      <c r="F494" s="232">
        <v>17</v>
      </c>
      <c r="G494" s="230"/>
      <c r="S494" s="225">
        <v>1887.5875189999999</v>
      </c>
      <c r="T494" s="180" t="s">
        <v>8023</v>
      </c>
      <c r="Y494" s="225">
        <v>833.51</v>
      </c>
      <c r="Z494" s="180" t="s">
        <v>8023</v>
      </c>
      <c r="AA494" s="225">
        <v>84247.94</v>
      </c>
      <c r="AB494" s="180" t="s">
        <v>8023</v>
      </c>
      <c r="AC494">
        <v>39.979999999999997</v>
      </c>
      <c r="AD494" s="180" t="s">
        <v>8023</v>
      </c>
      <c r="AG494" s="225">
        <v>4.75</v>
      </c>
      <c r="AH494" s="180" t="s">
        <v>8023</v>
      </c>
      <c r="AM494" s="225"/>
      <c r="BS494" s="225">
        <v>47.21</v>
      </c>
      <c r="BT494" s="180" t="s">
        <v>8023</v>
      </c>
      <c r="BU494" s="136">
        <v>20.85</v>
      </c>
      <c r="BV494" s="180" t="s">
        <v>8023</v>
      </c>
    </row>
    <row r="495" spans="1:74">
      <c r="A495" s="154" t="s">
        <v>7763</v>
      </c>
      <c r="B495" s="231" t="s">
        <v>259</v>
      </c>
      <c r="C495" s="231" t="s">
        <v>7964</v>
      </c>
      <c r="D495" s="231"/>
      <c r="E495" s="229">
        <v>17</v>
      </c>
      <c r="F495" s="232">
        <v>26</v>
      </c>
      <c r="G495" s="230"/>
      <c r="S495" s="225">
        <v>1448.0934159999999</v>
      </c>
      <c r="T495" s="180" t="s">
        <v>8023</v>
      </c>
      <c r="Y495" s="225">
        <v>689.39</v>
      </c>
      <c r="Z495" s="180" t="s">
        <v>8023</v>
      </c>
      <c r="AA495" s="225">
        <v>62994.75</v>
      </c>
      <c r="AB495" s="180" t="s">
        <v>8023</v>
      </c>
      <c r="AC495">
        <v>31.39</v>
      </c>
      <c r="AD495" s="180" t="s">
        <v>8023</v>
      </c>
      <c r="AG495" s="225">
        <v>4.9800000000000004</v>
      </c>
      <c r="AH495" s="180" t="s">
        <v>8023</v>
      </c>
      <c r="AM495" s="225"/>
      <c r="BS495" s="225">
        <v>46.13</v>
      </c>
      <c r="BT495" s="180" t="s">
        <v>8023</v>
      </c>
      <c r="BU495" s="136">
        <v>21.96</v>
      </c>
      <c r="BV495" s="180" t="s">
        <v>8023</v>
      </c>
    </row>
    <row r="496" spans="1:74">
      <c r="A496" s="154" t="s">
        <v>7763</v>
      </c>
      <c r="B496" s="231" t="s">
        <v>257</v>
      </c>
      <c r="C496" s="231" t="s">
        <v>7982</v>
      </c>
      <c r="D496" s="231"/>
      <c r="E496" s="229">
        <v>4</v>
      </c>
      <c r="F496" s="232">
        <v>21</v>
      </c>
      <c r="G496" s="230"/>
      <c r="S496" s="225">
        <v>1861.42012</v>
      </c>
      <c r="T496" s="180" t="s">
        <v>8023</v>
      </c>
      <c r="Y496" s="225">
        <v>770.33</v>
      </c>
      <c r="Z496" s="180" t="s">
        <v>8023</v>
      </c>
      <c r="AA496" s="225">
        <v>77297.86</v>
      </c>
      <c r="AB496" s="180" t="s">
        <v>8023</v>
      </c>
      <c r="AC496">
        <v>38.729999999999997</v>
      </c>
      <c r="AD496" s="180" t="s">
        <v>8023</v>
      </c>
      <c r="AG496" s="225">
        <v>5.01</v>
      </c>
      <c r="AH496" s="180" t="s">
        <v>8023</v>
      </c>
      <c r="AM496" s="225"/>
      <c r="BS496" s="225">
        <v>48.06</v>
      </c>
      <c r="BT496" s="180" t="s">
        <v>8023</v>
      </c>
      <c r="BU496" s="136">
        <v>19.89</v>
      </c>
      <c r="BV496" s="180" t="s">
        <v>8023</v>
      </c>
    </row>
    <row r="497" spans="1:74">
      <c r="A497" s="154" t="s">
        <v>7763</v>
      </c>
      <c r="B497" s="231" t="s">
        <v>259</v>
      </c>
      <c r="C497" s="231" t="s">
        <v>7982</v>
      </c>
      <c r="D497" s="231"/>
      <c r="E497" s="229">
        <v>1</v>
      </c>
      <c r="F497" s="232">
        <v>59</v>
      </c>
      <c r="G497" s="230"/>
      <c r="S497" s="225">
        <v>1616.7077830000001</v>
      </c>
      <c r="T497" s="180" t="s">
        <v>8023</v>
      </c>
      <c r="Y497" s="225">
        <v>741.2</v>
      </c>
      <c r="Z497" s="180" t="s">
        <v>8023</v>
      </c>
      <c r="AA497" s="225">
        <v>72664.649999999994</v>
      </c>
      <c r="AB497" s="180" t="s">
        <v>8023</v>
      </c>
      <c r="AC497">
        <v>34.71</v>
      </c>
      <c r="AD497" s="180" t="s">
        <v>8023</v>
      </c>
      <c r="AG497" s="225">
        <v>4.78</v>
      </c>
      <c r="AH497" s="180" t="s">
        <v>8023</v>
      </c>
      <c r="AM497" s="225"/>
      <c r="BS497" s="225">
        <v>46.58</v>
      </c>
      <c r="BT497" s="180" t="s">
        <v>8023</v>
      </c>
      <c r="BU497" s="136">
        <v>21.36</v>
      </c>
      <c r="BV497" s="180" t="s">
        <v>8023</v>
      </c>
    </row>
    <row r="498" spans="1:74">
      <c r="A498" s="154" t="s">
        <v>7764</v>
      </c>
      <c r="B498" s="231" t="s">
        <v>257</v>
      </c>
      <c r="C498" s="231" t="s">
        <v>405</v>
      </c>
      <c r="D498" s="231"/>
      <c r="E498" s="230">
        <v>8</v>
      </c>
      <c r="F498" s="232">
        <v>18</v>
      </c>
      <c r="G498" s="230"/>
      <c r="S498" s="225">
        <v>1566.7014670000001</v>
      </c>
      <c r="T498" s="180" t="s">
        <v>8023</v>
      </c>
      <c r="Y498" s="225">
        <v>681.01</v>
      </c>
      <c r="Z498" s="180" t="s">
        <v>8023</v>
      </c>
      <c r="AA498" s="225">
        <v>70071.25</v>
      </c>
      <c r="AB498" s="180" t="s">
        <v>8023</v>
      </c>
      <c r="AC498">
        <v>32.28</v>
      </c>
      <c r="AD498" s="180" t="s">
        <v>8023</v>
      </c>
      <c r="AG498" s="225">
        <v>4.6100000000000003</v>
      </c>
      <c r="AH498" s="180" t="s">
        <v>8023</v>
      </c>
      <c r="AM498" s="225"/>
      <c r="BS498" s="225">
        <v>48.54</v>
      </c>
      <c r="BT498" s="180" t="s">
        <v>8023</v>
      </c>
      <c r="BU498" s="136">
        <v>21.1</v>
      </c>
      <c r="BV498" s="180" t="s">
        <v>8023</v>
      </c>
    </row>
    <row r="499" spans="1:74">
      <c r="A499" s="154" t="s">
        <v>7764</v>
      </c>
      <c r="B499" s="231" t="s">
        <v>259</v>
      </c>
      <c r="C499" s="231" t="s">
        <v>405</v>
      </c>
      <c r="D499" s="231"/>
      <c r="E499" s="230">
        <v>12</v>
      </c>
      <c r="F499" s="232">
        <v>12</v>
      </c>
      <c r="G499" s="230"/>
      <c r="S499" s="225">
        <v>1288.032496</v>
      </c>
      <c r="T499" s="180" t="s">
        <v>8023</v>
      </c>
      <c r="Y499" s="225">
        <v>615.21</v>
      </c>
      <c r="Z499" s="180" t="s">
        <v>8023</v>
      </c>
      <c r="AA499" s="225">
        <v>61064.35</v>
      </c>
      <c r="AB499" s="180" t="s">
        <v>8023</v>
      </c>
      <c r="AC499">
        <v>27.43</v>
      </c>
      <c r="AD499" s="180" t="s">
        <v>8023</v>
      </c>
      <c r="AG499" s="225">
        <v>4.49</v>
      </c>
      <c r="AH499" s="180" t="s">
        <v>8023</v>
      </c>
      <c r="AM499" s="225"/>
      <c r="BS499" s="225">
        <v>46.95</v>
      </c>
      <c r="BT499" s="180" t="s">
        <v>8023</v>
      </c>
      <c r="BU499" s="136">
        <v>22.43</v>
      </c>
      <c r="BV499" s="180" t="s">
        <v>8023</v>
      </c>
    </row>
    <row r="500" spans="1:74">
      <c r="A500" s="154" t="s">
        <v>7764</v>
      </c>
      <c r="B500" s="231" t="s">
        <v>257</v>
      </c>
      <c r="C500" s="231" t="s">
        <v>7963</v>
      </c>
      <c r="D500" s="231"/>
      <c r="E500" s="229">
        <v>10</v>
      </c>
      <c r="F500" s="232">
        <v>52</v>
      </c>
      <c r="G500" s="230"/>
      <c r="S500" s="225">
        <v>1608.7021789999999</v>
      </c>
      <c r="T500" s="180" t="s">
        <v>8023</v>
      </c>
      <c r="Y500" s="225">
        <v>723.27</v>
      </c>
      <c r="Z500" s="180" t="s">
        <v>8023</v>
      </c>
      <c r="AA500" s="225">
        <v>75878.600000000006</v>
      </c>
      <c r="AB500" s="180" t="s">
        <v>8023</v>
      </c>
      <c r="AC500">
        <v>33.61</v>
      </c>
      <c r="AD500" s="180" t="s">
        <v>8023</v>
      </c>
      <c r="AG500" s="225">
        <v>4.43</v>
      </c>
      <c r="AH500" s="180" t="s">
        <v>8023</v>
      </c>
      <c r="AM500" s="225"/>
      <c r="BS500" s="225">
        <v>47.86</v>
      </c>
      <c r="BT500" s="180" t="s">
        <v>8023</v>
      </c>
      <c r="BU500" s="136">
        <v>21.52</v>
      </c>
      <c r="BV500" s="180" t="s">
        <v>8023</v>
      </c>
    </row>
    <row r="501" spans="1:74">
      <c r="A501" s="154" t="s">
        <v>7764</v>
      </c>
      <c r="B501" s="231" t="s">
        <v>259</v>
      </c>
      <c r="C501" s="231" t="s">
        <v>7963</v>
      </c>
      <c r="D501" s="231"/>
      <c r="E501" s="229">
        <v>14</v>
      </c>
      <c r="F501" s="232">
        <v>45</v>
      </c>
      <c r="G501" s="230"/>
      <c r="S501" s="225">
        <v>1380.7895510000001</v>
      </c>
      <c r="T501" s="180" t="s">
        <v>8023</v>
      </c>
      <c r="Y501" s="225">
        <v>683.4</v>
      </c>
      <c r="Z501" s="180" t="s">
        <v>8023</v>
      </c>
      <c r="AA501" s="225">
        <v>69616.62</v>
      </c>
      <c r="AB501" s="180" t="s">
        <v>8023</v>
      </c>
      <c r="AC501">
        <v>30.24</v>
      </c>
      <c r="AD501" s="180" t="s">
        <v>8023</v>
      </c>
      <c r="AG501" s="225">
        <v>4.34</v>
      </c>
      <c r="AH501" s="180" t="s">
        <v>8023</v>
      </c>
      <c r="AM501" s="225"/>
      <c r="BS501" s="225">
        <v>45.66</v>
      </c>
      <c r="BT501" s="180" t="s">
        <v>8023</v>
      </c>
      <c r="BU501" s="136">
        <v>22.6</v>
      </c>
      <c r="BV501" s="180" t="s">
        <v>8023</v>
      </c>
    </row>
    <row r="502" spans="1:74">
      <c r="A502" s="154" t="s">
        <v>7764</v>
      </c>
      <c r="B502" s="231" t="s">
        <v>257</v>
      </c>
      <c r="C502" s="231" t="s">
        <v>7964</v>
      </c>
      <c r="D502" s="231"/>
      <c r="E502" s="229">
        <v>14</v>
      </c>
      <c r="F502" s="232">
        <v>16</v>
      </c>
      <c r="G502" s="230"/>
      <c r="S502" s="225">
        <v>1672.79638</v>
      </c>
      <c r="T502" s="180" t="s">
        <v>8023</v>
      </c>
      <c r="Y502" s="225">
        <v>779.86</v>
      </c>
      <c r="Z502" s="180" t="s">
        <v>8023</v>
      </c>
      <c r="AA502" s="225">
        <v>81361.22</v>
      </c>
      <c r="AB502" s="180" t="s">
        <v>8023</v>
      </c>
      <c r="AC502">
        <v>35.520000000000003</v>
      </c>
      <c r="AD502" s="180" t="s">
        <v>8023</v>
      </c>
      <c r="AG502" s="225">
        <v>4.37</v>
      </c>
      <c r="AH502" s="180" t="s">
        <v>8023</v>
      </c>
      <c r="AM502" s="225"/>
      <c r="BS502" s="225">
        <v>47.1</v>
      </c>
      <c r="BT502" s="180" t="s">
        <v>8023</v>
      </c>
      <c r="BU502" s="136">
        <v>21.96</v>
      </c>
      <c r="BV502" s="180" t="s">
        <v>8023</v>
      </c>
    </row>
    <row r="503" spans="1:74">
      <c r="A503" s="154" t="s">
        <v>7764</v>
      </c>
      <c r="B503" s="231" t="s">
        <v>259</v>
      </c>
      <c r="C503" s="231" t="s">
        <v>7964</v>
      </c>
      <c r="D503" s="231"/>
      <c r="E503" s="229">
        <v>19</v>
      </c>
      <c r="F503" s="232">
        <v>20</v>
      </c>
      <c r="G503" s="230"/>
      <c r="S503" s="225">
        <v>1454.4392809999999</v>
      </c>
      <c r="T503" s="180" t="s">
        <v>8023</v>
      </c>
      <c r="Y503" s="225">
        <v>762.62</v>
      </c>
      <c r="Z503" s="180" t="s">
        <v>8023</v>
      </c>
      <c r="AA503" s="225">
        <v>77921.23</v>
      </c>
      <c r="AB503" s="180" t="s">
        <v>8023</v>
      </c>
      <c r="AC503">
        <v>32.340000000000003</v>
      </c>
      <c r="AD503" s="180" t="s">
        <v>8023</v>
      </c>
      <c r="AG503" s="225">
        <v>4.1500000000000004</v>
      </c>
      <c r="AH503" s="180" t="s">
        <v>8023</v>
      </c>
      <c r="AM503" s="225"/>
      <c r="BS503" s="225">
        <v>44.97</v>
      </c>
      <c r="BT503" s="180" t="s">
        <v>8023</v>
      </c>
      <c r="BU503" s="136">
        <v>23.58</v>
      </c>
      <c r="BV503" s="180" t="s">
        <v>8023</v>
      </c>
    </row>
    <row r="504" spans="1:74">
      <c r="A504" s="154" t="s">
        <v>7764</v>
      </c>
      <c r="B504" s="231" t="s">
        <v>257</v>
      </c>
      <c r="C504" s="231" t="s">
        <v>7982</v>
      </c>
      <c r="D504" s="231"/>
      <c r="E504" s="230">
        <v>2</v>
      </c>
      <c r="F504" s="232">
        <v>17</v>
      </c>
      <c r="G504" s="230"/>
      <c r="S504" s="225">
        <v>1425.0603100000001</v>
      </c>
      <c r="T504" s="180" t="s">
        <v>8023</v>
      </c>
      <c r="Y504" s="225">
        <v>644.01</v>
      </c>
      <c r="Z504" s="180" t="s">
        <v>8023</v>
      </c>
      <c r="AA504" s="225">
        <v>61416.12</v>
      </c>
      <c r="AB504" s="180" t="s">
        <v>8023</v>
      </c>
      <c r="AC504">
        <v>30.07</v>
      </c>
      <c r="AD504" s="180" t="s">
        <v>8023</v>
      </c>
      <c r="AG504" s="225">
        <v>4.9000000000000004</v>
      </c>
      <c r="AH504" s="180" t="s">
        <v>8023</v>
      </c>
      <c r="AM504" s="225"/>
      <c r="BS504" s="225">
        <v>47.4</v>
      </c>
      <c r="BT504" s="180" t="s">
        <v>8023</v>
      </c>
      <c r="BU504" s="136">
        <v>21.42</v>
      </c>
      <c r="BV504" s="180" t="s">
        <v>8023</v>
      </c>
    </row>
    <row r="505" spans="1:74">
      <c r="A505" s="154" t="s">
        <v>7764</v>
      </c>
      <c r="B505" s="231" t="s">
        <v>259</v>
      </c>
      <c r="C505" s="231" t="s">
        <v>7982</v>
      </c>
      <c r="D505" s="231"/>
      <c r="E505" s="230">
        <v>2</v>
      </c>
      <c r="F505" s="232">
        <v>36</v>
      </c>
      <c r="G505" s="230"/>
      <c r="S505" s="225">
        <v>1212.246339</v>
      </c>
      <c r="T505" s="180" t="s">
        <v>8023</v>
      </c>
      <c r="Y505" s="225">
        <v>631.04999999999995</v>
      </c>
      <c r="Z505" s="180" t="s">
        <v>8023</v>
      </c>
      <c r="AA505" s="225">
        <v>58998.22</v>
      </c>
      <c r="AB505" s="180" t="s">
        <v>8023</v>
      </c>
      <c r="AC505">
        <v>27.05</v>
      </c>
      <c r="AD505" s="180" t="s">
        <v>8023</v>
      </c>
      <c r="AG505" s="225">
        <v>4.59</v>
      </c>
      <c r="AH505" s="180" t="s">
        <v>8023</v>
      </c>
      <c r="AM505" s="225"/>
      <c r="BS505" s="225">
        <v>44.81</v>
      </c>
      <c r="BT505" s="180" t="s">
        <v>8023</v>
      </c>
      <c r="BU505" s="136">
        <v>23.33</v>
      </c>
      <c r="BV505" s="180" t="s">
        <v>8023</v>
      </c>
    </row>
    <row r="506" spans="1:74">
      <c r="A506" s="154" t="s">
        <v>7855</v>
      </c>
      <c r="B506" s="231" t="s">
        <v>257</v>
      </c>
      <c r="C506" s="231" t="s">
        <v>405</v>
      </c>
      <c r="D506" s="231"/>
      <c r="E506" s="229">
        <v>5</v>
      </c>
      <c r="F506" s="232">
        <v>14</v>
      </c>
      <c r="G506" s="230"/>
      <c r="S506" s="225">
        <v>1440.8852429999999</v>
      </c>
      <c r="T506" s="180" t="s">
        <v>8023</v>
      </c>
      <c r="Y506" s="225">
        <v>664.32</v>
      </c>
      <c r="Z506" s="180" t="s">
        <v>8023</v>
      </c>
      <c r="AA506" s="225">
        <v>68830.92</v>
      </c>
      <c r="AB506" s="180" t="s">
        <v>8023</v>
      </c>
      <c r="AC506">
        <v>30.56</v>
      </c>
      <c r="AD506" s="180" t="s">
        <v>8023</v>
      </c>
      <c r="AG506" s="225">
        <v>4.4400000000000004</v>
      </c>
      <c r="AH506" s="180" t="s">
        <v>8023</v>
      </c>
      <c r="AM506" s="225"/>
      <c r="BS506" s="225">
        <v>47.15</v>
      </c>
      <c r="BT506" s="180" t="s">
        <v>8023</v>
      </c>
      <c r="BU506" s="136">
        <v>21.74</v>
      </c>
      <c r="BV506" s="180" t="s">
        <v>8023</v>
      </c>
    </row>
    <row r="507" spans="1:74">
      <c r="A507" s="154" t="s">
        <v>7855</v>
      </c>
      <c r="B507" s="231" t="s">
        <v>259</v>
      </c>
      <c r="C507" s="231" t="s">
        <v>405</v>
      </c>
      <c r="D507" s="231"/>
      <c r="E507" s="229">
        <v>12</v>
      </c>
      <c r="F507" s="232">
        <v>11</v>
      </c>
      <c r="G507" s="230"/>
      <c r="S507" s="225">
        <v>1481.8670950000001</v>
      </c>
      <c r="T507" s="180" t="s">
        <v>8023</v>
      </c>
      <c r="Y507" s="225">
        <v>706.65</v>
      </c>
      <c r="Z507" s="180" t="s">
        <v>8023</v>
      </c>
      <c r="AA507" s="225">
        <v>68796.759999999995</v>
      </c>
      <c r="AB507" s="180" t="s">
        <v>8023</v>
      </c>
      <c r="AC507">
        <v>31.76</v>
      </c>
      <c r="AD507" s="180" t="s">
        <v>8023</v>
      </c>
      <c r="AG507" s="225">
        <v>4.62</v>
      </c>
      <c r="AH507" s="180" t="s">
        <v>8023</v>
      </c>
      <c r="AM507" s="225"/>
      <c r="BS507" s="225">
        <v>46.65</v>
      </c>
      <c r="BT507" s="180" t="s">
        <v>8023</v>
      </c>
      <c r="BU507" s="136">
        <v>22.25</v>
      </c>
      <c r="BV507" s="180" t="s">
        <v>8023</v>
      </c>
    </row>
    <row r="508" spans="1:74">
      <c r="A508" s="154" t="s">
        <v>7855</v>
      </c>
      <c r="B508" s="231" t="s">
        <v>257</v>
      </c>
      <c r="C508" s="231" t="s">
        <v>7963</v>
      </c>
      <c r="D508" s="231"/>
      <c r="E508" s="229">
        <v>11</v>
      </c>
      <c r="F508" s="232">
        <v>46</v>
      </c>
      <c r="G508" s="230"/>
      <c r="S508" s="225" t="s">
        <v>7965</v>
      </c>
      <c r="T508" s="180" t="s">
        <v>8023</v>
      </c>
      <c r="Y508" s="225" t="s">
        <v>7965</v>
      </c>
      <c r="Z508" s="180" t="s">
        <v>8023</v>
      </c>
      <c r="AA508" s="225" t="s">
        <v>7965</v>
      </c>
      <c r="AB508" s="180" t="s">
        <v>8023</v>
      </c>
      <c r="AC508" t="s">
        <v>7965</v>
      </c>
      <c r="AD508" s="180" t="s">
        <v>8023</v>
      </c>
      <c r="AG508" s="225">
        <v>4.46</v>
      </c>
      <c r="AH508" s="180" t="s">
        <v>8023</v>
      </c>
      <c r="AM508" s="225"/>
      <c r="BS508" s="225">
        <v>49.01</v>
      </c>
      <c r="BT508" s="180" t="s">
        <v>8023</v>
      </c>
      <c r="BU508" s="136">
        <v>20.36</v>
      </c>
      <c r="BV508" s="180" t="s">
        <v>8023</v>
      </c>
    </row>
    <row r="509" spans="1:74">
      <c r="A509" s="154" t="s">
        <v>7855</v>
      </c>
      <c r="B509" s="231" t="s">
        <v>259</v>
      </c>
      <c r="C509" s="231" t="s">
        <v>7963</v>
      </c>
      <c r="D509" s="231"/>
      <c r="E509" s="229">
        <v>13</v>
      </c>
      <c r="F509" s="232">
        <v>38</v>
      </c>
      <c r="G509" s="230"/>
      <c r="S509" s="225">
        <v>1306.9314010000001</v>
      </c>
      <c r="T509" s="180" t="s">
        <v>8023</v>
      </c>
      <c r="Y509" s="225">
        <v>623.11</v>
      </c>
      <c r="Z509" s="180" t="s">
        <v>8023</v>
      </c>
      <c r="AA509" s="225">
        <v>65112.65</v>
      </c>
      <c r="AB509" s="180" t="s">
        <v>8023</v>
      </c>
      <c r="AC509">
        <v>28</v>
      </c>
      <c r="AD509" s="180" t="s">
        <v>8023</v>
      </c>
      <c r="AG509" s="225">
        <v>4.3</v>
      </c>
      <c r="AH509" s="180" t="s">
        <v>8023</v>
      </c>
      <c r="AM509" s="225"/>
      <c r="BS509" s="225">
        <v>46.67</v>
      </c>
      <c r="BT509" s="180" t="s">
        <v>8023</v>
      </c>
      <c r="BU509" s="136">
        <v>22.25</v>
      </c>
      <c r="BV509" s="180" t="s">
        <v>8023</v>
      </c>
    </row>
    <row r="510" spans="1:74">
      <c r="A510" s="154" t="s">
        <v>7855</v>
      </c>
      <c r="B510" s="231" t="s">
        <v>257</v>
      </c>
      <c r="C510" s="231" t="s">
        <v>7964</v>
      </c>
      <c r="D510" s="231"/>
      <c r="E510" s="230">
        <v>15</v>
      </c>
      <c r="F510" s="232">
        <v>21</v>
      </c>
      <c r="G510" s="230"/>
      <c r="S510" s="225">
        <v>1375.871793</v>
      </c>
      <c r="T510" s="180" t="s">
        <v>8023</v>
      </c>
      <c r="Y510" s="225">
        <v>628.75</v>
      </c>
      <c r="Z510" s="180" t="s">
        <v>8023</v>
      </c>
      <c r="AA510" s="225">
        <v>63347.46</v>
      </c>
      <c r="AB510" s="180" t="s">
        <v>8023</v>
      </c>
      <c r="AC510">
        <v>29.09</v>
      </c>
      <c r="AD510" s="180" t="s">
        <v>8023</v>
      </c>
      <c r="AG510" s="225">
        <v>4.59</v>
      </c>
      <c r="AH510" s="180" t="s">
        <v>8023</v>
      </c>
      <c r="AM510" s="225"/>
      <c r="BS510" s="225">
        <v>47.3</v>
      </c>
      <c r="BT510" s="180" t="s">
        <v>8023</v>
      </c>
      <c r="BU510" s="136">
        <v>21.62</v>
      </c>
      <c r="BV510" s="180" t="s">
        <v>8023</v>
      </c>
    </row>
    <row r="511" spans="1:74">
      <c r="A511" s="154" t="s">
        <v>7855</v>
      </c>
      <c r="B511" s="231" t="s">
        <v>259</v>
      </c>
      <c r="C511" s="231" t="s">
        <v>7964</v>
      </c>
      <c r="D511" s="231"/>
      <c r="E511" s="230">
        <v>20</v>
      </c>
      <c r="F511" s="232">
        <v>13</v>
      </c>
      <c r="G511" s="230"/>
      <c r="S511" s="225">
        <v>1434.4128490000001</v>
      </c>
      <c r="T511" s="180" t="s">
        <v>8023</v>
      </c>
      <c r="Y511" s="225">
        <v>671.91</v>
      </c>
      <c r="Z511" s="180" t="s">
        <v>8023</v>
      </c>
      <c r="AA511" s="225">
        <v>63543.39</v>
      </c>
      <c r="AB511" s="180" t="s">
        <v>8023</v>
      </c>
      <c r="AC511">
        <v>30.1</v>
      </c>
      <c r="AD511" s="180" t="s">
        <v>8023</v>
      </c>
      <c r="AG511" s="225">
        <v>4.74</v>
      </c>
      <c r="AH511" s="180" t="s">
        <v>8023</v>
      </c>
      <c r="AM511" s="225"/>
      <c r="BS511" s="225">
        <v>47.65</v>
      </c>
      <c r="BT511" s="180" t="s">
        <v>8023</v>
      </c>
      <c r="BU511" s="136">
        <v>22.32</v>
      </c>
      <c r="BV511" s="180" t="s">
        <v>8023</v>
      </c>
    </row>
    <row r="512" spans="1:74">
      <c r="A512" s="154" t="s">
        <v>7855</v>
      </c>
      <c r="B512" s="231" t="s">
        <v>257</v>
      </c>
      <c r="C512" s="231" t="s">
        <v>7982</v>
      </c>
      <c r="D512" s="231"/>
      <c r="E512" s="229">
        <v>4</v>
      </c>
      <c r="F512" s="232">
        <v>9</v>
      </c>
      <c r="G512" s="230"/>
      <c r="S512" s="225">
        <v>1213.163094</v>
      </c>
      <c r="T512" s="180" t="s">
        <v>8023</v>
      </c>
      <c r="Y512" s="225">
        <v>549.92999999999995</v>
      </c>
      <c r="Z512" s="180" t="s">
        <v>8023</v>
      </c>
      <c r="AA512" s="225">
        <v>50467.34</v>
      </c>
      <c r="AB512" s="180" t="s">
        <v>8023</v>
      </c>
      <c r="AC512">
        <v>25.53</v>
      </c>
      <c r="AD512" s="180" t="s">
        <v>8023</v>
      </c>
      <c r="AG512" s="225">
        <v>5.0599999999999996</v>
      </c>
      <c r="AH512" s="180" t="s">
        <v>8023</v>
      </c>
      <c r="AM512" s="225"/>
      <c r="BS512" s="225">
        <v>47.51</v>
      </c>
      <c r="BT512" s="180" t="s">
        <v>8023</v>
      </c>
      <c r="BU512" s="136">
        <v>21.54</v>
      </c>
      <c r="BV512" s="180" t="s">
        <v>8023</v>
      </c>
    </row>
    <row r="513" spans="1:74">
      <c r="A513" s="154" t="s">
        <v>7855</v>
      </c>
      <c r="B513" s="231" t="s">
        <v>259</v>
      </c>
      <c r="C513" s="231" t="s">
        <v>7982</v>
      </c>
      <c r="D513" s="231"/>
      <c r="E513" s="229">
        <v>3</v>
      </c>
      <c r="F513" s="232">
        <v>43</v>
      </c>
      <c r="G513" s="230"/>
      <c r="S513" s="225">
        <v>1560.1677649999999</v>
      </c>
      <c r="T513" s="180" t="s">
        <v>8023</v>
      </c>
      <c r="Y513" s="225">
        <v>719.3</v>
      </c>
      <c r="Z513" s="180" t="s">
        <v>8023</v>
      </c>
      <c r="AA513" s="225">
        <v>70606.399999999994</v>
      </c>
      <c r="AB513" s="180" t="s">
        <v>8023</v>
      </c>
      <c r="AC513">
        <v>33.08</v>
      </c>
      <c r="AD513" s="180" t="s">
        <v>8023</v>
      </c>
      <c r="AG513" s="225">
        <v>4.6900000000000004</v>
      </c>
      <c r="AH513" s="180" t="s">
        <v>8023</v>
      </c>
      <c r="AM513" s="225"/>
      <c r="BS513" s="225">
        <v>47.16</v>
      </c>
      <c r="BT513" s="180" t="s">
        <v>8023</v>
      </c>
      <c r="BU513" s="136">
        <v>21.74</v>
      </c>
      <c r="BV513" s="180" t="s">
        <v>8023</v>
      </c>
    </row>
    <row r="514" spans="1:74">
      <c r="A514" s="154" t="s">
        <v>7765</v>
      </c>
      <c r="B514" s="231" t="s">
        <v>257</v>
      </c>
      <c r="C514" s="231" t="s">
        <v>405</v>
      </c>
      <c r="D514" s="231"/>
      <c r="E514" s="229">
        <v>7</v>
      </c>
      <c r="F514" s="232">
        <v>30</v>
      </c>
      <c r="G514" s="230"/>
      <c r="S514" s="225">
        <v>1249.8251889999999</v>
      </c>
      <c r="T514" s="180" t="s">
        <v>8023</v>
      </c>
      <c r="Y514" s="225">
        <v>593.5</v>
      </c>
      <c r="Z514" s="180" t="s">
        <v>8023</v>
      </c>
      <c r="AA514" s="225">
        <v>51757.919999999998</v>
      </c>
      <c r="AB514" s="180" t="s">
        <v>8023</v>
      </c>
      <c r="AC514">
        <v>26.87</v>
      </c>
      <c r="AD514" s="180" t="s">
        <v>8023</v>
      </c>
      <c r="AG514" s="225">
        <v>5.19</v>
      </c>
      <c r="AH514" s="180" t="s">
        <v>8023</v>
      </c>
      <c r="AM514" s="225"/>
      <c r="BS514" s="225">
        <v>46.51</v>
      </c>
      <c r="BT514" s="180" t="s">
        <v>8023</v>
      </c>
      <c r="BU514" s="136">
        <v>22.09</v>
      </c>
      <c r="BV514" s="180" t="s">
        <v>8023</v>
      </c>
    </row>
    <row r="515" spans="1:74">
      <c r="A515" s="154" t="s">
        <v>7765</v>
      </c>
      <c r="B515" s="231" t="s">
        <v>259</v>
      </c>
      <c r="C515" s="231" t="s">
        <v>405</v>
      </c>
      <c r="D515" s="231"/>
      <c r="E515" s="229">
        <v>11</v>
      </c>
      <c r="F515" s="232">
        <v>5</v>
      </c>
      <c r="G515" s="230"/>
      <c r="S515" s="225">
        <v>1032.994758</v>
      </c>
      <c r="T515" s="180" t="s">
        <v>8023</v>
      </c>
      <c r="Y515" s="225">
        <v>538.91999999999996</v>
      </c>
      <c r="Z515" s="180" t="s">
        <v>8023</v>
      </c>
      <c r="AA515" s="225">
        <v>46587.59</v>
      </c>
      <c r="AB515" s="180" t="s">
        <v>8023</v>
      </c>
      <c r="AC515">
        <v>23.09</v>
      </c>
      <c r="AD515" s="180" t="s">
        <v>8023</v>
      </c>
      <c r="AG515" s="225">
        <v>4.96</v>
      </c>
      <c r="AH515" s="180" t="s">
        <v>8023</v>
      </c>
      <c r="AM515" s="225"/>
      <c r="BS515" s="225">
        <v>44.74</v>
      </c>
      <c r="BT515" s="180" t="s">
        <v>8023</v>
      </c>
      <c r="BU515" s="136">
        <v>23.34</v>
      </c>
      <c r="BV515" s="180" t="s">
        <v>8023</v>
      </c>
    </row>
    <row r="516" spans="1:74">
      <c r="A516" s="154" t="s">
        <v>7765</v>
      </c>
      <c r="B516" s="231" t="s">
        <v>257</v>
      </c>
      <c r="C516" s="231" t="s">
        <v>7963</v>
      </c>
      <c r="D516" s="231"/>
      <c r="E516" s="230">
        <v>10</v>
      </c>
      <c r="F516" s="232">
        <v>48</v>
      </c>
      <c r="G516" s="230"/>
      <c r="S516" s="225">
        <v>1075.6253810000001</v>
      </c>
      <c r="T516" s="180" t="s">
        <v>8023</v>
      </c>
      <c r="Y516" s="225">
        <v>492.13</v>
      </c>
      <c r="Z516" s="180" t="s">
        <v>8023</v>
      </c>
      <c r="AA516" s="225">
        <v>44063.51</v>
      </c>
      <c r="AB516" s="180" t="s">
        <v>8023</v>
      </c>
      <c r="AC516">
        <v>23</v>
      </c>
      <c r="AD516" s="180" t="s">
        <v>8023</v>
      </c>
      <c r="AG516" s="225">
        <v>5.22</v>
      </c>
      <c r="AH516" s="180" t="s">
        <v>8023</v>
      </c>
      <c r="AM516" s="225"/>
      <c r="BS516" s="225">
        <v>46.76</v>
      </c>
      <c r="BT516" s="180" t="s">
        <v>8023</v>
      </c>
      <c r="BU516" s="136">
        <v>21.39</v>
      </c>
      <c r="BV516" s="180" t="s">
        <v>8023</v>
      </c>
    </row>
    <row r="517" spans="1:74">
      <c r="A517" s="154" t="s">
        <v>7765</v>
      </c>
      <c r="B517" s="231" t="s">
        <v>259</v>
      </c>
      <c r="C517" s="231" t="s">
        <v>7963</v>
      </c>
      <c r="D517" s="231"/>
      <c r="E517" s="230">
        <v>14</v>
      </c>
      <c r="F517" s="232">
        <v>39</v>
      </c>
      <c r="G517" s="230"/>
      <c r="S517" s="225">
        <v>1175.8877279999999</v>
      </c>
      <c r="T517" s="180" t="s">
        <v>8023</v>
      </c>
      <c r="Y517" s="225">
        <v>583.44000000000005</v>
      </c>
      <c r="Z517" s="180" t="s">
        <v>8023</v>
      </c>
      <c r="AA517" s="225">
        <v>53184.47</v>
      </c>
      <c r="AB517" s="180" t="s">
        <v>8023</v>
      </c>
      <c r="AC517">
        <v>25.43</v>
      </c>
      <c r="AD517" s="180" t="s">
        <v>8023</v>
      </c>
      <c r="AG517" s="225">
        <v>4.78</v>
      </c>
      <c r="AH517" s="180" t="s">
        <v>8023</v>
      </c>
      <c r="AM517" s="225"/>
      <c r="BS517" s="225">
        <v>46.24</v>
      </c>
      <c r="BT517" s="180" t="s">
        <v>8023</v>
      </c>
      <c r="BU517" s="136">
        <v>22.94</v>
      </c>
      <c r="BV517" s="180" t="s">
        <v>8023</v>
      </c>
    </row>
    <row r="518" spans="1:74">
      <c r="A518" s="154" t="s">
        <v>7765</v>
      </c>
      <c r="B518" s="231" t="s">
        <v>257</v>
      </c>
      <c r="C518" s="231" t="s">
        <v>7964</v>
      </c>
      <c r="D518" s="231"/>
      <c r="E518" s="229">
        <v>13</v>
      </c>
      <c r="F518" s="232">
        <v>17</v>
      </c>
      <c r="G518" s="230"/>
      <c r="S518" s="225">
        <v>972.06631609999999</v>
      </c>
      <c r="T518" s="180" t="s">
        <v>8023</v>
      </c>
      <c r="Y518" s="225">
        <v>495.5</v>
      </c>
      <c r="Z518" s="180" t="s">
        <v>8023</v>
      </c>
      <c r="AA518" s="225">
        <v>41644.46</v>
      </c>
      <c r="AB518" s="180" t="s">
        <v>8023</v>
      </c>
      <c r="AC518">
        <v>21.55</v>
      </c>
      <c r="AD518" s="180" t="s">
        <v>8023</v>
      </c>
      <c r="AG518" s="225">
        <v>5.17</v>
      </c>
      <c r="AH518" s="180" t="s">
        <v>8023</v>
      </c>
      <c r="AM518" s="225"/>
      <c r="BS518" s="225">
        <v>45.12</v>
      </c>
      <c r="BT518" s="180" t="s">
        <v>8023</v>
      </c>
      <c r="BU518" s="136">
        <v>23</v>
      </c>
      <c r="BV518" s="180" t="s">
        <v>8023</v>
      </c>
    </row>
    <row r="519" spans="1:74">
      <c r="A519" s="154" t="s">
        <v>7765</v>
      </c>
      <c r="B519" s="231" t="s">
        <v>259</v>
      </c>
      <c r="C519" s="231" t="s">
        <v>7964</v>
      </c>
      <c r="D519" s="231"/>
      <c r="E519" s="229">
        <v>19</v>
      </c>
      <c r="F519" s="232">
        <v>19</v>
      </c>
      <c r="G519" s="230"/>
      <c r="S519" s="225">
        <v>1172.6202209999999</v>
      </c>
      <c r="T519" s="180" t="s">
        <v>8023</v>
      </c>
      <c r="Y519" s="225">
        <v>560.95000000000005</v>
      </c>
      <c r="Z519" s="180" t="s">
        <v>8023</v>
      </c>
      <c r="AA519" s="225">
        <v>52844.03</v>
      </c>
      <c r="AB519" s="180" t="s">
        <v>8023</v>
      </c>
      <c r="AC519">
        <v>25.35</v>
      </c>
      <c r="AD519" s="180" t="s">
        <v>8023</v>
      </c>
      <c r="AG519" s="225">
        <v>4.8</v>
      </c>
      <c r="AH519" s="180" t="s">
        <v>8023</v>
      </c>
      <c r="AM519" s="225"/>
      <c r="BS519" s="225">
        <v>46.26</v>
      </c>
      <c r="BT519" s="180" t="s">
        <v>8023</v>
      </c>
      <c r="BU519" s="136">
        <v>22.13</v>
      </c>
      <c r="BV519" s="180" t="s">
        <v>8023</v>
      </c>
    </row>
    <row r="520" spans="1:74">
      <c r="A520" s="154" t="s">
        <v>7765</v>
      </c>
      <c r="B520" s="231" t="s">
        <v>257</v>
      </c>
      <c r="C520" s="231" t="s">
        <v>7982</v>
      </c>
      <c r="D520" s="231"/>
      <c r="E520" s="229">
        <v>1</v>
      </c>
      <c r="F520" s="232">
        <v>6</v>
      </c>
      <c r="G520" s="230"/>
      <c r="S520" s="225">
        <v>1253.0236649999999</v>
      </c>
      <c r="T520" s="180" t="s">
        <v>8023</v>
      </c>
      <c r="Y520" s="225">
        <v>610.75</v>
      </c>
      <c r="Z520" s="180" t="s">
        <v>8023</v>
      </c>
      <c r="AA520" s="225">
        <v>52002.02</v>
      </c>
      <c r="AB520" s="180" t="s">
        <v>8023</v>
      </c>
      <c r="AC520">
        <v>27.4</v>
      </c>
      <c r="AD520" s="180" t="s">
        <v>8023</v>
      </c>
      <c r="AG520" s="225">
        <v>5.27</v>
      </c>
      <c r="AH520" s="180" t="s">
        <v>8023</v>
      </c>
      <c r="AM520" s="225"/>
      <c r="BS520" s="225">
        <v>45.73</v>
      </c>
      <c r="BT520" s="180" t="s">
        <v>8023</v>
      </c>
      <c r="BU520" s="136">
        <v>22.29</v>
      </c>
      <c r="BV520" s="180" t="s">
        <v>8023</v>
      </c>
    </row>
    <row r="521" spans="1:74">
      <c r="A521" s="154" t="s">
        <v>7765</v>
      </c>
      <c r="B521" s="231" t="s">
        <v>259</v>
      </c>
      <c r="C521" s="231" t="s">
        <v>7982</v>
      </c>
      <c r="D521" s="231"/>
      <c r="E521" s="229">
        <v>2</v>
      </c>
      <c r="F521" s="232">
        <v>57</v>
      </c>
      <c r="G521" s="230"/>
      <c r="S521" s="225">
        <v>990.98274379999998</v>
      </c>
      <c r="T521" s="180" t="s">
        <v>8023</v>
      </c>
      <c r="Y521" s="225">
        <v>543.54999999999995</v>
      </c>
      <c r="Z521" s="180" t="s">
        <v>8023</v>
      </c>
      <c r="AA521" s="225">
        <v>45347.16</v>
      </c>
      <c r="AB521" s="180" t="s">
        <v>8023</v>
      </c>
      <c r="AC521">
        <v>22.6</v>
      </c>
      <c r="AD521" s="180" t="s">
        <v>8023</v>
      </c>
      <c r="AG521" s="225">
        <v>4.9800000000000004</v>
      </c>
      <c r="AH521" s="180" t="s">
        <v>8023</v>
      </c>
      <c r="AM521" s="225"/>
      <c r="BS521" s="225">
        <v>43.85</v>
      </c>
      <c r="BT521" s="180" t="s">
        <v>8023</v>
      </c>
      <c r="BU521" s="136">
        <v>24.05</v>
      </c>
      <c r="BV521" s="180" t="s">
        <v>8023</v>
      </c>
    </row>
    <row r="522" spans="1:74">
      <c r="A522" s="154" t="s">
        <v>7766</v>
      </c>
      <c r="B522" s="231" t="s">
        <v>257</v>
      </c>
      <c r="C522" s="231" t="s">
        <v>405</v>
      </c>
      <c r="D522" s="231"/>
      <c r="E522" s="229">
        <v>8</v>
      </c>
      <c r="F522" s="232">
        <v>15</v>
      </c>
      <c r="G522" s="230"/>
      <c r="S522" s="225">
        <v>1386.7521859999999</v>
      </c>
      <c r="T522" s="180" t="s">
        <v>8023</v>
      </c>
      <c r="Y522" s="225">
        <v>647.76</v>
      </c>
      <c r="Z522" s="180" t="s">
        <v>8023</v>
      </c>
      <c r="AA522" s="225">
        <v>65600.649999999994</v>
      </c>
      <c r="AB522" s="180" t="s">
        <v>8023</v>
      </c>
      <c r="AC522">
        <v>30.36</v>
      </c>
      <c r="AD522" s="180" t="s">
        <v>8023</v>
      </c>
      <c r="AG522" s="225">
        <v>4.63</v>
      </c>
      <c r="AH522" s="180" t="s">
        <v>8023</v>
      </c>
      <c r="AM522" s="225"/>
      <c r="BS522" s="225">
        <v>45.68</v>
      </c>
      <c r="BT522" s="180" t="s">
        <v>8023</v>
      </c>
      <c r="BU522" s="136">
        <v>21.34</v>
      </c>
      <c r="BV522" s="180" t="s">
        <v>8023</v>
      </c>
    </row>
    <row r="523" spans="1:74">
      <c r="A523" s="154" t="s">
        <v>7766</v>
      </c>
      <c r="B523" s="231" t="s">
        <v>259</v>
      </c>
      <c r="C523" s="231" t="s">
        <v>405</v>
      </c>
      <c r="D523" s="231"/>
      <c r="E523" s="230">
        <v>10</v>
      </c>
      <c r="F523" s="232">
        <v>3</v>
      </c>
      <c r="G523" s="230"/>
      <c r="S523" s="225">
        <v>1593.4364439999999</v>
      </c>
      <c r="T523" s="180" t="s">
        <v>8023</v>
      </c>
      <c r="Y523" s="225">
        <v>749.4</v>
      </c>
      <c r="Z523" s="180" t="s">
        <v>8023</v>
      </c>
      <c r="AA523" s="225">
        <v>76116</v>
      </c>
      <c r="AB523" s="180" t="s">
        <v>8023</v>
      </c>
      <c r="AC523">
        <v>34.549999999999997</v>
      </c>
      <c r="AD523" s="180" t="s">
        <v>8023</v>
      </c>
      <c r="AG523" s="225">
        <v>4.54</v>
      </c>
      <c r="AH523" s="180" t="s">
        <v>8023</v>
      </c>
      <c r="AM523" s="225"/>
      <c r="BS523" s="225">
        <v>46.12</v>
      </c>
      <c r="BT523" s="180" t="s">
        <v>8023</v>
      </c>
      <c r="BU523" s="136">
        <v>21.69</v>
      </c>
      <c r="BV523" s="180" t="s">
        <v>8023</v>
      </c>
    </row>
    <row r="524" spans="1:74">
      <c r="A524" s="154" t="s">
        <v>7766</v>
      </c>
      <c r="B524" s="231" t="s">
        <v>257</v>
      </c>
      <c r="C524" s="231" t="s">
        <v>7963</v>
      </c>
      <c r="D524" s="231"/>
      <c r="E524" s="229">
        <v>12</v>
      </c>
      <c r="F524" s="232">
        <v>36</v>
      </c>
      <c r="G524" s="230"/>
      <c r="S524" s="225">
        <v>1294.3457229999999</v>
      </c>
      <c r="T524" s="180" t="s">
        <v>8023</v>
      </c>
      <c r="Y524" s="225">
        <v>579.71</v>
      </c>
      <c r="Z524" s="180" t="s">
        <v>8023</v>
      </c>
      <c r="AA524" s="225">
        <v>59432.36</v>
      </c>
      <c r="AB524" s="180" t="s">
        <v>8023</v>
      </c>
      <c r="AC524">
        <v>28.27</v>
      </c>
      <c r="AD524" s="180" t="s">
        <v>8023</v>
      </c>
      <c r="AG524" s="225">
        <v>4.76</v>
      </c>
      <c r="AH524" s="180" t="s">
        <v>8023</v>
      </c>
      <c r="AM524" s="225"/>
      <c r="BS524" s="225">
        <v>45.78</v>
      </c>
      <c r="BT524" s="180" t="s">
        <v>8023</v>
      </c>
      <c r="BU524" s="136">
        <v>20.5</v>
      </c>
      <c r="BV524" s="180" t="s">
        <v>8023</v>
      </c>
    </row>
    <row r="525" spans="1:74">
      <c r="A525" s="154" t="s">
        <v>7766</v>
      </c>
      <c r="B525" s="231" t="s">
        <v>259</v>
      </c>
      <c r="C525" s="231" t="s">
        <v>7963</v>
      </c>
      <c r="D525" s="231"/>
      <c r="E525" s="229">
        <v>13</v>
      </c>
      <c r="F525" s="232">
        <v>39</v>
      </c>
      <c r="G525" s="230"/>
      <c r="S525" s="225">
        <v>1236.016535</v>
      </c>
      <c r="T525" s="180" t="s">
        <v>8023</v>
      </c>
      <c r="Y525" s="225">
        <v>594.58000000000004</v>
      </c>
      <c r="Z525" s="180" t="s">
        <v>8023</v>
      </c>
      <c r="AA525" s="225">
        <v>56963.97</v>
      </c>
      <c r="AB525" s="180" t="s">
        <v>8023</v>
      </c>
      <c r="AC525">
        <v>27.18</v>
      </c>
      <c r="AD525" s="180" t="s">
        <v>8023</v>
      </c>
      <c r="AG525" s="225">
        <v>4.7699999999999996</v>
      </c>
      <c r="AH525" s="180" t="s">
        <v>8023</v>
      </c>
      <c r="AM525" s="225"/>
      <c r="BS525" s="225">
        <v>45.47</v>
      </c>
      <c r="BT525" s="180" t="s">
        <v>8023</v>
      </c>
      <c r="BU525" s="136">
        <v>21.87</v>
      </c>
      <c r="BV525" s="180" t="s">
        <v>8023</v>
      </c>
    </row>
    <row r="526" spans="1:74">
      <c r="A526" s="154" t="s">
        <v>7766</v>
      </c>
      <c r="B526" s="231" t="s">
        <v>257</v>
      </c>
      <c r="C526" s="231" t="s">
        <v>7964</v>
      </c>
      <c r="D526" s="231"/>
      <c r="E526" s="229">
        <v>16</v>
      </c>
      <c r="F526" s="232">
        <v>9</v>
      </c>
      <c r="G526" s="230"/>
      <c r="S526" s="225">
        <v>1397.74352</v>
      </c>
      <c r="T526" s="180" t="s">
        <v>8023</v>
      </c>
      <c r="Y526" s="225">
        <v>678.92</v>
      </c>
      <c r="Z526" s="180" t="s">
        <v>8023</v>
      </c>
      <c r="AA526" s="225">
        <v>65586.570000000007</v>
      </c>
      <c r="AB526" s="180" t="s">
        <v>8023</v>
      </c>
      <c r="AC526">
        <v>30.98</v>
      </c>
      <c r="AD526" s="180" t="s">
        <v>8023</v>
      </c>
      <c r="AG526" s="225">
        <v>4.72</v>
      </c>
      <c r="AH526" s="180" t="s">
        <v>8023</v>
      </c>
      <c r="AM526" s="225"/>
      <c r="BS526" s="225">
        <v>45.12</v>
      </c>
      <c r="BT526" s="180" t="s">
        <v>8023</v>
      </c>
      <c r="BU526" s="136">
        <v>21.92</v>
      </c>
      <c r="BV526" s="180" t="s">
        <v>8023</v>
      </c>
    </row>
    <row r="527" spans="1:74">
      <c r="A527" s="154" t="s">
        <v>7766</v>
      </c>
      <c r="B527" s="231" t="s">
        <v>259</v>
      </c>
      <c r="C527" s="231" t="s">
        <v>7964</v>
      </c>
      <c r="D527" s="231"/>
      <c r="E527" s="229">
        <v>20</v>
      </c>
      <c r="F527" s="232">
        <v>22</v>
      </c>
      <c r="G527" s="230"/>
      <c r="S527" s="225">
        <v>1524.944542</v>
      </c>
      <c r="T527" s="180" t="s">
        <v>8023</v>
      </c>
      <c r="Y527" s="225">
        <v>771.72</v>
      </c>
      <c r="Z527" s="180" t="s">
        <v>8023</v>
      </c>
      <c r="AA527" s="225">
        <v>73854.81</v>
      </c>
      <c r="AB527" s="180" t="s">
        <v>8023</v>
      </c>
      <c r="AC527">
        <v>34.15</v>
      </c>
      <c r="AD527" s="180" t="s">
        <v>8023</v>
      </c>
      <c r="AG527" s="225">
        <v>4.62</v>
      </c>
      <c r="AH527" s="180" t="s">
        <v>8023</v>
      </c>
      <c r="AM527" s="225"/>
      <c r="BS527" s="225">
        <v>44.65</v>
      </c>
      <c r="BT527" s="180" t="s">
        <v>8023</v>
      </c>
      <c r="BU527" s="136">
        <v>22.6</v>
      </c>
      <c r="BV527" s="180" t="s">
        <v>8023</v>
      </c>
    </row>
    <row r="528" spans="1:74">
      <c r="A528" s="154" t="s">
        <v>7766</v>
      </c>
      <c r="B528" s="231" t="s">
        <v>257</v>
      </c>
      <c r="C528" s="231" t="s">
        <v>7982</v>
      </c>
      <c r="D528" s="231"/>
      <c r="E528" s="229">
        <v>2</v>
      </c>
      <c r="F528" s="232">
        <v>9</v>
      </c>
      <c r="G528" s="230"/>
      <c r="S528" s="225">
        <v>1258.132245</v>
      </c>
      <c r="T528" s="180" t="s">
        <v>8023</v>
      </c>
      <c r="Y528" s="225">
        <v>571.35</v>
      </c>
      <c r="Z528" s="180" t="s">
        <v>8023</v>
      </c>
      <c r="AA528" s="225">
        <v>58339.3</v>
      </c>
      <c r="AB528" s="180" t="s">
        <v>8023</v>
      </c>
      <c r="AC528">
        <v>27.32</v>
      </c>
      <c r="AD528" s="180" t="s">
        <v>8023</v>
      </c>
      <c r="AG528" s="225">
        <v>4.68</v>
      </c>
      <c r="AH528" s="180" t="s">
        <v>8023</v>
      </c>
      <c r="AM528" s="225"/>
      <c r="BS528" s="225">
        <v>46.05</v>
      </c>
      <c r="BT528" s="180" t="s">
        <v>8023</v>
      </c>
      <c r="BU528" s="136">
        <v>20.91</v>
      </c>
      <c r="BV528" s="180" t="s">
        <v>8023</v>
      </c>
    </row>
    <row r="529" spans="1:74">
      <c r="A529" s="154" t="s">
        <v>7766</v>
      </c>
      <c r="B529" s="231" t="s">
        <v>259</v>
      </c>
      <c r="C529" s="231" t="s">
        <v>7982</v>
      </c>
      <c r="D529" s="231"/>
      <c r="E529" s="230">
        <v>1</v>
      </c>
      <c r="F529" s="232">
        <v>34</v>
      </c>
      <c r="G529" s="230"/>
      <c r="S529" s="225">
        <v>1226.773852</v>
      </c>
      <c r="T529" s="180" t="s">
        <v>8023</v>
      </c>
      <c r="Y529" s="225">
        <v>648.77</v>
      </c>
      <c r="Z529" s="180" t="s">
        <v>8023</v>
      </c>
      <c r="AA529" s="225">
        <v>60105.77</v>
      </c>
      <c r="AB529" s="180" t="s">
        <v>8023</v>
      </c>
      <c r="AC529">
        <v>27.93</v>
      </c>
      <c r="AD529" s="180" t="s">
        <v>8023</v>
      </c>
      <c r="AG529" s="225">
        <v>4.6500000000000004</v>
      </c>
      <c r="AH529" s="180" t="s">
        <v>8023</v>
      </c>
      <c r="AM529" s="225"/>
      <c r="BS529" s="225">
        <v>43.93</v>
      </c>
      <c r="BT529" s="180" t="s">
        <v>8023</v>
      </c>
      <c r="BU529" s="136">
        <v>23.23</v>
      </c>
      <c r="BV529" s="180" t="s">
        <v>8023</v>
      </c>
    </row>
    <row r="530" spans="1:74">
      <c r="A530" s="154" t="s">
        <v>7767</v>
      </c>
      <c r="B530" s="231" t="s">
        <v>257</v>
      </c>
      <c r="C530" s="231" t="s">
        <v>405</v>
      </c>
      <c r="D530" s="231"/>
      <c r="E530" s="229">
        <v>6</v>
      </c>
      <c r="F530" s="232">
        <v>4</v>
      </c>
      <c r="G530" s="230"/>
      <c r="S530" s="225">
        <v>950.11657909999997</v>
      </c>
      <c r="T530" s="180" t="s">
        <v>8023</v>
      </c>
      <c r="Y530" s="225">
        <v>406.08</v>
      </c>
      <c r="Z530" s="180" t="s">
        <v>8023</v>
      </c>
      <c r="AA530" s="225">
        <v>40914.53</v>
      </c>
      <c r="AB530" s="180" t="s">
        <v>8023</v>
      </c>
      <c r="AC530">
        <v>19.77</v>
      </c>
      <c r="AD530" s="180" t="s">
        <v>8023</v>
      </c>
      <c r="AG530" s="225">
        <v>4.83</v>
      </c>
      <c r="AH530" s="180" t="s">
        <v>8023</v>
      </c>
      <c r="AM530" s="225"/>
      <c r="BS530" s="225">
        <v>48.07</v>
      </c>
      <c r="BT530" s="180" t="s">
        <v>8023</v>
      </c>
      <c r="BU530" s="136">
        <v>20.55</v>
      </c>
      <c r="BV530" s="180" t="s">
        <v>8023</v>
      </c>
    </row>
    <row r="531" spans="1:74">
      <c r="A531" s="154" t="s">
        <v>7767</v>
      </c>
      <c r="B531" s="231" t="s">
        <v>259</v>
      </c>
      <c r="C531" s="231" t="s">
        <v>405</v>
      </c>
      <c r="D531" s="231"/>
      <c r="E531" s="229">
        <v>10</v>
      </c>
      <c r="F531" s="232">
        <v>23</v>
      </c>
      <c r="G531" s="230"/>
      <c r="S531" s="225">
        <v>936.3813543</v>
      </c>
      <c r="T531" s="180" t="s">
        <v>8023</v>
      </c>
      <c r="Y531" s="225">
        <v>438.64</v>
      </c>
      <c r="Z531" s="180" t="s">
        <v>8023</v>
      </c>
      <c r="AA531" s="225">
        <v>39464.519999999997</v>
      </c>
      <c r="AB531" s="180" t="s">
        <v>8023</v>
      </c>
      <c r="AC531">
        <v>19.600000000000001</v>
      </c>
      <c r="AD531" s="180" t="s">
        <v>8023</v>
      </c>
      <c r="AG531" s="225">
        <v>4.97</v>
      </c>
      <c r="AH531" s="180" t="s">
        <v>8023</v>
      </c>
      <c r="AM531" s="225"/>
      <c r="BS531" s="225">
        <v>47.77</v>
      </c>
      <c r="BT531" s="180" t="s">
        <v>8023</v>
      </c>
      <c r="BU531" s="136">
        <v>22.38</v>
      </c>
      <c r="BV531" s="180" t="s">
        <v>8023</v>
      </c>
    </row>
    <row r="532" spans="1:74">
      <c r="A532" s="154" t="s">
        <v>7767</v>
      </c>
      <c r="B532" s="231" t="s">
        <v>257</v>
      </c>
      <c r="C532" s="231" t="s">
        <v>7963</v>
      </c>
      <c r="D532" s="231"/>
      <c r="E532" s="229">
        <v>10</v>
      </c>
      <c r="F532" s="232">
        <v>56</v>
      </c>
      <c r="G532" s="230"/>
      <c r="S532" s="225">
        <v>1163.3488010000001</v>
      </c>
      <c r="T532" s="180" t="s">
        <v>8023</v>
      </c>
      <c r="Y532" s="225">
        <v>497.2</v>
      </c>
      <c r="Z532" s="180" t="s">
        <v>8023</v>
      </c>
      <c r="AA532" s="225">
        <v>54537.09</v>
      </c>
      <c r="AB532" s="180" t="s">
        <v>8023</v>
      </c>
      <c r="AC532">
        <v>24.07</v>
      </c>
      <c r="AD532" s="180" t="s">
        <v>8023</v>
      </c>
      <c r="AG532" s="225">
        <v>4.41</v>
      </c>
      <c r="AH532" s="180" t="s">
        <v>8023</v>
      </c>
      <c r="AM532" s="225"/>
      <c r="BS532" s="225">
        <v>48.33</v>
      </c>
      <c r="BT532" s="180" t="s">
        <v>8023</v>
      </c>
      <c r="BU532" s="136">
        <v>20.66</v>
      </c>
      <c r="BV532" s="180" t="s">
        <v>8023</v>
      </c>
    </row>
    <row r="533" spans="1:74">
      <c r="A533" s="154" t="s">
        <v>7767</v>
      </c>
      <c r="B533" s="231" t="s">
        <v>259</v>
      </c>
      <c r="C533" s="231" t="s">
        <v>7963</v>
      </c>
      <c r="D533" s="231"/>
      <c r="E533" s="229">
        <v>13</v>
      </c>
      <c r="F533" s="232">
        <v>64</v>
      </c>
      <c r="G533" s="230"/>
      <c r="S533" s="225">
        <v>1300.14167</v>
      </c>
      <c r="T533" s="180" t="s">
        <v>8023</v>
      </c>
      <c r="Y533" s="225">
        <v>567.69000000000005</v>
      </c>
      <c r="Z533" s="180" t="s">
        <v>8023</v>
      </c>
      <c r="AA533" s="225">
        <v>59452.63</v>
      </c>
      <c r="AB533" s="180" t="s">
        <v>8023</v>
      </c>
      <c r="AC533">
        <v>27.32</v>
      </c>
      <c r="AD533" s="180" t="s">
        <v>8023</v>
      </c>
      <c r="AG533" s="225">
        <v>4.5999999999999996</v>
      </c>
      <c r="AH533" s="180" t="s">
        <v>8023</v>
      </c>
      <c r="AM533" s="225"/>
      <c r="BS533" s="225">
        <v>47.59</v>
      </c>
      <c r="BT533" s="180" t="s">
        <v>8023</v>
      </c>
      <c r="BU533" s="136">
        <v>20.78</v>
      </c>
      <c r="BV533" s="180" t="s">
        <v>8023</v>
      </c>
    </row>
    <row r="534" spans="1:74">
      <c r="A534" s="154" t="s">
        <v>7767</v>
      </c>
      <c r="B534" s="231" t="s">
        <v>257</v>
      </c>
      <c r="C534" s="231" t="s">
        <v>7964</v>
      </c>
      <c r="D534" s="231"/>
      <c r="E534" s="230">
        <v>15</v>
      </c>
      <c r="F534" s="232">
        <v>16</v>
      </c>
      <c r="G534" s="230"/>
      <c r="S534" s="225">
        <v>1412.78468</v>
      </c>
      <c r="T534" s="180" t="s">
        <v>8023</v>
      </c>
      <c r="Y534" s="225">
        <v>628.6</v>
      </c>
      <c r="Z534" s="180" t="s">
        <v>8023</v>
      </c>
      <c r="AA534" s="225">
        <v>67654</v>
      </c>
      <c r="AB534" s="180" t="s">
        <v>8023</v>
      </c>
      <c r="AC534">
        <v>29.72</v>
      </c>
      <c r="AD534" s="180" t="s">
        <v>8023</v>
      </c>
      <c r="AG534" s="225">
        <v>4.3899999999999997</v>
      </c>
      <c r="AH534" s="180" t="s">
        <v>8023</v>
      </c>
      <c r="AM534" s="225"/>
      <c r="BS534" s="225">
        <v>47.54</v>
      </c>
      <c r="BT534" s="180" t="s">
        <v>8023</v>
      </c>
      <c r="BU534" s="136">
        <v>21.15</v>
      </c>
      <c r="BV534" s="180" t="s">
        <v>8023</v>
      </c>
    </row>
    <row r="535" spans="1:74">
      <c r="A535" s="154" t="s">
        <v>7767</v>
      </c>
      <c r="B535" s="231" t="s">
        <v>259</v>
      </c>
      <c r="C535" s="231" t="s">
        <v>7964</v>
      </c>
      <c r="D535" s="231"/>
      <c r="E535" s="230">
        <v>19</v>
      </c>
      <c r="F535" s="232">
        <v>14</v>
      </c>
      <c r="G535" s="230"/>
      <c r="S535" s="225">
        <v>737.74775680000005</v>
      </c>
      <c r="T535" s="180" t="s">
        <v>8023</v>
      </c>
      <c r="Y535" s="225">
        <v>368.47</v>
      </c>
      <c r="Z535" s="180" t="s">
        <v>8023</v>
      </c>
      <c r="AA535" s="225">
        <v>33721.68</v>
      </c>
      <c r="AB535" s="180" t="s">
        <v>8023</v>
      </c>
      <c r="AC535">
        <v>16.100000000000001</v>
      </c>
      <c r="AD535" s="180" t="s">
        <v>8023</v>
      </c>
      <c r="AG535" s="225">
        <v>4.7699999999999996</v>
      </c>
      <c r="AH535" s="180" t="s">
        <v>8023</v>
      </c>
      <c r="AM535" s="225"/>
      <c r="BS535" s="225">
        <v>45.82</v>
      </c>
      <c r="BT535" s="180" t="s">
        <v>8023</v>
      </c>
      <c r="BU535" s="136">
        <v>22.89</v>
      </c>
      <c r="BV535" s="180" t="s">
        <v>8023</v>
      </c>
    </row>
    <row r="536" spans="1:74">
      <c r="A536" s="154" t="s">
        <v>7767</v>
      </c>
      <c r="B536" s="231" t="s">
        <v>257</v>
      </c>
      <c r="C536" s="231" t="s">
        <v>7982</v>
      </c>
      <c r="D536" s="231"/>
      <c r="E536" s="229">
        <v>1</v>
      </c>
      <c r="F536" s="232">
        <v>13</v>
      </c>
      <c r="G536" s="230"/>
      <c r="S536" s="225">
        <v>1418.3578620000001</v>
      </c>
      <c r="T536" s="180" t="s">
        <v>8023</v>
      </c>
      <c r="Y536" s="225">
        <v>613.63</v>
      </c>
      <c r="Z536" s="180" t="s">
        <v>8023</v>
      </c>
      <c r="AA536" s="225">
        <v>63288.32</v>
      </c>
      <c r="AB536" s="180" t="s">
        <v>8023</v>
      </c>
      <c r="AC536">
        <v>29.61</v>
      </c>
      <c r="AD536" s="180" t="s">
        <v>8023</v>
      </c>
      <c r="AG536" s="225">
        <v>4.68</v>
      </c>
      <c r="AH536" s="180" t="s">
        <v>8023</v>
      </c>
      <c r="AM536" s="225"/>
      <c r="BS536" s="225">
        <v>47.9</v>
      </c>
      <c r="BT536" s="180" t="s">
        <v>8023</v>
      </c>
      <c r="BU536" s="136">
        <v>20.72</v>
      </c>
      <c r="BV536" s="180" t="s">
        <v>8023</v>
      </c>
    </row>
    <row r="537" spans="1:74">
      <c r="A537" s="154" t="s">
        <v>7767</v>
      </c>
      <c r="B537" s="231" t="s">
        <v>259</v>
      </c>
      <c r="C537" s="231" t="s">
        <v>7982</v>
      </c>
      <c r="D537" s="231"/>
      <c r="E537" s="229">
        <v>3</v>
      </c>
      <c r="F537" s="232">
        <v>55</v>
      </c>
      <c r="G537" s="230"/>
      <c r="S537" s="225">
        <v>1348.8534159999999</v>
      </c>
      <c r="T537" s="180" t="s">
        <v>8023</v>
      </c>
      <c r="Y537" s="225">
        <v>672.45</v>
      </c>
      <c r="Z537" s="180" t="s">
        <v>8023</v>
      </c>
      <c r="AA537" s="225">
        <v>72036.55</v>
      </c>
      <c r="AB537" s="180" t="s">
        <v>8023</v>
      </c>
      <c r="AC537">
        <v>29.61</v>
      </c>
      <c r="AD537" s="180" t="s">
        <v>8023</v>
      </c>
      <c r="AG537" s="225">
        <v>4.1100000000000003</v>
      </c>
      <c r="AH537" s="180" t="s">
        <v>8023</v>
      </c>
      <c r="AM537" s="225"/>
      <c r="BS537" s="225">
        <v>45.55</v>
      </c>
      <c r="BT537" s="180" t="s">
        <v>8023</v>
      </c>
      <c r="BU537" s="136">
        <v>22.71</v>
      </c>
      <c r="BV537" s="180" t="s">
        <v>8023</v>
      </c>
    </row>
    <row r="538" spans="1:74">
      <c r="A538" s="154" t="s">
        <v>7768</v>
      </c>
      <c r="B538" s="231" t="s">
        <v>257</v>
      </c>
      <c r="C538" s="231" t="s">
        <v>405</v>
      </c>
      <c r="D538" s="231"/>
      <c r="E538" s="229">
        <v>7</v>
      </c>
      <c r="F538" s="232">
        <v>25</v>
      </c>
      <c r="G538" s="230"/>
      <c r="S538" s="225">
        <v>1360.0251330000001</v>
      </c>
      <c r="T538" s="180" t="s">
        <v>8023</v>
      </c>
      <c r="Y538" s="225">
        <v>659.13</v>
      </c>
      <c r="Z538" s="180" t="s">
        <v>8023</v>
      </c>
      <c r="AA538" s="225">
        <v>60107.18</v>
      </c>
      <c r="AB538" s="180" t="s">
        <v>8023</v>
      </c>
      <c r="AC538">
        <v>30.35</v>
      </c>
      <c r="AD538" s="180" t="s">
        <v>8023</v>
      </c>
      <c r="AG538" s="225">
        <v>5.05</v>
      </c>
      <c r="AH538" s="180" t="s">
        <v>8023</v>
      </c>
      <c r="AM538" s="225"/>
      <c r="BS538" s="225">
        <v>44.81</v>
      </c>
      <c r="BT538" s="180" t="s">
        <v>8023</v>
      </c>
      <c r="BU538" s="136">
        <v>21.72</v>
      </c>
      <c r="BV538" s="180" t="s">
        <v>8023</v>
      </c>
    </row>
    <row r="539" spans="1:74">
      <c r="A539" s="154" t="s">
        <v>7768</v>
      </c>
      <c r="B539" s="231" t="s">
        <v>259</v>
      </c>
      <c r="C539" s="231" t="s">
        <v>405</v>
      </c>
      <c r="D539" s="231"/>
      <c r="E539" s="229">
        <v>10</v>
      </c>
      <c r="F539" s="232">
        <v>1</v>
      </c>
      <c r="G539" s="230"/>
      <c r="S539" s="225">
        <v>1225.9717969999999</v>
      </c>
      <c r="T539" s="180" t="s">
        <v>8023</v>
      </c>
      <c r="Y539" s="225">
        <v>615.87</v>
      </c>
      <c r="Z539" s="180" t="s">
        <v>8023</v>
      </c>
      <c r="AA539" s="225">
        <v>52411.13</v>
      </c>
      <c r="AB539" s="180" t="s">
        <v>8023</v>
      </c>
      <c r="AC539">
        <v>27.35</v>
      </c>
      <c r="AD539" s="180" t="s">
        <v>8023</v>
      </c>
      <c r="AG539" s="225">
        <v>5.22</v>
      </c>
      <c r="AH539" s="180" t="s">
        <v>8023</v>
      </c>
      <c r="AM539" s="225"/>
      <c r="BS539" s="225">
        <v>44.82</v>
      </c>
      <c r="BT539" s="180" t="s">
        <v>8023</v>
      </c>
      <c r="BU539" s="136">
        <v>22.52</v>
      </c>
      <c r="BV539" s="180" t="s">
        <v>8023</v>
      </c>
    </row>
    <row r="540" spans="1:74">
      <c r="A540" s="154" t="s">
        <v>7768</v>
      </c>
      <c r="B540" s="231" t="s">
        <v>257</v>
      </c>
      <c r="C540" s="231" t="s">
        <v>7963</v>
      </c>
      <c r="D540" s="231"/>
      <c r="E540" s="230">
        <v>11</v>
      </c>
      <c r="F540" s="232">
        <v>47</v>
      </c>
      <c r="G540" s="230"/>
      <c r="S540" s="225">
        <v>1284.041138</v>
      </c>
      <c r="T540" s="180" t="s">
        <v>8023</v>
      </c>
      <c r="Y540" s="225">
        <v>573.86</v>
      </c>
      <c r="Z540" s="180" t="s">
        <v>8023</v>
      </c>
      <c r="AA540" s="225">
        <v>53298.82</v>
      </c>
      <c r="AB540" s="180" t="s">
        <v>8023</v>
      </c>
      <c r="AC540">
        <v>27.55</v>
      </c>
      <c r="AD540" s="180" t="s">
        <v>8023</v>
      </c>
      <c r="AG540" s="225">
        <v>5.17</v>
      </c>
      <c r="AH540" s="180" t="s">
        <v>8023</v>
      </c>
      <c r="AM540" s="225"/>
      <c r="BS540" s="225">
        <v>46.61</v>
      </c>
      <c r="BT540" s="180" t="s">
        <v>8023</v>
      </c>
      <c r="BU540" s="136">
        <v>20.83</v>
      </c>
      <c r="BV540" s="180" t="s">
        <v>8023</v>
      </c>
    </row>
    <row r="541" spans="1:74">
      <c r="A541" s="154" t="s">
        <v>7768</v>
      </c>
      <c r="B541" s="231" t="s">
        <v>259</v>
      </c>
      <c r="C541" s="231" t="s">
        <v>7963</v>
      </c>
      <c r="D541" s="231"/>
      <c r="E541" s="230">
        <v>16</v>
      </c>
      <c r="F541" s="232">
        <v>33</v>
      </c>
      <c r="G541" s="230"/>
      <c r="S541" s="225">
        <v>1113.565881</v>
      </c>
      <c r="T541" s="180" t="s">
        <v>8023</v>
      </c>
      <c r="Y541" s="225">
        <v>575.4</v>
      </c>
      <c r="Z541" s="180" t="s">
        <v>8023</v>
      </c>
      <c r="AA541" s="225">
        <v>51648.76</v>
      </c>
      <c r="AB541" s="180" t="s">
        <v>8023</v>
      </c>
      <c r="AC541">
        <v>25.33</v>
      </c>
      <c r="AD541" s="180" t="s">
        <v>8023</v>
      </c>
      <c r="AG541" s="225">
        <v>4.9000000000000004</v>
      </c>
      <c r="AH541" s="180" t="s">
        <v>8023</v>
      </c>
      <c r="AM541" s="225"/>
      <c r="BS541" s="225">
        <v>43.97</v>
      </c>
      <c r="BT541" s="180" t="s">
        <v>8023</v>
      </c>
      <c r="BU541" s="136">
        <v>22.72</v>
      </c>
      <c r="BV541" s="180" t="s">
        <v>8023</v>
      </c>
    </row>
    <row r="542" spans="1:74">
      <c r="A542" s="154" t="s">
        <v>7768</v>
      </c>
      <c r="B542" s="231" t="s">
        <v>257</v>
      </c>
      <c r="C542" s="231" t="s">
        <v>7964</v>
      </c>
      <c r="D542" s="231"/>
      <c r="E542" s="229">
        <v>16</v>
      </c>
      <c r="F542" s="232">
        <v>24</v>
      </c>
      <c r="G542" s="230"/>
      <c r="S542" s="225">
        <v>1307.1547370000001</v>
      </c>
      <c r="T542" s="180" t="s">
        <v>8023</v>
      </c>
      <c r="Y542" s="225">
        <v>683.79</v>
      </c>
      <c r="Z542" s="180" t="s">
        <v>8023</v>
      </c>
      <c r="AA542" s="225">
        <v>59403.15</v>
      </c>
      <c r="AB542" s="180" t="s">
        <v>8023</v>
      </c>
      <c r="AC542">
        <v>29.9</v>
      </c>
      <c r="AD542" s="180" t="s">
        <v>8023</v>
      </c>
      <c r="AG542" s="225">
        <v>5.03</v>
      </c>
      <c r="AH542" s="180" t="s">
        <v>8023</v>
      </c>
      <c r="AM542" s="225"/>
      <c r="BS542" s="225">
        <v>43.72</v>
      </c>
      <c r="BT542" s="180" t="s">
        <v>8023</v>
      </c>
      <c r="BU542" s="136">
        <v>22.87</v>
      </c>
      <c r="BV542" s="180" t="s">
        <v>8023</v>
      </c>
    </row>
    <row r="543" spans="1:74">
      <c r="A543" s="154" t="s">
        <v>7768</v>
      </c>
      <c r="B543" s="231" t="s">
        <v>259</v>
      </c>
      <c r="C543" s="231" t="s">
        <v>7964</v>
      </c>
      <c r="D543" s="231"/>
      <c r="E543" s="229">
        <v>19</v>
      </c>
      <c r="F543" s="232">
        <v>15</v>
      </c>
      <c r="G543" s="230"/>
      <c r="S543" s="225">
        <v>1010.890169</v>
      </c>
      <c r="T543" s="180" t="s">
        <v>8023</v>
      </c>
      <c r="Y543" s="225">
        <v>529.80999999999995</v>
      </c>
      <c r="Z543" s="180" t="s">
        <v>8023</v>
      </c>
      <c r="AA543" s="225">
        <v>45791.199999999997</v>
      </c>
      <c r="AB543" s="180" t="s">
        <v>8023</v>
      </c>
      <c r="AC543">
        <v>23</v>
      </c>
      <c r="AD543" s="180" t="s">
        <v>8023</v>
      </c>
      <c r="AG543" s="225">
        <v>5.0199999999999996</v>
      </c>
      <c r="AH543" s="180" t="s">
        <v>8023</v>
      </c>
      <c r="AM543" s="225"/>
      <c r="BS543" s="225">
        <v>43.96</v>
      </c>
      <c r="BT543" s="180" t="s">
        <v>8023</v>
      </c>
      <c r="BU543" s="136">
        <v>23.04</v>
      </c>
      <c r="BV543" s="180" t="s">
        <v>8023</v>
      </c>
    </row>
    <row r="544" spans="1:74">
      <c r="A544" s="154" t="s">
        <v>7768</v>
      </c>
      <c r="B544" s="231" t="s">
        <v>257</v>
      </c>
      <c r="C544" s="231" t="s">
        <v>7982</v>
      </c>
      <c r="D544" s="231"/>
      <c r="E544" s="229">
        <v>1</v>
      </c>
      <c r="F544" s="232">
        <v>19</v>
      </c>
      <c r="G544" s="230"/>
      <c r="S544" s="225">
        <v>1179.633883</v>
      </c>
      <c r="T544" s="180" t="s">
        <v>8023</v>
      </c>
      <c r="Y544" s="225">
        <v>612.13</v>
      </c>
      <c r="Z544" s="180" t="s">
        <v>8023</v>
      </c>
      <c r="AA544" s="225">
        <v>52298.81</v>
      </c>
      <c r="AB544" s="180" t="s">
        <v>8023</v>
      </c>
      <c r="AC544">
        <v>27.12</v>
      </c>
      <c r="AD544" s="180" t="s">
        <v>8023</v>
      </c>
      <c r="AG544" s="225">
        <v>5.18</v>
      </c>
      <c r="AH544" s="180" t="s">
        <v>8023</v>
      </c>
      <c r="AM544" s="225"/>
      <c r="BS544" s="225">
        <v>43.5</v>
      </c>
      <c r="BT544" s="180" t="s">
        <v>8023</v>
      </c>
      <c r="BU544" s="136">
        <v>22.57</v>
      </c>
      <c r="BV544" s="180" t="s">
        <v>8023</v>
      </c>
    </row>
    <row r="545" spans="1:74">
      <c r="A545" s="154" t="s">
        <v>7768</v>
      </c>
      <c r="B545" s="231" t="s">
        <v>259</v>
      </c>
      <c r="C545" s="231" t="s">
        <v>7982</v>
      </c>
      <c r="D545" s="231"/>
      <c r="E545" s="229">
        <v>2</v>
      </c>
      <c r="F545" s="232">
        <v>60</v>
      </c>
      <c r="G545" s="230"/>
      <c r="S545" s="225">
        <v>1429.2882589999999</v>
      </c>
      <c r="T545" s="180" t="s">
        <v>8023</v>
      </c>
      <c r="Y545" s="225">
        <v>730.55</v>
      </c>
      <c r="Z545" s="180" t="s">
        <v>8023</v>
      </c>
      <c r="AA545" s="225">
        <v>64174.28</v>
      </c>
      <c r="AB545" s="180" t="s">
        <v>8023</v>
      </c>
      <c r="AC545">
        <v>32.36</v>
      </c>
      <c r="AD545" s="180" t="s">
        <v>8023</v>
      </c>
      <c r="AG545" s="225">
        <v>5.04</v>
      </c>
      <c r="AH545" s="180" t="s">
        <v>8023</v>
      </c>
      <c r="AM545" s="225"/>
      <c r="BS545" s="225">
        <v>44.16</v>
      </c>
      <c r="BT545" s="180" t="s">
        <v>8023</v>
      </c>
      <c r="BU545" s="136">
        <v>22.57</v>
      </c>
      <c r="BV545" s="180" t="s">
        <v>8023</v>
      </c>
    </row>
    <row r="546" spans="1:74">
      <c r="A546" s="154" t="s">
        <v>7769</v>
      </c>
      <c r="B546" s="231" t="s">
        <v>257</v>
      </c>
      <c r="C546" s="231" t="s">
        <v>405</v>
      </c>
      <c r="D546" s="231"/>
      <c r="E546" s="230">
        <v>6</v>
      </c>
      <c r="F546" s="232">
        <v>24</v>
      </c>
      <c r="G546" s="230"/>
      <c r="S546" s="225">
        <v>1468.2180559999999</v>
      </c>
      <c r="T546" s="180" t="s">
        <v>8023</v>
      </c>
      <c r="Y546" s="225">
        <v>684.23</v>
      </c>
      <c r="Z546" s="180" t="s">
        <v>8023</v>
      </c>
      <c r="AA546" s="225">
        <v>60808.04</v>
      </c>
      <c r="AB546" s="180" t="s">
        <v>8023</v>
      </c>
      <c r="AC546">
        <v>31.08</v>
      </c>
      <c r="AD546" s="180" t="s">
        <v>8023</v>
      </c>
      <c r="AG546" s="225">
        <v>5.1100000000000003</v>
      </c>
      <c r="AH546" s="180" t="s">
        <v>8023</v>
      </c>
      <c r="AM546" s="225"/>
      <c r="BS546" s="225">
        <v>47.24</v>
      </c>
      <c r="BT546" s="180" t="s">
        <v>8023</v>
      </c>
      <c r="BU546" s="136">
        <v>22.01</v>
      </c>
      <c r="BV546" s="180" t="s">
        <v>8023</v>
      </c>
    </row>
    <row r="547" spans="1:74">
      <c r="A547" s="154" t="s">
        <v>7769</v>
      </c>
      <c r="B547" s="231" t="s">
        <v>259</v>
      </c>
      <c r="C547" s="231" t="s">
        <v>405</v>
      </c>
      <c r="D547" s="231"/>
      <c r="E547" s="230">
        <v>11</v>
      </c>
      <c r="F547" s="232">
        <v>12</v>
      </c>
      <c r="G547" s="230"/>
      <c r="S547" s="225">
        <v>1734.964543</v>
      </c>
      <c r="T547" s="180" t="s">
        <v>8023</v>
      </c>
      <c r="Y547" s="225">
        <v>745.87</v>
      </c>
      <c r="Z547" s="180" t="s">
        <v>8023</v>
      </c>
      <c r="AA547" s="225">
        <v>74562.77</v>
      </c>
      <c r="AB547" s="180" t="s">
        <v>8023</v>
      </c>
      <c r="AC547">
        <v>35.619999999999997</v>
      </c>
      <c r="AD547" s="180" t="s">
        <v>8023</v>
      </c>
      <c r="AG547" s="225">
        <v>4.78</v>
      </c>
      <c r="AH547" s="180" t="s">
        <v>8023</v>
      </c>
      <c r="AM547" s="225"/>
      <c r="BS547" s="225">
        <v>48.71</v>
      </c>
      <c r="BT547" s="180" t="s">
        <v>8023</v>
      </c>
      <c r="BU547" s="136">
        <v>20.94</v>
      </c>
      <c r="BV547" s="180" t="s">
        <v>8023</v>
      </c>
    </row>
    <row r="548" spans="1:74">
      <c r="A548" s="154" t="s">
        <v>7769</v>
      </c>
      <c r="B548" s="231" t="s">
        <v>257</v>
      </c>
      <c r="C548" s="231" t="s">
        <v>7963</v>
      </c>
      <c r="D548" s="231"/>
      <c r="E548" s="229">
        <v>12</v>
      </c>
      <c r="F548" s="232">
        <v>54</v>
      </c>
      <c r="G548" s="230"/>
      <c r="S548" s="225">
        <v>1426.3063850000001</v>
      </c>
      <c r="T548" s="180" t="s">
        <v>8023</v>
      </c>
      <c r="Y548" s="225">
        <v>627.52</v>
      </c>
      <c r="Z548" s="180" t="s">
        <v>8023</v>
      </c>
      <c r="AA548" s="225">
        <v>60074.28</v>
      </c>
      <c r="AB548" s="180" t="s">
        <v>8023</v>
      </c>
      <c r="AC548">
        <v>29.78</v>
      </c>
      <c r="AD548" s="180" t="s">
        <v>8023</v>
      </c>
      <c r="AG548" s="225">
        <v>4.96</v>
      </c>
      <c r="AH548" s="180" t="s">
        <v>8023</v>
      </c>
      <c r="AM548" s="225"/>
      <c r="BS548" s="225">
        <v>47.89</v>
      </c>
      <c r="BT548" s="180" t="s">
        <v>8023</v>
      </c>
      <c r="BU548" s="136">
        <v>21.07</v>
      </c>
      <c r="BV548" s="180" t="s">
        <v>8023</v>
      </c>
    </row>
    <row r="549" spans="1:74">
      <c r="A549" s="154" t="s">
        <v>7769</v>
      </c>
      <c r="B549" s="231" t="s">
        <v>259</v>
      </c>
      <c r="C549" s="231" t="s">
        <v>7963</v>
      </c>
      <c r="D549" s="231"/>
      <c r="E549" s="229">
        <v>15</v>
      </c>
      <c r="F549" s="232">
        <v>47</v>
      </c>
      <c r="G549" s="230"/>
      <c r="S549" s="225">
        <v>1159.8126560000001</v>
      </c>
      <c r="T549" s="180" t="s">
        <v>8023</v>
      </c>
      <c r="Y549" s="225">
        <v>595.01</v>
      </c>
      <c r="Z549" s="180" t="s">
        <v>8023</v>
      </c>
      <c r="AA549" s="225">
        <v>53846.59</v>
      </c>
      <c r="AB549" s="180" t="s">
        <v>8023</v>
      </c>
      <c r="AC549">
        <v>25.76</v>
      </c>
      <c r="AD549" s="180" t="s">
        <v>8023</v>
      </c>
      <c r="AG549" s="225">
        <v>4.78</v>
      </c>
      <c r="AH549" s="180" t="s">
        <v>8023</v>
      </c>
      <c r="AM549" s="225"/>
      <c r="BS549" s="225">
        <v>45.03</v>
      </c>
      <c r="BT549" s="180" t="s">
        <v>8023</v>
      </c>
      <c r="BU549" s="136">
        <v>23.1</v>
      </c>
      <c r="BV549" s="180" t="s">
        <v>8023</v>
      </c>
    </row>
    <row r="550" spans="1:74">
      <c r="A550" s="154" t="s">
        <v>7769</v>
      </c>
      <c r="B550" s="231" t="s">
        <v>257</v>
      </c>
      <c r="C550" s="231" t="s">
        <v>7964</v>
      </c>
      <c r="D550" s="231"/>
      <c r="E550" s="229">
        <v>16</v>
      </c>
      <c r="F550" s="232">
        <v>14</v>
      </c>
      <c r="G550" s="230"/>
      <c r="S550" s="225">
        <v>1572.1372679999999</v>
      </c>
      <c r="T550" s="180" t="s">
        <v>8023</v>
      </c>
      <c r="Y550" s="225">
        <v>694.49</v>
      </c>
      <c r="Z550" s="180" t="s">
        <v>8023</v>
      </c>
      <c r="AA550" s="225">
        <v>68836.44</v>
      </c>
      <c r="AB550" s="180" t="s">
        <v>8023</v>
      </c>
      <c r="AC550">
        <v>32.99</v>
      </c>
      <c r="AD550" s="180" t="s">
        <v>8023</v>
      </c>
      <c r="AG550" s="225">
        <v>4.79</v>
      </c>
      <c r="AH550" s="180" t="s">
        <v>8023</v>
      </c>
      <c r="AM550" s="225"/>
      <c r="BS550" s="225">
        <v>47.65</v>
      </c>
      <c r="BT550" s="180" t="s">
        <v>8023</v>
      </c>
      <c r="BU550" s="136">
        <v>21.05</v>
      </c>
      <c r="BV550" s="180" t="s">
        <v>8023</v>
      </c>
    </row>
    <row r="551" spans="1:74">
      <c r="A551" s="154" t="s">
        <v>7769</v>
      </c>
      <c r="B551" s="231" t="s">
        <v>259</v>
      </c>
      <c r="C551" s="231" t="s">
        <v>7964</v>
      </c>
      <c r="D551" s="231"/>
      <c r="E551" s="229">
        <v>21</v>
      </c>
      <c r="F551" s="232">
        <v>11</v>
      </c>
      <c r="G551" s="230"/>
      <c r="S551" s="225">
        <v>1191.2301</v>
      </c>
      <c r="T551" s="180" t="s">
        <v>8023</v>
      </c>
      <c r="Y551" s="225">
        <v>595.1</v>
      </c>
      <c r="Z551" s="180" t="s">
        <v>8023</v>
      </c>
      <c r="AA551" s="225">
        <v>60384.18</v>
      </c>
      <c r="AB551" s="180" t="s">
        <v>8023</v>
      </c>
      <c r="AC551">
        <v>26.14</v>
      </c>
      <c r="AD551" s="180" t="s">
        <v>8023</v>
      </c>
      <c r="AG551" s="225">
        <v>4.33</v>
      </c>
      <c r="AH551" s="180" t="s">
        <v>8023</v>
      </c>
      <c r="AM551" s="225"/>
      <c r="BS551" s="225">
        <v>45.57</v>
      </c>
      <c r="BT551" s="180" t="s">
        <v>8023</v>
      </c>
      <c r="BU551" s="136">
        <v>22.77</v>
      </c>
      <c r="BV551" s="180" t="s">
        <v>8023</v>
      </c>
    </row>
    <row r="552" spans="1:74">
      <c r="A552" s="154" t="s">
        <v>7769</v>
      </c>
      <c r="B552" s="231" t="s">
        <v>257</v>
      </c>
      <c r="C552" s="231" t="s">
        <v>7982</v>
      </c>
      <c r="D552" s="231"/>
      <c r="E552" s="230">
        <v>4</v>
      </c>
      <c r="F552" s="232">
        <v>14</v>
      </c>
      <c r="G552" s="230"/>
      <c r="S552" s="225">
        <v>1329.2925560000001</v>
      </c>
      <c r="T552" s="180" t="s">
        <v>8023</v>
      </c>
      <c r="Y552" s="225">
        <v>627.85</v>
      </c>
      <c r="Z552" s="180" t="s">
        <v>8023</v>
      </c>
      <c r="AA552" s="225">
        <v>57415.08</v>
      </c>
      <c r="AB552" s="180" t="s">
        <v>8023</v>
      </c>
      <c r="AC552">
        <v>28.46</v>
      </c>
      <c r="AD552" s="180" t="s">
        <v>8023</v>
      </c>
      <c r="AG552" s="225">
        <v>4.96</v>
      </c>
      <c r="AH552" s="180" t="s">
        <v>8023</v>
      </c>
      <c r="AM552" s="225"/>
      <c r="BS552" s="225">
        <v>46.71</v>
      </c>
      <c r="BT552" s="180" t="s">
        <v>8023</v>
      </c>
      <c r="BU552" s="136">
        <v>22.06</v>
      </c>
      <c r="BV552" s="180" t="s">
        <v>8023</v>
      </c>
    </row>
    <row r="553" spans="1:74">
      <c r="A553" s="154" t="s">
        <v>7769</v>
      </c>
      <c r="B553" s="231" t="s">
        <v>259</v>
      </c>
      <c r="C553" s="231" t="s">
        <v>7982</v>
      </c>
      <c r="D553" s="231"/>
      <c r="E553" s="230">
        <v>4</v>
      </c>
      <c r="F553" s="232">
        <v>40</v>
      </c>
      <c r="G553" s="230"/>
      <c r="S553" s="225">
        <v>1217.297793</v>
      </c>
      <c r="T553" s="180" t="s">
        <v>8023</v>
      </c>
      <c r="Y553" s="225">
        <v>608.77</v>
      </c>
      <c r="Z553" s="180" t="s">
        <v>8023</v>
      </c>
      <c r="AA553" s="225">
        <v>65223.58</v>
      </c>
      <c r="AB553" s="180" t="s">
        <v>8023</v>
      </c>
      <c r="AC553">
        <v>26.63</v>
      </c>
      <c r="AD553" s="180" t="s">
        <v>8023</v>
      </c>
      <c r="AG553" s="225">
        <v>4.08</v>
      </c>
      <c r="AH553" s="180" t="s">
        <v>8023</v>
      </c>
      <c r="AM553" s="225"/>
      <c r="BS553" s="225">
        <v>45.72</v>
      </c>
      <c r="BT553" s="180" t="s">
        <v>8023</v>
      </c>
      <c r="BU553" s="136">
        <v>22.86</v>
      </c>
      <c r="BV553" s="180" t="s">
        <v>8023</v>
      </c>
    </row>
    <row r="554" spans="1:74">
      <c r="A554" s="154" t="s">
        <v>7770</v>
      </c>
      <c r="B554" s="231" t="s">
        <v>257</v>
      </c>
      <c r="C554" s="231" t="s">
        <v>405</v>
      </c>
      <c r="D554" s="231"/>
      <c r="E554" s="229">
        <v>5</v>
      </c>
      <c r="F554" s="232">
        <v>7</v>
      </c>
      <c r="G554" s="230"/>
      <c r="S554" s="225">
        <v>1520.6991929999999</v>
      </c>
      <c r="T554" s="180" t="s">
        <v>8023</v>
      </c>
      <c r="Y554" s="225">
        <v>655.22</v>
      </c>
      <c r="Z554" s="180" t="s">
        <v>8023</v>
      </c>
      <c r="AA554" s="225">
        <v>73579.899999999994</v>
      </c>
      <c r="AB554" s="180" t="s">
        <v>8023</v>
      </c>
      <c r="AC554">
        <v>31.3</v>
      </c>
      <c r="AD554" s="180" t="s">
        <v>8023</v>
      </c>
      <c r="AG554" s="225">
        <v>4.25</v>
      </c>
      <c r="AH554" s="180" t="s">
        <v>8023</v>
      </c>
      <c r="AM554" s="225"/>
      <c r="BS554" s="225">
        <v>48.58</v>
      </c>
      <c r="BT554" s="180" t="s">
        <v>8023</v>
      </c>
      <c r="BU554" s="136">
        <v>20.93</v>
      </c>
      <c r="BV554" s="180" t="s">
        <v>8023</v>
      </c>
    </row>
    <row r="555" spans="1:74">
      <c r="A555" s="154" t="s">
        <v>7770</v>
      </c>
      <c r="B555" s="231" t="s">
        <v>259</v>
      </c>
      <c r="C555" s="231" t="s">
        <v>405</v>
      </c>
      <c r="D555" s="231"/>
      <c r="E555" s="229">
        <v>11</v>
      </c>
      <c r="F555" s="232">
        <v>11</v>
      </c>
      <c r="G555" s="230"/>
      <c r="S555" s="225">
        <v>1618.1372229999999</v>
      </c>
      <c r="T555" s="180" t="s">
        <v>8023</v>
      </c>
      <c r="Y555" s="225">
        <v>709.78</v>
      </c>
      <c r="Z555" s="180" t="s">
        <v>8023</v>
      </c>
      <c r="AA555" s="225">
        <v>76610.48</v>
      </c>
      <c r="AB555" s="180" t="s">
        <v>8023</v>
      </c>
      <c r="AC555">
        <v>33.6</v>
      </c>
      <c r="AD555" s="180" t="s">
        <v>8023</v>
      </c>
      <c r="AG555" s="225">
        <v>4.3899999999999997</v>
      </c>
      <c r="AH555" s="180" t="s">
        <v>8023</v>
      </c>
      <c r="AM555" s="225"/>
      <c r="BS555" s="225">
        <v>48.16</v>
      </c>
      <c r="BT555" s="180" t="s">
        <v>8023</v>
      </c>
      <c r="BU555" s="136">
        <v>21.12</v>
      </c>
      <c r="BV555" s="180" t="s">
        <v>8023</v>
      </c>
    </row>
    <row r="556" spans="1:74">
      <c r="A556" s="154" t="s">
        <v>7770</v>
      </c>
      <c r="B556" s="231" t="s">
        <v>257</v>
      </c>
      <c r="C556" s="231" t="s">
        <v>7963</v>
      </c>
      <c r="D556" s="231"/>
      <c r="E556" s="229">
        <v>10</v>
      </c>
      <c r="F556" s="232">
        <v>63</v>
      </c>
      <c r="G556" s="230"/>
      <c r="S556" s="225">
        <v>1448.7321099999999</v>
      </c>
      <c r="T556" s="180" t="s">
        <v>8023</v>
      </c>
      <c r="Y556" s="225">
        <v>587.16999999999996</v>
      </c>
      <c r="Z556" s="180" t="s">
        <v>8023</v>
      </c>
      <c r="AA556" s="225">
        <v>66689.960000000006</v>
      </c>
      <c r="AB556" s="180" t="s">
        <v>8023</v>
      </c>
      <c r="AC556">
        <v>29.12</v>
      </c>
      <c r="AD556" s="180" t="s">
        <v>8023</v>
      </c>
      <c r="AG556" s="225">
        <v>4.37</v>
      </c>
      <c r="AH556" s="180" t="s">
        <v>8023</v>
      </c>
      <c r="AM556" s="225"/>
      <c r="BS556" s="225">
        <v>49.75</v>
      </c>
      <c r="BT556" s="180" t="s">
        <v>8023</v>
      </c>
      <c r="BU556" s="136">
        <v>20.16</v>
      </c>
      <c r="BV556" s="180" t="s">
        <v>8023</v>
      </c>
    </row>
    <row r="557" spans="1:74">
      <c r="A557" s="154" t="s">
        <v>7770</v>
      </c>
      <c r="B557" s="231" t="s">
        <v>259</v>
      </c>
      <c r="C557" s="231" t="s">
        <v>7963</v>
      </c>
      <c r="D557" s="231"/>
      <c r="E557" s="229">
        <v>16</v>
      </c>
      <c r="F557" s="232">
        <v>59</v>
      </c>
      <c r="G557" s="230"/>
      <c r="S557" s="225">
        <v>1169.819508</v>
      </c>
      <c r="T557" s="180" t="s">
        <v>8023</v>
      </c>
      <c r="Y557" s="225">
        <v>563.77</v>
      </c>
      <c r="Z557" s="180" t="s">
        <v>8023</v>
      </c>
      <c r="AA557" s="225">
        <v>61064.36</v>
      </c>
      <c r="AB557" s="180" t="s">
        <v>8023</v>
      </c>
      <c r="AC557">
        <v>25.2</v>
      </c>
      <c r="AD557" s="180" t="s">
        <v>8023</v>
      </c>
      <c r="AG557" s="225">
        <v>4.13</v>
      </c>
      <c r="AH557" s="180" t="s">
        <v>8023</v>
      </c>
      <c r="AM557" s="225"/>
      <c r="BS557" s="225">
        <v>46.42</v>
      </c>
      <c r="BT557" s="180" t="s">
        <v>8023</v>
      </c>
      <c r="BU557" s="136">
        <v>22.37</v>
      </c>
      <c r="BV557" s="180" t="s">
        <v>8023</v>
      </c>
    </row>
    <row r="558" spans="1:74">
      <c r="A558" s="154" t="s">
        <v>7770</v>
      </c>
      <c r="B558" s="231" t="s">
        <v>257</v>
      </c>
      <c r="C558" s="231" t="s">
        <v>7964</v>
      </c>
      <c r="D558" s="231"/>
      <c r="E558" s="230">
        <v>13</v>
      </c>
      <c r="F558" s="232">
        <v>18</v>
      </c>
      <c r="G558" s="230"/>
      <c r="S558" s="225">
        <v>1427.985101</v>
      </c>
      <c r="T558" s="180" t="s">
        <v>8023</v>
      </c>
      <c r="Y558" s="225">
        <v>672.9</v>
      </c>
      <c r="Z558" s="180" t="s">
        <v>8023</v>
      </c>
      <c r="AA558" s="225">
        <v>74179.37</v>
      </c>
      <c r="AB558" s="180" t="s">
        <v>8023</v>
      </c>
      <c r="AC558">
        <v>30.48</v>
      </c>
      <c r="AD558" s="180" t="s">
        <v>8023</v>
      </c>
      <c r="AG558" s="225">
        <v>4.1100000000000003</v>
      </c>
      <c r="AH558" s="180" t="s">
        <v>8023</v>
      </c>
      <c r="AM558" s="225"/>
      <c r="BS558" s="225">
        <v>46.85</v>
      </c>
      <c r="BT558" s="180" t="s">
        <v>8023</v>
      </c>
      <c r="BU558" s="136">
        <v>22.08</v>
      </c>
      <c r="BV558" s="180" t="s">
        <v>8023</v>
      </c>
    </row>
    <row r="559" spans="1:74">
      <c r="A559" s="154" t="s">
        <v>7770</v>
      </c>
      <c r="B559" s="231" t="s">
        <v>259</v>
      </c>
      <c r="C559" s="231" t="s">
        <v>7964</v>
      </c>
      <c r="D559" s="231"/>
      <c r="E559" s="230">
        <v>17</v>
      </c>
      <c r="F559" s="232">
        <v>22</v>
      </c>
      <c r="G559" s="230"/>
      <c r="S559" s="225">
        <v>1184.0695000000001</v>
      </c>
      <c r="T559" s="180" t="s">
        <v>8023</v>
      </c>
      <c r="Y559" s="225">
        <v>575.27</v>
      </c>
      <c r="Z559" s="180" t="s">
        <v>8023</v>
      </c>
      <c r="AA559" s="225">
        <v>61162.51</v>
      </c>
      <c r="AB559" s="180" t="s">
        <v>8023</v>
      </c>
      <c r="AC559">
        <v>25.29</v>
      </c>
      <c r="AD559" s="180" t="s">
        <v>8023</v>
      </c>
      <c r="AG559" s="225">
        <v>4.13</v>
      </c>
      <c r="AH559" s="180" t="s">
        <v>8023</v>
      </c>
      <c r="AM559" s="225"/>
      <c r="BS559" s="225">
        <v>46.82</v>
      </c>
      <c r="BT559" s="180" t="s">
        <v>8023</v>
      </c>
      <c r="BU559" s="136">
        <v>22.75</v>
      </c>
      <c r="BV559" s="180" t="s">
        <v>8023</v>
      </c>
    </row>
    <row r="560" spans="1:74">
      <c r="A560" s="154" t="s">
        <v>7770</v>
      </c>
      <c r="B560" s="231" t="s">
        <v>257</v>
      </c>
      <c r="C560" s="231" t="s">
        <v>7982</v>
      </c>
      <c r="D560" s="231"/>
      <c r="E560" s="229">
        <v>4</v>
      </c>
      <c r="F560" s="232">
        <v>1</v>
      </c>
      <c r="G560" s="230"/>
      <c r="S560" s="225">
        <v>1382.8214310000001</v>
      </c>
      <c r="T560" s="180" t="s">
        <v>8023</v>
      </c>
      <c r="Y560" s="225">
        <v>585.07000000000005</v>
      </c>
      <c r="Z560" s="180" t="s">
        <v>8023</v>
      </c>
      <c r="AA560" s="225">
        <v>68824.259999999995</v>
      </c>
      <c r="AB560" s="180" t="s">
        <v>8023</v>
      </c>
      <c r="AC560">
        <v>28.11</v>
      </c>
      <c r="AD560" s="180" t="s">
        <v>8023</v>
      </c>
      <c r="AG560" s="225">
        <v>4.08</v>
      </c>
      <c r="AH560" s="180" t="s">
        <v>8023</v>
      </c>
      <c r="AM560" s="225"/>
      <c r="BS560" s="225">
        <v>49.2</v>
      </c>
      <c r="BT560" s="180" t="s">
        <v>8023</v>
      </c>
      <c r="BU560" s="136">
        <v>20.82</v>
      </c>
      <c r="BV560" s="180" t="s">
        <v>8023</v>
      </c>
    </row>
    <row r="561" spans="1:74">
      <c r="A561" s="154" t="s">
        <v>7770</v>
      </c>
      <c r="B561" s="231" t="s">
        <v>259</v>
      </c>
      <c r="C561" s="231" t="s">
        <v>7982</v>
      </c>
      <c r="D561" s="231"/>
      <c r="E561" s="229">
        <v>1</v>
      </c>
      <c r="F561" s="232">
        <v>63</v>
      </c>
      <c r="G561" s="230"/>
      <c r="S561" s="225">
        <v>1346.124147</v>
      </c>
      <c r="T561" s="180" t="s">
        <v>8023</v>
      </c>
      <c r="Y561" s="225">
        <v>658.36</v>
      </c>
      <c r="Z561" s="180" t="s">
        <v>8023</v>
      </c>
      <c r="AA561" s="225">
        <v>68305.37</v>
      </c>
      <c r="AB561" s="180" t="s">
        <v>8023</v>
      </c>
      <c r="AC561">
        <v>29.02</v>
      </c>
      <c r="AD561" s="180" t="s">
        <v>8023</v>
      </c>
      <c r="AG561" s="225">
        <v>4.25</v>
      </c>
      <c r="AH561" s="180" t="s">
        <v>8023</v>
      </c>
      <c r="AM561" s="225"/>
      <c r="BS561" s="225">
        <v>46.39</v>
      </c>
      <c r="BT561" s="180" t="s">
        <v>8023</v>
      </c>
      <c r="BU561" s="136">
        <v>22.69</v>
      </c>
      <c r="BV561" s="180" t="s">
        <v>8023</v>
      </c>
    </row>
    <row r="562" spans="1:74">
      <c r="A562" s="154" t="s">
        <v>7771</v>
      </c>
      <c r="B562" s="231" t="s">
        <v>257</v>
      </c>
      <c r="C562" s="231" t="s">
        <v>405</v>
      </c>
      <c r="D562" s="231"/>
      <c r="E562" s="229">
        <v>8</v>
      </c>
      <c r="F562" s="232">
        <v>11</v>
      </c>
      <c r="G562" s="230"/>
      <c r="S562" s="225">
        <v>1517.295513</v>
      </c>
      <c r="T562" s="180" t="s">
        <v>8023</v>
      </c>
      <c r="Y562" s="225">
        <v>695.52</v>
      </c>
      <c r="Z562" s="180" t="s">
        <v>8023</v>
      </c>
      <c r="AA562" s="225">
        <v>60020.7</v>
      </c>
      <c r="AB562" s="180" t="s">
        <v>8023</v>
      </c>
      <c r="AC562">
        <v>32.090000000000003</v>
      </c>
      <c r="AD562" s="180" t="s">
        <v>8023</v>
      </c>
      <c r="AG562" s="225">
        <v>5.35</v>
      </c>
      <c r="AH562" s="180" t="s">
        <v>8023</v>
      </c>
      <c r="AM562" s="225"/>
      <c r="BS562" s="225">
        <v>47.28</v>
      </c>
      <c r="BT562" s="180" t="s">
        <v>8023</v>
      </c>
      <c r="BU562" s="136">
        <v>21.67</v>
      </c>
      <c r="BV562" s="180" t="s">
        <v>8023</v>
      </c>
    </row>
    <row r="563" spans="1:74">
      <c r="A563" s="154" t="s">
        <v>7771</v>
      </c>
      <c r="B563" s="231" t="s">
        <v>259</v>
      </c>
      <c r="C563" s="231" t="s">
        <v>405</v>
      </c>
      <c r="D563" s="231"/>
      <c r="E563" s="229">
        <v>10</v>
      </c>
      <c r="F563" s="232">
        <v>29</v>
      </c>
      <c r="G563" s="230"/>
      <c r="S563" s="225">
        <v>1791.2554170000001</v>
      </c>
      <c r="T563" s="180" t="s">
        <v>8023</v>
      </c>
      <c r="Y563" s="225">
        <v>762.55</v>
      </c>
      <c r="Z563" s="180" t="s">
        <v>8023</v>
      </c>
      <c r="AA563" s="225">
        <v>72098.070000000007</v>
      </c>
      <c r="AB563" s="180" t="s">
        <v>8023</v>
      </c>
      <c r="AC563">
        <v>36.85</v>
      </c>
      <c r="AD563" s="180" t="s">
        <v>8023</v>
      </c>
      <c r="AG563" s="225">
        <v>5.1100000000000003</v>
      </c>
      <c r="AH563" s="180" t="s">
        <v>8023</v>
      </c>
      <c r="AM563" s="225"/>
      <c r="BS563" s="225">
        <v>48.61</v>
      </c>
      <c r="BT563" s="180" t="s">
        <v>8023</v>
      </c>
      <c r="BU563" s="136">
        <v>20.69</v>
      </c>
      <c r="BV563" s="180" t="s">
        <v>8023</v>
      </c>
    </row>
    <row r="564" spans="1:74">
      <c r="A564" s="154" t="s">
        <v>7771</v>
      </c>
      <c r="B564" s="231" t="s">
        <v>257</v>
      </c>
      <c r="C564" s="231" t="s">
        <v>7963</v>
      </c>
      <c r="D564" s="231"/>
      <c r="E564" s="229">
        <v>12</v>
      </c>
      <c r="F564" s="232">
        <v>44</v>
      </c>
      <c r="G564" s="230"/>
      <c r="S564" s="225">
        <v>1388.822874</v>
      </c>
      <c r="T564" s="180" t="s">
        <v>8023</v>
      </c>
      <c r="Y564" s="225">
        <v>608.63</v>
      </c>
      <c r="Z564" s="180" t="s">
        <v>8023</v>
      </c>
      <c r="AA564" s="225">
        <v>56698.05</v>
      </c>
      <c r="AB564" s="180" t="s">
        <v>8023</v>
      </c>
      <c r="AC564">
        <v>29.18</v>
      </c>
      <c r="AD564" s="180" t="s">
        <v>8023</v>
      </c>
      <c r="AG564" s="225">
        <v>5.15</v>
      </c>
      <c r="AH564" s="180" t="s">
        <v>8023</v>
      </c>
      <c r="AM564" s="225"/>
      <c r="BS564" s="225">
        <v>47.6</v>
      </c>
      <c r="BT564" s="180" t="s">
        <v>8023</v>
      </c>
      <c r="BU564" s="136">
        <v>20.86</v>
      </c>
      <c r="BV564" s="180" t="s">
        <v>8023</v>
      </c>
    </row>
    <row r="565" spans="1:74">
      <c r="A565" s="154" t="s">
        <v>7771</v>
      </c>
      <c r="B565" s="231" t="s">
        <v>259</v>
      </c>
      <c r="C565" s="231" t="s">
        <v>7963</v>
      </c>
      <c r="D565" s="231"/>
      <c r="E565" s="230">
        <v>13</v>
      </c>
      <c r="F565" s="232">
        <v>33</v>
      </c>
      <c r="G565" s="230"/>
      <c r="S565" s="225">
        <v>1369.6876669999999</v>
      </c>
      <c r="T565" s="180" t="s">
        <v>8023</v>
      </c>
      <c r="Y565" s="225">
        <v>660.06</v>
      </c>
      <c r="Z565" s="180" t="s">
        <v>8023</v>
      </c>
      <c r="AA565" s="225">
        <v>56125.67</v>
      </c>
      <c r="AB565" s="180" t="s">
        <v>8023</v>
      </c>
      <c r="AC565">
        <v>29.26</v>
      </c>
      <c r="AD565" s="180" t="s">
        <v>8023</v>
      </c>
      <c r="AG565" s="225">
        <v>5.21</v>
      </c>
      <c r="AH565" s="180" t="s">
        <v>8023</v>
      </c>
      <c r="AM565" s="225"/>
      <c r="BS565" s="225">
        <v>46.81</v>
      </c>
      <c r="BT565" s="180" t="s">
        <v>8023</v>
      </c>
      <c r="BU565" s="136">
        <v>22.56</v>
      </c>
      <c r="BV565" s="180" t="s">
        <v>8023</v>
      </c>
    </row>
    <row r="566" spans="1:74">
      <c r="A566" s="154" t="s">
        <v>7771</v>
      </c>
      <c r="B566" s="231" t="s">
        <v>257</v>
      </c>
      <c r="C566" s="231" t="s">
        <v>7964</v>
      </c>
      <c r="D566" s="231"/>
      <c r="E566" s="229">
        <v>13</v>
      </c>
      <c r="F566" s="232">
        <v>22</v>
      </c>
      <c r="G566" s="230"/>
      <c r="S566" s="225">
        <v>1603.281162</v>
      </c>
      <c r="T566" s="180" t="s">
        <v>8023</v>
      </c>
      <c r="Y566" s="225">
        <v>737.71</v>
      </c>
      <c r="Z566" s="180" t="s">
        <v>8023</v>
      </c>
      <c r="AA566" s="225">
        <v>70966.39</v>
      </c>
      <c r="AB566" s="180" t="s">
        <v>8023</v>
      </c>
      <c r="AC566">
        <v>34.340000000000003</v>
      </c>
      <c r="AD566" s="180" t="s">
        <v>8023</v>
      </c>
      <c r="AG566" s="225">
        <v>4.84</v>
      </c>
      <c r="AH566" s="180" t="s">
        <v>8023</v>
      </c>
      <c r="AM566" s="225"/>
      <c r="BS566" s="225">
        <v>46.69</v>
      </c>
      <c r="BT566" s="180" t="s">
        <v>8023</v>
      </c>
      <c r="BU566" s="136">
        <v>21.48</v>
      </c>
      <c r="BV566" s="180" t="s">
        <v>8023</v>
      </c>
    </row>
    <row r="567" spans="1:74">
      <c r="A567" s="154" t="s">
        <v>7771</v>
      </c>
      <c r="B567" s="231" t="s">
        <v>259</v>
      </c>
      <c r="C567" s="231" t="s">
        <v>7964</v>
      </c>
      <c r="D567" s="231"/>
      <c r="E567" s="229">
        <v>17</v>
      </c>
      <c r="F567" s="232">
        <v>3</v>
      </c>
      <c r="G567" s="230"/>
      <c r="S567" s="225">
        <v>1226.9309880000001</v>
      </c>
      <c r="T567" s="180" t="s">
        <v>8023</v>
      </c>
      <c r="Y567" s="225">
        <v>602.55999999999995</v>
      </c>
      <c r="Z567" s="180" t="s">
        <v>8023</v>
      </c>
      <c r="AA567" s="225">
        <v>55431.99</v>
      </c>
      <c r="AB567" s="180" t="s">
        <v>8023</v>
      </c>
      <c r="AC567">
        <v>26.88</v>
      </c>
      <c r="AD567" s="180" t="s">
        <v>8023</v>
      </c>
      <c r="AG567" s="225">
        <v>4.8499999999999996</v>
      </c>
      <c r="AH567" s="180" t="s">
        <v>8023</v>
      </c>
      <c r="AM567" s="225"/>
      <c r="BS567" s="225">
        <v>45.65</v>
      </c>
      <c r="BT567" s="180" t="s">
        <v>8023</v>
      </c>
      <c r="BU567" s="136">
        <v>22.42</v>
      </c>
      <c r="BV567" s="180" t="s">
        <v>8023</v>
      </c>
    </row>
    <row r="568" spans="1:74">
      <c r="A568" s="154" t="s">
        <v>7771</v>
      </c>
      <c r="B568" s="231" t="s">
        <v>257</v>
      </c>
      <c r="C568" s="231" t="s">
        <v>7982</v>
      </c>
      <c r="D568" s="231"/>
      <c r="E568" s="229">
        <v>2</v>
      </c>
      <c r="F568" s="232">
        <v>6</v>
      </c>
      <c r="G568" s="230"/>
      <c r="S568" s="225">
        <v>1444.1303009999999</v>
      </c>
      <c r="T568" s="180" t="s">
        <v>8023</v>
      </c>
      <c r="Y568" s="225">
        <v>676.5</v>
      </c>
      <c r="Z568" s="180" t="s">
        <v>8023</v>
      </c>
      <c r="AA568" s="225">
        <v>59194.91</v>
      </c>
      <c r="AB568" s="180" t="s">
        <v>8023</v>
      </c>
      <c r="AC568">
        <v>31.09</v>
      </c>
      <c r="AD568" s="180" t="s">
        <v>8023</v>
      </c>
      <c r="AG568" s="225">
        <v>5.25</v>
      </c>
      <c r="AH568" s="180" t="s">
        <v>8023</v>
      </c>
      <c r="AM568" s="225"/>
      <c r="BS568" s="225">
        <v>46.45</v>
      </c>
      <c r="BT568" s="180" t="s">
        <v>8023</v>
      </c>
      <c r="BU568" s="136">
        <v>21.76</v>
      </c>
      <c r="BV568" s="180" t="s">
        <v>8023</v>
      </c>
    </row>
    <row r="569" spans="1:74">
      <c r="A569" s="154" t="s">
        <v>7771</v>
      </c>
      <c r="B569" s="231" t="s">
        <v>259</v>
      </c>
      <c r="C569" s="231" t="s">
        <v>7982</v>
      </c>
      <c r="D569" s="231"/>
      <c r="E569" s="229">
        <v>1</v>
      </c>
      <c r="F569" s="232">
        <v>55</v>
      </c>
      <c r="G569" s="230"/>
      <c r="S569" s="225">
        <v>1296.103267</v>
      </c>
      <c r="T569" s="180" t="s">
        <v>8023</v>
      </c>
      <c r="Y569" s="225">
        <v>667.84</v>
      </c>
      <c r="Z569" s="180" t="s">
        <v>8023</v>
      </c>
      <c r="AA569" s="225">
        <v>59263.24</v>
      </c>
      <c r="AB569" s="180" t="s">
        <v>8023</v>
      </c>
      <c r="AC569">
        <v>28.74</v>
      </c>
      <c r="AD569" s="180" t="s">
        <v>8023</v>
      </c>
      <c r="AG569" s="225">
        <v>4.8499999999999996</v>
      </c>
      <c r="AH569" s="180" t="s">
        <v>8023</v>
      </c>
      <c r="AM569" s="225"/>
      <c r="BS569" s="225">
        <v>45.1</v>
      </c>
      <c r="BT569" s="180" t="s">
        <v>8023</v>
      </c>
      <c r="BU569" s="136">
        <v>23.24</v>
      </c>
      <c r="BV569" s="180" t="s">
        <v>8023</v>
      </c>
    </row>
    <row r="570" spans="1:74">
      <c r="A570" s="154" t="s">
        <v>7876</v>
      </c>
      <c r="B570" s="231" t="s">
        <v>257</v>
      </c>
      <c r="C570" s="231" t="s">
        <v>405</v>
      </c>
      <c r="D570" s="231"/>
      <c r="E570" s="230">
        <v>7</v>
      </c>
      <c r="F570" s="232">
        <v>14</v>
      </c>
      <c r="G570" s="230"/>
      <c r="S570" s="225">
        <v>1514.9064080000001</v>
      </c>
      <c r="T570" s="180" t="s">
        <v>8023</v>
      </c>
      <c r="Y570" s="225">
        <v>706.06</v>
      </c>
      <c r="Z570" s="180" t="s">
        <v>8023</v>
      </c>
      <c r="AA570" s="225">
        <v>65814.19</v>
      </c>
      <c r="AB570" s="180" t="s">
        <v>8023</v>
      </c>
      <c r="AC570">
        <v>32.729999999999997</v>
      </c>
      <c r="AD570" s="180" t="s">
        <v>8023</v>
      </c>
      <c r="AG570" s="225">
        <v>4.97</v>
      </c>
      <c r="AH570" s="180" t="s">
        <v>8023</v>
      </c>
      <c r="AM570" s="225"/>
      <c r="BS570" s="225">
        <v>46.29</v>
      </c>
      <c r="BT570" s="180" t="s">
        <v>8023</v>
      </c>
      <c r="BU570" s="136">
        <v>21.57</v>
      </c>
      <c r="BV570" s="180" t="s">
        <v>8023</v>
      </c>
    </row>
    <row r="571" spans="1:74">
      <c r="A571" s="154" t="s">
        <v>7876</v>
      </c>
      <c r="B571" s="231" t="s">
        <v>259</v>
      </c>
      <c r="C571" s="231" t="s">
        <v>405</v>
      </c>
      <c r="D571" s="231"/>
      <c r="E571" s="230">
        <v>11</v>
      </c>
      <c r="F571" s="232">
        <v>10</v>
      </c>
      <c r="G571" s="230"/>
      <c r="S571" s="225">
        <v>1891.878864</v>
      </c>
      <c r="T571" s="180" t="s">
        <v>8023</v>
      </c>
      <c r="Y571" s="225">
        <v>865.23</v>
      </c>
      <c r="Z571" s="180" t="s">
        <v>8023</v>
      </c>
      <c r="AA571" s="225">
        <v>79253.11</v>
      </c>
      <c r="AB571" s="180" t="s">
        <v>8023</v>
      </c>
      <c r="AC571">
        <v>40.53</v>
      </c>
      <c r="AD571" s="180" t="s">
        <v>8023</v>
      </c>
      <c r="AG571" s="225">
        <v>5.1100000000000003</v>
      </c>
      <c r="AH571" s="180" t="s">
        <v>8023</v>
      </c>
      <c r="AM571" s="225"/>
      <c r="BS571" s="225">
        <v>46.68</v>
      </c>
      <c r="BT571" s="180" t="s">
        <v>8023</v>
      </c>
      <c r="BU571" s="136">
        <v>21.35</v>
      </c>
      <c r="BV571" s="180" t="s">
        <v>8023</v>
      </c>
    </row>
    <row r="572" spans="1:74">
      <c r="A572" s="154" t="s">
        <v>7876</v>
      </c>
      <c r="B572" s="231" t="s">
        <v>257</v>
      </c>
      <c r="C572" s="231" t="s">
        <v>7963</v>
      </c>
      <c r="D572" s="231"/>
      <c r="E572" s="229">
        <v>11</v>
      </c>
      <c r="F572" s="232">
        <v>57</v>
      </c>
      <c r="G572" s="230"/>
      <c r="S572" s="225">
        <v>1486.3883920000001</v>
      </c>
      <c r="T572" s="180" t="s">
        <v>8023</v>
      </c>
      <c r="Y572" s="225">
        <v>648.22</v>
      </c>
      <c r="Z572" s="180" t="s">
        <v>8023</v>
      </c>
      <c r="AA572" s="225">
        <v>61890.64</v>
      </c>
      <c r="AB572" s="180" t="s">
        <v>8023</v>
      </c>
      <c r="AC572">
        <v>31.39</v>
      </c>
      <c r="AD572" s="180" t="s">
        <v>8023</v>
      </c>
      <c r="AG572" s="225">
        <v>5.07</v>
      </c>
      <c r="AH572" s="180" t="s">
        <v>8023</v>
      </c>
      <c r="AM572" s="225"/>
      <c r="BS572" s="225">
        <v>47.35</v>
      </c>
      <c r="BT572" s="180" t="s">
        <v>8023</v>
      </c>
      <c r="BU572" s="136">
        <v>20.65</v>
      </c>
      <c r="BV572" s="180" t="s">
        <v>8023</v>
      </c>
    </row>
    <row r="573" spans="1:74">
      <c r="A573" s="154" t="s">
        <v>7876</v>
      </c>
      <c r="B573" s="231" t="s">
        <v>259</v>
      </c>
      <c r="C573" s="231" t="s">
        <v>7963</v>
      </c>
      <c r="D573" s="231"/>
      <c r="E573" s="229">
        <v>16</v>
      </c>
      <c r="F573" s="232">
        <v>36</v>
      </c>
      <c r="G573" s="230"/>
      <c r="S573" s="225">
        <v>1527.4311130000001</v>
      </c>
      <c r="T573" s="180" t="s">
        <v>8023</v>
      </c>
      <c r="Y573" s="225">
        <v>742.19</v>
      </c>
      <c r="Z573" s="180" t="s">
        <v>8023</v>
      </c>
      <c r="AA573" s="225">
        <v>61825.97</v>
      </c>
      <c r="AB573" s="180" t="s">
        <v>8023</v>
      </c>
      <c r="AC573">
        <v>33.82</v>
      </c>
      <c r="AD573" s="180" t="s">
        <v>8023</v>
      </c>
      <c r="AG573" s="225">
        <v>5.47</v>
      </c>
      <c r="AH573" s="180" t="s">
        <v>8023</v>
      </c>
      <c r="AM573" s="225"/>
      <c r="BS573" s="225">
        <v>45.16</v>
      </c>
      <c r="BT573" s="180" t="s">
        <v>8023</v>
      </c>
      <c r="BU573" s="136">
        <v>21.94</v>
      </c>
      <c r="BV573" s="180" t="s">
        <v>8023</v>
      </c>
    </row>
    <row r="574" spans="1:74">
      <c r="A574" s="154" t="s">
        <v>7876</v>
      </c>
      <c r="B574" s="231" t="s">
        <v>257</v>
      </c>
      <c r="C574" s="231" t="s">
        <v>7964</v>
      </c>
      <c r="D574" s="231"/>
      <c r="E574" s="229">
        <v>14</v>
      </c>
      <c r="F574" s="232">
        <v>20</v>
      </c>
      <c r="G574" s="230"/>
      <c r="S574" s="225">
        <v>1790.5907130000001</v>
      </c>
      <c r="T574" s="180" t="s">
        <v>8023</v>
      </c>
      <c r="Y574" s="225">
        <v>848.9</v>
      </c>
      <c r="Z574" s="180" t="s">
        <v>8023</v>
      </c>
      <c r="AA574" s="225">
        <v>75415.63</v>
      </c>
      <c r="AB574" s="180" t="s">
        <v>8023</v>
      </c>
      <c r="AC574">
        <v>39.15</v>
      </c>
      <c r="AD574" s="180" t="s">
        <v>8023</v>
      </c>
      <c r="AG574" s="225">
        <v>5.19</v>
      </c>
      <c r="AH574" s="180" t="s">
        <v>8023</v>
      </c>
      <c r="AM574" s="225"/>
      <c r="BS574" s="225">
        <v>45.73</v>
      </c>
      <c r="BT574" s="180" t="s">
        <v>8023</v>
      </c>
      <c r="BU574" s="136">
        <v>21.68</v>
      </c>
      <c r="BV574" s="180" t="s">
        <v>8023</v>
      </c>
    </row>
    <row r="575" spans="1:74">
      <c r="A575" s="154" t="s">
        <v>7876</v>
      </c>
      <c r="B575" s="231" t="s">
        <v>259</v>
      </c>
      <c r="C575" s="231" t="s">
        <v>7964</v>
      </c>
      <c r="D575" s="231"/>
      <c r="E575" s="229">
        <v>19</v>
      </c>
      <c r="F575" s="232">
        <v>12</v>
      </c>
      <c r="G575" s="230"/>
      <c r="S575" s="225">
        <v>1190.9594480000001</v>
      </c>
      <c r="T575" s="180" t="s">
        <v>8023</v>
      </c>
      <c r="Y575" s="225">
        <v>601.84</v>
      </c>
      <c r="Z575" s="180" t="s">
        <v>8023</v>
      </c>
      <c r="AA575" s="225">
        <v>56008.66</v>
      </c>
      <c r="AB575" s="180" t="s">
        <v>8023</v>
      </c>
      <c r="AC575">
        <v>26.62</v>
      </c>
      <c r="AD575" s="180" t="s">
        <v>8023</v>
      </c>
      <c r="AG575" s="225">
        <v>4.75</v>
      </c>
      <c r="AH575" s="180" t="s">
        <v>8023</v>
      </c>
      <c r="AM575" s="225"/>
      <c r="BS575" s="225">
        <v>44.74</v>
      </c>
      <c r="BT575" s="180" t="s">
        <v>8023</v>
      </c>
      <c r="BU575" s="136">
        <v>22.61</v>
      </c>
      <c r="BV575" s="180" t="s">
        <v>8023</v>
      </c>
    </row>
    <row r="576" spans="1:74">
      <c r="A576" s="154" t="s">
        <v>7876</v>
      </c>
      <c r="B576" s="231" t="s">
        <v>257</v>
      </c>
      <c r="C576" s="231" t="s">
        <v>7982</v>
      </c>
      <c r="D576" s="231"/>
      <c r="E576" s="230">
        <v>2</v>
      </c>
      <c r="F576" s="232">
        <v>13</v>
      </c>
      <c r="G576" s="230"/>
      <c r="S576" s="225">
        <v>1571.275116</v>
      </c>
      <c r="T576" s="180" t="s">
        <v>8023</v>
      </c>
      <c r="Y576" s="225">
        <v>701.32</v>
      </c>
      <c r="Z576" s="180" t="s">
        <v>8023</v>
      </c>
      <c r="AA576" s="225">
        <v>71132.210000000006</v>
      </c>
      <c r="AB576" s="180" t="s">
        <v>8023</v>
      </c>
      <c r="AC576">
        <v>33.78</v>
      </c>
      <c r="AD576" s="180" t="s">
        <v>8023</v>
      </c>
      <c r="AG576" s="225">
        <v>4.75</v>
      </c>
      <c r="AH576" s="180" t="s">
        <v>8023</v>
      </c>
      <c r="AM576" s="225"/>
      <c r="BS576" s="225">
        <v>46.52</v>
      </c>
      <c r="BT576" s="180" t="s">
        <v>8023</v>
      </c>
      <c r="BU576" s="136">
        <v>20.76</v>
      </c>
      <c r="BV576" s="180" t="s">
        <v>8023</v>
      </c>
    </row>
    <row r="577" spans="1:74">
      <c r="A577" s="154" t="s">
        <v>7876</v>
      </c>
      <c r="B577" s="231" t="s">
        <v>259</v>
      </c>
      <c r="C577" s="231" t="s">
        <v>7982</v>
      </c>
      <c r="D577" s="231"/>
      <c r="E577" s="230">
        <v>3</v>
      </c>
      <c r="F577" s="232">
        <v>63</v>
      </c>
      <c r="G577" s="230"/>
      <c r="S577" s="225">
        <v>1323.9656620000001</v>
      </c>
      <c r="T577" s="180" t="s">
        <v>8023</v>
      </c>
      <c r="Y577" s="225">
        <v>702.48</v>
      </c>
      <c r="Z577" s="180" t="s">
        <v>8023</v>
      </c>
      <c r="AA577" s="225">
        <v>67363.8</v>
      </c>
      <c r="AB577" s="180" t="s">
        <v>8023</v>
      </c>
      <c r="AC577">
        <v>30.41</v>
      </c>
      <c r="AD577" s="180" t="s">
        <v>8023</v>
      </c>
      <c r="AG577" s="225">
        <v>4.51</v>
      </c>
      <c r="AH577" s="180" t="s">
        <v>8023</v>
      </c>
      <c r="AM577" s="225"/>
      <c r="BS577" s="225">
        <v>43.54</v>
      </c>
      <c r="BT577" s="180" t="s">
        <v>8023</v>
      </c>
      <c r="BU577" s="136">
        <v>23.1</v>
      </c>
      <c r="BV577" s="180" t="s">
        <v>8023</v>
      </c>
    </row>
    <row r="578" spans="1:74">
      <c r="A578" s="154" t="s">
        <v>7772</v>
      </c>
      <c r="B578" s="231" t="s">
        <v>257</v>
      </c>
      <c r="C578" s="231" t="s">
        <v>405</v>
      </c>
      <c r="D578" s="231"/>
      <c r="E578" s="229">
        <v>8</v>
      </c>
      <c r="F578" s="232">
        <v>21</v>
      </c>
      <c r="G578" s="230"/>
      <c r="S578" s="225">
        <v>1585.387761</v>
      </c>
      <c r="T578" s="180" t="s">
        <v>8023</v>
      </c>
      <c r="Y578" s="225">
        <v>661.53</v>
      </c>
      <c r="Z578" s="180" t="s">
        <v>8023</v>
      </c>
      <c r="AA578" s="225">
        <v>68448.820000000007</v>
      </c>
      <c r="AB578" s="180" t="s">
        <v>8023</v>
      </c>
      <c r="AC578">
        <v>32.25</v>
      </c>
      <c r="AD578" s="180" t="s">
        <v>8023</v>
      </c>
      <c r="AG578" s="225">
        <v>4.71</v>
      </c>
      <c r="AH578" s="180" t="s">
        <v>8023</v>
      </c>
      <c r="AM578" s="225"/>
      <c r="BS578" s="225">
        <v>49.16</v>
      </c>
      <c r="BT578" s="180" t="s">
        <v>8023</v>
      </c>
      <c r="BU578" s="136">
        <v>20.51</v>
      </c>
      <c r="BV578" s="180" t="s">
        <v>8023</v>
      </c>
    </row>
    <row r="579" spans="1:74">
      <c r="A579" s="154" t="s">
        <v>7772</v>
      </c>
      <c r="B579" s="231" t="s">
        <v>259</v>
      </c>
      <c r="C579" s="231" t="s">
        <v>405</v>
      </c>
      <c r="D579" s="231"/>
      <c r="E579" s="229">
        <v>12</v>
      </c>
      <c r="F579" s="232">
        <v>2</v>
      </c>
      <c r="G579" s="230"/>
      <c r="S579" s="225">
        <v>1775.7020299999999</v>
      </c>
      <c r="T579" s="180" t="s">
        <v>8023</v>
      </c>
      <c r="Y579" s="225">
        <v>766</v>
      </c>
      <c r="Z579" s="180" t="s">
        <v>8023</v>
      </c>
      <c r="AA579" s="225">
        <v>81745.61</v>
      </c>
      <c r="AB579" s="180" t="s">
        <v>8023</v>
      </c>
      <c r="AC579">
        <v>36.67</v>
      </c>
      <c r="AD579" s="180" t="s">
        <v>8023</v>
      </c>
      <c r="AG579" s="225">
        <v>4.49</v>
      </c>
      <c r="AH579" s="180" t="s">
        <v>8023</v>
      </c>
      <c r="AM579" s="225"/>
      <c r="BS579" s="225">
        <v>48.43</v>
      </c>
      <c r="BT579" s="180" t="s">
        <v>8023</v>
      </c>
      <c r="BU579" s="136">
        <v>20.89</v>
      </c>
      <c r="BV579" s="180" t="s">
        <v>8023</v>
      </c>
    </row>
    <row r="580" spans="1:74">
      <c r="A580" s="154" t="s">
        <v>7772</v>
      </c>
      <c r="B580" s="231" t="s">
        <v>257</v>
      </c>
      <c r="C580" s="231" t="s">
        <v>7963</v>
      </c>
      <c r="D580" s="231"/>
      <c r="E580" s="229">
        <v>12</v>
      </c>
      <c r="F580" s="232">
        <v>53</v>
      </c>
      <c r="G580" s="230"/>
      <c r="S580" s="225">
        <v>1549.61365</v>
      </c>
      <c r="T580" s="180" t="s">
        <v>8023</v>
      </c>
      <c r="Y580" s="225">
        <v>634.02</v>
      </c>
      <c r="Z580" s="180" t="s">
        <v>8023</v>
      </c>
      <c r="AA580" s="225">
        <v>67615.350000000006</v>
      </c>
      <c r="AB580" s="180" t="s">
        <v>8023</v>
      </c>
      <c r="AC580">
        <v>31.71</v>
      </c>
      <c r="AD580" s="180" t="s">
        <v>8023</v>
      </c>
      <c r="AG580" s="225">
        <v>4.6900000000000004</v>
      </c>
      <c r="AH580" s="180" t="s">
        <v>8023</v>
      </c>
      <c r="AM580" s="225"/>
      <c r="BS580" s="225">
        <v>48.86</v>
      </c>
      <c r="BT580" s="180" t="s">
        <v>8023</v>
      </c>
      <c r="BU580" s="136">
        <v>19.989999999999998</v>
      </c>
      <c r="BV580" s="180" t="s">
        <v>8023</v>
      </c>
    </row>
    <row r="581" spans="1:74">
      <c r="A581" s="154" t="s">
        <v>7772</v>
      </c>
      <c r="B581" s="231" t="s">
        <v>259</v>
      </c>
      <c r="C581" s="231" t="s">
        <v>7963</v>
      </c>
      <c r="D581" s="231"/>
      <c r="E581" s="229">
        <v>16</v>
      </c>
      <c r="F581" s="232">
        <v>64</v>
      </c>
      <c r="G581" s="230"/>
      <c r="S581" s="225">
        <v>1572.6468829999999</v>
      </c>
      <c r="T581" s="180" t="s">
        <v>8023</v>
      </c>
      <c r="Y581" s="225">
        <v>708.71</v>
      </c>
      <c r="Z581" s="180" t="s">
        <v>8023</v>
      </c>
      <c r="AA581" s="225">
        <v>72246.37</v>
      </c>
      <c r="AB581" s="180" t="s">
        <v>8023</v>
      </c>
      <c r="AC581">
        <v>32.92</v>
      </c>
      <c r="AD581" s="180" t="s">
        <v>8023</v>
      </c>
      <c r="AG581" s="225">
        <v>4.5599999999999996</v>
      </c>
      <c r="AH581" s="180" t="s">
        <v>8023</v>
      </c>
      <c r="AM581" s="225"/>
      <c r="BS581" s="225">
        <v>47.78</v>
      </c>
      <c r="BT581" s="180" t="s">
        <v>8023</v>
      </c>
      <c r="BU581" s="136">
        <v>21.53</v>
      </c>
      <c r="BV581" s="180" t="s">
        <v>8023</v>
      </c>
    </row>
    <row r="582" spans="1:74">
      <c r="A582" s="154" t="s">
        <v>7772</v>
      </c>
      <c r="B582" s="231" t="s">
        <v>257</v>
      </c>
      <c r="C582" s="231" t="s">
        <v>7964</v>
      </c>
      <c r="D582" s="231"/>
      <c r="E582" s="230">
        <v>13</v>
      </c>
      <c r="F582" s="232">
        <v>9</v>
      </c>
      <c r="G582" s="230"/>
      <c r="S582" s="225">
        <v>1691.059156</v>
      </c>
      <c r="T582" s="180" t="s">
        <v>8023</v>
      </c>
      <c r="Y582" s="225">
        <v>763.73</v>
      </c>
      <c r="Z582" s="180" t="s">
        <v>8023</v>
      </c>
      <c r="AA582" s="225">
        <v>76825.52</v>
      </c>
      <c r="AB582" s="180" t="s">
        <v>8023</v>
      </c>
      <c r="AC582">
        <v>35.81</v>
      </c>
      <c r="AD582" s="180" t="s">
        <v>8023</v>
      </c>
      <c r="AG582" s="225">
        <v>4.66</v>
      </c>
      <c r="AH582" s="180" t="s">
        <v>8023</v>
      </c>
      <c r="AM582" s="225"/>
      <c r="BS582" s="225">
        <v>47.22</v>
      </c>
      <c r="BT582" s="180" t="s">
        <v>8023</v>
      </c>
      <c r="BU582" s="136">
        <v>21.33</v>
      </c>
      <c r="BV582" s="180" t="s">
        <v>8023</v>
      </c>
    </row>
    <row r="583" spans="1:74">
      <c r="A583" s="154" t="s">
        <v>7772</v>
      </c>
      <c r="B583" s="231" t="s">
        <v>259</v>
      </c>
      <c r="C583" s="231" t="s">
        <v>7964</v>
      </c>
      <c r="D583" s="231"/>
      <c r="E583" s="230">
        <v>20</v>
      </c>
      <c r="F583" s="232">
        <v>19</v>
      </c>
      <c r="G583" s="230"/>
      <c r="S583" s="225">
        <v>1640.8489790000001</v>
      </c>
      <c r="T583" s="180" t="s">
        <v>8023</v>
      </c>
      <c r="Y583" s="225">
        <v>798.27</v>
      </c>
      <c r="Z583" s="180" t="s">
        <v>8023</v>
      </c>
      <c r="AA583" s="225">
        <v>78402.09</v>
      </c>
      <c r="AB583" s="180" t="s">
        <v>8023</v>
      </c>
      <c r="AC583">
        <v>35.5</v>
      </c>
      <c r="AD583" s="180" t="s">
        <v>8023</v>
      </c>
      <c r="AG583" s="225">
        <v>4.53</v>
      </c>
      <c r="AH583" s="180" t="s">
        <v>8023</v>
      </c>
      <c r="AM583" s="225"/>
      <c r="BS583" s="225">
        <v>46.22</v>
      </c>
      <c r="BT583" s="180" t="s">
        <v>8023</v>
      </c>
      <c r="BU583" s="136">
        <v>22.49</v>
      </c>
      <c r="BV583" s="180" t="s">
        <v>8023</v>
      </c>
    </row>
    <row r="584" spans="1:74">
      <c r="A584" s="154" t="s">
        <v>7772</v>
      </c>
      <c r="B584" s="231" t="s">
        <v>257</v>
      </c>
      <c r="C584" s="231" t="s">
        <v>7982</v>
      </c>
      <c r="D584" s="231"/>
      <c r="E584" s="229">
        <v>3</v>
      </c>
      <c r="F584" s="232">
        <v>6</v>
      </c>
      <c r="G584" s="230"/>
      <c r="S584" s="225">
        <v>1564.9840320000001</v>
      </c>
      <c r="T584" s="180" t="s">
        <v>8023</v>
      </c>
      <c r="Y584" s="225">
        <v>720.82</v>
      </c>
      <c r="Z584" s="180" t="s">
        <v>8023</v>
      </c>
      <c r="AA584" s="225">
        <v>65251.33</v>
      </c>
      <c r="AB584" s="180" t="s">
        <v>8023</v>
      </c>
      <c r="AC584">
        <v>33.119999999999997</v>
      </c>
      <c r="AD584" s="180" t="s">
        <v>8023</v>
      </c>
      <c r="AG584" s="225">
        <v>5.08</v>
      </c>
      <c r="AH584" s="180" t="s">
        <v>8023</v>
      </c>
      <c r="AM584" s="225"/>
      <c r="BS584" s="225">
        <v>47.25</v>
      </c>
      <c r="BT584" s="180" t="s">
        <v>8023</v>
      </c>
      <c r="BU584" s="136">
        <v>21.76</v>
      </c>
      <c r="BV584" s="180" t="s">
        <v>8023</v>
      </c>
    </row>
    <row r="585" spans="1:74">
      <c r="A585" s="154" t="s">
        <v>7772</v>
      </c>
      <c r="B585" s="231" t="s">
        <v>259</v>
      </c>
      <c r="C585" s="231" t="s">
        <v>7982</v>
      </c>
      <c r="D585" s="231"/>
      <c r="E585" s="229">
        <v>1</v>
      </c>
      <c r="F585" s="232">
        <v>61</v>
      </c>
      <c r="G585" s="230"/>
      <c r="S585" s="225">
        <v>1799.942278</v>
      </c>
      <c r="T585" s="180" t="s">
        <v>8023</v>
      </c>
      <c r="Y585" s="225">
        <v>907.14</v>
      </c>
      <c r="Z585" s="180" t="s">
        <v>8023</v>
      </c>
      <c r="AA585" s="225">
        <v>85303.67</v>
      </c>
      <c r="AB585" s="180" t="s">
        <v>8023</v>
      </c>
      <c r="AC585">
        <v>39.299999999999997</v>
      </c>
      <c r="AD585" s="180" t="s">
        <v>8023</v>
      </c>
      <c r="AG585" s="225">
        <v>4.6100000000000003</v>
      </c>
      <c r="AH585" s="180" t="s">
        <v>8023</v>
      </c>
      <c r="AM585" s="225"/>
      <c r="BS585" s="225">
        <v>45.8</v>
      </c>
      <c r="BT585" s="180" t="s">
        <v>8023</v>
      </c>
      <c r="BU585" s="136">
        <v>23.08</v>
      </c>
      <c r="BV585" s="180" t="s">
        <v>8023</v>
      </c>
    </row>
    <row r="586" spans="1:74">
      <c r="A586" s="154" t="s">
        <v>7773</v>
      </c>
      <c r="B586" s="231" t="s">
        <v>257</v>
      </c>
      <c r="C586" s="231" t="s">
        <v>405</v>
      </c>
      <c r="D586" s="231"/>
      <c r="E586" s="229">
        <v>7</v>
      </c>
      <c r="F586" s="232">
        <v>12</v>
      </c>
      <c r="G586" s="230"/>
      <c r="S586" s="225">
        <v>1474.4977819999999</v>
      </c>
      <c r="T586" s="180" t="s">
        <v>8023</v>
      </c>
      <c r="Y586" s="225">
        <v>641.99</v>
      </c>
      <c r="Z586" s="180" t="s">
        <v>8023</v>
      </c>
      <c r="AA586" s="225">
        <v>68122.22</v>
      </c>
      <c r="AB586" s="180" t="s">
        <v>8023</v>
      </c>
      <c r="AC586">
        <v>31.13</v>
      </c>
      <c r="AD586" s="180" t="s">
        <v>8023</v>
      </c>
      <c r="AG586" s="225">
        <v>4.57</v>
      </c>
      <c r="AH586" s="180" t="s">
        <v>8023</v>
      </c>
      <c r="AM586" s="225"/>
      <c r="BS586" s="225">
        <v>47.37</v>
      </c>
      <c r="BT586" s="180" t="s">
        <v>8023</v>
      </c>
      <c r="BU586" s="136">
        <v>20.62</v>
      </c>
      <c r="BV586" s="180" t="s">
        <v>8023</v>
      </c>
    </row>
    <row r="587" spans="1:74">
      <c r="A587" s="154" t="s">
        <v>7773</v>
      </c>
      <c r="B587" s="231" t="s">
        <v>259</v>
      </c>
      <c r="C587" s="231" t="s">
        <v>405</v>
      </c>
      <c r="D587" s="231"/>
      <c r="E587" s="229">
        <v>9</v>
      </c>
      <c r="F587" s="232">
        <v>4</v>
      </c>
      <c r="G587" s="230"/>
      <c r="S587" s="225">
        <v>1655.5551049999999</v>
      </c>
      <c r="T587" s="180" t="s">
        <v>8023</v>
      </c>
      <c r="Y587" s="225">
        <v>687.55</v>
      </c>
      <c r="Z587" s="180" t="s">
        <v>8023</v>
      </c>
      <c r="AA587" s="225">
        <v>67036.899999999994</v>
      </c>
      <c r="AB587" s="180" t="s">
        <v>8023</v>
      </c>
      <c r="AC587">
        <v>34.01</v>
      </c>
      <c r="AD587" s="180" t="s">
        <v>8023</v>
      </c>
      <c r="AG587" s="225">
        <v>5.07</v>
      </c>
      <c r="AH587" s="180" t="s">
        <v>8023</v>
      </c>
      <c r="AM587" s="225"/>
      <c r="BS587" s="225">
        <v>48.68</v>
      </c>
      <c r="BT587" s="180" t="s">
        <v>8023</v>
      </c>
      <c r="BU587" s="136">
        <v>20.22</v>
      </c>
      <c r="BV587" s="180" t="s">
        <v>8023</v>
      </c>
    </row>
    <row r="588" spans="1:74">
      <c r="A588" s="154" t="s">
        <v>7773</v>
      </c>
      <c r="B588" s="231" t="s">
        <v>257</v>
      </c>
      <c r="C588" s="231" t="s">
        <v>7963</v>
      </c>
      <c r="D588" s="231"/>
      <c r="E588" s="229">
        <v>11</v>
      </c>
      <c r="F588" s="232">
        <v>39</v>
      </c>
      <c r="G588" s="230"/>
      <c r="S588" s="225">
        <v>1469.344838</v>
      </c>
      <c r="T588" s="180" t="s">
        <v>8023</v>
      </c>
      <c r="Y588" s="225">
        <v>581.02</v>
      </c>
      <c r="Z588" s="180" t="s">
        <v>8023</v>
      </c>
      <c r="AA588" s="225">
        <v>60346.53</v>
      </c>
      <c r="AB588" s="180" t="s">
        <v>8023</v>
      </c>
      <c r="AC588">
        <v>29.95</v>
      </c>
      <c r="AD588" s="180" t="s">
        <v>8023</v>
      </c>
      <c r="AG588" s="225">
        <v>4.96</v>
      </c>
      <c r="AH588" s="180" t="s">
        <v>8023</v>
      </c>
      <c r="AM588" s="225"/>
      <c r="BS588" s="225">
        <v>49.07</v>
      </c>
      <c r="BT588" s="180" t="s">
        <v>8023</v>
      </c>
      <c r="BU588" s="136">
        <v>19.399999999999999</v>
      </c>
      <c r="BV588" s="180" t="s">
        <v>8023</v>
      </c>
    </row>
    <row r="589" spans="1:74">
      <c r="A589" s="154" t="s">
        <v>7773</v>
      </c>
      <c r="B589" s="231" t="s">
        <v>259</v>
      </c>
      <c r="C589" s="231" t="s">
        <v>7963</v>
      </c>
      <c r="D589" s="231"/>
      <c r="E589" s="230">
        <v>13</v>
      </c>
      <c r="F589" s="232">
        <v>49</v>
      </c>
      <c r="G589" s="230"/>
      <c r="S589" s="225">
        <v>1150.913348</v>
      </c>
      <c r="T589" s="180" t="s">
        <v>8023</v>
      </c>
      <c r="Y589" s="225">
        <v>542.84</v>
      </c>
      <c r="Z589" s="180" t="s">
        <v>8023</v>
      </c>
      <c r="AA589" s="225">
        <v>53176.67</v>
      </c>
      <c r="AB589" s="180" t="s">
        <v>8023</v>
      </c>
      <c r="AC589">
        <v>24.92</v>
      </c>
      <c r="AD589" s="180" t="s">
        <v>8023</v>
      </c>
      <c r="AG589" s="225">
        <v>4.6900000000000004</v>
      </c>
      <c r="AH589" s="180" t="s">
        <v>8023</v>
      </c>
      <c r="AM589" s="225"/>
      <c r="BS589" s="225">
        <v>46.18</v>
      </c>
      <c r="BT589" s="180" t="s">
        <v>8023</v>
      </c>
      <c r="BU589" s="136">
        <v>21.78</v>
      </c>
      <c r="BV589" s="180" t="s">
        <v>8023</v>
      </c>
    </row>
    <row r="590" spans="1:74">
      <c r="A590" s="154" t="s">
        <v>7773</v>
      </c>
      <c r="B590" s="231" t="s">
        <v>257</v>
      </c>
      <c r="C590" s="231" t="s">
        <v>7964</v>
      </c>
      <c r="D590" s="231"/>
      <c r="E590" s="229">
        <v>16</v>
      </c>
      <c r="F590" s="232">
        <v>32</v>
      </c>
      <c r="G590" s="230"/>
      <c r="S590" s="225">
        <v>1436.935737</v>
      </c>
      <c r="T590" s="180" t="s">
        <v>8023</v>
      </c>
      <c r="Y590" s="225">
        <v>662.21</v>
      </c>
      <c r="Z590" s="180" t="s">
        <v>8023</v>
      </c>
      <c r="AA590" s="225">
        <v>65074.32</v>
      </c>
      <c r="AB590" s="180" t="s">
        <v>8023</v>
      </c>
      <c r="AC590">
        <v>30.8</v>
      </c>
      <c r="AD590" s="180" t="s">
        <v>8023</v>
      </c>
      <c r="AG590" s="225">
        <v>4.7300000000000004</v>
      </c>
      <c r="AH590" s="180" t="s">
        <v>8023</v>
      </c>
      <c r="AM590" s="225"/>
      <c r="BS590" s="225">
        <v>46.66</v>
      </c>
      <c r="BT590" s="180" t="s">
        <v>8023</v>
      </c>
      <c r="BU590" s="136">
        <v>21.5</v>
      </c>
      <c r="BV590" s="180" t="s">
        <v>8023</v>
      </c>
    </row>
    <row r="591" spans="1:74">
      <c r="A591" s="154" t="s">
        <v>7773</v>
      </c>
      <c r="B591" s="231" t="s">
        <v>259</v>
      </c>
      <c r="C591" s="231" t="s">
        <v>7964</v>
      </c>
      <c r="D591" s="231"/>
      <c r="E591" s="229">
        <v>19</v>
      </c>
      <c r="F591" s="232">
        <v>10</v>
      </c>
      <c r="G591" s="230"/>
      <c r="S591" s="225">
        <v>1529.2779410000001</v>
      </c>
      <c r="T591" s="180" t="s">
        <v>8023</v>
      </c>
      <c r="Y591" s="225">
        <v>697.51</v>
      </c>
      <c r="Z591" s="180" t="s">
        <v>8023</v>
      </c>
      <c r="AA591" s="225">
        <v>68600.77</v>
      </c>
      <c r="AB591" s="180" t="s">
        <v>8023</v>
      </c>
      <c r="AC591">
        <v>32.590000000000003</v>
      </c>
      <c r="AD591" s="180" t="s">
        <v>8023</v>
      </c>
      <c r="AG591" s="225">
        <v>4.75</v>
      </c>
      <c r="AH591" s="180" t="s">
        <v>8023</v>
      </c>
      <c r="AM591" s="225"/>
      <c r="BS591" s="225">
        <v>46.92</v>
      </c>
      <c r="BT591" s="180" t="s">
        <v>8023</v>
      </c>
      <c r="BU591" s="136">
        <v>21.4</v>
      </c>
      <c r="BV591" s="180" t="s">
        <v>8023</v>
      </c>
    </row>
    <row r="592" spans="1:74">
      <c r="A592" s="154" t="s">
        <v>7773</v>
      </c>
      <c r="B592" s="231" t="s">
        <v>257</v>
      </c>
      <c r="C592" s="231" t="s">
        <v>7982</v>
      </c>
      <c r="D592" s="231"/>
      <c r="E592" s="229">
        <v>2</v>
      </c>
      <c r="F592" s="232">
        <v>26</v>
      </c>
      <c r="G592" s="230"/>
      <c r="S592" s="225">
        <v>1578.598616</v>
      </c>
      <c r="T592" s="180" t="s">
        <v>8023</v>
      </c>
      <c r="Y592" s="225">
        <v>665.22</v>
      </c>
      <c r="Z592" s="180" t="s">
        <v>8023</v>
      </c>
      <c r="AA592" s="225">
        <v>64189.53</v>
      </c>
      <c r="AB592" s="180" t="s">
        <v>8023</v>
      </c>
      <c r="AC592">
        <v>32.86</v>
      </c>
      <c r="AD592" s="180" t="s">
        <v>8023</v>
      </c>
      <c r="AG592" s="225">
        <v>5.12</v>
      </c>
      <c r="AH592" s="180" t="s">
        <v>8023</v>
      </c>
      <c r="AM592" s="225"/>
      <c r="BS592" s="225">
        <v>48.04</v>
      </c>
      <c r="BT592" s="180" t="s">
        <v>8023</v>
      </c>
      <c r="BU592" s="136">
        <v>20.25</v>
      </c>
      <c r="BV592" s="180" t="s">
        <v>8023</v>
      </c>
    </row>
    <row r="593" spans="1:74">
      <c r="A593" s="154" t="s">
        <v>7773</v>
      </c>
      <c r="B593" s="231" t="s">
        <v>259</v>
      </c>
      <c r="C593" s="231" t="s">
        <v>7982</v>
      </c>
      <c r="D593" s="231"/>
      <c r="E593" s="229">
        <v>1</v>
      </c>
      <c r="F593" s="232">
        <v>39</v>
      </c>
      <c r="G593" s="230"/>
      <c r="S593" s="225">
        <v>1368.969848</v>
      </c>
      <c r="T593" s="180" t="s">
        <v>8023</v>
      </c>
      <c r="Y593" s="225">
        <v>675.4</v>
      </c>
      <c r="Z593" s="180" t="s">
        <v>8023</v>
      </c>
      <c r="AA593" s="225">
        <v>65834.66</v>
      </c>
      <c r="AB593" s="180" t="s">
        <v>8023</v>
      </c>
      <c r="AC593">
        <v>30.19</v>
      </c>
      <c r="AD593" s="180" t="s">
        <v>8023</v>
      </c>
      <c r="AG593" s="225">
        <v>4.59</v>
      </c>
      <c r="AH593" s="180" t="s">
        <v>8023</v>
      </c>
      <c r="AM593" s="225"/>
      <c r="BS593" s="225">
        <v>45.34</v>
      </c>
      <c r="BT593" s="180" t="s">
        <v>8023</v>
      </c>
      <c r="BU593" s="136">
        <v>22.37</v>
      </c>
      <c r="BV593" s="180" t="s">
        <v>8023</v>
      </c>
    </row>
    <row r="594" spans="1:74">
      <c r="A594" s="154" t="s">
        <v>7774</v>
      </c>
      <c r="B594" s="231" t="s">
        <v>257</v>
      </c>
      <c r="C594" s="231" t="s">
        <v>405</v>
      </c>
      <c r="D594" s="231"/>
      <c r="E594" s="230">
        <v>8</v>
      </c>
      <c r="F594" s="232">
        <v>7</v>
      </c>
      <c r="G594" s="230"/>
      <c r="S594" s="225">
        <v>1717.896023</v>
      </c>
      <c r="T594" s="180" t="s">
        <v>8023</v>
      </c>
      <c r="Y594" s="225">
        <v>637.29999999999995</v>
      </c>
      <c r="Z594" s="180" t="s">
        <v>8023</v>
      </c>
      <c r="AA594" s="225">
        <v>74243.460000000006</v>
      </c>
      <c r="AB594" s="180" t="s">
        <v>8023</v>
      </c>
      <c r="AC594">
        <v>33.97</v>
      </c>
      <c r="AD594" s="180" t="s">
        <v>8023</v>
      </c>
      <c r="AG594" s="225">
        <v>4.58</v>
      </c>
      <c r="AH594" s="180" t="s">
        <v>8023</v>
      </c>
      <c r="AM594" s="225"/>
      <c r="BS594" s="225">
        <v>50.57</v>
      </c>
      <c r="BT594" s="180" t="s">
        <v>8023</v>
      </c>
      <c r="BU594" s="136">
        <v>18.760000000000002</v>
      </c>
      <c r="BV594" s="180" t="s">
        <v>8023</v>
      </c>
    </row>
    <row r="595" spans="1:74">
      <c r="A595" s="154" t="s">
        <v>7774</v>
      </c>
      <c r="B595" s="231" t="s">
        <v>259</v>
      </c>
      <c r="C595" s="231" t="s">
        <v>405</v>
      </c>
      <c r="D595" s="231"/>
      <c r="E595" s="230">
        <v>10</v>
      </c>
      <c r="F595" s="232">
        <v>15</v>
      </c>
      <c r="G595" s="230"/>
      <c r="S595" s="225">
        <v>1939.696882</v>
      </c>
      <c r="T595" s="180" t="s">
        <v>8023</v>
      </c>
      <c r="Y595" s="225">
        <v>810.85</v>
      </c>
      <c r="Z595" s="180" t="s">
        <v>8023</v>
      </c>
      <c r="AA595" s="225">
        <v>89745.02</v>
      </c>
      <c r="AB595" s="180" t="s">
        <v>8023</v>
      </c>
      <c r="AC595">
        <v>39.729999999999997</v>
      </c>
      <c r="AD595" s="180" t="s">
        <v>8023</v>
      </c>
      <c r="AG595" s="225">
        <v>4.43</v>
      </c>
      <c r="AH595" s="180" t="s">
        <v>8023</v>
      </c>
      <c r="AM595" s="225"/>
      <c r="BS595" s="225">
        <v>48.82</v>
      </c>
      <c r="BT595" s="180" t="s">
        <v>8023</v>
      </c>
      <c r="BU595" s="136">
        <v>20.41</v>
      </c>
      <c r="BV595" s="180" t="s">
        <v>8023</v>
      </c>
    </row>
    <row r="596" spans="1:74">
      <c r="A596" s="154" t="s">
        <v>7774</v>
      </c>
      <c r="B596" s="231" t="s">
        <v>257</v>
      </c>
      <c r="C596" s="231" t="s">
        <v>7963</v>
      </c>
      <c r="D596" s="231"/>
      <c r="E596" s="229">
        <v>12</v>
      </c>
      <c r="F596" s="232">
        <v>50</v>
      </c>
      <c r="G596" s="230"/>
      <c r="S596" s="225">
        <v>1728.434471</v>
      </c>
      <c r="T596" s="180" t="s">
        <v>8023</v>
      </c>
      <c r="Y596" s="225">
        <v>721.42</v>
      </c>
      <c r="Z596" s="180" t="s">
        <v>8023</v>
      </c>
      <c r="AA596" s="225">
        <v>76647.759999999995</v>
      </c>
      <c r="AB596" s="180" t="s">
        <v>8023</v>
      </c>
      <c r="AC596">
        <v>35.700000000000003</v>
      </c>
      <c r="AD596" s="180" t="s">
        <v>8023</v>
      </c>
      <c r="AG596" s="225">
        <v>4.66</v>
      </c>
      <c r="AH596" s="180" t="s">
        <v>8023</v>
      </c>
      <c r="AM596" s="225"/>
      <c r="BS596" s="225">
        <v>48.41</v>
      </c>
      <c r="BT596" s="180" t="s">
        <v>8023</v>
      </c>
      <c r="BU596" s="136">
        <v>20.21</v>
      </c>
      <c r="BV596" s="180" t="s">
        <v>8023</v>
      </c>
    </row>
    <row r="597" spans="1:74">
      <c r="A597" s="154" t="s">
        <v>7774</v>
      </c>
      <c r="B597" s="231" t="s">
        <v>259</v>
      </c>
      <c r="C597" s="231" t="s">
        <v>7963</v>
      </c>
      <c r="D597" s="231"/>
      <c r="E597" s="229">
        <v>16</v>
      </c>
      <c r="F597" s="232">
        <v>62</v>
      </c>
      <c r="G597" s="230"/>
      <c r="S597" s="225">
        <v>1940.2757859999999</v>
      </c>
      <c r="T597" s="180" t="s">
        <v>8023</v>
      </c>
      <c r="Y597" s="225">
        <v>835.81</v>
      </c>
      <c r="Z597" s="180" t="s">
        <v>8023</v>
      </c>
      <c r="AA597" s="225">
        <v>82917.53</v>
      </c>
      <c r="AB597" s="180" t="s">
        <v>8023</v>
      </c>
      <c r="AC597">
        <v>40.159999999999997</v>
      </c>
      <c r="AD597" s="180" t="s">
        <v>8023</v>
      </c>
      <c r="AG597" s="225">
        <v>4.84</v>
      </c>
      <c r="AH597" s="180" t="s">
        <v>8023</v>
      </c>
      <c r="AM597" s="225"/>
      <c r="BS597" s="225">
        <v>48.32</v>
      </c>
      <c r="BT597" s="180" t="s">
        <v>8023</v>
      </c>
      <c r="BU597" s="136">
        <v>20.81</v>
      </c>
      <c r="BV597" s="180" t="s">
        <v>8023</v>
      </c>
    </row>
    <row r="598" spans="1:74">
      <c r="A598" s="154" t="s">
        <v>7774</v>
      </c>
      <c r="B598" s="231" t="s">
        <v>257</v>
      </c>
      <c r="C598" s="231" t="s">
        <v>7964</v>
      </c>
      <c r="D598" s="231"/>
      <c r="E598" s="229">
        <v>16</v>
      </c>
      <c r="F598" s="232">
        <v>1</v>
      </c>
      <c r="G598" s="230"/>
      <c r="S598" s="225">
        <v>1688.1863169999999</v>
      </c>
      <c r="T598" s="180" t="s">
        <v>8023</v>
      </c>
      <c r="Y598" s="225">
        <v>696.94</v>
      </c>
      <c r="Z598" s="180" t="s">
        <v>8023</v>
      </c>
      <c r="AA598" s="225">
        <v>80844.17</v>
      </c>
      <c r="AB598" s="180" t="s">
        <v>8023</v>
      </c>
      <c r="AC598">
        <v>34.71</v>
      </c>
      <c r="AD598" s="180" t="s">
        <v>8023</v>
      </c>
      <c r="AG598" s="225">
        <v>4.29</v>
      </c>
      <c r="AH598" s="180" t="s">
        <v>8023</v>
      </c>
      <c r="AM598" s="225"/>
      <c r="BS598" s="225">
        <v>48.63</v>
      </c>
      <c r="BT598" s="180" t="s">
        <v>8023</v>
      </c>
      <c r="BU598" s="136">
        <v>20.079999999999998</v>
      </c>
      <c r="BV598" s="180" t="s">
        <v>8023</v>
      </c>
    </row>
    <row r="599" spans="1:74">
      <c r="A599" s="154" t="s">
        <v>7774</v>
      </c>
      <c r="B599" s="231" t="s">
        <v>259</v>
      </c>
      <c r="C599" s="231" t="s">
        <v>7964</v>
      </c>
      <c r="D599" s="231"/>
      <c r="E599" s="229">
        <v>21</v>
      </c>
      <c r="F599" s="232">
        <v>22</v>
      </c>
      <c r="G599" s="230"/>
      <c r="S599" s="225">
        <v>1677.799354</v>
      </c>
      <c r="T599" s="180" t="s">
        <v>8023</v>
      </c>
      <c r="Y599" s="225">
        <v>765.19</v>
      </c>
      <c r="Z599" s="180" t="s">
        <v>8023</v>
      </c>
      <c r="AA599" s="225">
        <v>75157.820000000007</v>
      </c>
      <c r="AB599" s="180" t="s">
        <v>8023</v>
      </c>
      <c r="AC599">
        <v>35.840000000000003</v>
      </c>
      <c r="AD599" s="180" t="s">
        <v>8023</v>
      </c>
      <c r="AG599" s="225">
        <v>4.7699999999999996</v>
      </c>
      <c r="AH599" s="180" t="s">
        <v>8023</v>
      </c>
      <c r="AM599" s="225"/>
      <c r="BS599" s="225">
        <v>46.81</v>
      </c>
      <c r="BT599" s="180" t="s">
        <v>8023</v>
      </c>
      <c r="BU599" s="136">
        <v>21.35</v>
      </c>
      <c r="BV599" s="180" t="s">
        <v>8023</v>
      </c>
    </row>
    <row r="600" spans="1:74">
      <c r="A600" s="154" t="s">
        <v>7774</v>
      </c>
      <c r="B600" s="231" t="s">
        <v>257</v>
      </c>
      <c r="C600" s="231" t="s">
        <v>7982</v>
      </c>
      <c r="D600" s="231"/>
      <c r="E600" s="230">
        <v>4</v>
      </c>
      <c r="F600" s="232">
        <v>23</v>
      </c>
      <c r="G600" s="230"/>
      <c r="S600" s="225">
        <v>1681.5872509999999</v>
      </c>
      <c r="T600" s="180" t="s">
        <v>8023</v>
      </c>
      <c r="Y600" s="225">
        <v>690.91</v>
      </c>
      <c r="Z600" s="180" t="s">
        <v>8023</v>
      </c>
      <c r="AA600" s="225">
        <v>72127.679999999993</v>
      </c>
      <c r="AB600" s="180" t="s">
        <v>8023</v>
      </c>
      <c r="AC600">
        <v>34.51</v>
      </c>
      <c r="AD600" s="180" t="s">
        <v>8023</v>
      </c>
      <c r="AG600" s="225">
        <v>4.78</v>
      </c>
      <c r="AH600" s="180" t="s">
        <v>8023</v>
      </c>
      <c r="AM600" s="225"/>
      <c r="BS600" s="225">
        <v>48.73</v>
      </c>
      <c r="BT600" s="180" t="s">
        <v>8023</v>
      </c>
      <c r="BU600" s="136">
        <v>20.02</v>
      </c>
      <c r="BV600" s="180" t="s">
        <v>8023</v>
      </c>
    </row>
    <row r="601" spans="1:74">
      <c r="A601" s="154" t="s">
        <v>7774</v>
      </c>
      <c r="B601" s="231" t="s">
        <v>259</v>
      </c>
      <c r="C601" s="231" t="s">
        <v>7982</v>
      </c>
      <c r="D601" s="231"/>
      <c r="E601" s="230">
        <v>2</v>
      </c>
      <c r="F601" s="232">
        <v>49</v>
      </c>
      <c r="G601" s="230"/>
      <c r="S601" s="225">
        <v>1561.1489650000001</v>
      </c>
      <c r="T601" s="180" t="s">
        <v>8023</v>
      </c>
      <c r="Y601" s="225">
        <v>723.56</v>
      </c>
      <c r="Z601" s="180" t="s">
        <v>8023</v>
      </c>
      <c r="AA601" s="225">
        <v>73070.679999999993</v>
      </c>
      <c r="AB601" s="180" t="s">
        <v>8023</v>
      </c>
      <c r="AC601">
        <v>33.06</v>
      </c>
      <c r="AD601" s="180" t="s">
        <v>8023</v>
      </c>
      <c r="AG601" s="225">
        <v>4.5199999999999996</v>
      </c>
      <c r="AH601" s="180" t="s">
        <v>8023</v>
      </c>
      <c r="AM601" s="225"/>
      <c r="BS601" s="225">
        <v>47.22</v>
      </c>
      <c r="BT601" s="180" t="s">
        <v>8023</v>
      </c>
      <c r="BU601" s="136">
        <v>21.89</v>
      </c>
      <c r="BV601" s="180" t="s">
        <v>8023</v>
      </c>
    </row>
    <row r="602" spans="1:74">
      <c r="A602" s="154" t="s">
        <v>7775</v>
      </c>
      <c r="B602" s="231" t="s">
        <v>257</v>
      </c>
      <c r="C602" s="231" t="s">
        <v>405</v>
      </c>
      <c r="D602" s="231"/>
      <c r="E602" s="229">
        <v>7</v>
      </c>
      <c r="F602" s="232">
        <v>19</v>
      </c>
      <c r="G602" s="230"/>
      <c r="S602" s="225">
        <v>1535.13624</v>
      </c>
      <c r="T602" s="180" t="s">
        <v>8023</v>
      </c>
      <c r="Y602" s="225">
        <v>688.75</v>
      </c>
      <c r="Z602" s="180" t="s">
        <v>8023</v>
      </c>
      <c r="AA602" s="225">
        <v>66803.839999999997</v>
      </c>
      <c r="AB602" s="180" t="s">
        <v>8023</v>
      </c>
      <c r="AC602">
        <v>32.72</v>
      </c>
      <c r="AD602" s="180" t="s">
        <v>8023</v>
      </c>
      <c r="AG602" s="225">
        <v>4.9000000000000004</v>
      </c>
      <c r="AH602" s="180" t="s">
        <v>8023</v>
      </c>
      <c r="AM602" s="225"/>
      <c r="BS602" s="225">
        <v>46.92</v>
      </c>
      <c r="BT602" s="180" t="s">
        <v>8023</v>
      </c>
      <c r="BU602" s="136">
        <v>21.05</v>
      </c>
      <c r="BV602" s="180" t="s">
        <v>8023</v>
      </c>
    </row>
    <row r="603" spans="1:74">
      <c r="A603" s="154" t="s">
        <v>7775</v>
      </c>
      <c r="B603" s="231" t="s">
        <v>259</v>
      </c>
      <c r="C603" s="231" t="s">
        <v>405</v>
      </c>
      <c r="D603" s="231"/>
      <c r="E603" s="229">
        <v>9</v>
      </c>
      <c r="F603" s="232">
        <v>11</v>
      </c>
      <c r="G603" s="230"/>
      <c r="S603" s="225">
        <v>2099.505533</v>
      </c>
      <c r="T603" s="180" t="s">
        <v>8023</v>
      </c>
      <c r="Y603" s="225">
        <v>901.43</v>
      </c>
      <c r="Z603" s="180" t="s">
        <v>8023</v>
      </c>
      <c r="AA603" s="225">
        <v>96971.64</v>
      </c>
      <c r="AB603" s="180" t="s">
        <v>8023</v>
      </c>
      <c r="AC603">
        <v>44.15</v>
      </c>
      <c r="AD603" s="180" t="s">
        <v>8023</v>
      </c>
      <c r="AG603" s="225">
        <v>4.55</v>
      </c>
      <c r="AH603" s="180" t="s">
        <v>8023</v>
      </c>
      <c r="AM603" s="225"/>
      <c r="BS603" s="225">
        <v>47.56</v>
      </c>
      <c r="BT603" s="180" t="s">
        <v>8023</v>
      </c>
      <c r="BU603" s="136">
        <v>20.420000000000002</v>
      </c>
      <c r="BV603" s="180" t="s">
        <v>8023</v>
      </c>
    </row>
    <row r="604" spans="1:74">
      <c r="A604" s="154" t="s">
        <v>7775</v>
      </c>
      <c r="B604" s="231" t="s">
        <v>257</v>
      </c>
      <c r="C604" s="231" t="s">
        <v>7963</v>
      </c>
      <c r="D604" s="231"/>
      <c r="E604" s="229">
        <v>12</v>
      </c>
      <c r="F604" s="232">
        <v>57</v>
      </c>
      <c r="G604" s="230"/>
      <c r="S604" s="225">
        <v>1891.804556</v>
      </c>
      <c r="T604" s="180" t="s">
        <v>8023</v>
      </c>
      <c r="Y604" s="225">
        <v>759.3</v>
      </c>
      <c r="Z604" s="180" t="s">
        <v>8023</v>
      </c>
      <c r="AA604" s="225">
        <v>75586.31</v>
      </c>
      <c r="AB604" s="180" t="s">
        <v>8023</v>
      </c>
      <c r="AC604">
        <v>38.840000000000003</v>
      </c>
      <c r="AD604" s="180" t="s">
        <v>8023</v>
      </c>
      <c r="AG604" s="225">
        <v>5.14</v>
      </c>
      <c r="AH604" s="180" t="s">
        <v>8023</v>
      </c>
      <c r="AM604" s="225"/>
      <c r="BS604" s="225">
        <v>48.71</v>
      </c>
      <c r="BT604" s="180" t="s">
        <v>8023</v>
      </c>
      <c r="BU604" s="136">
        <v>19.55</v>
      </c>
      <c r="BV604" s="180" t="s">
        <v>8023</v>
      </c>
    </row>
    <row r="605" spans="1:74">
      <c r="A605" s="154" t="s">
        <v>7775</v>
      </c>
      <c r="B605" s="231" t="s">
        <v>259</v>
      </c>
      <c r="C605" s="231" t="s">
        <v>7963</v>
      </c>
      <c r="D605" s="231"/>
      <c r="E605" s="229">
        <v>16</v>
      </c>
      <c r="F605" s="232">
        <v>56</v>
      </c>
      <c r="G605" s="230"/>
      <c r="S605" s="225">
        <v>1235.5214060000001</v>
      </c>
      <c r="T605" s="180" t="s">
        <v>8023</v>
      </c>
      <c r="Y605" s="225">
        <v>601.98</v>
      </c>
      <c r="Z605" s="180" t="s">
        <v>8023</v>
      </c>
      <c r="AA605" s="225">
        <v>58625.9</v>
      </c>
      <c r="AB605" s="180" t="s">
        <v>8023</v>
      </c>
      <c r="AC605">
        <v>27.18</v>
      </c>
      <c r="AD605" s="180" t="s">
        <v>8023</v>
      </c>
      <c r="AG605" s="225">
        <v>4.6399999999999997</v>
      </c>
      <c r="AH605" s="180" t="s">
        <v>8023</v>
      </c>
      <c r="AM605" s="225"/>
      <c r="BS605" s="225">
        <v>45.46</v>
      </c>
      <c r="BT605" s="180" t="s">
        <v>8023</v>
      </c>
      <c r="BU605" s="136">
        <v>22.15</v>
      </c>
      <c r="BV605" s="180" t="s">
        <v>8023</v>
      </c>
    </row>
    <row r="606" spans="1:74">
      <c r="A606" s="154" t="s">
        <v>7775</v>
      </c>
      <c r="B606" s="231" t="s">
        <v>257</v>
      </c>
      <c r="C606" s="231" t="s">
        <v>7964</v>
      </c>
      <c r="D606" s="231"/>
      <c r="E606" s="230">
        <v>16</v>
      </c>
      <c r="F606" s="232">
        <v>16</v>
      </c>
      <c r="G606" s="230"/>
      <c r="S606" s="225">
        <v>1717.5141819999999</v>
      </c>
      <c r="T606" s="180" t="s">
        <v>8023</v>
      </c>
      <c r="Y606" s="225">
        <v>742.83</v>
      </c>
      <c r="Z606" s="180" t="s">
        <v>8023</v>
      </c>
      <c r="AA606" s="225">
        <v>71073.460000000006</v>
      </c>
      <c r="AB606" s="180" t="s">
        <v>8023</v>
      </c>
      <c r="AC606">
        <v>36.200000000000003</v>
      </c>
      <c r="AD606" s="180" t="s">
        <v>8023</v>
      </c>
      <c r="AG606" s="225">
        <v>5.09</v>
      </c>
      <c r="AH606" s="180" t="s">
        <v>8023</v>
      </c>
      <c r="AM606" s="225"/>
      <c r="BS606" s="225">
        <v>47.45</v>
      </c>
      <c r="BT606" s="180" t="s">
        <v>8023</v>
      </c>
      <c r="BU606" s="136">
        <v>20.52</v>
      </c>
      <c r="BV606" s="180" t="s">
        <v>8023</v>
      </c>
    </row>
    <row r="607" spans="1:74">
      <c r="A607" s="154" t="s">
        <v>7775</v>
      </c>
      <c r="B607" s="231" t="s">
        <v>259</v>
      </c>
      <c r="C607" s="231" t="s">
        <v>7964</v>
      </c>
      <c r="D607" s="231"/>
      <c r="E607" s="230">
        <v>18</v>
      </c>
      <c r="F607" s="232">
        <v>18</v>
      </c>
      <c r="G607" s="230"/>
      <c r="S607" s="225">
        <v>1707.9148259999999</v>
      </c>
      <c r="T607" s="180" t="s">
        <v>8023</v>
      </c>
      <c r="Y607" s="225">
        <v>780.66</v>
      </c>
      <c r="Z607" s="180" t="s">
        <v>8023</v>
      </c>
      <c r="AA607" s="225">
        <v>77300</v>
      </c>
      <c r="AB607" s="180" t="s">
        <v>8023</v>
      </c>
      <c r="AC607">
        <v>36.590000000000003</v>
      </c>
      <c r="AD607" s="180" t="s">
        <v>8023</v>
      </c>
      <c r="AG607" s="225">
        <v>4.7300000000000004</v>
      </c>
      <c r="AH607" s="180" t="s">
        <v>8023</v>
      </c>
      <c r="AM607" s="225"/>
      <c r="BS607" s="225">
        <v>46.67</v>
      </c>
      <c r="BT607" s="180" t="s">
        <v>8023</v>
      </c>
      <c r="BU607" s="136">
        <v>21.33</v>
      </c>
      <c r="BV607" s="180" t="s">
        <v>8023</v>
      </c>
    </row>
    <row r="608" spans="1:74">
      <c r="A608" s="154" t="s">
        <v>7775</v>
      </c>
      <c r="B608" s="231" t="s">
        <v>257</v>
      </c>
      <c r="C608" s="231" t="s">
        <v>7982</v>
      </c>
      <c r="D608" s="231"/>
      <c r="E608" s="229">
        <v>2</v>
      </c>
      <c r="F608" s="232">
        <v>2</v>
      </c>
      <c r="G608" s="230"/>
      <c r="S608" s="225">
        <v>1782.956234</v>
      </c>
      <c r="T608" s="180" t="s">
        <v>8023</v>
      </c>
      <c r="Y608" s="225">
        <v>801.5</v>
      </c>
      <c r="Z608" s="180" t="s">
        <v>8023</v>
      </c>
      <c r="AA608" s="225">
        <v>89116.3</v>
      </c>
      <c r="AB608" s="180" t="s">
        <v>8023</v>
      </c>
      <c r="AC608">
        <v>37.979999999999997</v>
      </c>
      <c r="AD608" s="180" t="s">
        <v>8023</v>
      </c>
      <c r="AG608" s="225">
        <v>4.26</v>
      </c>
      <c r="AH608" s="180" t="s">
        <v>8023</v>
      </c>
      <c r="AM608" s="225"/>
      <c r="BS608" s="225">
        <v>46.94</v>
      </c>
      <c r="BT608" s="180" t="s">
        <v>8023</v>
      </c>
      <c r="BU608" s="136">
        <v>21.1</v>
      </c>
      <c r="BV608" s="180" t="s">
        <v>8023</v>
      </c>
    </row>
    <row r="609" spans="1:74">
      <c r="A609" s="154" t="s">
        <v>7775</v>
      </c>
      <c r="B609" s="231" t="s">
        <v>259</v>
      </c>
      <c r="C609" s="231" t="s">
        <v>7982</v>
      </c>
      <c r="D609" s="231"/>
      <c r="E609" s="229">
        <v>1</v>
      </c>
      <c r="F609" s="232">
        <v>40</v>
      </c>
      <c r="G609" s="230"/>
      <c r="S609" s="225">
        <v>1500.247709</v>
      </c>
      <c r="T609" s="180" t="s">
        <v>8023</v>
      </c>
      <c r="Y609" s="225">
        <v>720.76</v>
      </c>
      <c r="Z609" s="180" t="s">
        <v>8023</v>
      </c>
      <c r="AA609" s="225">
        <v>74857.460000000006</v>
      </c>
      <c r="AB609" s="180" t="s">
        <v>8023</v>
      </c>
      <c r="AC609">
        <v>32.83</v>
      </c>
      <c r="AD609" s="180" t="s">
        <v>8023</v>
      </c>
      <c r="AG609" s="225">
        <v>4.3899999999999997</v>
      </c>
      <c r="AH609" s="180" t="s">
        <v>8023</v>
      </c>
      <c r="AM609" s="225"/>
      <c r="BS609" s="225">
        <v>45.69</v>
      </c>
      <c r="BT609" s="180" t="s">
        <v>8023</v>
      </c>
      <c r="BU609" s="136">
        <v>21.95</v>
      </c>
      <c r="BV609" s="180" t="s">
        <v>8023</v>
      </c>
    </row>
    <row r="610" spans="1:74">
      <c r="A610" s="154" t="s">
        <v>7776</v>
      </c>
      <c r="B610" s="231" t="s">
        <v>257</v>
      </c>
      <c r="C610" s="231" t="s">
        <v>405</v>
      </c>
      <c r="D610" s="231"/>
      <c r="E610" s="229">
        <v>7</v>
      </c>
      <c r="F610" s="232">
        <v>28</v>
      </c>
      <c r="G610" s="230"/>
      <c r="S610" s="225">
        <v>1428.7492649999999</v>
      </c>
      <c r="T610" s="180" t="s">
        <v>8023</v>
      </c>
      <c r="Y610" s="225">
        <v>645.98</v>
      </c>
      <c r="Z610" s="180" t="s">
        <v>8023</v>
      </c>
      <c r="AA610" s="225">
        <v>61876.32</v>
      </c>
      <c r="AB610" s="180" t="s">
        <v>8023</v>
      </c>
      <c r="AC610">
        <v>30.34</v>
      </c>
      <c r="AD610" s="180" t="s">
        <v>8023</v>
      </c>
      <c r="AG610" s="225">
        <v>4.9000000000000004</v>
      </c>
      <c r="AH610" s="180" t="s">
        <v>8023</v>
      </c>
      <c r="AM610" s="225"/>
      <c r="BS610" s="225">
        <v>47.09</v>
      </c>
      <c r="BT610" s="180" t="s">
        <v>8023</v>
      </c>
      <c r="BU610" s="136">
        <v>21.29</v>
      </c>
      <c r="BV610" s="180" t="s">
        <v>8023</v>
      </c>
    </row>
    <row r="611" spans="1:74">
      <c r="A611" s="154" t="s">
        <v>7776</v>
      </c>
      <c r="B611" s="231" t="s">
        <v>259</v>
      </c>
      <c r="C611" s="231" t="s">
        <v>405</v>
      </c>
      <c r="D611" s="231"/>
      <c r="E611" s="229">
        <v>9</v>
      </c>
      <c r="F611" s="232">
        <v>24</v>
      </c>
      <c r="G611" s="230"/>
      <c r="S611" s="225">
        <v>1745.3833299999999</v>
      </c>
      <c r="T611" s="180" t="s">
        <v>8023</v>
      </c>
      <c r="Y611" s="225">
        <v>767.91</v>
      </c>
      <c r="Z611" s="180" t="s">
        <v>8023</v>
      </c>
      <c r="AA611" s="225">
        <v>72717.100000000006</v>
      </c>
      <c r="AB611" s="180" t="s">
        <v>8023</v>
      </c>
      <c r="AC611">
        <v>36.520000000000003</v>
      </c>
      <c r="AD611" s="180" t="s">
        <v>8023</v>
      </c>
      <c r="AG611" s="225">
        <v>5.0199999999999996</v>
      </c>
      <c r="AH611" s="180" t="s">
        <v>8023</v>
      </c>
      <c r="AM611" s="225"/>
      <c r="BS611" s="225">
        <v>47.79</v>
      </c>
      <c r="BT611" s="180" t="s">
        <v>8023</v>
      </c>
      <c r="BU611" s="136">
        <v>21.03</v>
      </c>
      <c r="BV611" s="180" t="s">
        <v>8023</v>
      </c>
    </row>
    <row r="612" spans="1:74">
      <c r="A612" s="154" t="s">
        <v>7776</v>
      </c>
      <c r="B612" s="231" t="s">
        <v>257</v>
      </c>
      <c r="C612" s="231" t="s">
        <v>7963</v>
      </c>
      <c r="D612" s="231"/>
      <c r="E612" s="230">
        <v>11</v>
      </c>
      <c r="F612" s="232">
        <v>52</v>
      </c>
      <c r="G612" s="230"/>
      <c r="S612" s="225">
        <v>1599.2938349999999</v>
      </c>
      <c r="T612" s="180" t="s">
        <v>8023</v>
      </c>
      <c r="Y612" s="225">
        <v>645.34</v>
      </c>
      <c r="Z612" s="180" t="s">
        <v>8023</v>
      </c>
      <c r="AA612" s="225">
        <v>65506.96</v>
      </c>
      <c r="AB612" s="180" t="s">
        <v>8023</v>
      </c>
      <c r="AC612">
        <v>32.82</v>
      </c>
      <c r="AD612" s="180" t="s">
        <v>8023</v>
      </c>
      <c r="AG612" s="225">
        <v>5.01</v>
      </c>
      <c r="AH612" s="180" t="s">
        <v>8023</v>
      </c>
      <c r="AM612" s="225"/>
      <c r="BS612" s="225">
        <v>48.72</v>
      </c>
      <c r="BT612" s="180" t="s">
        <v>8023</v>
      </c>
      <c r="BU612" s="136">
        <v>19.66</v>
      </c>
      <c r="BV612" s="180" t="s">
        <v>8023</v>
      </c>
    </row>
    <row r="613" spans="1:74">
      <c r="A613" s="154" t="s">
        <v>7776</v>
      </c>
      <c r="B613" s="231" t="s">
        <v>259</v>
      </c>
      <c r="C613" s="231" t="s">
        <v>7963</v>
      </c>
      <c r="D613" s="231"/>
      <c r="E613" s="230">
        <v>13</v>
      </c>
      <c r="F613" s="232">
        <v>62</v>
      </c>
      <c r="G613" s="230"/>
      <c r="S613" s="225">
        <v>1327.619541</v>
      </c>
      <c r="T613" s="180" t="s">
        <v>8023</v>
      </c>
      <c r="Y613" s="225">
        <v>611.32000000000005</v>
      </c>
      <c r="Z613" s="180" t="s">
        <v>8023</v>
      </c>
      <c r="AA613" s="225">
        <v>58634.62</v>
      </c>
      <c r="AB613" s="180" t="s">
        <v>8023</v>
      </c>
      <c r="AC613">
        <v>28.57</v>
      </c>
      <c r="AD613" s="180" t="s">
        <v>8023</v>
      </c>
      <c r="AG613" s="225">
        <v>4.87</v>
      </c>
      <c r="AH613" s="180" t="s">
        <v>8023</v>
      </c>
      <c r="AM613" s="225"/>
      <c r="BS613" s="225">
        <v>46.46</v>
      </c>
      <c r="BT613" s="180" t="s">
        <v>8023</v>
      </c>
      <c r="BU613" s="136">
        <v>21.39</v>
      </c>
      <c r="BV613" s="180" t="s">
        <v>8023</v>
      </c>
    </row>
    <row r="614" spans="1:74">
      <c r="A614" s="154" t="s">
        <v>7776</v>
      </c>
      <c r="B614" s="231" t="s">
        <v>257</v>
      </c>
      <c r="C614" s="231" t="s">
        <v>7964</v>
      </c>
      <c r="D614" s="231"/>
      <c r="E614" s="229">
        <v>14</v>
      </c>
      <c r="F614" s="232">
        <v>30</v>
      </c>
      <c r="G614" s="230"/>
      <c r="S614" s="225">
        <v>1190.2868080000001</v>
      </c>
      <c r="T614" s="180" t="s">
        <v>8023</v>
      </c>
      <c r="Y614" s="225">
        <v>551.09</v>
      </c>
      <c r="Z614" s="180" t="s">
        <v>8023</v>
      </c>
      <c r="AA614" s="225">
        <v>54928.88</v>
      </c>
      <c r="AB614" s="180" t="s">
        <v>8023</v>
      </c>
      <c r="AC614">
        <v>25.6</v>
      </c>
      <c r="AD614" s="180" t="s">
        <v>8023</v>
      </c>
      <c r="AG614" s="225">
        <v>4.66</v>
      </c>
      <c r="AH614" s="180" t="s">
        <v>8023</v>
      </c>
      <c r="AM614" s="225"/>
      <c r="BS614" s="225">
        <v>46.49</v>
      </c>
      <c r="BT614" s="180" t="s">
        <v>8023</v>
      </c>
      <c r="BU614" s="136">
        <v>21.53</v>
      </c>
      <c r="BV614" s="180" t="s">
        <v>8023</v>
      </c>
    </row>
    <row r="615" spans="1:74">
      <c r="A615" s="154" t="s">
        <v>7776</v>
      </c>
      <c r="B615" s="231" t="s">
        <v>259</v>
      </c>
      <c r="C615" s="231" t="s">
        <v>7964</v>
      </c>
      <c r="D615" s="231"/>
      <c r="E615" s="229">
        <v>17</v>
      </c>
      <c r="F615" s="232">
        <v>4</v>
      </c>
      <c r="G615" s="230"/>
      <c r="S615" s="225">
        <v>1577.81375</v>
      </c>
      <c r="T615" s="180" t="s">
        <v>8023</v>
      </c>
      <c r="Y615" s="225">
        <v>785.75</v>
      </c>
      <c r="Z615" s="180" t="s">
        <v>8023</v>
      </c>
      <c r="AA615" s="225">
        <v>69913.47</v>
      </c>
      <c r="AB615" s="180" t="s">
        <v>8023</v>
      </c>
      <c r="AC615">
        <v>34.28</v>
      </c>
      <c r="AD615" s="180" t="s">
        <v>8023</v>
      </c>
      <c r="AG615" s="225">
        <v>4.9000000000000004</v>
      </c>
      <c r="AH615" s="180" t="s">
        <v>8023</v>
      </c>
      <c r="AM615" s="225"/>
      <c r="BS615" s="225">
        <v>46.02</v>
      </c>
      <c r="BT615" s="180" t="s">
        <v>8023</v>
      </c>
      <c r="BU615" s="136">
        <v>22.92</v>
      </c>
      <c r="BV615" s="180" t="s">
        <v>8023</v>
      </c>
    </row>
    <row r="616" spans="1:74">
      <c r="A616" s="154" t="s">
        <v>7776</v>
      </c>
      <c r="B616" s="231" t="s">
        <v>257</v>
      </c>
      <c r="C616" s="231" t="s">
        <v>7982</v>
      </c>
      <c r="D616" s="231"/>
      <c r="E616" s="229">
        <v>2</v>
      </c>
      <c r="F616" s="232">
        <v>1</v>
      </c>
      <c r="G616" s="230"/>
      <c r="S616" s="225">
        <v>1297.728601</v>
      </c>
      <c r="T616" s="180" t="s">
        <v>8023</v>
      </c>
      <c r="Y616" s="225">
        <v>602.82000000000005</v>
      </c>
      <c r="Z616" s="180" t="s">
        <v>8023</v>
      </c>
      <c r="AA616" s="225">
        <v>57878.3</v>
      </c>
      <c r="AB616" s="180" t="s">
        <v>8023</v>
      </c>
      <c r="AC616">
        <v>27.92</v>
      </c>
      <c r="AD616" s="180" t="s">
        <v>8023</v>
      </c>
      <c r="AG616" s="225">
        <v>4.82</v>
      </c>
      <c r="AH616" s="180" t="s">
        <v>8023</v>
      </c>
      <c r="AM616" s="225"/>
      <c r="BS616" s="225">
        <v>46.48</v>
      </c>
      <c r="BT616" s="180" t="s">
        <v>8023</v>
      </c>
      <c r="BU616" s="136">
        <v>21.59</v>
      </c>
      <c r="BV616" s="180" t="s">
        <v>8023</v>
      </c>
    </row>
    <row r="617" spans="1:74">
      <c r="A617" s="154" t="s">
        <v>7776</v>
      </c>
      <c r="B617" s="231" t="s">
        <v>259</v>
      </c>
      <c r="C617" s="231" t="s">
        <v>7982</v>
      </c>
      <c r="D617" s="231"/>
      <c r="E617" s="229">
        <v>2</v>
      </c>
      <c r="F617" s="232">
        <v>43</v>
      </c>
      <c r="G617" s="230"/>
      <c r="S617" s="225">
        <v>1059.6949509999999</v>
      </c>
      <c r="T617" s="180" t="s">
        <v>8023</v>
      </c>
      <c r="Y617" s="225">
        <v>559.49</v>
      </c>
      <c r="Z617" s="180" t="s">
        <v>8023</v>
      </c>
      <c r="AA617" s="225">
        <v>44307.3</v>
      </c>
      <c r="AB617" s="180" t="s">
        <v>8023</v>
      </c>
      <c r="AC617">
        <v>24.03</v>
      </c>
      <c r="AD617" s="180" t="s">
        <v>8023</v>
      </c>
      <c r="AG617" s="225">
        <v>5.42</v>
      </c>
      <c r="AH617" s="180" t="s">
        <v>8023</v>
      </c>
      <c r="AM617" s="225"/>
      <c r="BS617" s="225">
        <v>44.1</v>
      </c>
      <c r="BT617" s="180" t="s">
        <v>8023</v>
      </c>
      <c r="BU617" s="136">
        <v>23.29</v>
      </c>
      <c r="BV617" s="180" t="s">
        <v>8023</v>
      </c>
    </row>
    <row r="618" spans="1:74">
      <c r="A618" s="154" t="s">
        <v>7777</v>
      </c>
      <c r="B618" s="231" t="s">
        <v>257</v>
      </c>
      <c r="C618" s="231" t="s">
        <v>405</v>
      </c>
      <c r="D618" s="231"/>
      <c r="E618" s="230">
        <v>8</v>
      </c>
      <c r="F618" s="232">
        <v>23</v>
      </c>
      <c r="G618" s="230"/>
      <c r="S618" s="225">
        <v>1885.734072</v>
      </c>
      <c r="T618" s="180" t="s">
        <v>8023</v>
      </c>
      <c r="Y618" s="225">
        <v>809.11</v>
      </c>
      <c r="Z618" s="180" t="s">
        <v>8023</v>
      </c>
      <c r="AA618" s="225">
        <v>84729.73</v>
      </c>
      <c r="AB618" s="180" t="s">
        <v>8023</v>
      </c>
      <c r="AC618">
        <v>38.58</v>
      </c>
      <c r="AD618" s="180" t="s">
        <v>8023</v>
      </c>
      <c r="AG618" s="225">
        <v>4.55</v>
      </c>
      <c r="AH618" s="180" t="s">
        <v>8023</v>
      </c>
      <c r="AM618" s="225"/>
      <c r="BS618" s="225">
        <v>48.88</v>
      </c>
      <c r="BT618" s="180" t="s">
        <v>8023</v>
      </c>
      <c r="BU618" s="136">
        <v>20.97</v>
      </c>
      <c r="BV618" s="180" t="s">
        <v>8023</v>
      </c>
    </row>
    <row r="619" spans="1:74">
      <c r="A619" s="154" t="s">
        <v>7777</v>
      </c>
      <c r="B619" s="231" t="s">
        <v>259</v>
      </c>
      <c r="C619" s="231" t="s">
        <v>405</v>
      </c>
      <c r="D619" s="231"/>
      <c r="E619" s="230">
        <v>11</v>
      </c>
      <c r="F619" s="232">
        <v>26</v>
      </c>
      <c r="G619" s="230"/>
      <c r="S619" s="225">
        <v>1620.5527970000001</v>
      </c>
      <c r="T619" s="180" t="s">
        <v>8023</v>
      </c>
      <c r="Y619" s="225">
        <v>827.99</v>
      </c>
      <c r="Z619" s="180" t="s">
        <v>8023</v>
      </c>
      <c r="AA619" s="225">
        <v>85046.93</v>
      </c>
      <c r="AB619" s="180" t="s">
        <v>8023</v>
      </c>
      <c r="AC619">
        <v>35.549999999999997</v>
      </c>
      <c r="AD619" s="180" t="s">
        <v>8023</v>
      </c>
      <c r="AG619" s="225">
        <v>4.18</v>
      </c>
      <c r="AH619" s="180" t="s">
        <v>8023</v>
      </c>
      <c r="AM619" s="225"/>
      <c r="BS619" s="225">
        <v>45.58</v>
      </c>
      <c r="BT619" s="180" t="s">
        <v>8023</v>
      </c>
      <c r="BU619" s="136">
        <v>23.29</v>
      </c>
      <c r="BV619" s="180" t="s">
        <v>8023</v>
      </c>
    </row>
    <row r="620" spans="1:74">
      <c r="A620" s="154" t="s">
        <v>7777</v>
      </c>
      <c r="B620" s="231" t="s">
        <v>257</v>
      </c>
      <c r="C620" s="231" t="s">
        <v>7963</v>
      </c>
      <c r="D620" s="231"/>
      <c r="E620" s="229">
        <v>9</v>
      </c>
      <c r="F620" s="232">
        <v>55</v>
      </c>
      <c r="G620" s="230"/>
      <c r="S620" s="225">
        <v>1613.8772240000001</v>
      </c>
      <c r="T620" s="180" t="s">
        <v>8023</v>
      </c>
      <c r="Y620" s="225">
        <v>674.21</v>
      </c>
      <c r="Z620" s="180" t="s">
        <v>8023</v>
      </c>
      <c r="AA620" s="225">
        <v>74026.899999999994</v>
      </c>
      <c r="AB620" s="180" t="s">
        <v>8023</v>
      </c>
      <c r="AC620">
        <v>33.32</v>
      </c>
      <c r="AD620" s="180" t="s">
        <v>8023</v>
      </c>
      <c r="AG620" s="225">
        <v>4.5</v>
      </c>
      <c r="AH620" s="180" t="s">
        <v>8023</v>
      </c>
      <c r="AM620" s="225"/>
      <c r="BS620" s="225">
        <v>48.44</v>
      </c>
      <c r="BT620" s="180" t="s">
        <v>8023</v>
      </c>
      <c r="BU620" s="136">
        <v>20.23</v>
      </c>
      <c r="BV620" s="180" t="s">
        <v>8023</v>
      </c>
    </row>
    <row r="621" spans="1:74">
      <c r="A621" s="154" t="s">
        <v>7777</v>
      </c>
      <c r="B621" s="231" t="s">
        <v>259</v>
      </c>
      <c r="C621" s="231" t="s">
        <v>7963</v>
      </c>
      <c r="D621" s="231"/>
      <c r="E621" s="229">
        <v>14</v>
      </c>
      <c r="F621" s="232">
        <v>48</v>
      </c>
      <c r="G621" s="230"/>
      <c r="S621" s="225">
        <v>1464.060115</v>
      </c>
      <c r="T621" s="180" t="s">
        <v>8023</v>
      </c>
      <c r="Y621" s="225">
        <v>739.88</v>
      </c>
      <c r="Z621" s="180" t="s">
        <v>8023</v>
      </c>
      <c r="AA621" s="225">
        <v>75174.17</v>
      </c>
      <c r="AB621" s="180" t="s">
        <v>8023</v>
      </c>
      <c r="AC621">
        <v>31.97</v>
      </c>
      <c r="AD621" s="180" t="s">
        <v>8023</v>
      </c>
      <c r="AG621" s="225">
        <v>4.25</v>
      </c>
      <c r="AH621" s="180" t="s">
        <v>8023</v>
      </c>
      <c r="AM621" s="225"/>
      <c r="BS621" s="225">
        <v>45.79</v>
      </c>
      <c r="BT621" s="180" t="s">
        <v>8023</v>
      </c>
      <c r="BU621" s="136">
        <v>23.14</v>
      </c>
      <c r="BV621" s="180" t="s">
        <v>8023</v>
      </c>
    </row>
    <row r="622" spans="1:74">
      <c r="A622" s="154" t="s">
        <v>7777</v>
      </c>
      <c r="B622" s="231" t="s">
        <v>257</v>
      </c>
      <c r="C622" s="231" t="s">
        <v>7964</v>
      </c>
      <c r="D622" s="231"/>
      <c r="E622" s="229">
        <v>14</v>
      </c>
      <c r="F622" s="232">
        <v>29</v>
      </c>
      <c r="G622" s="230"/>
      <c r="S622" s="225">
        <v>1432.8278769999999</v>
      </c>
      <c r="T622" s="180" t="s">
        <v>8023</v>
      </c>
      <c r="Y622" s="225">
        <v>659.14</v>
      </c>
      <c r="Z622" s="180" t="s">
        <v>8023</v>
      </c>
      <c r="AA622" s="225">
        <v>74153.63</v>
      </c>
      <c r="AB622" s="180" t="s">
        <v>8023</v>
      </c>
      <c r="AC622">
        <v>30.36</v>
      </c>
      <c r="AD622" s="180" t="s">
        <v>8023</v>
      </c>
      <c r="AG622" s="225">
        <v>4.09</v>
      </c>
      <c r="AH622" s="180" t="s">
        <v>8023</v>
      </c>
      <c r="AM622" s="225"/>
      <c r="BS622" s="225">
        <v>47.2</v>
      </c>
      <c r="BT622" s="180" t="s">
        <v>8023</v>
      </c>
      <c r="BU622" s="136">
        <v>21.71</v>
      </c>
      <c r="BV622" s="180" t="s">
        <v>8023</v>
      </c>
    </row>
    <row r="623" spans="1:74">
      <c r="A623" s="154" t="s">
        <v>7777</v>
      </c>
      <c r="B623" s="231" t="s">
        <v>259</v>
      </c>
      <c r="C623" s="231" t="s">
        <v>7964</v>
      </c>
      <c r="D623" s="231"/>
      <c r="E623" s="229">
        <v>18</v>
      </c>
      <c r="F623" s="232">
        <v>7</v>
      </c>
      <c r="G623" s="230"/>
      <c r="S623" s="225">
        <v>1511.7115659999999</v>
      </c>
      <c r="T623" s="180" t="s">
        <v>8023</v>
      </c>
      <c r="Y623" s="225">
        <v>748.87</v>
      </c>
      <c r="Z623" s="180" t="s">
        <v>8023</v>
      </c>
      <c r="AA623" s="225">
        <v>75594.789999999994</v>
      </c>
      <c r="AB623" s="180" t="s">
        <v>8023</v>
      </c>
      <c r="AC623">
        <v>32.369999999999997</v>
      </c>
      <c r="AD623" s="180" t="s">
        <v>8023</v>
      </c>
      <c r="AG623" s="225">
        <v>4.28</v>
      </c>
      <c r="AH623" s="180" t="s">
        <v>8023</v>
      </c>
      <c r="AM623" s="225"/>
      <c r="BS623" s="225">
        <v>46.7</v>
      </c>
      <c r="BT623" s="180" t="s">
        <v>8023</v>
      </c>
      <c r="BU623" s="136">
        <v>23.14</v>
      </c>
      <c r="BV623" s="180" t="s">
        <v>8023</v>
      </c>
    </row>
    <row r="624" spans="1:74">
      <c r="A624" s="154" t="s">
        <v>7777</v>
      </c>
      <c r="B624" s="231" t="s">
        <v>257</v>
      </c>
      <c r="C624" s="231" t="s">
        <v>7982</v>
      </c>
      <c r="D624" s="231"/>
      <c r="E624" s="230">
        <v>1</v>
      </c>
      <c r="F624" s="232">
        <v>25</v>
      </c>
      <c r="G624" s="230"/>
      <c r="S624" s="225">
        <v>1525.368939</v>
      </c>
      <c r="T624" s="180" t="s">
        <v>8023</v>
      </c>
      <c r="Y624" s="225">
        <v>698.64</v>
      </c>
      <c r="Z624" s="180" t="s">
        <v>8023</v>
      </c>
      <c r="AA624" s="225">
        <v>66927.199999999997</v>
      </c>
      <c r="AB624" s="180" t="s">
        <v>8023</v>
      </c>
      <c r="AC624">
        <v>32.119999999999997</v>
      </c>
      <c r="AD624" s="180" t="s">
        <v>8023</v>
      </c>
      <c r="AG624" s="225">
        <v>4.8</v>
      </c>
      <c r="AH624" s="180" t="s">
        <v>8023</v>
      </c>
      <c r="AM624" s="225"/>
      <c r="BS624" s="225">
        <v>47.49</v>
      </c>
      <c r="BT624" s="180" t="s">
        <v>8023</v>
      </c>
      <c r="BU624" s="136">
        <v>21.75</v>
      </c>
      <c r="BV624" s="180" t="s">
        <v>8023</v>
      </c>
    </row>
    <row r="625" spans="1:74">
      <c r="A625" s="154" t="s">
        <v>7777</v>
      </c>
      <c r="B625" s="231" t="s">
        <v>259</v>
      </c>
      <c r="C625" s="231" t="s">
        <v>7982</v>
      </c>
      <c r="D625" s="231"/>
      <c r="E625" s="230">
        <v>3</v>
      </c>
      <c r="F625" s="232">
        <v>52</v>
      </c>
      <c r="G625" s="230"/>
      <c r="S625" s="225">
        <v>1335.1480570000001</v>
      </c>
      <c r="T625" s="180" t="s">
        <v>8023</v>
      </c>
      <c r="Y625" s="225">
        <v>692.14</v>
      </c>
      <c r="Z625" s="180" t="s">
        <v>8023</v>
      </c>
      <c r="AA625" s="225">
        <v>65312.6</v>
      </c>
      <c r="AB625" s="180" t="s">
        <v>8023</v>
      </c>
      <c r="AC625">
        <v>29.63</v>
      </c>
      <c r="AD625" s="180" t="s">
        <v>8023</v>
      </c>
      <c r="AG625" s="225">
        <v>4.54</v>
      </c>
      <c r="AH625" s="180" t="s">
        <v>8023</v>
      </c>
      <c r="AM625" s="225"/>
      <c r="BS625" s="225">
        <v>45.06</v>
      </c>
      <c r="BT625" s="180" t="s">
        <v>8023</v>
      </c>
      <c r="BU625" s="136">
        <v>23.36</v>
      </c>
      <c r="BV625" s="180" t="s">
        <v>8023</v>
      </c>
    </row>
    <row r="626" spans="1:74">
      <c r="A626" s="154" t="s">
        <v>7856</v>
      </c>
      <c r="B626" s="231" t="s">
        <v>257</v>
      </c>
      <c r="C626" s="231" t="s">
        <v>405</v>
      </c>
      <c r="D626" s="231"/>
      <c r="E626" s="229">
        <v>7</v>
      </c>
      <c r="F626" s="232">
        <v>10</v>
      </c>
      <c r="G626" s="230"/>
      <c r="S626" s="225">
        <v>1332.2664319999999</v>
      </c>
      <c r="T626" s="180" t="s">
        <v>8023</v>
      </c>
      <c r="Y626" s="225">
        <v>621.29999999999995</v>
      </c>
      <c r="Z626" s="180" t="s">
        <v>8023</v>
      </c>
      <c r="AA626" s="225">
        <v>60707.45</v>
      </c>
      <c r="AB626" s="180" t="s">
        <v>8023</v>
      </c>
      <c r="AC626">
        <v>27.83</v>
      </c>
      <c r="AD626" s="180" t="s">
        <v>8023</v>
      </c>
      <c r="AG626" s="225">
        <v>4.59</v>
      </c>
      <c r="AH626" s="180" t="s">
        <v>8023</v>
      </c>
      <c r="AM626" s="225"/>
      <c r="BS626" s="225">
        <v>47.86</v>
      </c>
      <c r="BT626" s="180" t="s">
        <v>8023</v>
      </c>
      <c r="BU626" s="136">
        <v>22.32</v>
      </c>
      <c r="BV626" s="180" t="s">
        <v>8023</v>
      </c>
    </row>
    <row r="627" spans="1:74">
      <c r="A627" s="154" t="s">
        <v>7856</v>
      </c>
      <c r="B627" s="231" t="s">
        <v>259</v>
      </c>
      <c r="C627" s="231" t="s">
        <v>405</v>
      </c>
      <c r="D627" s="231"/>
      <c r="E627" s="229">
        <v>11</v>
      </c>
      <c r="F627" s="232">
        <v>31</v>
      </c>
      <c r="G627" s="230"/>
      <c r="S627" s="225">
        <v>1453.0720490000001</v>
      </c>
      <c r="T627" s="180" t="s">
        <v>8023</v>
      </c>
      <c r="Y627" s="225">
        <v>672.69</v>
      </c>
      <c r="Z627" s="180" t="s">
        <v>8023</v>
      </c>
      <c r="AA627" s="225">
        <v>68171.45</v>
      </c>
      <c r="AB627" s="180" t="s">
        <v>8023</v>
      </c>
      <c r="AC627">
        <v>30.55</v>
      </c>
      <c r="AD627" s="180" t="s">
        <v>8023</v>
      </c>
      <c r="AG627" s="225">
        <v>4.4800000000000004</v>
      </c>
      <c r="AH627" s="180" t="s">
        <v>8023</v>
      </c>
      <c r="AM627" s="225"/>
      <c r="BS627" s="225">
        <v>47.56</v>
      </c>
      <c r="BT627" s="180" t="s">
        <v>8023</v>
      </c>
      <c r="BU627" s="136">
        <v>22.02</v>
      </c>
      <c r="BV627" s="180" t="s">
        <v>8023</v>
      </c>
    </row>
    <row r="628" spans="1:74">
      <c r="A628" s="154" t="s">
        <v>7856</v>
      </c>
      <c r="B628" s="231" t="s">
        <v>257</v>
      </c>
      <c r="C628" s="231" t="s">
        <v>7963</v>
      </c>
      <c r="D628" s="231"/>
      <c r="E628" s="229">
        <v>12</v>
      </c>
      <c r="F628" s="232">
        <v>39</v>
      </c>
      <c r="G628" s="230"/>
      <c r="S628" s="225">
        <v>1561.475987</v>
      </c>
      <c r="T628" s="180" t="s">
        <v>8023</v>
      </c>
      <c r="Y628" s="225">
        <v>675.74</v>
      </c>
      <c r="Z628" s="180" t="s">
        <v>8023</v>
      </c>
      <c r="AA628" s="225">
        <v>70954.600000000006</v>
      </c>
      <c r="AB628" s="180" t="s">
        <v>8023</v>
      </c>
      <c r="AC628">
        <v>32.450000000000003</v>
      </c>
      <c r="AD628" s="180" t="s">
        <v>8023</v>
      </c>
      <c r="AG628" s="225">
        <v>4.57</v>
      </c>
      <c r="AH628" s="180" t="s">
        <v>8023</v>
      </c>
      <c r="AM628" s="225"/>
      <c r="BS628" s="225">
        <v>48.12</v>
      </c>
      <c r="BT628" s="180" t="s">
        <v>8023</v>
      </c>
      <c r="BU628" s="136">
        <v>20.83</v>
      </c>
      <c r="BV628" s="180" t="s">
        <v>8023</v>
      </c>
    </row>
    <row r="629" spans="1:74">
      <c r="A629" s="154" t="s">
        <v>7856</v>
      </c>
      <c r="B629" s="231" t="s">
        <v>259</v>
      </c>
      <c r="C629" s="231" t="s">
        <v>7963</v>
      </c>
      <c r="D629" s="231"/>
      <c r="E629" s="229">
        <v>14</v>
      </c>
      <c r="F629" s="232">
        <v>44</v>
      </c>
      <c r="G629" s="230"/>
      <c r="S629" s="225">
        <v>1336.442483</v>
      </c>
      <c r="T629" s="180" t="s">
        <v>8023</v>
      </c>
      <c r="Y629" s="225">
        <v>603.09</v>
      </c>
      <c r="Z629" s="180" t="s">
        <v>8023</v>
      </c>
      <c r="AA629" s="225">
        <v>62466.12</v>
      </c>
      <c r="AB629" s="180" t="s">
        <v>8023</v>
      </c>
      <c r="AC629">
        <v>28.29</v>
      </c>
      <c r="AD629" s="180" t="s">
        <v>8023</v>
      </c>
      <c r="AG629" s="225">
        <v>4.53</v>
      </c>
      <c r="AH629" s="180" t="s">
        <v>8023</v>
      </c>
      <c r="AM629" s="225"/>
      <c r="BS629" s="225">
        <v>47.25</v>
      </c>
      <c r="BT629" s="180" t="s">
        <v>8023</v>
      </c>
      <c r="BU629" s="136">
        <v>21.32</v>
      </c>
      <c r="BV629" s="180" t="s">
        <v>8023</v>
      </c>
    </row>
    <row r="630" spans="1:74">
      <c r="A630" s="154" t="s">
        <v>7856</v>
      </c>
      <c r="B630" s="231" t="s">
        <v>257</v>
      </c>
      <c r="C630" s="231" t="s">
        <v>7964</v>
      </c>
      <c r="D630" s="231"/>
      <c r="E630" s="230">
        <v>15</v>
      </c>
      <c r="F630" s="232">
        <v>19</v>
      </c>
      <c r="G630" s="230"/>
      <c r="S630" s="225">
        <v>1228.6279280000001</v>
      </c>
      <c r="T630" s="180" t="s">
        <v>8023</v>
      </c>
      <c r="Y630" s="225">
        <v>581.12</v>
      </c>
      <c r="Z630" s="180" t="s">
        <v>8023</v>
      </c>
      <c r="AA630" s="225">
        <v>58941.9</v>
      </c>
      <c r="AB630" s="180" t="s">
        <v>8023</v>
      </c>
      <c r="AC630">
        <v>26.37</v>
      </c>
      <c r="AD630" s="180" t="s">
        <v>8023</v>
      </c>
      <c r="AG630" s="225">
        <v>4.47</v>
      </c>
      <c r="AH630" s="180" t="s">
        <v>8023</v>
      </c>
      <c r="AM630" s="225"/>
      <c r="BS630" s="225">
        <v>46.59</v>
      </c>
      <c r="BT630" s="180" t="s">
        <v>8023</v>
      </c>
      <c r="BU630" s="136">
        <v>22.03</v>
      </c>
      <c r="BV630" s="180" t="s">
        <v>8023</v>
      </c>
    </row>
    <row r="631" spans="1:74">
      <c r="A631" s="154" t="s">
        <v>7856</v>
      </c>
      <c r="B631" s="231" t="s">
        <v>259</v>
      </c>
      <c r="C631" s="231" t="s">
        <v>7964</v>
      </c>
      <c r="D631" s="231"/>
      <c r="E631" s="230">
        <v>17</v>
      </c>
      <c r="F631" s="232">
        <v>1</v>
      </c>
      <c r="G631" s="230"/>
      <c r="S631" s="225">
        <v>1284.0070499999999</v>
      </c>
      <c r="T631" s="180" t="s">
        <v>8023</v>
      </c>
      <c r="Y631" s="225">
        <v>655.43</v>
      </c>
      <c r="Z631" s="180" t="s">
        <v>8023</v>
      </c>
      <c r="AA631" s="225">
        <v>66197.75</v>
      </c>
      <c r="AB631" s="180" t="s">
        <v>8023</v>
      </c>
      <c r="AC631">
        <v>28.45</v>
      </c>
      <c r="AD631" s="180" t="s">
        <v>8023</v>
      </c>
      <c r="AG631" s="225">
        <v>4.3</v>
      </c>
      <c r="AH631" s="180" t="s">
        <v>8023</v>
      </c>
      <c r="AM631" s="225"/>
      <c r="BS631" s="225">
        <v>45.13</v>
      </c>
      <c r="BT631" s="180" t="s">
        <v>8023</v>
      </c>
      <c r="BU631" s="136">
        <v>23.04</v>
      </c>
      <c r="BV631" s="180" t="s">
        <v>8023</v>
      </c>
    </row>
    <row r="632" spans="1:74">
      <c r="A632" s="154" t="s">
        <v>7856</v>
      </c>
      <c r="B632" s="231" t="s">
        <v>257</v>
      </c>
      <c r="C632" s="231" t="s">
        <v>7982</v>
      </c>
      <c r="D632" s="231"/>
      <c r="E632" s="229">
        <v>1</v>
      </c>
      <c r="F632" s="232">
        <v>3</v>
      </c>
      <c r="G632" s="230"/>
      <c r="S632" s="225">
        <v>1393.635847</v>
      </c>
      <c r="T632" s="180" t="s">
        <v>8023</v>
      </c>
      <c r="Y632" s="225">
        <v>632.12</v>
      </c>
      <c r="Z632" s="180" t="s">
        <v>8023</v>
      </c>
      <c r="AA632" s="225">
        <v>70361.789999999994</v>
      </c>
      <c r="AB632" s="180" t="s">
        <v>8023</v>
      </c>
      <c r="AC632">
        <v>29.44</v>
      </c>
      <c r="AD632" s="180" t="s">
        <v>8023</v>
      </c>
      <c r="AG632" s="225">
        <v>4.18</v>
      </c>
      <c r="AH632" s="180" t="s">
        <v>8023</v>
      </c>
      <c r="AM632" s="225"/>
      <c r="BS632" s="225">
        <v>47.34</v>
      </c>
      <c r="BT632" s="180" t="s">
        <v>8023</v>
      </c>
      <c r="BU632" s="136">
        <v>21.47</v>
      </c>
      <c r="BV632" s="180" t="s">
        <v>8023</v>
      </c>
    </row>
    <row r="633" spans="1:74">
      <c r="A633" s="154" t="s">
        <v>7856</v>
      </c>
      <c r="B633" s="231" t="s">
        <v>259</v>
      </c>
      <c r="C633" s="231" t="s">
        <v>7982</v>
      </c>
      <c r="D633" s="231"/>
      <c r="E633" s="229">
        <v>3</v>
      </c>
      <c r="F633" s="232">
        <v>37</v>
      </c>
      <c r="G633" s="230"/>
      <c r="S633" s="225">
        <v>1282.796212</v>
      </c>
      <c r="T633" s="180" t="s">
        <v>8023</v>
      </c>
      <c r="Y633" s="225">
        <v>648.21</v>
      </c>
      <c r="Z633" s="180" t="s">
        <v>8023</v>
      </c>
      <c r="AA633" s="225">
        <v>62247.6</v>
      </c>
      <c r="AB633" s="180" t="s">
        <v>8023</v>
      </c>
      <c r="AC633">
        <v>28.46</v>
      </c>
      <c r="AD633" s="180" t="s">
        <v>8023</v>
      </c>
      <c r="AG633" s="225">
        <v>4.57</v>
      </c>
      <c r="AH633" s="180" t="s">
        <v>8023</v>
      </c>
      <c r="AM633" s="225"/>
      <c r="BS633" s="225">
        <v>45.07</v>
      </c>
      <c r="BT633" s="180" t="s">
        <v>8023</v>
      </c>
      <c r="BU633" s="136">
        <v>22.78</v>
      </c>
      <c r="BV633" s="180" t="s">
        <v>8023</v>
      </c>
    </row>
    <row r="634" spans="1:74">
      <c r="A634" s="154" t="s">
        <v>7877</v>
      </c>
      <c r="B634" s="231" t="s">
        <v>257</v>
      </c>
      <c r="C634" s="231" t="s">
        <v>405</v>
      </c>
      <c r="D634" s="231"/>
      <c r="E634" s="229">
        <v>6</v>
      </c>
      <c r="F634" s="232">
        <v>10</v>
      </c>
      <c r="G634" s="230"/>
      <c r="S634" s="225">
        <v>1010.334941</v>
      </c>
      <c r="T634" s="180" t="s">
        <v>8023</v>
      </c>
      <c r="Y634" s="225">
        <v>491.56</v>
      </c>
      <c r="Z634" s="180" t="s">
        <v>8023</v>
      </c>
      <c r="AA634" s="225">
        <v>51484.04</v>
      </c>
      <c r="AB634" s="180" t="s">
        <v>8023</v>
      </c>
      <c r="AC634">
        <v>22.24</v>
      </c>
      <c r="AD634" s="180" t="s">
        <v>8023</v>
      </c>
      <c r="AG634" s="225">
        <v>4.32</v>
      </c>
      <c r="AH634" s="180" t="s">
        <v>8023</v>
      </c>
      <c r="AM634" s="225"/>
      <c r="BS634" s="225">
        <v>45.42</v>
      </c>
      <c r="BT634" s="180" t="s">
        <v>8023</v>
      </c>
      <c r="BU634" s="136">
        <v>22.1</v>
      </c>
      <c r="BV634" s="180" t="s">
        <v>8023</v>
      </c>
    </row>
    <row r="635" spans="1:74">
      <c r="A635" s="154" t="s">
        <v>7877</v>
      </c>
      <c r="B635" s="231" t="s">
        <v>259</v>
      </c>
      <c r="C635" s="231" t="s">
        <v>405</v>
      </c>
      <c r="D635" s="231"/>
      <c r="E635" s="229">
        <v>12</v>
      </c>
      <c r="F635" s="232">
        <v>7</v>
      </c>
      <c r="G635" s="230"/>
      <c r="S635" s="225">
        <v>1213.8430499999999</v>
      </c>
      <c r="T635" s="180" t="s">
        <v>8023</v>
      </c>
      <c r="Y635" s="225">
        <v>638.27</v>
      </c>
      <c r="Z635" s="180" t="s">
        <v>8023</v>
      </c>
      <c r="AA635" s="225">
        <v>63526.080000000002</v>
      </c>
      <c r="AB635" s="180" t="s">
        <v>8023</v>
      </c>
      <c r="AC635">
        <v>27.53</v>
      </c>
      <c r="AD635" s="180" t="s">
        <v>8023</v>
      </c>
      <c r="AG635" s="225">
        <v>4.33</v>
      </c>
      <c r="AH635" s="180" t="s">
        <v>8023</v>
      </c>
      <c r="AM635" s="225"/>
      <c r="BS635" s="225">
        <v>44.1</v>
      </c>
      <c r="BT635" s="180" t="s">
        <v>8023</v>
      </c>
      <c r="BU635" s="136">
        <v>23.19</v>
      </c>
      <c r="BV635" s="180" t="s">
        <v>8023</v>
      </c>
    </row>
    <row r="636" spans="1:74">
      <c r="A636" s="154" t="s">
        <v>7877</v>
      </c>
      <c r="B636" s="231" t="s">
        <v>257</v>
      </c>
      <c r="C636" s="231" t="s">
        <v>7963</v>
      </c>
      <c r="D636" s="231"/>
      <c r="E636" s="230">
        <v>10</v>
      </c>
      <c r="F636" s="232">
        <v>35</v>
      </c>
      <c r="G636" s="230"/>
      <c r="S636" s="225">
        <v>1029.8043279999999</v>
      </c>
      <c r="T636" s="180" t="s">
        <v>8023</v>
      </c>
      <c r="Y636" s="225">
        <v>487.13</v>
      </c>
      <c r="Z636" s="180" t="s">
        <v>8023</v>
      </c>
      <c r="AA636" s="225">
        <v>49599.91</v>
      </c>
      <c r="AB636" s="180" t="s">
        <v>8023</v>
      </c>
      <c r="AC636">
        <v>22.41</v>
      </c>
      <c r="AD636" s="180" t="s">
        <v>8023</v>
      </c>
      <c r="AG636" s="225">
        <v>4.5199999999999996</v>
      </c>
      <c r="AH636" s="180" t="s">
        <v>8023</v>
      </c>
      <c r="AM636" s="225"/>
      <c r="BS636" s="225">
        <v>45.95</v>
      </c>
      <c r="BT636" s="180" t="s">
        <v>8023</v>
      </c>
      <c r="BU636" s="136">
        <v>21.73</v>
      </c>
      <c r="BV636" s="180" t="s">
        <v>8023</v>
      </c>
    </row>
    <row r="637" spans="1:74">
      <c r="A637" s="154" t="s">
        <v>7877</v>
      </c>
      <c r="B637" s="231" t="s">
        <v>259</v>
      </c>
      <c r="C637" s="231" t="s">
        <v>7963</v>
      </c>
      <c r="D637" s="231"/>
      <c r="E637" s="230">
        <v>16</v>
      </c>
      <c r="F637" s="232">
        <v>45</v>
      </c>
      <c r="G637" s="230"/>
      <c r="S637" s="225">
        <v>1073.4084829999999</v>
      </c>
      <c r="T637" s="180" t="s">
        <v>8023</v>
      </c>
      <c r="Y637" s="225">
        <v>542.65</v>
      </c>
      <c r="Z637" s="180" t="s">
        <v>8023</v>
      </c>
      <c r="AA637" s="225">
        <v>57184.639999999999</v>
      </c>
      <c r="AB637" s="180" t="s">
        <v>8023</v>
      </c>
      <c r="AC637">
        <v>24.2</v>
      </c>
      <c r="AD637" s="180" t="s">
        <v>8023</v>
      </c>
      <c r="AG637" s="225">
        <v>4.2300000000000004</v>
      </c>
      <c r="AH637" s="180" t="s">
        <v>8023</v>
      </c>
      <c r="AM637" s="225"/>
      <c r="BS637" s="225">
        <v>44.36</v>
      </c>
      <c r="BT637" s="180" t="s">
        <v>8023</v>
      </c>
      <c r="BU637" s="136">
        <v>22.43</v>
      </c>
      <c r="BV637" s="180" t="s">
        <v>8023</v>
      </c>
    </row>
    <row r="638" spans="1:74">
      <c r="A638" s="154" t="s">
        <v>7877</v>
      </c>
      <c r="B638" s="231" t="s">
        <v>257</v>
      </c>
      <c r="C638" s="231" t="s">
        <v>7964</v>
      </c>
      <c r="D638" s="231"/>
      <c r="E638" s="229">
        <v>15</v>
      </c>
      <c r="F638" s="232">
        <v>29</v>
      </c>
      <c r="G638" s="230"/>
      <c r="S638" s="225">
        <v>1028.815617</v>
      </c>
      <c r="T638" s="180" t="s">
        <v>8023</v>
      </c>
      <c r="Y638" s="225">
        <v>510.2</v>
      </c>
      <c r="Z638" s="180" t="s">
        <v>8023</v>
      </c>
      <c r="AA638" s="225">
        <v>57081.42</v>
      </c>
      <c r="AB638" s="180" t="s">
        <v>8023</v>
      </c>
      <c r="AC638">
        <v>23.08</v>
      </c>
      <c r="AD638" s="180" t="s">
        <v>8023</v>
      </c>
      <c r="AG638" s="225">
        <v>4.04</v>
      </c>
      <c r="AH638" s="180" t="s">
        <v>8023</v>
      </c>
      <c r="AM638" s="225"/>
      <c r="BS638" s="225">
        <v>44.58</v>
      </c>
      <c r="BT638" s="180" t="s">
        <v>8023</v>
      </c>
      <c r="BU638" s="136">
        <v>22.11</v>
      </c>
      <c r="BV638" s="180" t="s">
        <v>8023</v>
      </c>
    </row>
    <row r="639" spans="1:74">
      <c r="A639" s="154" t="s">
        <v>7877</v>
      </c>
      <c r="B639" s="231" t="s">
        <v>259</v>
      </c>
      <c r="C639" s="231" t="s">
        <v>7964</v>
      </c>
      <c r="D639" s="231"/>
      <c r="E639" s="229">
        <v>21</v>
      </c>
      <c r="F639" s="232">
        <v>24</v>
      </c>
      <c r="G639" s="230"/>
      <c r="S639" s="225">
        <v>969.49214989999996</v>
      </c>
      <c r="T639" s="180" t="s">
        <v>8023</v>
      </c>
      <c r="Y639" s="225">
        <v>496.8</v>
      </c>
      <c r="Z639" s="180" t="s">
        <v>8023</v>
      </c>
      <c r="AA639" s="225">
        <v>49338.49</v>
      </c>
      <c r="AB639" s="180" t="s">
        <v>8023</v>
      </c>
      <c r="AC639">
        <v>21.7</v>
      </c>
      <c r="AD639" s="180" t="s">
        <v>8023</v>
      </c>
      <c r="AG639" s="225">
        <v>4.4000000000000004</v>
      </c>
      <c r="AH639" s="180" t="s">
        <v>8023</v>
      </c>
      <c r="AM639" s="225"/>
      <c r="BS639" s="225">
        <v>44.67</v>
      </c>
      <c r="BT639" s="180" t="s">
        <v>8023</v>
      </c>
      <c r="BU639" s="136">
        <v>22.89</v>
      </c>
      <c r="BV639" s="180" t="s">
        <v>8023</v>
      </c>
    </row>
    <row r="640" spans="1:74">
      <c r="A640" s="154" t="s">
        <v>7877</v>
      </c>
      <c r="B640" s="231" t="s">
        <v>257</v>
      </c>
      <c r="C640" s="231" t="s">
        <v>7982</v>
      </c>
      <c r="D640" s="231"/>
      <c r="E640" s="229">
        <v>4</v>
      </c>
      <c r="F640" s="232">
        <v>17</v>
      </c>
      <c r="G640" s="230"/>
      <c r="S640" s="225">
        <v>975.10525700000005</v>
      </c>
      <c r="T640" s="180" t="s">
        <v>8023</v>
      </c>
      <c r="Y640" s="225">
        <v>488.07</v>
      </c>
      <c r="Z640" s="180" t="s">
        <v>8023</v>
      </c>
      <c r="AA640" s="225">
        <v>48805.58</v>
      </c>
      <c r="AB640" s="180" t="s">
        <v>8023</v>
      </c>
      <c r="AC640">
        <v>21.91</v>
      </c>
      <c r="AD640" s="180" t="s">
        <v>8023</v>
      </c>
      <c r="AG640" s="225">
        <v>4.49</v>
      </c>
      <c r="AH640" s="180" t="s">
        <v>8023</v>
      </c>
      <c r="AM640" s="225"/>
      <c r="BS640" s="225">
        <v>44.51</v>
      </c>
      <c r="BT640" s="180" t="s">
        <v>8023</v>
      </c>
      <c r="BU640" s="136">
        <v>22.28</v>
      </c>
      <c r="BV640" s="180" t="s">
        <v>8023</v>
      </c>
    </row>
    <row r="641" spans="1:74">
      <c r="A641" s="154" t="s">
        <v>7877</v>
      </c>
      <c r="B641" s="231" t="s">
        <v>259</v>
      </c>
      <c r="C641" s="231" t="s">
        <v>7982</v>
      </c>
      <c r="D641" s="231"/>
      <c r="E641" s="229">
        <v>1</v>
      </c>
      <c r="F641" s="232">
        <v>46</v>
      </c>
      <c r="G641" s="230"/>
      <c r="S641" s="225">
        <v>877.26363949999995</v>
      </c>
      <c r="T641" s="180" t="s">
        <v>8023</v>
      </c>
      <c r="Y641" s="225">
        <v>454.47</v>
      </c>
      <c r="Z641" s="180" t="s">
        <v>8023</v>
      </c>
      <c r="AA641" s="225">
        <v>43397.71</v>
      </c>
      <c r="AB641" s="180" t="s">
        <v>8023</v>
      </c>
      <c r="AC641">
        <v>19.600000000000001</v>
      </c>
      <c r="AD641" s="180" t="s">
        <v>8023</v>
      </c>
      <c r="AG641" s="225">
        <v>4.5199999999999996</v>
      </c>
      <c r="AH641" s="180" t="s">
        <v>8023</v>
      </c>
      <c r="AM641" s="225"/>
      <c r="BS641" s="225">
        <v>44.77</v>
      </c>
      <c r="BT641" s="180" t="s">
        <v>8023</v>
      </c>
      <c r="BU641" s="136">
        <v>23.19</v>
      </c>
      <c r="BV641" s="180" t="s">
        <v>8023</v>
      </c>
    </row>
    <row r="642" spans="1:74">
      <c r="A642" s="154" t="s">
        <v>7778</v>
      </c>
      <c r="B642" s="231" t="s">
        <v>257</v>
      </c>
      <c r="C642" s="231" t="s">
        <v>405</v>
      </c>
      <c r="D642" s="231"/>
      <c r="E642" s="230">
        <v>5</v>
      </c>
      <c r="F642" s="232">
        <v>31</v>
      </c>
      <c r="G642" s="230"/>
      <c r="S642" s="225">
        <v>1595.424878</v>
      </c>
      <c r="T642" s="180" t="s">
        <v>8023</v>
      </c>
      <c r="Y642" s="225">
        <v>655.22</v>
      </c>
      <c r="Z642" s="180" t="s">
        <v>8023</v>
      </c>
      <c r="AA642" s="225">
        <v>77325.48</v>
      </c>
      <c r="AB642" s="180" t="s">
        <v>8023</v>
      </c>
      <c r="AC642">
        <v>31.97</v>
      </c>
      <c r="AD642" s="180" t="s">
        <v>8023</v>
      </c>
      <c r="AG642" s="225">
        <v>4.13</v>
      </c>
      <c r="AH642" s="180" t="s">
        <v>8023</v>
      </c>
      <c r="AM642" s="225"/>
      <c r="BS642" s="225">
        <v>49.91</v>
      </c>
      <c r="BT642" s="180" t="s">
        <v>8023</v>
      </c>
      <c r="BU642" s="136">
        <v>20.5</v>
      </c>
      <c r="BV642" s="180" t="s">
        <v>8023</v>
      </c>
    </row>
    <row r="643" spans="1:74">
      <c r="A643" s="154" t="s">
        <v>7778</v>
      </c>
      <c r="B643" s="231" t="s">
        <v>259</v>
      </c>
      <c r="C643" s="231" t="s">
        <v>405</v>
      </c>
      <c r="D643" s="231"/>
      <c r="E643" s="230">
        <v>10</v>
      </c>
      <c r="F643" s="232">
        <v>21</v>
      </c>
      <c r="G643" s="230"/>
      <c r="S643" s="225">
        <v>1788.0722000000001</v>
      </c>
      <c r="T643" s="180" t="s">
        <v>8023</v>
      </c>
      <c r="Y643" s="225">
        <v>840.52</v>
      </c>
      <c r="Z643" s="180" t="s">
        <v>8023</v>
      </c>
      <c r="AA643" s="225">
        <v>83029.69</v>
      </c>
      <c r="AB643" s="180" t="s">
        <v>8023</v>
      </c>
      <c r="AC643">
        <v>36.9</v>
      </c>
      <c r="AD643" s="180" t="s">
        <v>8023</v>
      </c>
      <c r="AG643" s="225">
        <v>4.4400000000000004</v>
      </c>
      <c r="AH643" s="180" t="s">
        <v>8023</v>
      </c>
      <c r="AM643" s="225"/>
      <c r="BS643" s="225">
        <v>48.45</v>
      </c>
      <c r="BT643" s="180" t="s">
        <v>8023</v>
      </c>
      <c r="BU643" s="136">
        <v>22.78</v>
      </c>
      <c r="BV643" s="180" t="s">
        <v>8023</v>
      </c>
    </row>
    <row r="644" spans="1:74">
      <c r="A644" s="154" t="s">
        <v>7778</v>
      </c>
      <c r="B644" s="231" t="s">
        <v>257</v>
      </c>
      <c r="C644" s="231" t="s">
        <v>7963</v>
      </c>
      <c r="D644" s="231"/>
      <c r="E644" s="229">
        <v>12</v>
      </c>
      <c r="F644" s="232">
        <v>42</v>
      </c>
      <c r="G644" s="230"/>
      <c r="S644" s="225">
        <v>1686.2046869999999</v>
      </c>
      <c r="T644" s="180" t="s">
        <v>8023</v>
      </c>
      <c r="Y644" s="225">
        <v>613.89</v>
      </c>
      <c r="Z644" s="180" t="s">
        <v>8023</v>
      </c>
      <c r="AA644" s="225">
        <v>80655.25</v>
      </c>
      <c r="AB644" s="180" t="s">
        <v>8023</v>
      </c>
      <c r="AC644">
        <v>32.69</v>
      </c>
      <c r="AD644" s="180" t="s">
        <v>8023</v>
      </c>
      <c r="AG644" s="225">
        <v>4.05</v>
      </c>
      <c r="AH644" s="180" t="s">
        <v>8023</v>
      </c>
      <c r="AM644" s="225"/>
      <c r="BS644" s="225">
        <v>51.57</v>
      </c>
      <c r="BT644" s="180" t="s">
        <v>8023</v>
      </c>
      <c r="BU644" s="136">
        <v>18.78</v>
      </c>
      <c r="BV644" s="180" t="s">
        <v>8023</v>
      </c>
    </row>
    <row r="645" spans="1:74">
      <c r="A645" s="154" t="s">
        <v>7778</v>
      </c>
      <c r="B645" s="231" t="s">
        <v>259</v>
      </c>
      <c r="C645" s="231" t="s">
        <v>7963</v>
      </c>
      <c r="D645" s="231"/>
      <c r="E645" s="229">
        <v>13</v>
      </c>
      <c r="F645" s="232">
        <v>56</v>
      </c>
      <c r="G645" s="230"/>
      <c r="S645" s="225">
        <v>1389.3346879999999</v>
      </c>
      <c r="T645" s="180" t="s">
        <v>8023</v>
      </c>
      <c r="Y645" s="225">
        <v>666.74</v>
      </c>
      <c r="Z645" s="180" t="s">
        <v>8023</v>
      </c>
      <c r="AA645" s="225">
        <v>70559.789999999994</v>
      </c>
      <c r="AB645" s="180" t="s">
        <v>8023</v>
      </c>
      <c r="AC645">
        <v>29.45</v>
      </c>
      <c r="AD645" s="180" t="s">
        <v>8023</v>
      </c>
      <c r="AG645" s="225">
        <v>4.17</v>
      </c>
      <c r="AH645" s="180" t="s">
        <v>8023</v>
      </c>
      <c r="AM645" s="225"/>
      <c r="BS645" s="225">
        <v>47.17</v>
      </c>
      <c r="BT645" s="180" t="s">
        <v>8023</v>
      </c>
      <c r="BU645" s="136">
        <v>22.64</v>
      </c>
      <c r="BV645" s="180" t="s">
        <v>8023</v>
      </c>
    </row>
    <row r="646" spans="1:74">
      <c r="A646" s="154" t="s">
        <v>7778</v>
      </c>
      <c r="B646" s="231" t="s">
        <v>257</v>
      </c>
      <c r="C646" s="231" t="s">
        <v>7964</v>
      </c>
      <c r="D646" s="231"/>
      <c r="E646" s="229">
        <v>15</v>
      </c>
      <c r="F646" s="232">
        <v>10</v>
      </c>
      <c r="G646" s="230"/>
      <c r="S646" s="225">
        <v>1442.7527230000001</v>
      </c>
      <c r="T646" s="180" t="s">
        <v>8023</v>
      </c>
      <c r="Y646" s="225">
        <v>633.73</v>
      </c>
      <c r="Z646" s="180" t="s">
        <v>8023</v>
      </c>
      <c r="AA646" s="225">
        <v>73055.87</v>
      </c>
      <c r="AB646" s="180" t="s">
        <v>8023</v>
      </c>
      <c r="AC646">
        <v>29.59</v>
      </c>
      <c r="AD646" s="180" t="s">
        <v>8023</v>
      </c>
      <c r="AG646" s="225">
        <v>4.05</v>
      </c>
      <c r="AH646" s="180" t="s">
        <v>8023</v>
      </c>
      <c r="AM646" s="225"/>
      <c r="BS646" s="225">
        <v>48.75</v>
      </c>
      <c r="BT646" s="180" t="s">
        <v>8023</v>
      </c>
      <c r="BU646" s="136">
        <v>21.41</v>
      </c>
      <c r="BV646" s="180" t="s">
        <v>8023</v>
      </c>
    </row>
    <row r="647" spans="1:74">
      <c r="A647" s="154" t="s">
        <v>7778</v>
      </c>
      <c r="B647" s="231" t="s">
        <v>259</v>
      </c>
      <c r="C647" s="231" t="s">
        <v>7964</v>
      </c>
      <c r="D647" s="231"/>
      <c r="E647" s="229">
        <v>20</v>
      </c>
      <c r="F647" s="232">
        <v>26</v>
      </c>
      <c r="G647" s="230"/>
      <c r="S647" s="225">
        <v>1341.5434780000001</v>
      </c>
      <c r="T647" s="180" t="s">
        <v>8023</v>
      </c>
      <c r="Y647" s="225">
        <v>641.73</v>
      </c>
      <c r="Z647" s="180" t="s">
        <v>8023</v>
      </c>
      <c r="AA647" s="225">
        <v>62913.47</v>
      </c>
      <c r="AB647" s="180" t="s">
        <v>8023</v>
      </c>
      <c r="AC647">
        <v>28.1</v>
      </c>
      <c r="AD647" s="180" t="s">
        <v>8023</v>
      </c>
      <c r="AG647" s="225">
        <v>4.47</v>
      </c>
      <c r="AH647" s="180" t="s">
        <v>8023</v>
      </c>
      <c r="AM647" s="225"/>
      <c r="BS647" s="225">
        <v>47.75</v>
      </c>
      <c r="BT647" s="180" t="s">
        <v>8023</v>
      </c>
      <c r="BU647" s="136">
        <v>22.84</v>
      </c>
      <c r="BV647" s="180" t="s">
        <v>8023</v>
      </c>
    </row>
    <row r="648" spans="1:74">
      <c r="A648" s="154" t="s">
        <v>7778</v>
      </c>
      <c r="B648" s="231" t="s">
        <v>257</v>
      </c>
      <c r="C648" s="231" t="s">
        <v>7982</v>
      </c>
      <c r="D648" s="231"/>
      <c r="E648" s="229">
        <v>3</v>
      </c>
      <c r="F648" s="232">
        <v>8</v>
      </c>
      <c r="G648" s="230"/>
      <c r="S648" s="225">
        <v>1348.6034460000001</v>
      </c>
      <c r="T648" s="180" t="s">
        <v>8023</v>
      </c>
      <c r="Y648" s="225">
        <v>572.78</v>
      </c>
      <c r="Z648" s="180" t="s">
        <v>8023</v>
      </c>
      <c r="AA648" s="225">
        <v>65289.279999999999</v>
      </c>
      <c r="AB648" s="180" t="s">
        <v>8023</v>
      </c>
      <c r="AC648">
        <v>27.49</v>
      </c>
      <c r="AD648" s="180" t="s">
        <v>8023</v>
      </c>
      <c r="AG648" s="225">
        <v>4.21</v>
      </c>
      <c r="AH648" s="180" t="s">
        <v>8023</v>
      </c>
      <c r="AM648" s="225"/>
      <c r="BS648" s="225">
        <v>49.06</v>
      </c>
      <c r="BT648" s="180" t="s">
        <v>8023</v>
      </c>
      <c r="BU648" s="136">
        <v>20.84</v>
      </c>
      <c r="BV648" s="180" t="s">
        <v>8023</v>
      </c>
    </row>
    <row r="649" spans="1:74">
      <c r="A649" s="154" t="s">
        <v>7778</v>
      </c>
      <c r="B649" s="231" t="s">
        <v>259</v>
      </c>
      <c r="C649" s="231" t="s">
        <v>7982</v>
      </c>
      <c r="D649" s="231"/>
      <c r="E649" s="230">
        <v>2</v>
      </c>
      <c r="F649" s="232">
        <v>50</v>
      </c>
      <c r="G649" s="230"/>
      <c r="S649" s="225">
        <v>1428.6660529999999</v>
      </c>
      <c r="T649" s="180" t="s">
        <v>8023</v>
      </c>
      <c r="Y649" s="225">
        <v>704.14</v>
      </c>
      <c r="Z649" s="180" t="s">
        <v>8023</v>
      </c>
      <c r="AA649" s="225">
        <v>77929.53</v>
      </c>
      <c r="AB649" s="180" t="s">
        <v>8023</v>
      </c>
      <c r="AC649">
        <v>30.84</v>
      </c>
      <c r="AD649" s="180" t="s">
        <v>8023</v>
      </c>
      <c r="AG649" s="225">
        <v>3.96</v>
      </c>
      <c r="AH649" s="180" t="s">
        <v>8023</v>
      </c>
      <c r="AM649" s="225"/>
      <c r="BS649" s="225">
        <v>46.32</v>
      </c>
      <c r="BT649" s="180" t="s">
        <v>8023</v>
      </c>
      <c r="BU649" s="136">
        <v>22.83</v>
      </c>
      <c r="BV649" s="180" t="s">
        <v>8023</v>
      </c>
    </row>
    <row r="650" spans="1:74">
      <c r="A650" s="154" t="s">
        <v>7779</v>
      </c>
      <c r="B650" s="231" t="s">
        <v>257</v>
      </c>
      <c r="C650" s="231" t="s">
        <v>405</v>
      </c>
      <c r="D650" s="231"/>
      <c r="E650" s="229">
        <v>5</v>
      </c>
      <c r="F650" s="232">
        <v>2</v>
      </c>
      <c r="G650" s="230"/>
      <c r="S650" s="225">
        <v>1785.431</v>
      </c>
      <c r="T650" s="180" t="s">
        <v>8023</v>
      </c>
      <c r="Y650" s="225">
        <v>780.16</v>
      </c>
      <c r="Z650" s="180" t="s">
        <v>8023</v>
      </c>
      <c r="AA650" s="225">
        <v>86452.34</v>
      </c>
      <c r="AB650" s="180" t="s">
        <v>8023</v>
      </c>
      <c r="AC650">
        <v>36.590000000000003</v>
      </c>
      <c r="AD650" s="180" t="s">
        <v>8023</v>
      </c>
      <c r="AG650" s="225">
        <v>4.2300000000000004</v>
      </c>
      <c r="AH650" s="180" t="s">
        <v>8023</v>
      </c>
      <c r="AM650" s="225"/>
      <c r="BS650" s="225">
        <v>48.79</v>
      </c>
      <c r="BT650" s="180" t="s">
        <v>8023</v>
      </c>
      <c r="BU650" s="136">
        <v>21.32</v>
      </c>
      <c r="BV650" s="180" t="s">
        <v>8023</v>
      </c>
    </row>
    <row r="651" spans="1:74">
      <c r="A651" s="154" t="s">
        <v>7779</v>
      </c>
      <c r="B651" s="231" t="s">
        <v>259</v>
      </c>
      <c r="C651" s="231" t="s">
        <v>405</v>
      </c>
      <c r="D651" s="231"/>
      <c r="E651" s="229">
        <v>9</v>
      </c>
      <c r="F651" s="232">
        <v>25</v>
      </c>
      <c r="G651" s="230"/>
      <c r="S651" s="225">
        <v>1560.7454740000001</v>
      </c>
      <c r="T651" s="180" t="s">
        <v>8023</v>
      </c>
      <c r="Y651" s="225">
        <v>663.96</v>
      </c>
      <c r="Z651" s="180" t="s">
        <v>8023</v>
      </c>
      <c r="AA651" s="225">
        <v>76507.66</v>
      </c>
      <c r="AB651" s="180" t="s">
        <v>8023</v>
      </c>
      <c r="AC651">
        <v>31.75</v>
      </c>
      <c r="AD651" s="180" t="s">
        <v>8023</v>
      </c>
      <c r="AG651" s="225">
        <v>4.1500000000000004</v>
      </c>
      <c r="AH651" s="180" t="s">
        <v>8023</v>
      </c>
      <c r="AM651" s="225"/>
      <c r="BS651" s="225">
        <v>49.16</v>
      </c>
      <c r="BT651" s="180" t="s">
        <v>8023</v>
      </c>
      <c r="BU651" s="136">
        <v>20.91</v>
      </c>
      <c r="BV651" s="180" t="s">
        <v>8023</v>
      </c>
    </row>
    <row r="652" spans="1:74">
      <c r="A652" s="154" t="s">
        <v>7779</v>
      </c>
      <c r="B652" s="231" t="s">
        <v>257</v>
      </c>
      <c r="C652" s="231" t="s">
        <v>7963</v>
      </c>
      <c r="D652" s="231"/>
      <c r="E652" s="229">
        <v>12</v>
      </c>
      <c r="F652" s="232">
        <v>59</v>
      </c>
      <c r="G652" s="230"/>
      <c r="S652" s="225">
        <v>1648.0959150000001</v>
      </c>
      <c r="T652" s="180" t="s">
        <v>8023</v>
      </c>
      <c r="Y652" s="225">
        <v>673.27</v>
      </c>
      <c r="Z652" s="180" t="s">
        <v>8023</v>
      </c>
      <c r="AA652" s="225">
        <v>78483.820000000007</v>
      </c>
      <c r="AB652" s="180" t="s">
        <v>8023</v>
      </c>
      <c r="AC652">
        <v>32.96</v>
      </c>
      <c r="AD652" s="180" t="s">
        <v>8023</v>
      </c>
      <c r="AG652" s="225">
        <v>4.2</v>
      </c>
      <c r="AH652" s="180" t="s">
        <v>8023</v>
      </c>
      <c r="AM652" s="225"/>
      <c r="BS652" s="225">
        <v>50</v>
      </c>
      <c r="BT652" s="180" t="s">
        <v>8023</v>
      </c>
      <c r="BU652" s="136">
        <v>20.43</v>
      </c>
      <c r="BV652" s="180" t="s">
        <v>8023</v>
      </c>
    </row>
    <row r="653" spans="1:74">
      <c r="A653" s="154" t="s">
        <v>7779</v>
      </c>
      <c r="B653" s="231" t="s">
        <v>259</v>
      </c>
      <c r="C653" s="231" t="s">
        <v>7963</v>
      </c>
      <c r="D653" s="231"/>
      <c r="E653" s="229">
        <v>13</v>
      </c>
      <c r="F653" s="232">
        <v>55</v>
      </c>
      <c r="G653" s="230"/>
      <c r="S653" s="225">
        <v>1399.5010560000001</v>
      </c>
      <c r="T653" s="180" t="s">
        <v>8023</v>
      </c>
      <c r="Y653" s="225">
        <v>608.33000000000004</v>
      </c>
      <c r="Z653" s="180" t="s">
        <v>8023</v>
      </c>
      <c r="AA653" s="225">
        <v>68155.42</v>
      </c>
      <c r="AB653" s="180" t="s">
        <v>8023</v>
      </c>
      <c r="AC653">
        <v>28.67</v>
      </c>
      <c r="AD653" s="180" t="s">
        <v>8023</v>
      </c>
      <c r="AG653" s="225">
        <v>4.21</v>
      </c>
      <c r="AH653" s="180" t="s">
        <v>8023</v>
      </c>
      <c r="AM653" s="225"/>
      <c r="BS653" s="225">
        <v>48.82</v>
      </c>
      <c r="BT653" s="180" t="s">
        <v>8023</v>
      </c>
      <c r="BU653" s="136">
        <v>21.22</v>
      </c>
      <c r="BV653" s="180" t="s">
        <v>8023</v>
      </c>
    </row>
    <row r="654" spans="1:74">
      <c r="A654" s="154" t="s">
        <v>7779</v>
      </c>
      <c r="B654" s="231" t="s">
        <v>257</v>
      </c>
      <c r="C654" s="231" t="s">
        <v>7964</v>
      </c>
      <c r="D654" s="231"/>
      <c r="E654" s="230">
        <v>13</v>
      </c>
      <c r="F654" s="232">
        <v>29</v>
      </c>
      <c r="G654" s="230"/>
      <c r="S654" s="225">
        <v>1830.02153</v>
      </c>
      <c r="T654" s="180" t="s">
        <v>8023</v>
      </c>
      <c r="Y654" s="225">
        <v>752.77</v>
      </c>
      <c r="Z654" s="180" t="s">
        <v>8023</v>
      </c>
      <c r="AA654" s="225">
        <v>93364.85</v>
      </c>
      <c r="AB654" s="180" t="s">
        <v>8023</v>
      </c>
      <c r="AC654">
        <v>37.04</v>
      </c>
      <c r="AD654" s="180" t="s">
        <v>8023</v>
      </c>
      <c r="AG654" s="225">
        <v>3.97</v>
      </c>
      <c r="AH654" s="180" t="s">
        <v>8023</v>
      </c>
      <c r="AM654" s="225"/>
      <c r="BS654" s="225">
        <v>49.4</v>
      </c>
      <c r="BT654" s="180" t="s">
        <v>8023</v>
      </c>
      <c r="BU654" s="136">
        <v>20.32</v>
      </c>
      <c r="BV654" s="180" t="s">
        <v>8023</v>
      </c>
    </row>
    <row r="655" spans="1:74">
      <c r="A655" s="154" t="s">
        <v>7779</v>
      </c>
      <c r="B655" s="231" t="s">
        <v>259</v>
      </c>
      <c r="C655" s="231" t="s">
        <v>7964</v>
      </c>
      <c r="D655" s="231"/>
      <c r="E655" s="230">
        <v>18</v>
      </c>
      <c r="F655" s="232">
        <v>2</v>
      </c>
      <c r="G655" s="230"/>
      <c r="S655" s="225">
        <v>1492.9635169999999</v>
      </c>
      <c r="T655" s="180" t="s">
        <v>8023</v>
      </c>
      <c r="Y655" s="225">
        <v>710.01</v>
      </c>
      <c r="Z655" s="180" t="s">
        <v>8023</v>
      </c>
      <c r="AA655" s="225">
        <v>73993.67</v>
      </c>
      <c r="AB655" s="180" t="s">
        <v>8023</v>
      </c>
      <c r="AC655">
        <v>31.48</v>
      </c>
      <c r="AD655" s="180" t="s">
        <v>8023</v>
      </c>
      <c r="AG655" s="225">
        <v>4.25</v>
      </c>
      <c r="AH655" s="180" t="s">
        <v>8023</v>
      </c>
      <c r="AM655" s="225"/>
      <c r="BS655" s="225">
        <v>47.43</v>
      </c>
      <c r="BT655" s="180" t="s">
        <v>8023</v>
      </c>
      <c r="BU655" s="136">
        <v>22.55</v>
      </c>
      <c r="BV655" s="180" t="s">
        <v>8023</v>
      </c>
    </row>
    <row r="656" spans="1:74">
      <c r="A656" s="154" t="s">
        <v>7779</v>
      </c>
      <c r="B656" s="231" t="s">
        <v>257</v>
      </c>
      <c r="C656" s="231" t="s">
        <v>7982</v>
      </c>
      <c r="D656" s="231"/>
      <c r="E656" s="229">
        <v>2</v>
      </c>
      <c r="F656" s="232">
        <v>24</v>
      </c>
      <c r="G656" s="230"/>
      <c r="S656" s="225">
        <v>1664.5174360000001</v>
      </c>
      <c r="T656" s="180" t="s">
        <v>8023</v>
      </c>
      <c r="Y656" s="225">
        <v>704.54</v>
      </c>
      <c r="Z656" s="180" t="s">
        <v>8023</v>
      </c>
      <c r="AA656" s="225">
        <v>85344.66</v>
      </c>
      <c r="AB656" s="180" t="s">
        <v>8023</v>
      </c>
      <c r="AC656">
        <v>33.78</v>
      </c>
      <c r="AD656" s="180" t="s">
        <v>8023</v>
      </c>
      <c r="AG656" s="225">
        <v>3.96</v>
      </c>
      <c r="AH656" s="180" t="s">
        <v>8023</v>
      </c>
      <c r="AM656" s="225"/>
      <c r="BS656" s="225">
        <v>49.28</v>
      </c>
      <c r="BT656" s="180" t="s">
        <v>8023</v>
      </c>
      <c r="BU656" s="136">
        <v>20.86</v>
      </c>
      <c r="BV656" s="180" t="s">
        <v>8023</v>
      </c>
    </row>
    <row r="657" spans="1:74">
      <c r="A657" s="154" t="s">
        <v>7779</v>
      </c>
      <c r="B657" s="231" t="s">
        <v>259</v>
      </c>
      <c r="C657" s="231" t="s">
        <v>7982</v>
      </c>
      <c r="D657" s="231"/>
      <c r="E657" s="229">
        <v>4</v>
      </c>
      <c r="F657" s="232">
        <v>41</v>
      </c>
      <c r="G657" s="230"/>
      <c r="S657" s="225">
        <v>1406.8955900000001</v>
      </c>
      <c r="T657" s="180" t="s">
        <v>8023</v>
      </c>
      <c r="Y657" s="225">
        <v>682.62</v>
      </c>
      <c r="Z657" s="180" t="s">
        <v>8023</v>
      </c>
      <c r="AA657" s="225">
        <v>70536.44</v>
      </c>
      <c r="AB657" s="180" t="s">
        <v>8023</v>
      </c>
      <c r="AC657">
        <v>29.76</v>
      </c>
      <c r="AD657" s="180" t="s">
        <v>8023</v>
      </c>
      <c r="AG657" s="225">
        <v>4.22</v>
      </c>
      <c r="AH657" s="180" t="s">
        <v>8023</v>
      </c>
      <c r="AM657" s="225"/>
      <c r="BS657" s="225">
        <v>47.28</v>
      </c>
      <c r="BT657" s="180" t="s">
        <v>8023</v>
      </c>
      <c r="BU657" s="136">
        <v>22.94</v>
      </c>
      <c r="BV657" s="180" t="s">
        <v>8023</v>
      </c>
    </row>
    <row r="658" spans="1:74">
      <c r="A658" s="154" t="s">
        <v>7780</v>
      </c>
      <c r="B658" s="231" t="s">
        <v>257</v>
      </c>
      <c r="C658" s="231" t="s">
        <v>405</v>
      </c>
      <c r="D658" s="231"/>
      <c r="E658" s="229">
        <v>7</v>
      </c>
      <c r="F658" s="232">
        <v>3</v>
      </c>
      <c r="G658" s="230"/>
      <c r="S658" s="225">
        <v>1715.6049539999999</v>
      </c>
      <c r="T658" s="180" t="s">
        <v>8023</v>
      </c>
      <c r="Y658" s="225">
        <v>772.5</v>
      </c>
      <c r="Z658" s="180" t="s">
        <v>8023</v>
      </c>
      <c r="AA658" s="225">
        <v>72777.87</v>
      </c>
      <c r="AB658" s="180" t="s">
        <v>8023</v>
      </c>
      <c r="AC658">
        <v>36.11</v>
      </c>
      <c r="AD658" s="180" t="s">
        <v>8023</v>
      </c>
      <c r="AG658" s="225">
        <v>4.96</v>
      </c>
      <c r="AH658" s="180" t="s">
        <v>8023</v>
      </c>
      <c r="AM658" s="225"/>
      <c r="BS658" s="225">
        <v>47.51</v>
      </c>
      <c r="BT658" s="180" t="s">
        <v>8023</v>
      </c>
      <c r="BU658" s="136">
        <v>21.39</v>
      </c>
      <c r="BV658" s="180" t="s">
        <v>8023</v>
      </c>
    </row>
    <row r="659" spans="1:74">
      <c r="A659" s="154" t="s">
        <v>7780</v>
      </c>
      <c r="B659" s="231" t="s">
        <v>259</v>
      </c>
      <c r="C659" s="231" t="s">
        <v>405</v>
      </c>
      <c r="D659" s="231"/>
      <c r="E659" s="229">
        <v>12</v>
      </c>
      <c r="F659" s="232">
        <v>10</v>
      </c>
      <c r="G659" s="230"/>
      <c r="S659" s="225">
        <v>1329.5342089999999</v>
      </c>
      <c r="T659" s="180" t="s">
        <v>8023</v>
      </c>
      <c r="Y659" s="225">
        <v>623.22</v>
      </c>
      <c r="Z659" s="180" t="s">
        <v>8023</v>
      </c>
      <c r="AA659" s="225">
        <v>60310.74</v>
      </c>
      <c r="AB659" s="180" t="s">
        <v>8023</v>
      </c>
      <c r="AC659">
        <v>28.61</v>
      </c>
      <c r="AD659" s="180" t="s">
        <v>8023</v>
      </c>
      <c r="AG659" s="225">
        <v>4.74</v>
      </c>
      <c r="AH659" s="180" t="s">
        <v>8023</v>
      </c>
      <c r="AM659" s="225"/>
      <c r="BS659" s="225">
        <v>46.47</v>
      </c>
      <c r="BT659" s="180" t="s">
        <v>8023</v>
      </c>
      <c r="BU659" s="136">
        <v>21.78</v>
      </c>
      <c r="BV659" s="180" t="s">
        <v>8023</v>
      </c>
    </row>
    <row r="660" spans="1:74">
      <c r="A660" s="154" t="s">
        <v>7780</v>
      </c>
      <c r="B660" s="231" t="s">
        <v>257</v>
      </c>
      <c r="C660" s="231" t="s">
        <v>7963</v>
      </c>
      <c r="D660" s="231"/>
      <c r="E660" s="229">
        <v>9</v>
      </c>
      <c r="F660" s="232">
        <v>35</v>
      </c>
      <c r="G660" s="230"/>
      <c r="S660" s="225">
        <v>1601.295026</v>
      </c>
      <c r="T660" s="180" t="s">
        <v>8023</v>
      </c>
      <c r="Y660" s="225">
        <v>684.61</v>
      </c>
      <c r="Z660" s="180" t="s">
        <v>8023</v>
      </c>
      <c r="AA660" s="225">
        <v>67963.28</v>
      </c>
      <c r="AB660" s="180" t="s">
        <v>8023</v>
      </c>
      <c r="AC660">
        <v>33.229999999999997</v>
      </c>
      <c r="AD660" s="180" t="s">
        <v>8023</v>
      </c>
      <c r="AG660" s="225">
        <v>4.8899999999999997</v>
      </c>
      <c r="AH660" s="180" t="s">
        <v>8023</v>
      </c>
      <c r="AM660" s="225"/>
      <c r="BS660" s="225">
        <v>48.19</v>
      </c>
      <c r="BT660" s="180" t="s">
        <v>8023</v>
      </c>
      <c r="BU660" s="136">
        <v>20.6</v>
      </c>
      <c r="BV660" s="180" t="s">
        <v>8023</v>
      </c>
    </row>
    <row r="661" spans="1:74">
      <c r="A661" s="154" t="s">
        <v>7780</v>
      </c>
      <c r="B661" s="231" t="s">
        <v>259</v>
      </c>
      <c r="C661" s="231" t="s">
        <v>7963</v>
      </c>
      <c r="D661" s="231"/>
      <c r="E661" s="230">
        <v>13</v>
      </c>
      <c r="F661" s="232">
        <v>47</v>
      </c>
      <c r="G661" s="230"/>
      <c r="S661" s="225">
        <v>1238.291383</v>
      </c>
      <c r="T661" s="180" t="s">
        <v>8023</v>
      </c>
      <c r="Y661" s="225">
        <v>612.44000000000005</v>
      </c>
      <c r="Z661" s="180" t="s">
        <v>8023</v>
      </c>
      <c r="AA661" s="225">
        <v>58535.8</v>
      </c>
      <c r="AB661" s="180" t="s">
        <v>8023</v>
      </c>
      <c r="AC661">
        <v>26.96</v>
      </c>
      <c r="AD661" s="180" t="s">
        <v>8023</v>
      </c>
      <c r="AG661" s="225">
        <v>4.6100000000000003</v>
      </c>
      <c r="AH661" s="180" t="s">
        <v>8023</v>
      </c>
      <c r="AM661" s="225"/>
      <c r="BS661" s="225">
        <v>45.93</v>
      </c>
      <c r="BT661" s="180" t="s">
        <v>8023</v>
      </c>
      <c r="BU661" s="136">
        <v>22.72</v>
      </c>
      <c r="BV661" s="180" t="s">
        <v>8023</v>
      </c>
    </row>
    <row r="662" spans="1:74">
      <c r="A662" s="154" t="s">
        <v>7780</v>
      </c>
      <c r="B662" s="231" t="s">
        <v>257</v>
      </c>
      <c r="C662" s="231" t="s">
        <v>7964</v>
      </c>
      <c r="D662" s="231"/>
      <c r="E662" s="229">
        <v>15</v>
      </c>
      <c r="F662" s="232">
        <v>31</v>
      </c>
      <c r="G662" s="230"/>
      <c r="S662" s="225">
        <v>1466.97965</v>
      </c>
      <c r="T662" s="180" t="s">
        <v>8023</v>
      </c>
      <c r="Y662" s="225">
        <v>638.08000000000004</v>
      </c>
      <c r="Z662" s="180" t="s">
        <v>8023</v>
      </c>
      <c r="AA662" s="225">
        <v>67151.42</v>
      </c>
      <c r="AB662" s="180" t="s">
        <v>8023</v>
      </c>
      <c r="AC662">
        <v>30.67</v>
      </c>
      <c r="AD662" s="180" t="s">
        <v>8023</v>
      </c>
      <c r="AG662" s="225">
        <v>4.57</v>
      </c>
      <c r="AH662" s="180" t="s">
        <v>8023</v>
      </c>
      <c r="AM662" s="225"/>
      <c r="BS662" s="225">
        <v>47.83</v>
      </c>
      <c r="BT662" s="180" t="s">
        <v>8023</v>
      </c>
      <c r="BU662" s="136">
        <v>20.81</v>
      </c>
      <c r="BV662" s="180" t="s">
        <v>8023</v>
      </c>
    </row>
    <row r="663" spans="1:74">
      <c r="A663" s="154" t="s">
        <v>7780</v>
      </c>
      <c r="B663" s="231" t="s">
        <v>259</v>
      </c>
      <c r="C663" s="231" t="s">
        <v>7964</v>
      </c>
      <c r="D663" s="231"/>
      <c r="E663" s="229">
        <v>19</v>
      </c>
      <c r="F663" s="232">
        <v>7</v>
      </c>
      <c r="G663" s="230"/>
      <c r="S663" s="225">
        <v>1618.021565</v>
      </c>
      <c r="T663" s="180" t="s">
        <v>8023</v>
      </c>
      <c r="Y663" s="225">
        <v>726.58</v>
      </c>
      <c r="Z663" s="180" t="s">
        <v>8023</v>
      </c>
      <c r="AA663" s="225">
        <v>70166.03</v>
      </c>
      <c r="AB663" s="180" t="s">
        <v>8023</v>
      </c>
      <c r="AC663">
        <v>34.15</v>
      </c>
      <c r="AD663" s="180" t="s">
        <v>8023</v>
      </c>
      <c r="AG663" s="225">
        <v>4.87</v>
      </c>
      <c r="AH663" s="180" t="s">
        <v>8023</v>
      </c>
      <c r="AM663" s="225"/>
      <c r="BS663" s="225">
        <v>47.38</v>
      </c>
      <c r="BT663" s="180" t="s">
        <v>8023</v>
      </c>
      <c r="BU663" s="136">
        <v>21.28</v>
      </c>
      <c r="BV663" s="180" t="s">
        <v>8023</v>
      </c>
    </row>
    <row r="664" spans="1:74">
      <c r="A664" s="154" t="s">
        <v>7780</v>
      </c>
      <c r="B664" s="231" t="s">
        <v>257</v>
      </c>
      <c r="C664" s="231" t="s">
        <v>7982</v>
      </c>
      <c r="D664" s="231"/>
      <c r="E664" s="229">
        <v>1</v>
      </c>
      <c r="F664" s="232">
        <v>1</v>
      </c>
      <c r="G664" s="230"/>
      <c r="S664" s="225">
        <v>1470.489671</v>
      </c>
      <c r="T664" s="180" t="s">
        <v>8023</v>
      </c>
      <c r="Y664" s="225">
        <v>619.84</v>
      </c>
      <c r="Z664" s="180" t="s">
        <v>8023</v>
      </c>
      <c r="AA664" s="225">
        <v>63773.91</v>
      </c>
      <c r="AB664" s="180" t="s">
        <v>8023</v>
      </c>
      <c r="AC664">
        <v>30.37</v>
      </c>
      <c r="AD664" s="180" t="s">
        <v>8023</v>
      </c>
      <c r="AG664" s="225">
        <v>4.76</v>
      </c>
      <c r="AH664" s="180" t="s">
        <v>8023</v>
      </c>
      <c r="AM664" s="225"/>
      <c r="BS664" s="225">
        <v>48.41</v>
      </c>
      <c r="BT664" s="180" t="s">
        <v>8023</v>
      </c>
      <c r="BU664" s="136">
        <v>20.41</v>
      </c>
      <c r="BV664" s="180" t="s">
        <v>8023</v>
      </c>
    </row>
    <row r="665" spans="1:74">
      <c r="A665" s="154" t="s">
        <v>7780</v>
      </c>
      <c r="B665" s="231" t="s">
        <v>259</v>
      </c>
      <c r="C665" s="231" t="s">
        <v>7982</v>
      </c>
      <c r="D665" s="231"/>
      <c r="E665" s="229">
        <v>3</v>
      </c>
      <c r="F665" s="232">
        <v>60</v>
      </c>
      <c r="G665" s="230"/>
      <c r="S665" s="225">
        <v>1286.812782</v>
      </c>
      <c r="T665" s="180" t="s">
        <v>8023</v>
      </c>
      <c r="Y665" s="225">
        <v>647.57000000000005</v>
      </c>
      <c r="Z665" s="180" t="s">
        <v>8023</v>
      </c>
      <c r="AA665" s="225">
        <v>65045.5</v>
      </c>
      <c r="AB665" s="180" t="s">
        <v>8023</v>
      </c>
      <c r="AC665">
        <v>28.62</v>
      </c>
      <c r="AD665" s="180" t="s">
        <v>8023</v>
      </c>
      <c r="AG665" s="225">
        <v>4.4000000000000004</v>
      </c>
      <c r="AH665" s="180" t="s">
        <v>8023</v>
      </c>
      <c r="AM665" s="225"/>
      <c r="BS665" s="225">
        <v>44.97</v>
      </c>
      <c r="BT665" s="180" t="s">
        <v>8023</v>
      </c>
      <c r="BU665" s="136">
        <v>22.63</v>
      </c>
      <c r="BV665" s="180" t="s">
        <v>8023</v>
      </c>
    </row>
    <row r="666" spans="1:74">
      <c r="A666" s="154" t="s">
        <v>7781</v>
      </c>
      <c r="B666" s="231" t="s">
        <v>257</v>
      </c>
      <c r="C666" s="231" t="s">
        <v>405</v>
      </c>
      <c r="D666" s="231"/>
      <c r="E666" s="230">
        <v>6</v>
      </c>
      <c r="F666" s="232">
        <v>16</v>
      </c>
      <c r="G666" s="230"/>
      <c r="S666" s="225">
        <v>1593.5384429999999</v>
      </c>
      <c r="T666" s="180" t="s">
        <v>8023</v>
      </c>
      <c r="Y666" s="225">
        <v>711.73</v>
      </c>
      <c r="Z666" s="180" t="s">
        <v>8023</v>
      </c>
      <c r="AA666" s="225">
        <v>69759.61</v>
      </c>
      <c r="AB666" s="180" t="s">
        <v>8023</v>
      </c>
      <c r="AC666">
        <v>33.9</v>
      </c>
      <c r="AD666" s="180" t="s">
        <v>8023</v>
      </c>
      <c r="AG666" s="225">
        <v>4.8600000000000003</v>
      </c>
      <c r="AH666" s="180" t="s">
        <v>8023</v>
      </c>
      <c r="AM666" s="225"/>
      <c r="BS666" s="225">
        <v>47.01</v>
      </c>
      <c r="BT666" s="180" t="s">
        <v>8023</v>
      </c>
      <c r="BU666" s="136">
        <v>21</v>
      </c>
      <c r="BV666" s="180" t="s">
        <v>8023</v>
      </c>
    </row>
    <row r="667" spans="1:74">
      <c r="A667" s="154" t="s">
        <v>7781</v>
      </c>
      <c r="B667" s="231" t="s">
        <v>259</v>
      </c>
      <c r="C667" s="231" t="s">
        <v>405</v>
      </c>
      <c r="D667" s="231"/>
      <c r="E667" s="230">
        <v>9</v>
      </c>
      <c r="F667" s="232">
        <v>8</v>
      </c>
      <c r="G667" s="230"/>
      <c r="S667" s="225">
        <v>1591.1199819999999</v>
      </c>
      <c r="T667" s="180" t="s">
        <v>8023</v>
      </c>
      <c r="Y667" s="225">
        <v>697.34</v>
      </c>
      <c r="Z667" s="180" t="s">
        <v>8023</v>
      </c>
      <c r="AA667" s="225">
        <v>77387.75</v>
      </c>
      <c r="AB667" s="180" t="s">
        <v>8023</v>
      </c>
      <c r="AC667">
        <v>33.729999999999997</v>
      </c>
      <c r="AD667" s="180" t="s">
        <v>8023</v>
      </c>
      <c r="AG667" s="225">
        <v>4.3600000000000003</v>
      </c>
      <c r="AH667" s="180" t="s">
        <v>8023</v>
      </c>
      <c r="AM667" s="225"/>
      <c r="BS667" s="225">
        <v>47.17</v>
      </c>
      <c r="BT667" s="180" t="s">
        <v>8023</v>
      </c>
      <c r="BU667" s="136">
        <v>20.67</v>
      </c>
      <c r="BV667" s="180" t="s">
        <v>8023</v>
      </c>
    </row>
    <row r="668" spans="1:74">
      <c r="A668" s="154" t="s">
        <v>7781</v>
      </c>
      <c r="B668" s="231" t="s">
        <v>257</v>
      </c>
      <c r="C668" s="231" t="s">
        <v>7963</v>
      </c>
      <c r="D668" s="231"/>
      <c r="E668" s="229">
        <v>9</v>
      </c>
      <c r="F668" s="232">
        <v>48</v>
      </c>
      <c r="G668" s="230"/>
      <c r="S668" s="225">
        <v>1500.656553</v>
      </c>
      <c r="T668" s="180" t="s">
        <v>8023</v>
      </c>
      <c r="Y668" s="225">
        <v>600.41999999999996</v>
      </c>
      <c r="Z668" s="180" t="s">
        <v>8023</v>
      </c>
      <c r="AA668" s="225">
        <v>62571.09</v>
      </c>
      <c r="AB668" s="180" t="s">
        <v>8023</v>
      </c>
      <c r="AC668">
        <v>30.95</v>
      </c>
      <c r="AD668" s="180" t="s">
        <v>8023</v>
      </c>
      <c r="AG668" s="225">
        <v>4.95</v>
      </c>
      <c r="AH668" s="180" t="s">
        <v>8023</v>
      </c>
      <c r="AM668" s="225"/>
      <c r="BS668" s="225">
        <v>48.49</v>
      </c>
      <c r="BT668" s="180" t="s">
        <v>8023</v>
      </c>
      <c r="BU668" s="136">
        <v>19.399999999999999</v>
      </c>
      <c r="BV668" s="180" t="s">
        <v>8023</v>
      </c>
    </row>
    <row r="669" spans="1:74">
      <c r="A669" s="154" t="s">
        <v>7781</v>
      </c>
      <c r="B669" s="231" t="s">
        <v>259</v>
      </c>
      <c r="C669" s="231" t="s">
        <v>7963</v>
      </c>
      <c r="D669" s="231"/>
      <c r="E669" s="229">
        <v>13</v>
      </c>
      <c r="F669" s="232">
        <v>51</v>
      </c>
      <c r="G669" s="230"/>
      <c r="S669" s="225">
        <v>1547.9449400000001</v>
      </c>
      <c r="T669" s="180" t="s">
        <v>8023</v>
      </c>
      <c r="Y669" s="225">
        <v>718.43</v>
      </c>
      <c r="Z669" s="180" t="s">
        <v>8023</v>
      </c>
      <c r="AA669" s="225">
        <v>78547.02</v>
      </c>
      <c r="AB669" s="180" t="s">
        <v>8023</v>
      </c>
      <c r="AC669">
        <v>33.6</v>
      </c>
      <c r="AD669" s="180" t="s">
        <v>8023</v>
      </c>
      <c r="AG669" s="225">
        <v>4.28</v>
      </c>
      <c r="AH669" s="180" t="s">
        <v>8023</v>
      </c>
      <c r="AM669" s="225"/>
      <c r="BS669" s="225">
        <v>46.07</v>
      </c>
      <c r="BT669" s="180" t="s">
        <v>8023</v>
      </c>
      <c r="BU669" s="136">
        <v>21.38</v>
      </c>
      <c r="BV669" s="180" t="s">
        <v>8023</v>
      </c>
    </row>
    <row r="670" spans="1:74">
      <c r="A670" s="154" t="s">
        <v>7781</v>
      </c>
      <c r="B670" s="231" t="s">
        <v>257</v>
      </c>
      <c r="C670" s="231" t="s">
        <v>7964</v>
      </c>
      <c r="D670" s="231"/>
      <c r="E670" s="229">
        <v>16</v>
      </c>
      <c r="F670" s="232">
        <v>27</v>
      </c>
      <c r="G670" s="230"/>
      <c r="S670" s="225">
        <v>1308.9881760000001</v>
      </c>
      <c r="T670" s="180" t="s">
        <v>8023</v>
      </c>
      <c r="Y670" s="225">
        <v>628.45000000000005</v>
      </c>
      <c r="Z670" s="180" t="s">
        <v>8023</v>
      </c>
      <c r="AA670" s="225">
        <v>65184.82</v>
      </c>
      <c r="AB670" s="180" t="s">
        <v>8023</v>
      </c>
      <c r="AC670">
        <v>28.76</v>
      </c>
      <c r="AD670" s="180" t="s">
        <v>8023</v>
      </c>
      <c r="AG670" s="225">
        <v>4.41</v>
      </c>
      <c r="AH670" s="180" t="s">
        <v>8023</v>
      </c>
      <c r="AM670" s="225"/>
      <c r="BS670" s="225">
        <v>45.51</v>
      </c>
      <c r="BT670" s="180" t="s">
        <v>8023</v>
      </c>
      <c r="BU670" s="136">
        <v>21.85</v>
      </c>
      <c r="BV670" s="180" t="s">
        <v>8023</v>
      </c>
    </row>
    <row r="671" spans="1:74">
      <c r="A671" s="154" t="s">
        <v>7781</v>
      </c>
      <c r="B671" s="231" t="s">
        <v>259</v>
      </c>
      <c r="C671" s="231" t="s">
        <v>7964</v>
      </c>
      <c r="D671" s="231"/>
      <c r="E671" s="229">
        <v>17</v>
      </c>
      <c r="F671" s="232">
        <v>25</v>
      </c>
      <c r="G671" s="230"/>
      <c r="S671" s="225">
        <v>1474.776881</v>
      </c>
      <c r="T671" s="180" t="s">
        <v>8023</v>
      </c>
      <c r="Y671" s="225">
        <v>740.06</v>
      </c>
      <c r="Z671" s="180" t="s">
        <v>8023</v>
      </c>
      <c r="AA671" s="225">
        <v>77926.97</v>
      </c>
      <c r="AB671" s="180" t="s">
        <v>8023</v>
      </c>
      <c r="AC671">
        <v>32.68</v>
      </c>
      <c r="AD671" s="180" t="s">
        <v>8023</v>
      </c>
      <c r="AG671" s="225">
        <v>4.1900000000000004</v>
      </c>
      <c r="AH671" s="180" t="s">
        <v>8023</v>
      </c>
      <c r="AM671" s="225"/>
      <c r="BS671" s="225">
        <v>45.12</v>
      </c>
      <c r="BT671" s="180" t="s">
        <v>8023</v>
      </c>
      <c r="BU671" s="136">
        <v>22.64</v>
      </c>
      <c r="BV671" s="180" t="s">
        <v>8023</v>
      </c>
    </row>
    <row r="672" spans="1:74">
      <c r="A672" s="154" t="s">
        <v>7781</v>
      </c>
      <c r="B672" s="231" t="s">
        <v>257</v>
      </c>
      <c r="C672" s="231" t="s">
        <v>7982</v>
      </c>
      <c r="D672" s="231"/>
      <c r="E672" s="229">
        <v>18</v>
      </c>
      <c r="F672" s="232">
        <v>1</v>
      </c>
      <c r="G672" s="230"/>
      <c r="S672" s="225">
        <v>1459.835198</v>
      </c>
      <c r="T672" s="180" t="s">
        <v>8023</v>
      </c>
      <c r="Y672" s="225">
        <v>630.29</v>
      </c>
      <c r="Z672" s="180" t="s">
        <v>8023</v>
      </c>
      <c r="AA672" s="225">
        <v>64975.46</v>
      </c>
      <c r="AB672" s="180" t="s">
        <v>8023</v>
      </c>
      <c r="AC672">
        <v>31.12</v>
      </c>
      <c r="AD672" s="180" t="s">
        <v>8023</v>
      </c>
      <c r="AG672" s="225">
        <v>4.79</v>
      </c>
      <c r="AH672" s="180" t="s">
        <v>8023</v>
      </c>
      <c r="AM672" s="225"/>
      <c r="BS672" s="225">
        <v>46.91</v>
      </c>
      <c r="BT672" s="180" t="s">
        <v>8023</v>
      </c>
      <c r="BU672" s="136">
        <v>20.25</v>
      </c>
      <c r="BV672" s="180" t="s">
        <v>8023</v>
      </c>
    </row>
    <row r="673" spans="1:74">
      <c r="A673" s="154" t="s">
        <v>7781</v>
      </c>
      <c r="B673" s="231" t="s">
        <v>259</v>
      </c>
      <c r="C673" s="231" t="s">
        <v>7982</v>
      </c>
      <c r="D673" s="231"/>
      <c r="E673" s="230">
        <v>1</v>
      </c>
      <c r="F673" s="232">
        <v>17</v>
      </c>
      <c r="G673" s="230"/>
      <c r="S673" s="225">
        <v>1371.8077020000001</v>
      </c>
      <c r="T673" s="180" t="s">
        <v>8023</v>
      </c>
      <c r="Y673" s="225">
        <v>680.3</v>
      </c>
      <c r="Z673" s="180" t="s">
        <v>8023</v>
      </c>
      <c r="AA673" s="225">
        <v>79705.320000000007</v>
      </c>
      <c r="AB673" s="180" t="s">
        <v>8023</v>
      </c>
      <c r="AC673">
        <v>30.4</v>
      </c>
      <c r="AD673" s="180" t="s">
        <v>8023</v>
      </c>
      <c r="AG673" s="225">
        <v>3.81</v>
      </c>
      <c r="AH673" s="180" t="s">
        <v>8023</v>
      </c>
      <c r="AM673" s="225"/>
      <c r="BS673" s="225">
        <v>45.13</v>
      </c>
      <c r="BT673" s="180" t="s">
        <v>8023</v>
      </c>
      <c r="BU673" s="136">
        <v>22.38</v>
      </c>
      <c r="BV673" s="180" t="s">
        <v>8023</v>
      </c>
    </row>
    <row r="674" spans="1:74">
      <c r="A674" s="154" t="s">
        <v>7782</v>
      </c>
      <c r="B674" s="231" t="s">
        <v>257</v>
      </c>
      <c r="C674" s="231" t="s">
        <v>405</v>
      </c>
      <c r="D674" s="231"/>
      <c r="E674" s="229">
        <v>6</v>
      </c>
      <c r="F674" s="232">
        <v>41</v>
      </c>
      <c r="G674" s="230"/>
      <c r="S674" s="225">
        <v>1687.7722819999999</v>
      </c>
      <c r="T674" s="180" t="s">
        <v>8023</v>
      </c>
      <c r="Y674" s="225">
        <v>735.87</v>
      </c>
      <c r="Z674" s="180" t="s">
        <v>8023</v>
      </c>
      <c r="AA674" s="225">
        <v>69549.05</v>
      </c>
      <c r="AB674" s="180" t="s">
        <v>8023</v>
      </c>
      <c r="AC674">
        <v>34.770000000000003</v>
      </c>
      <c r="AD674" s="180" t="s">
        <v>8023</v>
      </c>
      <c r="AG674" s="225">
        <v>5</v>
      </c>
      <c r="AH674" s="180" t="s">
        <v>8023</v>
      </c>
      <c r="AM674" s="225"/>
      <c r="BS674" s="225">
        <v>48.53</v>
      </c>
      <c r="BT674" s="180" t="s">
        <v>8023</v>
      </c>
      <c r="BU674" s="136">
        <v>21.16</v>
      </c>
      <c r="BV674" s="180" t="s">
        <v>8023</v>
      </c>
    </row>
    <row r="675" spans="1:74">
      <c r="A675" s="154" t="s">
        <v>7782</v>
      </c>
      <c r="B675" s="231" t="s">
        <v>259</v>
      </c>
      <c r="C675" s="231" t="s">
        <v>405</v>
      </c>
      <c r="D675" s="231"/>
      <c r="E675" s="229">
        <v>5</v>
      </c>
      <c r="F675" s="232">
        <v>25</v>
      </c>
      <c r="G675" s="230"/>
      <c r="S675" s="225">
        <v>1608.3047140000001</v>
      </c>
      <c r="T675" s="180" t="s">
        <v>8023</v>
      </c>
      <c r="Y675" s="225">
        <v>726.32</v>
      </c>
      <c r="Z675" s="180" t="s">
        <v>8023</v>
      </c>
      <c r="AA675" s="225">
        <v>69361.23</v>
      </c>
      <c r="AB675" s="180" t="s">
        <v>8023</v>
      </c>
      <c r="AC675">
        <v>33.549999999999997</v>
      </c>
      <c r="AD675" s="180" t="s">
        <v>8023</v>
      </c>
      <c r="AG675" s="225">
        <v>4.84</v>
      </c>
      <c r="AH675" s="180" t="s">
        <v>8023</v>
      </c>
      <c r="AM675" s="225"/>
      <c r="BS675" s="225">
        <v>47.94</v>
      </c>
      <c r="BT675" s="180" t="s">
        <v>8023</v>
      </c>
      <c r="BU675" s="136">
        <v>21.65</v>
      </c>
      <c r="BV675" s="180" t="s">
        <v>8023</v>
      </c>
    </row>
    <row r="676" spans="1:74">
      <c r="A676" s="154" t="s">
        <v>7782</v>
      </c>
      <c r="B676" s="231" t="s">
        <v>257</v>
      </c>
      <c r="C676" s="231" t="s">
        <v>7963</v>
      </c>
      <c r="D676" s="231"/>
      <c r="E676" s="229">
        <v>12</v>
      </c>
      <c r="F676" s="232">
        <v>22</v>
      </c>
      <c r="G676" s="230"/>
      <c r="S676" s="225">
        <v>1448.377299</v>
      </c>
      <c r="T676" s="180" t="s">
        <v>8023</v>
      </c>
      <c r="Y676" s="225">
        <v>618.35</v>
      </c>
      <c r="Z676" s="180" t="s">
        <v>8023</v>
      </c>
      <c r="AA676" s="225">
        <v>57413.760000000002</v>
      </c>
      <c r="AB676" s="180" t="s">
        <v>8023</v>
      </c>
      <c r="AC676">
        <v>29.7</v>
      </c>
      <c r="AD676" s="180" t="s">
        <v>8023</v>
      </c>
      <c r="AG676" s="225">
        <v>5.17</v>
      </c>
      <c r="AH676" s="180" t="s">
        <v>8023</v>
      </c>
      <c r="AM676" s="225"/>
      <c r="BS676" s="225">
        <v>48.77</v>
      </c>
      <c r="BT676" s="180" t="s">
        <v>8023</v>
      </c>
      <c r="BU676" s="136">
        <v>20.82</v>
      </c>
      <c r="BV676" s="180" t="s">
        <v>8023</v>
      </c>
    </row>
    <row r="677" spans="1:74">
      <c r="A677" s="154" t="s">
        <v>7782</v>
      </c>
      <c r="B677" s="231" t="s">
        <v>259</v>
      </c>
      <c r="C677" s="231" t="s">
        <v>7963</v>
      </c>
      <c r="D677" s="231"/>
      <c r="E677" s="229">
        <v>10</v>
      </c>
      <c r="F677" s="232">
        <v>34</v>
      </c>
      <c r="G677" s="230"/>
      <c r="S677" s="225">
        <v>1567.2224140000001</v>
      </c>
      <c r="T677" s="180" t="s">
        <v>8023</v>
      </c>
      <c r="Y677" s="225">
        <v>742.09</v>
      </c>
      <c r="Z677" s="180" t="s">
        <v>8023</v>
      </c>
      <c r="AA677" s="225">
        <v>71045.240000000005</v>
      </c>
      <c r="AB677" s="180" t="s">
        <v>8023</v>
      </c>
      <c r="AC677">
        <v>33.409999999999997</v>
      </c>
      <c r="AD677" s="180" t="s">
        <v>8023</v>
      </c>
      <c r="AG677" s="225">
        <v>4.7</v>
      </c>
      <c r="AH677" s="180" t="s">
        <v>8023</v>
      </c>
      <c r="AM677" s="225"/>
      <c r="BS677" s="225">
        <v>46.91</v>
      </c>
      <c r="BT677" s="180" t="s">
        <v>8023</v>
      </c>
      <c r="BU677" s="136">
        <v>22.21</v>
      </c>
      <c r="BV677" s="180" t="s">
        <v>8023</v>
      </c>
    </row>
    <row r="678" spans="1:74">
      <c r="A678" s="154" t="s">
        <v>7782</v>
      </c>
      <c r="B678" s="231" t="s">
        <v>257</v>
      </c>
      <c r="C678" s="231" t="s">
        <v>7964</v>
      </c>
      <c r="D678" s="231"/>
      <c r="E678" s="230">
        <v>14</v>
      </c>
      <c r="F678" s="232">
        <v>63</v>
      </c>
      <c r="G678" s="230"/>
      <c r="S678" s="225">
        <v>1698.4216570000001</v>
      </c>
      <c r="T678" s="180" t="s">
        <v>8023</v>
      </c>
      <c r="Y678" s="225">
        <v>793.06</v>
      </c>
      <c r="Z678" s="180" t="s">
        <v>8023</v>
      </c>
      <c r="AA678" s="225">
        <v>70199.199999999997</v>
      </c>
      <c r="AB678" s="180" t="s">
        <v>8023</v>
      </c>
      <c r="AC678">
        <v>36.270000000000003</v>
      </c>
      <c r="AD678" s="180" t="s">
        <v>8023</v>
      </c>
      <c r="AG678" s="225">
        <v>5.17</v>
      </c>
      <c r="AH678" s="180" t="s">
        <v>8023</v>
      </c>
      <c r="AM678" s="225"/>
      <c r="BS678" s="225">
        <v>46.83</v>
      </c>
      <c r="BT678" s="180" t="s">
        <v>8023</v>
      </c>
      <c r="BU678" s="136">
        <v>21.87</v>
      </c>
      <c r="BV678" s="180" t="s">
        <v>8023</v>
      </c>
    </row>
    <row r="679" spans="1:74">
      <c r="A679" s="154" t="s">
        <v>7782</v>
      </c>
      <c r="B679" s="231" t="s">
        <v>259</v>
      </c>
      <c r="C679" s="231" t="s">
        <v>7964</v>
      </c>
      <c r="D679" s="231"/>
      <c r="E679" s="230">
        <v>14</v>
      </c>
      <c r="F679" s="232">
        <v>32</v>
      </c>
      <c r="G679" s="230"/>
      <c r="S679" s="225">
        <v>1538.9236289999999</v>
      </c>
      <c r="T679" s="180" t="s">
        <v>8023</v>
      </c>
      <c r="Y679" s="225">
        <v>735.97</v>
      </c>
      <c r="Z679" s="180" t="s">
        <v>8023</v>
      </c>
      <c r="AA679" s="225">
        <v>72410.070000000007</v>
      </c>
      <c r="AB679" s="180" t="s">
        <v>8023</v>
      </c>
      <c r="AC679">
        <v>32.89</v>
      </c>
      <c r="AD679" s="180" t="s">
        <v>8023</v>
      </c>
      <c r="AG679" s="225">
        <v>4.54</v>
      </c>
      <c r="AH679" s="180" t="s">
        <v>8023</v>
      </c>
      <c r="AM679" s="225"/>
      <c r="BS679" s="225">
        <v>46.79</v>
      </c>
      <c r="BT679" s="180" t="s">
        <v>8023</v>
      </c>
      <c r="BU679" s="136">
        <v>22.38</v>
      </c>
      <c r="BV679" s="180" t="s">
        <v>8023</v>
      </c>
    </row>
    <row r="680" spans="1:74">
      <c r="A680" s="154" t="s">
        <v>7782</v>
      </c>
      <c r="B680" s="231" t="s">
        <v>257</v>
      </c>
      <c r="C680" s="231" t="s">
        <v>7982</v>
      </c>
      <c r="D680" s="231"/>
      <c r="E680" s="229">
        <v>21</v>
      </c>
      <c r="F680" s="232">
        <v>8</v>
      </c>
      <c r="G680" s="230"/>
      <c r="S680" s="225">
        <v>1503.8940110000001</v>
      </c>
      <c r="T680" s="180" t="s">
        <v>8023</v>
      </c>
      <c r="Y680" s="225">
        <v>726.62</v>
      </c>
      <c r="Z680" s="180" t="s">
        <v>8023</v>
      </c>
      <c r="AA680" s="225">
        <v>65432.4</v>
      </c>
      <c r="AB680" s="180" t="s">
        <v>8023</v>
      </c>
      <c r="AC680">
        <v>32.299999999999997</v>
      </c>
      <c r="AD680" s="180" t="s">
        <v>8023</v>
      </c>
      <c r="AG680" s="225">
        <v>4.9400000000000004</v>
      </c>
      <c r="AH680" s="180" t="s">
        <v>8023</v>
      </c>
      <c r="AM680" s="225"/>
      <c r="BS680" s="225">
        <v>46.56</v>
      </c>
      <c r="BT680" s="180" t="s">
        <v>8023</v>
      </c>
      <c r="BU680" s="136">
        <v>22.5</v>
      </c>
      <c r="BV680" s="180" t="s">
        <v>8023</v>
      </c>
    </row>
    <row r="681" spans="1:74">
      <c r="A681" s="154" t="s">
        <v>7782</v>
      </c>
      <c r="B681" s="231" t="s">
        <v>259</v>
      </c>
      <c r="C681" s="231" t="s">
        <v>7982</v>
      </c>
      <c r="D681" s="231"/>
      <c r="E681" s="229">
        <v>3</v>
      </c>
      <c r="F681" s="232">
        <v>14</v>
      </c>
      <c r="G681" s="230"/>
      <c r="S681" s="225">
        <v>1756.331837</v>
      </c>
      <c r="T681" s="180" t="s">
        <v>8023</v>
      </c>
      <c r="Y681" s="225">
        <v>885.98</v>
      </c>
      <c r="Z681" s="180" t="s">
        <v>8023</v>
      </c>
      <c r="AA681" s="225">
        <v>76339.08</v>
      </c>
      <c r="AB681" s="180" t="s">
        <v>8023</v>
      </c>
      <c r="AC681">
        <v>38.090000000000003</v>
      </c>
      <c r="AD681" s="180" t="s">
        <v>8023</v>
      </c>
      <c r="AG681" s="225">
        <v>4.99</v>
      </c>
      <c r="AH681" s="180" t="s">
        <v>8023</v>
      </c>
      <c r="AM681" s="225"/>
      <c r="BS681" s="225">
        <v>46.11</v>
      </c>
      <c r="BT681" s="180" t="s">
        <v>8023</v>
      </c>
      <c r="BU681" s="136">
        <v>23.26</v>
      </c>
      <c r="BV681" s="180" t="s">
        <v>8023</v>
      </c>
    </row>
    <row r="682" spans="1:74">
      <c r="A682" s="154" t="s">
        <v>7783</v>
      </c>
      <c r="B682" s="231" t="s">
        <v>257</v>
      </c>
      <c r="C682" s="231" t="s">
        <v>405</v>
      </c>
      <c r="D682" s="231"/>
      <c r="E682" s="229">
        <v>6</v>
      </c>
      <c r="F682" s="232">
        <v>42</v>
      </c>
      <c r="G682" s="230"/>
      <c r="S682" s="225">
        <v>1922.835611</v>
      </c>
      <c r="T682" s="180" t="s">
        <v>8023</v>
      </c>
      <c r="Y682" s="225">
        <v>806.06</v>
      </c>
      <c r="Z682" s="180" t="s">
        <v>8023</v>
      </c>
      <c r="AA682" s="225">
        <v>76562.87</v>
      </c>
      <c r="AB682" s="180" t="s">
        <v>8023</v>
      </c>
      <c r="AC682">
        <v>39.64</v>
      </c>
      <c r="AD682" s="180" t="s">
        <v>8023</v>
      </c>
      <c r="AG682" s="225">
        <v>5.18</v>
      </c>
      <c r="AH682" s="180" t="s">
        <v>8023</v>
      </c>
      <c r="AM682" s="225"/>
      <c r="BS682" s="225">
        <v>48.51</v>
      </c>
      <c r="BT682" s="180" t="s">
        <v>8023</v>
      </c>
      <c r="BU682" s="136">
        <v>20.329999999999998</v>
      </c>
      <c r="BV682" s="180" t="s">
        <v>8023</v>
      </c>
    </row>
    <row r="683" spans="1:74">
      <c r="A683" s="154" t="s">
        <v>7783</v>
      </c>
      <c r="B683" s="231" t="s">
        <v>259</v>
      </c>
      <c r="C683" s="231" t="s">
        <v>405</v>
      </c>
      <c r="D683" s="231"/>
      <c r="E683" s="229">
        <v>6</v>
      </c>
      <c r="F683" s="232">
        <v>26</v>
      </c>
      <c r="G683" s="230"/>
      <c r="S683" s="225">
        <v>1770.5712599999999</v>
      </c>
      <c r="T683" s="180" t="s">
        <v>8023</v>
      </c>
      <c r="Y683" s="225">
        <v>816.9</v>
      </c>
      <c r="Z683" s="180" t="s">
        <v>8023</v>
      </c>
      <c r="AA683" s="225">
        <v>75948.479999999996</v>
      </c>
      <c r="AB683" s="180" t="s">
        <v>8023</v>
      </c>
      <c r="AC683">
        <v>37.56</v>
      </c>
      <c r="AD683" s="180" t="s">
        <v>8023</v>
      </c>
      <c r="AG683" s="225">
        <v>4.95</v>
      </c>
      <c r="AH683" s="180" t="s">
        <v>8023</v>
      </c>
      <c r="AM683" s="225"/>
      <c r="BS683" s="225">
        <v>47.14</v>
      </c>
      <c r="BT683" s="180" t="s">
        <v>8023</v>
      </c>
      <c r="BU683" s="136">
        <v>21.75</v>
      </c>
      <c r="BV683" s="180" t="s">
        <v>8023</v>
      </c>
    </row>
    <row r="684" spans="1:74">
      <c r="A684" s="154" t="s">
        <v>7783</v>
      </c>
      <c r="B684" s="231" t="s">
        <v>257</v>
      </c>
      <c r="C684" s="231" t="s">
        <v>7963</v>
      </c>
      <c r="D684" s="231"/>
      <c r="E684" s="230">
        <v>11</v>
      </c>
      <c r="F684" s="232">
        <v>3</v>
      </c>
      <c r="G684" s="230"/>
      <c r="S684" s="225">
        <v>1700.277855</v>
      </c>
      <c r="T684" s="180" t="s">
        <v>8023</v>
      </c>
      <c r="Y684" s="225">
        <v>725.37</v>
      </c>
      <c r="Z684" s="180" t="s">
        <v>8023</v>
      </c>
      <c r="AA684" s="225">
        <v>68654.27</v>
      </c>
      <c r="AB684" s="180" t="s">
        <v>8023</v>
      </c>
      <c r="AC684">
        <v>35.28</v>
      </c>
      <c r="AD684" s="180" t="s">
        <v>8023</v>
      </c>
      <c r="AG684" s="225">
        <v>5.14</v>
      </c>
      <c r="AH684" s="180" t="s">
        <v>8023</v>
      </c>
      <c r="AM684" s="225"/>
      <c r="BS684" s="225">
        <v>48.19</v>
      </c>
      <c r="BT684" s="180" t="s">
        <v>8023</v>
      </c>
      <c r="BU684" s="136">
        <v>20.56</v>
      </c>
      <c r="BV684" s="180" t="s">
        <v>8023</v>
      </c>
    </row>
    <row r="685" spans="1:74">
      <c r="A685" s="154" t="s">
        <v>7783</v>
      </c>
      <c r="B685" s="231" t="s">
        <v>259</v>
      </c>
      <c r="C685" s="231" t="s">
        <v>7963</v>
      </c>
      <c r="D685" s="231"/>
      <c r="E685" s="230">
        <v>11</v>
      </c>
      <c r="F685" s="232">
        <v>61</v>
      </c>
      <c r="G685" s="230"/>
      <c r="S685" s="225">
        <v>1806.22046</v>
      </c>
      <c r="T685" s="180" t="s">
        <v>8023</v>
      </c>
      <c r="Y685" s="225">
        <v>817.93</v>
      </c>
      <c r="Z685" s="180" t="s">
        <v>8023</v>
      </c>
      <c r="AA685" s="225">
        <v>81144.31</v>
      </c>
      <c r="AB685" s="180" t="s">
        <v>8023</v>
      </c>
      <c r="AC685">
        <v>38.380000000000003</v>
      </c>
      <c r="AD685" s="180" t="s">
        <v>8023</v>
      </c>
      <c r="AG685" s="225">
        <v>4.7300000000000004</v>
      </c>
      <c r="AH685" s="180" t="s">
        <v>8023</v>
      </c>
      <c r="AM685" s="225"/>
      <c r="BS685" s="225">
        <v>47.06</v>
      </c>
      <c r="BT685" s="180" t="s">
        <v>8023</v>
      </c>
      <c r="BU685" s="136">
        <v>21.31</v>
      </c>
      <c r="BV685" s="180" t="s">
        <v>8023</v>
      </c>
    </row>
    <row r="686" spans="1:74">
      <c r="A686" s="154" t="s">
        <v>7783</v>
      </c>
      <c r="B686" s="231" t="s">
        <v>257</v>
      </c>
      <c r="C686" s="231" t="s">
        <v>7964</v>
      </c>
      <c r="D686" s="231"/>
      <c r="E686" s="229">
        <v>16</v>
      </c>
      <c r="F686" s="232">
        <v>50</v>
      </c>
      <c r="G686" s="230"/>
      <c r="S686" s="225">
        <v>1479.71433</v>
      </c>
      <c r="T686" s="180" t="s">
        <v>8023</v>
      </c>
      <c r="Y686" s="225">
        <v>691.15</v>
      </c>
      <c r="Z686" s="180" t="s">
        <v>8023</v>
      </c>
      <c r="AA686" s="225">
        <v>62393.26</v>
      </c>
      <c r="AB686" s="180" t="s">
        <v>8023</v>
      </c>
      <c r="AC686">
        <v>31.78</v>
      </c>
      <c r="AD686" s="180" t="s">
        <v>8023</v>
      </c>
      <c r="AG686" s="225">
        <v>5.09</v>
      </c>
      <c r="AH686" s="180" t="s">
        <v>8023</v>
      </c>
      <c r="AM686" s="225"/>
      <c r="BS686" s="225">
        <v>46.56</v>
      </c>
      <c r="BT686" s="180" t="s">
        <v>8023</v>
      </c>
      <c r="BU686" s="136">
        <v>21.75</v>
      </c>
      <c r="BV686" s="180" t="s">
        <v>8023</v>
      </c>
    </row>
    <row r="687" spans="1:74">
      <c r="A687" s="154" t="s">
        <v>7783</v>
      </c>
      <c r="B687" s="231" t="s">
        <v>259</v>
      </c>
      <c r="C687" s="231" t="s">
        <v>7964</v>
      </c>
      <c r="D687" s="231"/>
      <c r="E687" s="229">
        <v>14</v>
      </c>
      <c r="F687" s="232">
        <v>5</v>
      </c>
      <c r="G687" s="230"/>
      <c r="S687" s="225">
        <v>1249.370179</v>
      </c>
      <c r="T687" s="180" t="s">
        <v>8023</v>
      </c>
      <c r="Y687" s="225">
        <v>587.1</v>
      </c>
      <c r="Z687" s="180" t="s">
        <v>8023</v>
      </c>
      <c r="AA687" s="225">
        <v>55390.57</v>
      </c>
      <c r="AB687" s="180" t="s">
        <v>8023</v>
      </c>
      <c r="AC687">
        <v>26.82</v>
      </c>
      <c r="AD687" s="180" t="s">
        <v>8023</v>
      </c>
      <c r="AG687" s="225">
        <v>4.84</v>
      </c>
      <c r="AH687" s="180" t="s">
        <v>8023</v>
      </c>
      <c r="AM687" s="225"/>
      <c r="BS687" s="225">
        <v>46.58</v>
      </c>
      <c r="BT687" s="180" t="s">
        <v>8023</v>
      </c>
      <c r="BU687" s="136">
        <v>21.89</v>
      </c>
      <c r="BV687" s="180" t="s">
        <v>8023</v>
      </c>
    </row>
    <row r="688" spans="1:74">
      <c r="A688" s="154" t="s">
        <v>7783</v>
      </c>
      <c r="B688" s="231" t="s">
        <v>257</v>
      </c>
      <c r="C688" s="231" t="s">
        <v>7982</v>
      </c>
      <c r="D688" s="231"/>
      <c r="E688" s="229">
        <v>18</v>
      </c>
      <c r="F688" s="232">
        <v>3</v>
      </c>
      <c r="G688" s="230"/>
      <c r="S688" s="225">
        <v>1715.1040250000001</v>
      </c>
      <c r="T688" s="180" t="s">
        <v>8023</v>
      </c>
      <c r="Y688" s="225">
        <v>734.92</v>
      </c>
      <c r="Z688" s="180" t="s">
        <v>8023</v>
      </c>
      <c r="AA688" s="225">
        <v>71113.850000000006</v>
      </c>
      <c r="AB688" s="180" t="s">
        <v>8023</v>
      </c>
      <c r="AC688">
        <v>35.83</v>
      </c>
      <c r="AD688" s="180" t="s">
        <v>8023</v>
      </c>
      <c r="AG688" s="225">
        <v>5.04</v>
      </c>
      <c r="AH688" s="180" t="s">
        <v>8023</v>
      </c>
      <c r="AM688" s="225"/>
      <c r="BS688" s="225">
        <v>47.87</v>
      </c>
      <c r="BT688" s="180" t="s">
        <v>8023</v>
      </c>
      <c r="BU688" s="136">
        <v>20.51</v>
      </c>
      <c r="BV688" s="180" t="s">
        <v>8023</v>
      </c>
    </row>
    <row r="689" spans="1:74">
      <c r="A689" s="154" t="s">
        <v>7783</v>
      </c>
      <c r="B689" s="231" t="s">
        <v>259</v>
      </c>
      <c r="C689" s="231" t="s">
        <v>7982</v>
      </c>
      <c r="D689" s="231"/>
      <c r="E689" s="229">
        <v>2</v>
      </c>
      <c r="F689" s="232">
        <v>20</v>
      </c>
      <c r="G689" s="230"/>
      <c r="S689" s="225">
        <v>1131.1775620000001</v>
      </c>
      <c r="T689" s="180" t="s">
        <v>8023</v>
      </c>
      <c r="Y689" s="225">
        <v>600.73</v>
      </c>
      <c r="Z689" s="180" t="s">
        <v>8023</v>
      </c>
      <c r="AA689" s="225">
        <v>56972.45</v>
      </c>
      <c r="AB689" s="180" t="s">
        <v>8023</v>
      </c>
      <c r="AC689">
        <v>25.78</v>
      </c>
      <c r="AD689" s="180" t="s">
        <v>8023</v>
      </c>
      <c r="AG689" s="225">
        <v>4.5199999999999996</v>
      </c>
      <c r="AH689" s="180" t="s">
        <v>8023</v>
      </c>
      <c r="AM689" s="225"/>
      <c r="BS689" s="225">
        <v>43.88</v>
      </c>
      <c r="BT689" s="180" t="s">
        <v>8023</v>
      </c>
      <c r="BU689" s="136">
        <v>23.3</v>
      </c>
      <c r="BV689" s="180" t="s">
        <v>8023</v>
      </c>
    </row>
    <row r="690" spans="1:74">
      <c r="A690" s="154" t="s">
        <v>7878</v>
      </c>
      <c r="B690" s="231" t="s">
        <v>257</v>
      </c>
      <c r="C690" s="231" t="s">
        <v>405</v>
      </c>
      <c r="D690" s="231"/>
      <c r="E690" s="229">
        <v>8</v>
      </c>
      <c r="F690" s="232">
        <v>57</v>
      </c>
      <c r="G690" s="230"/>
      <c r="S690" s="225">
        <v>1369.924921</v>
      </c>
      <c r="T690" s="180" t="s">
        <v>8023</v>
      </c>
      <c r="Y690" s="225">
        <v>622.63</v>
      </c>
      <c r="Z690" s="180" t="s">
        <v>8023</v>
      </c>
      <c r="AA690" s="225">
        <v>61368.03</v>
      </c>
      <c r="AB690" s="180" t="s">
        <v>8023</v>
      </c>
      <c r="AC690">
        <v>29.26</v>
      </c>
      <c r="AD690" s="180" t="s">
        <v>8023</v>
      </c>
      <c r="AG690" s="225">
        <v>4.7699999999999996</v>
      </c>
      <c r="AH690" s="180" t="s">
        <v>8023</v>
      </c>
      <c r="AM690" s="225"/>
      <c r="BS690" s="225">
        <v>46.81</v>
      </c>
      <c r="BT690" s="180" t="s">
        <v>8023</v>
      </c>
      <c r="BU690" s="136">
        <v>21.28</v>
      </c>
      <c r="BV690" s="180" t="s">
        <v>8023</v>
      </c>
    </row>
    <row r="691" spans="1:74">
      <c r="A691" s="154" t="s">
        <v>7878</v>
      </c>
      <c r="B691" s="231" t="s">
        <v>259</v>
      </c>
      <c r="C691" s="231" t="s">
        <v>405</v>
      </c>
      <c r="D691" s="231"/>
      <c r="E691" s="230">
        <v>7</v>
      </c>
      <c r="F691" s="232">
        <v>29</v>
      </c>
      <c r="G691" s="230"/>
      <c r="S691" s="225">
        <v>1568.193759</v>
      </c>
      <c r="T691" s="180" t="s">
        <v>8023</v>
      </c>
      <c r="Y691" s="225">
        <v>678.6</v>
      </c>
      <c r="Z691" s="180" t="s">
        <v>8023</v>
      </c>
      <c r="AA691" s="225">
        <v>69646.78</v>
      </c>
      <c r="AB691" s="180" t="s">
        <v>8023</v>
      </c>
      <c r="AC691">
        <v>32.65</v>
      </c>
      <c r="AD691" s="180" t="s">
        <v>8023</v>
      </c>
      <c r="AG691" s="225">
        <v>4.6900000000000004</v>
      </c>
      <c r="AH691" s="180" t="s">
        <v>8023</v>
      </c>
      <c r="AM691" s="225"/>
      <c r="BS691" s="225">
        <v>48.03</v>
      </c>
      <c r="BT691" s="180" t="s">
        <v>8023</v>
      </c>
      <c r="BU691" s="136">
        <v>20.78</v>
      </c>
      <c r="BV691" s="180" t="s">
        <v>8023</v>
      </c>
    </row>
    <row r="692" spans="1:74">
      <c r="A692" s="154" t="s">
        <v>7878</v>
      </c>
      <c r="B692" s="231" t="s">
        <v>257</v>
      </c>
      <c r="C692" s="231" t="s">
        <v>7963</v>
      </c>
      <c r="D692" s="231"/>
      <c r="E692" s="229">
        <v>9</v>
      </c>
      <c r="F692" s="232">
        <v>12</v>
      </c>
      <c r="G692" s="230"/>
      <c r="S692" s="225">
        <v>1515.465923</v>
      </c>
      <c r="T692" s="180" t="s">
        <v>8023</v>
      </c>
      <c r="Y692" s="225">
        <v>657.05</v>
      </c>
      <c r="Z692" s="180" t="s">
        <v>8023</v>
      </c>
      <c r="AA692" s="225">
        <v>65933.14</v>
      </c>
      <c r="AB692" s="180" t="s">
        <v>8023</v>
      </c>
      <c r="AC692">
        <v>31.61</v>
      </c>
      <c r="AD692" s="180" t="s">
        <v>8023</v>
      </c>
      <c r="AG692" s="225">
        <v>4.79</v>
      </c>
      <c r="AH692" s="180" t="s">
        <v>8023</v>
      </c>
      <c r="AM692" s="225"/>
      <c r="BS692" s="225">
        <v>47.94</v>
      </c>
      <c r="BT692" s="180" t="s">
        <v>8023</v>
      </c>
      <c r="BU692" s="136">
        <v>20.78</v>
      </c>
      <c r="BV692" s="180" t="s">
        <v>8023</v>
      </c>
    </row>
    <row r="693" spans="1:74">
      <c r="A693" s="154" t="s">
        <v>7878</v>
      </c>
      <c r="B693" s="231" t="s">
        <v>259</v>
      </c>
      <c r="C693" s="231" t="s">
        <v>7963</v>
      </c>
      <c r="D693" s="231"/>
      <c r="E693" s="229">
        <v>9</v>
      </c>
      <c r="F693" s="232">
        <v>45</v>
      </c>
      <c r="G693" s="230"/>
      <c r="S693" s="225">
        <v>1350.8970859999999</v>
      </c>
      <c r="T693" s="180" t="s">
        <v>8023</v>
      </c>
      <c r="Y693" s="225">
        <v>636.02</v>
      </c>
      <c r="Z693" s="180" t="s">
        <v>8023</v>
      </c>
      <c r="AA693" s="225">
        <v>62405.120000000003</v>
      </c>
      <c r="AB693" s="180" t="s">
        <v>8023</v>
      </c>
      <c r="AC693">
        <v>29.22</v>
      </c>
      <c r="AD693" s="180" t="s">
        <v>8023</v>
      </c>
      <c r="AG693" s="225">
        <v>4.68</v>
      </c>
      <c r="AH693" s="180" t="s">
        <v>8023</v>
      </c>
      <c r="AM693" s="225"/>
      <c r="BS693" s="225">
        <v>46.24</v>
      </c>
      <c r="BT693" s="180" t="s">
        <v>8023</v>
      </c>
      <c r="BU693" s="136">
        <v>21.77</v>
      </c>
      <c r="BV693" s="180" t="s">
        <v>8023</v>
      </c>
    </row>
    <row r="694" spans="1:74">
      <c r="A694" s="154" t="s">
        <v>7878</v>
      </c>
      <c r="B694" s="231" t="s">
        <v>257</v>
      </c>
      <c r="C694" s="231" t="s">
        <v>7964</v>
      </c>
      <c r="D694" s="231"/>
      <c r="E694" s="229">
        <v>16</v>
      </c>
      <c r="F694" s="232">
        <v>55</v>
      </c>
      <c r="G694" s="230"/>
      <c r="S694" s="225">
        <v>1259.081829</v>
      </c>
      <c r="T694" s="180" t="s">
        <v>8023</v>
      </c>
      <c r="Y694" s="225">
        <v>553.53</v>
      </c>
      <c r="Z694" s="180" t="s">
        <v>8023</v>
      </c>
      <c r="AA694" s="225">
        <v>56166.63</v>
      </c>
      <c r="AB694" s="180" t="s">
        <v>8023</v>
      </c>
      <c r="AC694">
        <v>26.59</v>
      </c>
      <c r="AD694" s="180" t="s">
        <v>8023</v>
      </c>
      <c r="AG694" s="225">
        <v>4.7300000000000004</v>
      </c>
      <c r="AH694" s="180" t="s">
        <v>8023</v>
      </c>
      <c r="AM694" s="225"/>
      <c r="BS694" s="225">
        <v>47.35</v>
      </c>
      <c r="BT694" s="180" t="s">
        <v>8023</v>
      </c>
      <c r="BU694" s="136">
        <v>20.82</v>
      </c>
      <c r="BV694" s="180" t="s">
        <v>8023</v>
      </c>
    </row>
    <row r="695" spans="1:74">
      <c r="A695" s="154" t="s">
        <v>7878</v>
      </c>
      <c r="B695" s="231" t="s">
        <v>259</v>
      </c>
      <c r="C695" s="231" t="s">
        <v>7964</v>
      </c>
      <c r="D695" s="231"/>
      <c r="E695" s="229">
        <v>16</v>
      </c>
      <c r="F695" s="232">
        <v>8</v>
      </c>
      <c r="G695" s="230"/>
      <c r="S695" s="225">
        <v>1379.0520300000001</v>
      </c>
      <c r="T695" s="180" t="s">
        <v>8023</v>
      </c>
      <c r="Y695" s="225">
        <v>666.55</v>
      </c>
      <c r="Z695" s="180" t="s">
        <v>8023</v>
      </c>
      <c r="AA695" s="225">
        <v>66694.67</v>
      </c>
      <c r="AB695" s="180" t="s">
        <v>8023</v>
      </c>
      <c r="AC695">
        <v>29.96</v>
      </c>
      <c r="AD695" s="180" t="s">
        <v>8023</v>
      </c>
      <c r="AG695" s="225">
        <v>4.49</v>
      </c>
      <c r="AH695" s="180" t="s">
        <v>8023</v>
      </c>
      <c r="AM695" s="225"/>
      <c r="BS695" s="225">
        <v>46.03</v>
      </c>
      <c r="BT695" s="180" t="s">
        <v>8023</v>
      </c>
      <c r="BU695" s="136">
        <v>22.25</v>
      </c>
      <c r="BV695" s="180" t="s">
        <v>8023</v>
      </c>
    </row>
    <row r="696" spans="1:74">
      <c r="A696" s="154" t="s">
        <v>7878</v>
      </c>
      <c r="B696" s="231" t="s">
        <v>257</v>
      </c>
      <c r="C696" s="231" t="s">
        <v>7982</v>
      </c>
      <c r="D696" s="231"/>
      <c r="E696" s="230">
        <v>19</v>
      </c>
      <c r="F696" s="232">
        <v>22</v>
      </c>
      <c r="G696" s="230"/>
      <c r="S696" s="225">
        <v>1326.859062</v>
      </c>
      <c r="T696" s="180" t="s">
        <v>8023</v>
      </c>
      <c r="Y696" s="225">
        <v>601.61</v>
      </c>
      <c r="Z696" s="180" t="s">
        <v>8023</v>
      </c>
      <c r="AA696" s="225">
        <v>62147.42</v>
      </c>
      <c r="AB696" s="180" t="s">
        <v>8023</v>
      </c>
      <c r="AC696">
        <v>28.54</v>
      </c>
      <c r="AD696" s="180" t="s">
        <v>8023</v>
      </c>
      <c r="AG696" s="225">
        <v>4.59</v>
      </c>
      <c r="AH696" s="180" t="s">
        <v>8023</v>
      </c>
      <c r="AM696" s="225"/>
      <c r="BS696" s="225">
        <v>46.49</v>
      </c>
      <c r="BT696" s="180" t="s">
        <v>8023</v>
      </c>
      <c r="BU696" s="136">
        <v>21.08</v>
      </c>
      <c r="BV696" s="180" t="s">
        <v>8023</v>
      </c>
    </row>
    <row r="697" spans="1:74">
      <c r="A697" s="154" t="s">
        <v>7878</v>
      </c>
      <c r="B697" s="231" t="s">
        <v>259</v>
      </c>
      <c r="C697" s="231" t="s">
        <v>7982</v>
      </c>
      <c r="D697" s="231"/>
      <c r="E697" s="230">
        <v>2</v>
      </c>
      <c r="F697" s="232">
        <v>28</v>
      </c>
      <c r="G697" s="230"/>
      <c r="S697" s="225">
        <v>1354.792275</v>
      </c>
      <c r="T697" s="180" t="s">
        <v>8023</v>
      </c>
      <c r="Y697" s="225">
        <v>709.16</v>
      </c>
      <c r="Z697" s="180" t="s">
        <v>8023</v>
      </c>
      <c r="AA697" s="225">
        <v>62337.71</v>
      </c>
      <c r="AB697" s="180" t="s">
        <v>8023</v>
      </c>
      <c r="AC697">
        <v>30.68</v>
      </c>
      <c r="AD697" s="180" t="s">
        <v>8023</v>
      </c>
      <c r="AG697" s="225">
        <v>4.92</v>
      </c>
      <c r="AH697" s="180" t="s">
        <v>8023</v>
      </c>
      <c r="AM697" s="225"/>
      <c r="BS697" s="225">
        <v>44.17</v>
      </c>
      <c r="BT697" s="180" t="s">
        <v>8023</v>
      </c>
      <c r="BU697" s="136">
        <v>23.12</v>
      </c>
      <c r="BV697" s="180" t="s">
        <v>8023</v>
      </c>
    </row>
    <row r="698" spans="1:74">
      <c r="A698" s="154" t="s">
        <v>7784</v>
      </c>
      <c r="B698" s="231" t="s">
        <v>257</v>
      </c>
      <c r="C698" s="231" t="s">
        <v>405</v>
      </c>
      <c r="D698" s="232"/>
      <c r="E698" s="229">
        <v>6</v>
      </c>
      <c r="F698" s="232">
        <v>19</v>
      </c>
      <c r="G698" s="230"/>
      <c r="S698" s="225">
        <v>1857.9317659999999</v>
      </c>
      <c r="T698" s="180" t="s">
        <v>8023</v>
      </c>
      <c r="Y698" s="225">
        <v>786.97</v>
      </c>
      <c r="Z698" s="180" t="s">
        <v>8023</v>
      </c>
      <c r="AA698" s="225">
        <v>80063.149999999994</v>
      </c>
      <c r="AB698" s="180" t="s">
        <v>8023</v>
      </c>
      <c r="AC698">
        <v>37.72</v>
      </c>
      <c r="AD698" s="180" t="s">
        <v>8023</v>
      </c>
      <c r="AG698" s="225">
        <v>4.71</v>
      </c>
      <c r="AH698" s="180" t="s">
        <v>8023</v>
      </c>
      <c r="AM698" s="225"/>
      <c r="BS698" s="225">
        <v>49.26</v>
      </c>
      <c r="BT698" s="180" t="s">
        <v>8023</v>
      </c>
      <c r="BU698" s="136">
        <v>20.87</v>
      </c>
      <c r="BV698" s="180" t="s">
        <v>8023</v>
      </c>
    </row>
    <row r="699" spans="1:74">
      <c r="A699" s="154" t="s">
        <v>7784</v>
      </c>
      <c r="B699" s="231" t="s">
        <v>259</v>
      </c>
      <c r="C699" s="231" t="s">
        <v>405</v>
      </c>
      <c r="D699" s="232"/>
      <c r="E699" s="229">
        <v>12</v>
      </c>
      <c r="F699" s="232">
        <v>21</v>
      </c>
      <c r="G699" s="230"/>
      <c r="S699" s="225">
        <v>1631.459879</v>
      </c>
      <c r="T699" s="180" t="s">
        <v>8023</v>
      </c>
      <c r="Y699" s="225">
        <v>768.97</v>
      </c>
      <c r="Z699" s="180" t="s">
        <v>8023</v>
      </c>
      <c r="AA699" s="225">
        <v>71166.91</v>
      </c>
      <c r="AB699" s="180" t="s">
        <v>8023</v>
      </c>
      <c r="AC699">
        <v>34.03</v>
      </c>
      <c r="AD699" s="180" t="s">
        <v>8023</v>
      </c>
      <c r="AG699" s="225">
        <v>4.78</v>
      </c>
      <c r="AH699" s="180" t="s">
        <v>8023</v>
      </c>
      <c r="AM699" s="225"/>
      <c r="BS699" s="225">
        <v>47.94</v>
      </c>
      <c r="BT699" s="180" t="s">
        <v>8023</v>
      </c>
      <c r="BU699" s="136">
        <v>22.59</v>
      </c>
      <c r="BV699" s="180" t="s">
        <v>8023</v>
      </c>
    </row>
    <row r="700" spans="1:74">
      <c r="A700" s="154" t="s">
        <v>7784</v>
      </c>
      <c r="B700" s="231" t="s">
        <v>257</v>
      </c>
      <c r="C700" s="231" t="s">
        <v>7963</v>
      </c>
      <c r="D700" s="232"/>
      <c r="E700" s="229">
        <v>11</v>
      </c>
      <c r="F700" s="232">
        <v>54</v>
      </c>
      <c r="G700" s="230"/>
      <c r="S700" s="225">
        <v>1774.204761</v>
      </c>
      <c r="T700" s="180" t="s">
        <v>8023</v>
      </c>
      <c r="Y700" s="225">
        <v>727.4</v>
      </c>
      <c r="Z700" s="180" t="s">
        <v>8023</v>
      </c>
      <c r="AA700" s="225">
        <v>75818.899999999994</v>
      </c>
      <c r="AB700" s="180" t="s">
        <v>8023</v>
      </c>
      <c r="AC700">
        <v>35.6</v>
      </c>
      <c r="AD700" s="180" t="s">
        <v>8023</v>
      </c>
      <c r="AG700" s="225">
        <v>4.7</v>
      </c>
      <c r="AH700" s="180" t="s">
        <v>8023</v>
      </c>
      <c r="AM700" s="225"/>
      <c r="BS700" s="225">
        <v>49.84</v>
      </c>
      <c r="BT700" s="180" t="s">
        <v>8023</v>
      </c>
      <c r="BU700" s="136">
        <v>20.43</v>
      </c>
      <c r="BV700" s="180" t="s">
        <v>8023</v>
      </c>
    </row>
    <row r="701" spans="1:74">
      <c r="A701" s="154" t="s">
        <v>7784</v>
      </c>
      <c r="B701" s="231" t="s">
        <v>259</v>
      </c>
      <c r="C701" s="231" t="s">
        <v>7963</v>
      </c>
      <c r="D701" s="232"/>
      <c r="E701" s="229">
        <v>13</v>
      </c>
      <c r="F701" s="232">
        <v>45</v>
      </c>
      <c r="G701" s="230"/>
      <c r="S701" s="225">
        <v>1963.103672</v>
      </c>
      <c r="T701" s="180" t="s">
        <v>8023</v>
      </c>
      <c r="Y701" s="225">
        <v>862.28</v>
      </c>
      <c r="Z701" s="180" t="s">
        <v>8023</v>
      </c>
      <c r="AA701" s="225">
        <v>88559.27</v>
      </c>
      <c r="AB701" s="180" t="s">
        <v>8023</v>
      </c>
      <c r="AC701">
        <v>40.14</v>
      </c>
      <c r="AD701" s="180" t="s">
        <v>8023</v>
      </c>
      <c r="AG701" s="225">
        <v>4.53</v>
      </c>
      <c r="AH701" s="180" t="s">
        <v>8023</v>
      </c>
      <c r="AM701" s="225"/>
      <c r="BS701" s="225">
        <v>48.91</v>
      </c>
      <c r="BT701" s="180" t="s">
        <v>8023</v>
      </c>
      <c r="BU701" s="136">
        <v>21.48</v>
      </c>
      <c r="BV701" s="180" t="s">
        <v>8023</v>
      </c>
    </row>
    <row r="702" spans="1:74">
      <c r="A702" s="154" t="s">
        <v>7784</v>
      </c>
      <c r="B702" s="231" t="s">
        <v>257</v>
      </c>
      <c r="C702" s="231" t="s">
        <v>7964</v>
      </c>
      <c r="D702" s="232"/>
      <c r="E702" s="230">
        <v>15</v>
      </c>
      <c r="F702" s="232">
        <v>14</v>
      </c>
      <c r="G702" s="230"/>
      <c r="S702" s="225">
        <v>1745.7834319999999</v>
      </c>
      <c r="T702" s="180" t="s">
        <v>8023</v>
      </c>
      <c r="Y702" s="225">
        <v>774.4</v>
      </c>
      <c r="Z702" s="180" t="s">
        <v>8023</v>
      </c>
      <c r="AA702" s="225">
        <v>78992.73</v>
      </c>
      <c r="AB702" s="180" t="s">
        <v>8023</v>
      </c>
      <c r="AC702">
        <v>35.630000000000003</v>
      </c>
      <c r="AD702" s="180" t="s">
        <v>8023</v>
      </c>
      <c r="AG702" s="225">
        <v>4.51</v>
      </c>
      <c r="AH702" s="180" t="s">
        <v>8023</v>
      </c>
      <c r="AM702" s="225"/>
      <c r="BS702" s="225">
        <v>49</v>
      </c>
      <c r="BT702" s="180" t="s">
        <v>8023</v>
      </c>
      <c r="BU702" s="136">
        <v>21.73</v>
      </c>
      <c r="BV702" s="180" t="s">
        <v>8023</v>
      </c>
    </row>
    <row r="703" spans="1:74">
      <c r="A703" s="154" t="s">
        <v>7784</v>
      </c>
      <c r="B703" s="231" t="s">
        <v>259</v>
      </c>
      <c r="C703" s="231" t="s">
        <v>7964</v>
      </c>
      <c r="D703" s="232"/>
      <c r="E703" s="230">
        <v>21</v>
      </c>
      <c r="F703" s="232">
        <v>23</v>
      </c>
      <c r="G703" s="230"/>
      <c r="S703" s="225">
        <v>1552.1573519999999</v>
      </c>
      <c r="T703" s="180" t="s">
        <v>8023</v>
      </c>
      <c r="Y703" s="225">
        <v>770.76</v>
      </c>
      <c r="Z703" s="180" t="s">
        <v>8023</v>
      </c>
      <c r="AA703" s="225">
        <v>71993.05</v>
      </c>
      <c r="AB703" s="180" t="s">
        <v>8023</v>
      </c>
      <c r="AC703">
        <v>33.54</v>
      </c>
      <c r="AD703" s="180" t="s">
        <v>8023</v>
      </c>
      <c r="AG703" s="225">
        <v>4.66</v>
      </c>
      <c r="AH703" s="180" t="s">
        <v>8023</v>
      </c>
      <c r="AM703" s="225"/>
      <c r="BS703" s="225">
        <v>46.28</v>
      </c>
      <c r="BT703" s="180" t="s">
        <v>8023</v>
      </c>
      <c r="BU703" s="136">
        <v>22.98</v>
      </c>
      <c r="BV703" s="180" t="s">
        <v>8023</v>
      </c>
    </row>
    <row r="704" spans="1:74">
      <c r="A704" s="154" t="s">
        <v>7784</v>
      </c>
      <c r="B704" t="s">
        <v>257</v>
      </c>
      <c r="C704" t="s">
        <v>7982</v>
      </c>
      <c r="D704" s="231"/>
      <c r="E704" s="230">
        <v>1</v>
      </c>
      <c r="F704" s="230">
        <v>8</v>
      </c>
      <c r="G704" s="230"/>
      <c r="S704" s="225">
        <v>1775.434847</v>
      </c>
      <c r="T704" s="227">
        <v>40725</v>
      </c>
      <c r="Y704" s="225">
        <v>741.31</v>
      </c>
      <c r="Z704" s="227">
        <v>40725</v>
      </c>
      <c r="AA704" s="225">
        <v>81949.61</v>
      </c>
      <c r="AB704" s="227">
        <v>40725</v>
      </c>
      <c r="AC704">
        <v>35.869999999999997</v>
      </c>
      <c r="AD704" s="227">
        <v>40725</v>
      </c>
      <c r="AG704" s="225">
        <v>4.38</v>
      </c>
      <c r="AH704" s="227">
        <v>40725</v>
      </c>
      <c r="AM704" s="225">
        <v>89</v>
      </c>
      <c r="AN704" s="153">
        <v>40630</v>
      </c>
      <c r="BS704" s="225">
        <v>49.49</v>
      </c>
      <c r="BT704" s="227">
        <v>40725</v>
      </c>
      <c r="BU704" s="136">
        <v>20.67</v>
      </c>
      <c r="BV704" s="227">
        <v>40725</v>
      </c>
    </row>
    <row r="705" spans="1:74">
      <c r="A705" s="154" t="s">
        <v>7784</v>
      </c>
      <c r="B705" t="s">
        <v>259</v>
      </c>
      <c r="C705" t="s">
        <v>7982</v>
      </c>
      <c r="D705" s="231"/>
      <c r="E705" s="230">
        <v>3</v>
      </c>
      <c r="F705" s="230">
        <v>53</v>
      </c>
      <c r="G705" s="230"/>
      <c r="S705" s="225" t="s">
        <v>7965</v>
      </c>
      <c r="T705" s="227">
        <v>40725</v>
      </c>
      <c r="Y705" s="225" t="s">
        <v>7965</v>
      </c>
      <c r="Z705" s="227">
        <v>40725</v>
      </c>
      <c r="AA705" s="225" t="s">
        <v>7965</v>
      </c>
      <c r="AB705" s="227">
        <v>40725</v>
      </c>
      <c r="AC705" t="s">
        <v>7965</v>
      </c>
      <c r="AD705" s="227">
        <v>40725</v>
      </c>
      <c r="AG705" s="225" t="s">
        <v>7965</v>
      </c>
      <c r="AH705" s="227">
        <v>40725</v>
      </c>
      <c r="AM705" s="225">
        <v>85</v>
      </c>
      <c r="AN705" s="153">
        <v>40630</v>
      </c>
      <c r="BS705" s="225" t="s">
        <v>7965</v>
      </c>
      <c r="BT705" s="227">
        <v>40725</v>
      </c>
      <c r="BU705" s="136" t="s">
        <v>7965</v>
      </c>
      <c r="BV705" s="227">
        <v>40725</v>
      </c>
    </row>
    <row r="706" spans="1:74">
      <c r="A706" s="154" t="s">
        <v>7785</v>
      </c>
      <c r="B706" t="s">
        <v>257</v>
      </c>
      <c r="C706" t="s">
        <v>405</v>
      </c>
      <c r="E706" s="113">
        <v>7</v>
      </c>
      <c r="F706" s="113">
        <v>16</v>
      </c>
      <c r="S706" s="153">
        <v>1507.5731490000001</v>
      </c>
      <c r="Y706" s="136">
        <v>610.78</v>
      </c>
      <c r="AA706" s="153">
        <v>58986.13</v>
      </c>
      <c r="AC706">
        <v>30.57</v>
      </c>
      <c r="AG706" s="225">
        <v>5.18</v>
      </c>
      <c r="BS706" s="153">
        <v>49.31</v>
      </c>
      <c r="BU706" s="136">
        <v>19.98</v>
      </c>
    </row>
    <row r="707" spans="1:74">
      <c r="A707" s="154" t="s">
        <v>7785</v>
      </c>
      <c r="B707" t="s">
        <v>259</v>
      </c>
      <c r="C707" t="s">
        <v>405</v>
      </c>
      <c r="E707" s="113">
        <v>9</v>
      </c>
      <c r="F707" s="113">
        <v>27</v>
      </c>
      <c r="S707" s="153">
        <v>1508.219394</v>
      </c>
      <c r="Y707" s="136">
        <v>629.52</v>
      </c>
      <c r="AA707" s="153">
        <v>58898.11</v>
      </c>
      <c r="AC707">
        <v>30.74</v>
      </c>
      <c r="AG707" s="225">
        <v>5.22</v>
      </c>
      <c r="BS707" s="153">
        <v>49.07</v>
      </c>
      <c r="BU707" s="136">
        <v>20.48</v>
      </c>
    </row>
    <row r="708" spans="1:74">
      <c r="A708" s="154" t="s">
        <v>7785</v>
      </c>
      <c r="B708" t="s">
        <v>257</v>
      </c>
      <c r="C708" t="s">
        <v>7963</v>
      </c>
      <c r="E708" s="113">
        <v>10</v>
      </c>
      <c r="F708" s="113">
        <v>60</v>
      </c>
      <c r="S708" s="153">
        <v>2056.9745680000001</v>
      </c>
      <c r="Y708" s="136">
        <v>799.45</v>
      </c>
      <c r="AA708" s="153">
        <v>84487.14</v>
      </c>
      <c r="AC708">
        <v>41.21</v>
      </c>
      <c r="AG708" s="225">
        <v>4.88</v>
      </c>
      <c r="BS708" s="153">
        <v>49.91</v>
      </c>
      <c r="BU708" s="136">
        <v>19.399999999999999</v>
      </c>
    </row>
    <row r="709" spans="1:74">
      <c r="A709" s="154" t="s">
        <v>7785</v>
      </c>
      <c r="B709" t="s">
        <v>259</v>
      </c>
      <c r="C709" t="s">
        <v>7963</v>
      </c>
      <c r="E709" s="113">
        <v>14</v>
      </c>
      <c r="F709" s="113">
        <v>34</v>
      </c>
      <c r="S709" s="153">
        <v>1863.30943</v>
      </c>
      <c r="Y709" s="136">
        <v>785.47</v>
      </c>
      <c r="AA709" s="153">
        <v>77615.490000000005</v>
      </c>
      <c r="AC709">
        <v>38.11</v>
      </c>
      <c r="AG709" s="225">
        <v>4.91</v>
      </c>
      <c r="BS709" s="153">
        <v>48.9</v>
      </c>
      <c r="BU709" s="136">
        <v>20.61</v>
      </c>
    </row>
    <row r="710" spans="1:74">
      <c r="A710" s="154" t="s">
        <v>7785</v>
      </c>
      <c r="B710" t="s">
        <v>257</v>
      </c>
      <c r="C710" t="s">
        <v>7964</v>
      </c>
      <c r="E710" s="113">
        <v>16</v>
      </c>
      <c r="F710" s="113">
        <v>19</v>
      </c>
      <c r="S710" s="153">
        <v>1850.5648719999999</v>
      </c>
      <c r="Y710" s="136">
        <v>787.54</v>
      </c>
      <c r="AA710" s="153">
        <v>83317.09</v>
      </c>
      <c r="AC710">
        <v>38.43</v>
      </c>
      <c r="AG710" s="225">
        <v>4.6100000000000003</v>
      </c>
      <c r="BS710" s="153">
        <v>48.16</v>
      </c>
      <c r="BU710" s="136">
        <v>20.49</v>
      </c>
    </row>
    <row r="711" spans="1:74">
      <c r="A711" s="154" t="s">
        <v>7785</v>
      </c>
      <c r="B711" t="s">
        <v>259</v>
      </c>
      <c r="C711" t="s">
        <v>7964</v>
      </c>
      <c r="E711" s="113">
        <v>18</v>
      </c>
      <c r="F711" s="113">
        <v>16</v>
      </c>
      <c r="S711" s="153">
        <v>1479.733796</v>
      </c>
      <c r="Y711" s="136">
        <v>721.56</v>
      </c>
      <c r="AA711" s="153">
        <v>63513.22</v>
      </c>
      <c r="AC711">
        <v>31.72</v>
      </c>
      <c r="AG711" s="225">
        <v>4.99</v>
      </c>
      <c r="BS711" s="153">
        <v>46.65</v>
      </c>
      <c r="BU711" s="136">
        <v>22.75</v>
      </c>
    </row>
    <row r="712" spans="1:74">
      <c r="A712" s="154" t="s">
        <v>7785</v>
      </c>
      <c r="B712" t="s">
        <v>257</v>
      </c>
      <c r="C712" t="s">
        <v>7982</v>
      </c>
      <c r="E712" s="113">
        <v>3</v>
      </c>
      <c r="F712" s="113">
        <v>30</v>
      </c>
      <c r="S712" s="153">
        <v>1748.8248590000001</v>
      </c>
      <c r="Y712" s="136">
        <v>728.12</v>
      </c>
      <c r="AA712" s="153">
        <v>74134.75</v>
      </c>
      <c r="AC712">
        <v>35.64</v>
      </c>
      <c r="AG712" s="225">
        <v>4.8099999999999996</v>
      </c>
      <c r="BS712" s="153">
        <v>49.07</v>
      </c>
      <c r="BU712" s="136">
        <v>20.43</v>
      </c>
    </row>
    <row r="713" spans="1:74">
      <c r="A713" s="154" t="s">
        <v>7785</v>
      </c>
      <c r="B713" t="s">
        <v>259</v>
      </c>
      <c r="C713" t="s">
        <v>7982</v>
      </c>
      <c r="E713" s="113">
        <v>4</v>
      </c>
      <c r="F713" s="113">
        <v>59</v>
      </c>
      <c r="S713" s="153">
        <v>1494.1722689999999</v>
      </c>
      <c r="Y713" s="136">
        <v>734.21</v>
      </c>
      <c r="AA713" s="153">
        <v>69187.63</v>
      </c>
      <c r="AC713">
        <v>32.24</v>
      </c>
      <c r="AG713" s="225">
        <v>4.66</v>
      </c>
      <c r="BS713" s="153">
        <v>46.34</v>
      </c>
      <c r="BU713" s="136">
        <v>22.77</v>
      </c>
    </row>
    <row r="714" spans="1:74">
      <c r="A714" s="154" t="s">
        <v>7879</v>
      </c>
      <c r="B714" t="s">
        <v>257</v>
      </c>
      <c r="C714" t="s">
        <v>405</v>
      </c>
      <c r="E714" s="113">
        <v>5</v>
      </c>
      <c r="F714" s="113">
        <v>22</v>
      </c>
      <c r="S714" s="153">
        <v>1753.054492</v>
      </c>
      <c r="Y714" s="136">
        <v>764.96</v>
      </c>
      <c r="AA714" s="153">
        <v>80227.41</v>
      </c>
      <c r="AC714">
        <v>36.549999999999997</v>
      </c>
      <c r="AG714" s="225">
        <v>4.5599999999999996</v>
      </c>
      <c r="BS714" s="153">
        <v>47.97</v>
      </c>
      <c r="BU714" s="136">
        <v>20.93</v>
      </c>
    </row>
    <row r="715" spans="1:74">
      <c r="A715" s="154" t="s">
        <v>7879</v>
      </c>
      <c r="B715" t="s">
        <v>259</v>
      </c>
      <c r="C715" t="s">
        <v>405</v>
      </c>
      <c r="E715" s="113">
        <v>10</v>
      </c>
      <c r="F715" s="113">
        <v>4</v>
      </c>
      <c r="S715" s="153">
        <v>1806.29296</v>
      </c>
      <c r="Y715" s="136">
        <v>776.44</v>
      </c>
      <c r="AA715" s="153">
        <v>89033.4</v>
      </c>
      <c r="AC715">
        <v>37.51</v>
      </c>
      <c r="AG715" s="225">
        <v>4.21</v>
      </c>
      <c r="BS715" s="153">
        <v>48.15</v>
      </c>
      <c r="BU715" s="136">
        <v>20.7</v>
      </c>
    </row>
    <row r="716" spans="1:74">
      <c r="A716" s="154" t="s">
        <v>7879</v>
      </c>
      <c r="B716" t="s">
        <v>257</v>
      </c>
      <c r="C716" t="s">
        <v>7963</v>
      </c>
      <c r="E716" s="113">
        <v>11</v>
      </c>
      <c r="F716" s="113">
        <v>40</v>
      </c>
      <c r="S716" s="153">
        <v>1617.9784340000001</v>
      </c>
      <c r="Y716" s="136">
        <v>674.24</v>
      </c>
      <c r="AA716" s="153">
        <v>74564.39</v>
      </c>
      <c r="AC716">
        <v>33.44</v>
      </c>
      <c r="AG716" s="225">
        <v>4.4800000000000004</v>
      </c>
      <c r="BS716" s="153">
        <v>48.38</v>
      </c>
      <c r="BU716" s="136">
        <v>20.16</v>
      </c>
    </row>
    <row r="717" spans="1:74">
      <c r="A717" s="154" t="s">
        <v>7879</v>
      </c>
      <c r="B717" t="s">
        <v>259</v>
      </c>
      <c r="C717" t="s">
        <v>7963</v>
      </c>
      <c r="E717" s="113">
        <v>16</v>
      </c>
      <c r="F717" s="113">
        <v>63</v>
      </c>
      <c r="S717" s="153">
        <v>1754.649803</v>
      </c>
      <c r="Y717" s="136">
        <v>780.45</v>
      </c>
      <c r="AA717" s="153">
        <v>81629.84</v>
      </c>
      <c r="AC717">
        <v>36.909999999999997</v>
      </c>
      <c r="AG717" s="225">
        <v>4.5199999999999996</v>
      </c>
      <c r="BS717" s="153">
        <v>47.54</v>
      </c>
      <c r="BU717" s="136">
        <v>21.15</v>
      </c>
    </row>
    <row r="718" spans="1:74">
      <c r="A718" s="154" t="s">
        <v>7879</v>
      </c>
      <c r="B718" t="s">
        <v>257</v>
      </c>
      <c r="C718" t="s">
        <v>7964</v>
      </c>
      <c r="E718" s="113">
        <v>13</v>
      </c>
      <c r="F718" s="113">
        <v>26</v>
      </c>
      <c r="S718" s="153">
        <v>1515.5509199999999</v>
      </c>
      <c r="Y718" s="136">
        <v>666.29</v>
      </c>
      <c r="AA718" s="153">
        <v>70611.990000000005</v>
      </c>
      <c r="AC718">
        <v>31.91</v>
      </c>
      <c r="AG718" s="225">
        <v>4.5199999999999996</v>
      </c>
      <c r="BS718" s="153">
        <v>47.49</v>
      </c>
      <c r="BU718" s="136">
        <v>20.88</v>
      </c>
    </row>
    <row r="719" spans="1:74">
      <c r="A719" s="154" t="s">
        <v>7879</v>
      </c>
      <c r="B719" t="s">
        <v>259</v>
      </c>
      <c r="C719" t="s">
        <v>7964</v>
      </c>
      <c r="E719" s="113">
        <v>19</v>
      </c>
      <c r="F719" s="113">
        <v>13</v>
      </c>
      <c r="S719" s="153">
        <v>1467.4904469999999</v>
      </c>
      <c r="Y719" s="136">
        <v>695.87</v>
      </c>
      <c r="AA719" s="153">
        <v>70165.23</v>
      </c>
      <c r="AC719">
        <v>31.82</v>
      </c>
      <c r="AG719" s="225">
        <v>4.54</v>
      </c>
      <c r="BS719" s="153">
        <v>46.11</v>
      </c>
      <c r="BU719" s="136">
        <v>21.87</v>
      </c>
    </row>
    <row r="720" spans="1:74">
      <c r="A720" s="154" t="s">
        <v>7879</v>
      </c>
      <c r="B720" t="s">
        <v>257</v>
      </c>
      <c r="C720" t="s">
        <v>7982</v>
      </c>
      <c r="E720" s="113">
        <v>1</v>
      </c>
      <c r="F720" s="113">
        <v>5</v>
      </c>
      <c r="S720" s="153">
        <v>1519.0424069999999</v>
      </c>
      <c r="Y720" s="136">
        <v>691.04</v>
      </c>
      <c r="AA720" s="153">
        <v>73095.929999999993</v>
      </c>
      <c r="AC720">
        <v>32.21</v>
      </c>
      <c r="AG720" s="225">
        <v>4.41</v>
      </c>
      <c r="BS720" s="153">
        <v>47.16</v>
      </c>
      <c r="BU720" s="136">
        <v>21.45</v>
      </c>
    </row>
    <row r="721" spans="1:73">
      <c r="A721" s="154" t="s">
        <v>7879</v>
      </c>
      <c r="B721" t="s">
        <v>259</v>
      </c>
      <c r="C721" t="s">
        <v>7982</v>
      </c>
      <c r="E721" s="113">
        <v>1</v>
      </c>
      <c r="F721" s="113">
        <v>37</v>
      </c>
      <c r="S721" s="153">
        <v>1403.528875</v>
      </c>
      <c r="Y721" s="136">
        <v>681.7</v>
      </c>
      <c r="AA721" s="153">
        <v>73757.679999999993</v>
      </c>
      <c r="AC721">
        <v>30.71</v>
      </c>
      <c r="AG721" s="225">
        <v>4.16</v>
      </c>
      <c r="BS721" s="153">
        <v>45.7</v>
      </c>
      <c r="BU721" s="136">
        <v>22.2</v>
      </c>
    </row>
    <row r="722" spans="1:73">
      <c r="A722" s="154" t="s">
        <v>7857</v>
      </c>
      <c r="B722" t="s">
        <v>257</v>
      </c>
      <c r="C722" t="s">
        <v>405</v>
      </c>
      <c r="E722" s="113">
        <v>6</v>
      </c>
      <c r="F722" s="113">
        <v>3</v>
      </c>
      <c r="S722" s="153">
        <v>1222.195843</v>
      </c>
      <c r="Y722" s="136">
        <v>654.49</v>
      </c>
      <c r="AA722" s="153">
        <v>56354.44</v>
      </c>
      <c r="AC722">
        <v>28.34</v>
      </c>
      <c r="AG722" s="225">
        <v>5.03</v>
      </c>
      <c r="BS722" s="153">
        <v>43.13</v>
      </c>
      <c r="BU722" s="136">
        <v>23.1</v>
      </c>
    </row>
    <row r="723" spans="1:73">
      <c r="A723" s="154" t="s">
        <v>7857</v>
      </c>
      <c r="B723" t="s">
        <v>259</v>
      </c>
      <c r="C723" t="s">
        <v>405</v>
      </c>
      <c r="E723" s="113">
        <v>12</v>
      </c>
      <c r="F723" s="113">
        <v>14</v>
      </c>
      <c r="S723" s="153">
        <v>1455.97875</v>
      </c>
      <c r="Y723" s="136">
        <v>734.39</v>
      </c>
      <c r="AA723" s="153">
        <v>63623.85</v>
      </c>
      <c r="AC723">
        <v>32.9</v>
      </c>
      <c r="AG723" s="225">
        <v>5.17</v>
      </c>
      <c r="BS723" s="153">
        <v>44.26</v>
      </c>
      <c r="BU723" s="136">
        <v>22.32</v>
      </c>
    </row>
    <row r="724" spans="1:73">
      <c r="A724" s="154" t="s">
        <v>7857</v>
      </c>
      <c r="B724" t="s">
        <v>257</v>
      </c>
      <c r="C724" t="s">
        <v>7963</v>
      </c>
      <c r="E724" s="113">
        <v>11</v>
      </c>
      <c r="F724" s="113">
        <v>59</v>
      </c>
      <c r="S724" s="153">
        <v>1293.425747</v>
      </c>
      <c r="Y724" s="136">
        <v>678.19</v>
      </c>
      <c r="AA724" s="153">
        <v>62717.34</v>
      </c>
      <c r="AC724">
        <v>29.83</v>
      </c>
      <c r="AG724" s="225">
        <v>4.76</v>
      </c>
      <c r="BS724" s="153">
        <v>43.35</v>
      </c>
      <c r="BU724" s="136">
        <v>22.73</v>
      </c>
    </row>
    <row r="725" spans="1:73">
      <c r="A725" s="154" t="s">
        <v>7857</v>
      </c>
      <c r="B725" t="s">
        <v>259</v>
      </c>
      <c r="C725" t="s">
        <v>7963</v>
      </c>
      <c r="E725" s="113">
        <v>15</v>
      </c>
      <c r="F725" s="113">
        <v>48</v>
      </c>
      <c r="S725" s="153">
        <v>1152.8436879999999</v>
      </c>
      <c r="Y725" s="136">
        <v>614.79</v>
      </c>
      <c r="AA725" s="153">
        <v>53591.8</v>
      </c>
      <c r="AC725">
        <v>26.65</v>
      </c>
      <c r="AG725" s="225">
        <v>4.97</v>
      </c>
      <c r="BS725" s="153">
        <v>43.26</v>
      </c>
      <c r="BU725" s="136">
        <v>23.07</v>
      </c>
    </row>
    <row r="726" spans="1:73">
      <c r="A726" s="154" t="s">
        <v>7857</v>
      </c>
      <c r="B726" t="s">
        <v>257</v>
      </c>
      <c r="C726" t="s">
        <v>7964</v>
      </c>
      <c r="E726" s="113">
        <v>13</v>
      </c>
      <c r="F726" s="113">
        <v>28</v>
      </c>
      <c r="S726" s="153">
        <v>1440.6786509999999</v>
      </c>
      <c r="Y726" s="136">
        <v>785</v>
      </c>
      <c r="AA726" s="153">
        <v>71135.740000000005</v>
      </c>
      <c r="AC726">
        <v>33.97</v>
      </c>
      <c r="AG726" s="225">
        <v>4.78</v>
      </c>
      <c r="BS726" s="153">
        <v>42.41</v>
      </c>
      <c r="BU726" s="136">
        <v>23.11</v>
      </c>
    </row>
    <row r="727" spans="1:73">
      <c r="A727" s="154" t="s">
        <v>7857</v>
      </c>
      <c r="B727" t="s">
        <v>259</v>
      </c>
      <c r="C727" t="s">
        <v>7964</v>
      </c>
      <c r="E727" s="113">
        <v>21</v>
      </c>
      <c r="F727" s="113">
        <v>27</v>
      </c>
      <c r="S727" s="153">
        <v>911.57112749999999</v>
      </c>
      <c r="Y727" s="136">
        <v>496.98</v>
      </c>
      <c r="AA727" s="153">
        <v>41219.629999999997</v>
      </c>
      <c r="AC727">
        <v>21.12</v>
      </c>
      <c r="AG727" s="225">
        <v>5.12</v>
      </c>
      <c r="BS727" s="153">
        <v>43.17</v>
      </c>
      <c r="BU727" s="136">
        <v>23.54</v>
      </c>
    </row>
    <row r="728" spans="1:73">
      <c r="A728" s="154" t="s">
        <v>7857</v>
      </c>
      <c r="B728" t="s">
        <v>257</v>
      </c>
      <c r="C728" t="s">
        <v>7982</v>
      </c>
      <c r="E728" s="113">
        <v>4</v>
      </c>
      <c r="F728" s="113">
        <v>25</v>
      </c>
      <c r="S728" s="153">
        <v>1460.7034980000001</v>
      </c>
      <c r="Y728" s="136">
        <v>751.72</v>
      </c>
      <c r="AA728" s="153">
        <v>73083.179999999993</v>
      </c>
      <c r="AC728">
        <v>33.65</v>
      </c>
      <c r="AG728" s="225">
        <v>4.5999999999999996</v>
      </c>
      <c r="BS728" s="153">
        <v>43.41</v>
      </c>
      <c r="BU728" s="136">
        <v>22.34</v>
      </c>
    </row>
    <row r="729" spans="1:73">
      <c r="A729" s="154" t="s">
        <v>7857</v>
      </c>
      <c r="B729" t="s">
        <v>259</v>
      </c>
      <c r="C729" t="s">
        <v>7982</v>
      </c>
      <c r="E729" s="113">
        <v>3</v>
      </c>
      <c r="F729" s="113">
        <v>62</v>
      </c>
      <c r="S729" s="153">
        <v>707.52893819999997</v>
      </c>
      <c r="Y729" s="136">
        <v>407.15</v>
      </c>
      <c r="AA729" s="153">
        <v>36175.050000000003</v>
      </c>
      <c r="AC729">
        <v>16.920000000000002</v>
      </c>
      <c r="AG729" s="225">
        <v>4.68</v>
      </c>
      <c r="BS729" s="153">
        <v>41.82</v>
      </c>
      <c r="BU729" s="136">
        <v>24.07</v>
      </c>
    </row>
    <row r="730" spans="1:73">
      <c r="A730" s="154" t="s">
        <v>7786</v>
      </c>
      <c r="B730" t="s">
        <v>257</v>
      </c>
      <c r="C730" t="s">
        <v>405</v>
      </c>
      <c r="E730" s="113">
        <v>8</v>
      </c>
      <c r="F730" s="113">
        <v>24</v>
      </c>
      <c r="S730" s="153">
        <v>1340.5480010000001</v>
      </c>
      <c r="Y730" s="136">
        <v>546.30999999999995</v>
      </c>
      <c r="AA730" s="153">
        <v>54881.41</v>
      </c>
      <c r="AC730">
        <v>27.38</v>
      </c>
      <c r="AG730" s="225">
        <v>4.99</v>
      </c>
      <c r="BS730" s="153">
        <v>48.96</v>
      </c>
      <c r="BU730" s="136">
        <v>19.95</v>
      </c>
    </row>
    <row r="731" spans="1:73">
      <c r="A731" s="154" t="s">
        <v>7786</v>
      </c>
      <c r="B731" t="s">
        <v>259</v>
      </c>
      <c r="C731" t="s">
        <v>405</v>
      </c>
      <c r="E731" s="113">
        <v>12</v>
      </c>
      <c r="F731" s="113">
        <v>4</v>
      </c>
      <c r="S731" s="153">
        <v>1540.276102</v>
      </c>
      <c r="Y731" s="136">
        <v>614.79</v>
      </c>
      <c r="AA731" s="153">
        <v>64828.3</v>
      </c>
      <c r="AC731">
        <v>31.26</v>
      </c>
      <c r="AG731" s="225">
        <v>4.82</v>
      </c>
      <c r="BS731" s="153">
        <v>49.27</v>
      </c>
      <c r="BU731" s="136">
        <v>19.66</v>
      </c>
    </row>
    <row r="732" spans="1:73">
      <c r="A732" s="154" t="s">
        <v>7786</v>
      </c>
      <c r="B732" t="s">
        <v>257</v>
      </c>
      <c r="C732" t="s">
        <v>7963</v>
      </c>
      <c r="E732" s="113">
        <v>9</v>
      </c>
      <c r="F732" s="113">
        <v>36</v>
      </c>
      <c r="S732" s="153">
        <v>1266.3112699999999</v>
      </c>
      <c r="Y732" s="136">
        <v>519.13</v>
      </c>
      <c r="AA732" s="153">
        <v>55909.56</v>
      </c>
      <c r="AC732">
        <v>26.03</v>
      </c>
      <c r="AG732" s="225">
        <v>4.66</v>
      </c>
      <c r="BS732" s="153">
        <v>48.64</v>
      </c>
      <c r="BU732" s="136">
        <v>19.940000000000001</v>
      </c>
    </row>
    <row r="733" spans="1:73">
      <c r="A733" s="154" t="s">
        <v>7786</v>
      </c>
      <c r="B733" t="s">
        <v>259</v>
      </c>
      <c r="C733" t="s">
        <v>7963</v>
      </c>
      <c r="E733" s="113">
        <v>13</v>
      </c>
      <c r="F733" s="113">
        <v>57</v>
      </c>
      <c r="S733" s="153">
        <v>994.31817809999995</v>
      </c>
      <c r="Y733" s="136">
        <v>425.63</v>
      </c>
      <c r="AA733" s="153">
        <v>43137.88</v>
      </c>
      <c r="AC733">
        <v>20.46</v>
      </c>
      <c r="AG733" s="225">
        <v>4.74</v>
      </c>
      <c r="BS733" s="153">
        <v>48.59</v>
      </c>
      <c r="BU733" s="136">
        <v>20.8</v>
      </c>
    </row>
    <row r="734" spans="1:73">
      <c r="A734" s="154" t="s">
        <v>7786</v>
      </c>
      <c r="B734" t="s">
        <v>257</v>
      </c>
      <c r="C734" t="s">
        <v>7964</v>
      </c>
      <c r="E734" s="113">
        <v>14</v>
      </c>
      <c r="F734" s="113">
        <v>15</v>
      </c>
      <c r="S734" s="153">
        <v>1219.761833</v>
      </c>
      <c r="Y734" s="136">
        <v>518.67999999999995</v>
      </c>
      <c r="AA734" s="153">
        <v>59009.7</v>
      </c>
      <c r="AC734">
        <v>25.4</v>
      </c>
      <c r="AG734" s="225">
        <v>4.3</v>
      </c>
      <c r="BS734" s="153">
        <v>48.02</v>
      </c>
      <c r="BU734" s="136">
        <v>20.420000000000002</v>
      </c>
    </row>
    <row r="735" spans="1:73">
      <c r="A735" s="154" t="s">
        <v>7786</v>
      </c>
      <c r="B735" t="s">
        <v>259</v>
      </c>
      <c r="C735" t="s">
        <v>7964</v>
      </c>
      <c r="E735" s="113">
        <v>18</v>
      </c>
      <c r="F735" s="113">
        <v>11</v>
      </c>
      <c r="S735" s="153">
        <v>1260.9830509999999</v>
      </c>
      <c r="Y735" s="136">
        <v>586.22</v>
      </c>
      <c r="AA735" s="153">
        <v>57013.279999999999</v>
      </c>
      <c r="AC735">
        <v>26.94</v>
      </c>
      <c r="AG735" s="225">
        <v>4.72</v>
      </c>
      <c r="BS735" s="153">
        <v>46.81</v>
      </c>
      <c r="BU735" s="136">
        <v>21.76</v>
      </c>
    </row>
    <row r="736" spans="1:73">
      <c r="A736" s="154" t="s">
        <v>7786</v>
      </c>
      <c r="B736" t="s">
        <v>257</v>
      </c>
      <c r="C736" t="s">
        <v>7982</v>
      </c>
      <c r="E736" s="113">
        <v>1</v>
      </c>
      <c r="F736" s="113">
        <v>31</v>
      </c>
      <c r="S736" s="153">
        <v>1564.410351</v>
      </c>
      <c r="Y736" s="136">
        <v>642.41</v>
      </c>
      <c r="AA736" s="153">
        <v>64590.89</v>
      </c>
      <c r="AC736">
        <v>32.06</v>
      </c>
      <c r="AG736" s="225">
        <v>4.96</v>
      </c>
      <c r="BS736" s="153">
        <v>48.8</v>
      </c>
      <c r="BU736" s="136">
        <v>20.04</v>
      </c>
    </row>
    <row r="737" spans="1:73">
      <c r="A737" s="154" t="s">
        <v>7786</v>
      </c>
      <c r="B737" t="s">
        <v>259</v>
      </c>
      <c r="C737" t="s">
        <v>7982</v>
      </c>
      <c r="E737" s="113">
        <v>3</v>
      </c>
      <c r="F737" s="113">
        <v>47</v>
      </c>
      <c r="S737" s="153">
        <v>995.61146599999995</v>
      </c>
      <c r="Y737" s="136">
        <v>465.08</v>
      </c>
      <c r="AA737" s="153">
        <v>43468.47</v>
      </c>
      <c r="AC737">
        <v>21.53</v>
      </c>
      <c r="AG737" s="225">
        <v>4.95</v>
      </c>
      <c r="BS737" s="153">
        <v>46.25</v>
      </c>
      <c r="BU737" s="136">
        <v>21.6</v>
      </c>
    </row>
    <row r="738" spans="1:73">
      <c r="A738" s="154" t="s">
        <v>7880</v>
      </c>
      <c r="B738" t="s">
        <v>257</v>
      </c>
      <c r="C738" t="s">
        <v>405</v>
      </c>
      <c r="E738" s="113">
        <v>7</v>
      </c>
      <c r="F738" s="113">
        <v>1</v>
      </c>
      <c r="S738" s="153">
        <v>1796.829328</v>
      </c>
      <c r="Y738" s="136">
        <v>725.59</v>
      </c>
      <c r="AA738" s="153">
        <v>70869.8</v>
      </c>
      <c r="AC738">
        <v>35.950000000000003</v>
      </c>
      <c r="AG738" s="225">
        <v>5.07</v>
      </c>
      <c r="BS738" s="153">
        <v>49.99</v>
      </c>
      <c r="BU738" s="136">
        <v>20.190000000000001</v>
      </c>
    </row>
    <row r="739" spans="1:73">
      <c r="A739" s="154" t="s">
        <v>7880</v>
      </c>
      <c r="B739" t="s">
        <v>259</v>
      </c>
      <c r="C739" t="s">
        <v>405</v>
      </c>
      <c r="E739" s="113">
        <v>11</v>
      </c>
      <c r="F739" s="113">
        <v>22</v>
      </c>
      <c r="S739" s="153">
        <v>2073.0707149999998</v>
      </c>
      <c r="Y739" s="136">
        <v>914.39</v>
      </c>
      <c r="AA739" s="153">
        <v>92433.91</v>
      </c>
      <c r="AC739">
        <v>42.37</v>
      </c>
      <c r="AG739" s="225">
        <v>4.58</v>
      </c>
      <c r="BS739" s="153">
        <v>48.93</v>
      </c>
      <c r="BU739" s="136">
        <v>21.58</v>
      </c>
    </row>
    <row r="740" spans="1:73">
      <c r="A740" s="154" t="s">
        <v>7880</v>
      </c>
      <c r="B740" t="s">
        <v>257</v>
      </c>
      <c r="C740" t="s">
        <v>7963</v>
      </c>
      <c r="E740" s="113">
        <v>10</v>
      </c>
      <c r="F740" s="113">
        <v>36</v>
      </c>
      <c r="S740" s="153">
        <v>1891.9156640000001</v>
      </c>
      <c r="Y740" s="136">
        <v>721.28</v>
      </c>
      <c r="AA740" s="153">
        <v>73770.67</v>
      </c>
      <c r="AC740">
        <v>37.200000000000003</v>
      </c>
      <c r="AG740" s="225">
        <v>5.04</v>
      </c>
      <c r="BS740" s="153">
        <v>50.85</v>
      </c>
      <c r="BU740" s="136">
        <v>19.39</v>
      </c>
    </row>
    <row r="741" spans="1:73">
      <c r="A741" s="154" t="s">
        <v>7880</v>
      </c>
      <c r="B741" t="s">
        <v>259</v>
      </c>
      <c r="C741" t="s">
        <v>7963</v>
      </c>
      <c r="E741" s="113">
        <v>13</v>
      </c>
      <c r="F741" s="113">
        <v>40</v>
      </c>
      <c r="S741" s="153">
        <v>1820.5846320000001</v>
      </c>
      <c r="Y741" s="136">
        <v>875.64</v>
      </c>
      <c r="AA741" s="153">
        <v>78426.75</v>
      </c>
      <c r="AC741">
        <v>38.18</v>
      </c>
      <c r="AG741" s="225">
        <v>4.87</v>
      </c>
      <c r="BS741" s="153">
        <v>47.69</v>
      </c>
      <c r="BU741" s="136">
        <v>22.94</v>
      </c>
    </row>
    <row r="742" spans="1:73">
      <c r="A742" s="154" t="s">
        <v>7880</v>
      </c>
      <c r="B742" t="s">
        <v>257</v>
      </c>
      <c r="C742" t="s">
        <v>7964</v>
      </c>
      <c r="E742" s="113">
        <v>15</v>
      </c>
      <c r="F742" s="113">
        <v>25</v>
      </c>
      <c r="S742" s="153">
        <v>1975.6282699999999</v>
      </c>
      <c r="Y742" s="136">
        <v>824.45</v>
      </c>
      <c r="AA742" s="153">
        <v>83972.69</v>
      </c>
      <c r="AC742">
        <v>40.21</v>
      </c>
      <c r="AG742" s="225">
        <v>4.79</v>
      </c>
      <c r="BS742" s="153">
        <v>49.13</v>
      </c>
      <c r="BU742" s="136">
        <v>20.5</v>
      </c>
    </row>
    <row r="743" spans="1:73">
      <c r="A743" s="154" t="s">
        <v>7880</v>
      </c>
      <c r="B743" t="s">
        <v>259</v>
      </c>
      <c r="C743" t="s">
        <v>7964</v>
      </c>
      <c r="E743" s="113">
        <v>17</v>
      </c>
      <c r="F743" s="113">
        <v>2</v>
      </c>
      <c r="S743" s="153">
        <v>1658.095697</v>
      </c>
      <c r="Y743" s="136">
        <v>785.03</v>
      </c>
      <c r="AA743" s="153">
        <v>74852.539999999994</v>
      </c>
      <c r="AC743">
        <v>34.97</v>
      </c>
      <c r="AG743" s="225">
        <v>4.67</v>
      </c>
      <c r="BS743" s="153">
        <v>47.42</v>
      </c>
      <c r="BU743" s="136">
        <v>22.45</v>
      </c>
    </row>
    <row r="744" spans="1:73">
      <c r="A744" s="154" t="s">
        <v>7880</v>
      </c>
      <c r="B744" t="s">
        <v>257</v>
      </c>
      <c r="C744" t="s">
        <v>7982</v>
      </c>
      <c r="E744" s="113">
        <v>4</v>
      </c>
      <c r="F744" s="113">
        <v>29</v>
      </c>
      <c r="S744" s="153">
        <v>1957.224541</v>
      </c>
      <c r="Y744" s="136">
        <v>805.45</v>
      </c>
      <c r="AA744" s="153">
        <v>77926.62</v>
      </c>
      <c r="AC744">
        <v>39.42</v>
      </c>
      <c r="AG744" s="225">
        <v>5.0599999999999996</v>
      </c>
      <c r="BS744" s="153">
        <v>49.65</v>
      </c>
      <c r="BU744" s="136">
        <v>20.43</v>
      </c>
    </row>
    <row r="745" spans="1:73">
      <c r="A745" s="154" t="s">
        <v>7880</v>
      </c>
      <c r="B745" t="s">
        <v>259</v>
      </c>
      <c r="C745" t="s">
        <v>7982</v>
      </c>
      <c r="E745" s="113">
        <v>2</v>
      </c>
      <c r="F745" s="113">
        <v>46</v>
      </c>
      <c r="S745" s="153">
        <v>1712.8582269999999</v>
      </c>
      <c r="Y745" s="136">
        <v>855.37</v>
      </c>
      <c r="AA745" s="153">
        <v>78024.53</v>
      </c>
      <c r="AC745">
        <v>36.549999999999997</v>
      </c>
      <c r="AG745" s="225">
        <v>4.68</v>
      </c>
      <c r="BS745" s="153">
        <v>46.86</v>
      </c>
      <c r="BU745" s="136">
        <v>23.4</v>
      </c>
    </row>
    <row r="746" spans="1:73">
      <c r="A746" s="154" t="s">
        <v>7858</v>
      </c>
      <c r="B746" t="s">
        <v>257</v>
      </c>
      <c r="C746" t="s">
        <v>405</v>
      </c>
      <c r="E746" s="113">
        <v>6</v>
      </c>
      <c r="F746" s="113">
        <v>18</v>
      </c>
      <c r="S746" s="153">
        <v>1777.810536</v>
      </c>
      <c r="Y746" s="136">
        <v>776.36</v>
      </c>
      <c r="AA746" s="153">
        <v>75945.509999999995</v>
      </c>
      <c r="AC746">
        <v>37.01</v>
      </c>
      <c r="AG746" s="225">
        <v>4.87</v>
      </c>
      <c r="BS746" s="153">
        <v>48.04</v>
      </c>
      <c r="BU746" s="136">
        <v>20.98</v>
      </c>
    </row>
    <row r="747" spans="1:73">
      <c r="A747" s="154" t="s">
        <v>7858</v>
      </c>
      <c r="B747" t="s">
        <v>259</v>
      </c>
      <c r="C747" t="s">
        <v>405</v>
      </c>
      <c r="E747" s="113">
        <v>12</v>
      </c>
      <c r="F747" s="113">
        <v>8</v>
      </c>
      <c r="S747" s="153">
        <v>1573.9199369999999</v>
      </c>
      <c r="Y747" s="136">
        <v>720.57</v>
      </c>
      <c r="AA747" s="153">
        <v>73766.880000000005</v>
      </c>
      <c r="AC747">
        <v>33.340000000000003</v>
      </c>
      <c r="AG747" s="225">
        <v>4.5199999999999996</v>
      </c>
      <c r="BS747" s="153">
        <v>47.21</v>
      </c>
      <c r="BU747" s="136">
        <v>21.61</v>
      </c>
    </row>
    <row r="748" spans="1:73">
      <c r="A748" s="154" t="s">
        <v>7858</v>
      </c>
      <c r="B748" t="s">
        <v>257</v>
      </c>
      <c r="C748" t="s">
        <v>7963</v>
      </c>
      <c r="E748" s="113">
        <v>9</v>
      </c>
      <c r="F748" s="113">
        <v>34</v>
      </c>
      <c r="S748" s="153" t="s">
        <v>7965</v>
      </c>
      <c r="Y748" s="136" t="s">
        <v>7965</v>
      </c>
      <c r="AA748" s="153" t="s">
        <v>7965</v>
      </c>
      <c r="AC748" t="s">
        <v>7965</v>
      </c>
      <c r="AG748" s="225" t="s">
        <v>7965</v>
      </c>
      <c r="BS748" s="153" t="s">
        <v>7965</v>
      </c>
      <c r="BU748" s="136" t="s">
        <v>7965</v>
      </c>
    </row>
    <row r="749" spans="1:73">
      <c r="A749" s="154" t="s">
        <v>7858</v>
      </c>
      <c r="B749" t="s">
        <v>259</v>
      </c>
      <c r="C749" t="s">
        <v>7963</v>
      </c>
      <c r="E749" s="113">
        <v>16</v>
      </c>
      <c r="F749" s="113">
        <v>54</v>
      </c>
      <c r="S749" s="153">
        <v>1173.093478</v>
      </c>
      <c r="Y749" s="136">
        <v>565.79</v>
      </c>
      <c r="AA749" s="153">
        <v>59099.95</v>
      </c>
      <c r="AC749">
        <v>25.5</v>
      </c>
      <c r="AG749" s="225">
        <v>4.32</v>
      </c>
      <c r="BS749" s="153">
        <v>46</v>
      </c>
      <c r="BU749" s="136">
        <v>22.19</v>
      </c>
    </row>
    <row r="750" spans="1:73">
      <c r="A750" s="154" t="s">
        <v>7858</v>
      </c>
      <c r="B750" t="s">
        <v>257</v>
      </c>
      <c r="C750" t="s">
        <v>7964</v>
      </c>
      <c r="E750" s="113">
        <v>14</v>
      </c>
      <c r="F750" s="113">
        <v>12</v>
      </c>
      <c r="S750" s="153">
        <v>1723.211374</v>
      </c>
      <c r="Y750" s="136">
        <v>775.61</v>
      </c>
      <c r="AA750" s="153">
        <v>77040.11</v>
      </c>
      <c r="AC750">
        <v>36.479999999999997</v>
      </c>
      <c r="AG750" s="225">
        <v>4.74</v>
      </c>
      <c r="BS750" s="153">
        <v>47.24</v>
      </c>
      <c r="BU750" s="136">
        <v>21.26</v>
      </c>
    </row>
    <row r="751" spans="1:73">
      <c r="A751" s="154" t="s">
        <v>7858</v>
      </c>
      <c r="B751" t="s">
        <v>259</v>
      </c>
      <c r="C751" t="s">
        <v>7964</v>
      </c>
      <c r="E751" s="113">
        <v>17</v>
      </c>
      <c r="F751" s="113">
        <v>11</v>
      </c>
      <c r="S751" s="153">
        <v>1004.522778</v>
      </c>
      <c r="Y751" s="136">
        <v>484.72</v>
      </c>
      <c r="AA751" s="153">
        <v>47873.49</v>
      </c>
      <c r="AC751">
        <v>21.78</v>
      </c>
      <c r="AG751" s="225">
        <v>4.55</v>
      </c>
      <c r="BS751" s="153">
        <v>46.12</v>
      </c>
      <c r="BU751" s="136">
        <v>22.25</v>
      </c>
    </row>
    <row r="752" spans="1:73">
      <c r="A752" s="154" t="s">
        <v>7858</v>
      </c>
      <c r="B752" t="s">
        <v>257</v>
      </c>
      <c r="C752" t="s">
        <v>7982</v>
      </c>
      <c r="E752" s="113">
        <v>2</v>
      </c>
      <c r="F752" s="113">
        <v>8</v>
      </c>
      <c r="S752" s="153">
        <v>1407.5464509999999</v>
      </c>
      <c r="Y752" s="136">
        <v>628.53</v>
      </c>
      <c r="AA752" s="153">
        <v>64865.17</v>
      </c>
      <c r="AC752">
        <v>29.66</v>
      </c>
      <c r="AG752" s="225">
        <v>4.57</v>
      </c>
      <c r="BS752" s="153">
        <v>47.46</v>
      </c>
      <c r="BU752" s="136">
        <v>21.19</v>
      </c>
    </row>
    <row r="753" spans="1:73">
      <c r="A753" s="154" t="s">
        <v>7858</v>
      </c>
      <c r="B753" t="s">
        <v>259</v>
      </c>
      <c r="C753" t="s">
        <v>7982</v>
      </c>
      <c r="E753" s="113">
        <v>3</v>
      </c>
      <c r="F753" s="113">
        <v>44</v>
      </c>
      <c r="S753" s="153">
        <v>1261.2064809999999</v>
      </c>
      <c r="Y753" s="136">
        <v>612.9</v>
      </c>
      <c r="AA753" s="153">
        <v>62698.26</v>
      </c>
      <c r="AC753">
        <v>27.53</v>
      </c>
      <c r="AG753" s="225">
        <v>4.3899999999999997</v>
      </c>
      <c r="BS753" s="153">
        <v>45.81</v>
      </c>
      <c r="BU753" s="136">
        <v>22.26</v>
      </c>
    </row>
    <row r="754" spans="1:73">
      <c r="A754" s="154" t="s">
        <v>7787</v>
      </c>
      <c r="B754" t="s">
        <v>257</v>
      </c>
      <c r="C754" t="s">
        <v>405</v>
      </c>
      <c r="E754" s="113">
        <v>6</v>
      </c>
      <c r="F754" s="113">
        <v>13</v>
      </c>
      <c r="S754" s="153">
        <v>1616.860183</v>
      </c>
      <c r="Y754" s="136">
        <v>696.22</v>
      </c>
      <c r="AA754" s="153">
        <v>77838.06</v>
      </c>
      <c r="AC754">
        <v>33.119999999999997</v>
      </c>
      <c r="AG754" s="225">
        <v>4.26</v>
      </c>
      <c r="BS754" s="153">
        <v>48.82</v>
      </c>
      <c r="BU754" s="136">
        <v>21.02</v>
      </c>
    </row>
    <row r="755" spans="1:73">
      <c r="A755" s="154" t="s">
        <v>7787</v>
      </c>
      <c r="B755" t="s">
        <v>259</v>
      </c>
      <c r="C755" t="s">
        <v>405</v>
      </c>
      <c r="E755" s="113">
        <v>11</v>
      </c>
      <c r="F755" s="113">
        <v>20</v>
      </c>
      <c r="S755" s="153">
        <v>1776.9251819999999</v>
      </c>
      <c r="Y755" s="136">
        <v>809.22</v>
      </c>
      <c r="AA755" s="153">
        <v>82724.899999999994</v>
      </c>
      <c r="AC755">
        <v>37</v>
      </c>
      <c r="AG755" s="225">
        <v>4.47</v>
      </c>
      <c r="BS755" s="153">
        <v>48.03</v>
      </c>
      <c r="BU755" s="136">
        <v>21.87</v>
      </c>
    </row>
    <row r="756" spans="1:73">
      <c r="A756" s="154" t="s">
        <v>7787</v>
      </c>
      <c r="B756" t="s">
        <v>257</v>
      </c>
      <c r="C756" t="s">
        <v>7963</v>
      </c>
      <c r="E756" s="113">
        <v>11</v>
      </c>
      <c r="F756" s="113">
        <v>50</v>
      </c>
      <c r="S756" s="153">
        <v>1775.081811</v>
      </c>
      <c r="Y756" s="136">
        <v>794.91</v>
      </c>
      <c r="AA756" s="153">
        <v>83574.039999999994</v>
      </c>
      <c r="AC756">
        <v>36.380000000000003</v>
      </c>
      <c r="AG756" s="225">
        <v>4.3499999999999996</v>
      </c>
      <c r="BS756" s="153">
        <v>48.79</v>
      </c>
      <c r="BU756" s="136">
        <v>21.85</v>
      </c>
    </row>
    <row r="757" spans="1:73">
      <c r="A757" s="154" t="s">
        <v>7787</v>
      </c>
      <c r="B757" t="s">
        <v>259</v>
      </c>
      <c r="C757" t="s">
        <v>7963</v>
      </c>
      <c r="E757" s="113">
        <v>15</v>
      </c>
      <c r="F757" s="113">
        <v>53</v>
      </c>
      <c r="S757" s="153">
        <v>1338.9747299999999</v>
      </c>
      <c r="Y757" s="136">
        <v>664.05</v>
      </c>
      <c r="AA757" s="153">
        <v>70312.710000000006</v>
      </c>
      <c r="AC757">
        <v>29.2</v>
      </c>
      <c r="AG757" s="225">
        <v>4.1500000000000004</v>
      </c>
      <c r="BS757" s="153">
        <v>45.86</v>
      </c>
      <c r="BU757" s="136">
        <v>22.74</v>
      </c>
    </row>
    <row r="758" spans="1:73">
      <c r="A758" s="154" t="s">
        <v>7787</v>
      </c>
      <c r="B758" t="s">
        <v>257</v>
      </c>
      <c r="C758" t="s">
        <v>7964</v>
      </c>
      <c r="E758" s="113">
        <v>13</v>
      </c>
      <c r="F758" s="113">
        <v>12</v>
      </c>
      <c r="S758" s="153">
        <v>1438.7518849999999</v>
      </c>
      <c r="Y758" s="136">
        <v>660.57</v>
      </c>
      <c r="AA758" s="153">
        <v>70480.47</v>
      </c>
      <c r="AC758">
        <v>30.38</v>
      </c>
      <c r="AG758" s="225">
        <v>4.3099999999999996</v>
      </c>
      <c r="BS758" s="153">
        <v>47.35</v>
      </c>
      <c r="BU758" s="136">
        <v>21.74</v>
      </c>
    </row>
    <row r="759" spans="1:73">
      <c r="A759" s="154" t="s">
        <v>7787</v>
      </c>
      <c r="B759" t="s">
        <v>259</v>
      </c>
      <c r="C759" t="s">
        <v>7964</v>
      </c>
      <c r="E759" s="113">
        <v>20</v>
      </c>
      <c r="F759" s="113">
        <v>21</v>
      </c>
      <c r="S759" s="153">
        <v>1306.7772990000001</v>
      </c>
      <c r="Y759" s="136">
        <v>670.37</v>
      </c>
      <c r="AA759" s="153">
        <v>64975.18</v>
      </c>
      <c r="AC759">
        <v>28.78</v>
      </c>
      <c r="AG759" s="225">
        <v>4.43</v>
      </c>
      <c r="BS759" s="153">
        <v>45.4</v>
      </c>
      <c r="BU759" s="136">
        <v>23.29</v>
      </c>
    </row>
    <row r="760" spans="1:73">
      <c r="A760" s="154" t="s">
        <v>7787</v>
      </c>
      <c r="B760" t="s">
        <v>257</v>
      </c>
      <c r="C760" t="s">
        <v>7982</v>
      </c>
      <c r="E760" s="113">
        <v>2</v>
      </c>
      <c r="F760" s="113">
        <v>25</v>
      </c>
      <c r="S760" s="153">
        <v>1575.2972910000001</v>
      </c>
      <c r="Y760" s="136">
        <v>704.57</v>
      </c>
      <c r="AA760" s="153">
        <v>75343.38</v>
      </c>
      <c r="AC760">
        <v>32.5</v>
      </c>
      <c r="AG760" s="225">
        <v>4.3099999999999996</v>
      </c>
      <c r="BS760" s="153">
        <v>48.47</v>
      </c>
      <c r="BU760" s="136">
        <v>21.68</v>
      </c>
    </row>
    <row r="761" spans="1:73">
      <c r="A761" s="154" t="s">
        <v>7787</v>
      </c>
      <c r="B761" t="s">
        <v>259</v>
      </c>
      <c r="C761" t="s">
        <v>7982</v>
      </c>
      <c r="E761" s="113">
        <v>2</v>
      </c>
      <c r="F761" s="113">
        <v>56</v>
      </c>
      <c r="S761" s="153">
        <v>1226.3593310000001</v>
      </c>
      <c r="Y761" s="136">
        <v>659.65</v>
      </c>
      <c r="AA761" s="153">
        <v>61882.71</v>
      </c>
      <c r="AC761">
        <v>27.62</v>
      </c>
      <c r="AG761" s="225">
        <v>4.46</v>
      </c>
      <c r="BS761" s="153">
        <v>44.4</v>
      </c>
      <c r="BU761" s="136">
        <v>23.88</v>
      </c>
    </row>
    <row r="762" spans="1:73">
      <c r="A762" s="154" t="s">
        <v>7788</v>
      </c>
      <c r="B762" t="s">
        <v>257</v>
      </c>
      <c r="C762" t="s">
        <v>405</v>
      </c>
      <c r="E762" s="113">
        <v>7</v>
      </c>
      <c r="F762" s="113">
        <v>6</v>
      </c>
      <c r="S762" s="153">
        <v>1463.0446830000001</v>
      </c>
      <c r="Y762" s="136">
        <v>678.19</v>
      </c>
      <c r="AA762" s="153">
        <v>64764.86</v>
      </c>
      <c r="AC762">
        <v>30.75</v>
      </c>
      <c r="AG762" s="225">
        <v>4.75</v>
      </c>
      <c r="BS762" s="153">
        <v>47.58</v>
      </c>
      <c r="BU762" s="136">
        <v>22.06</v>
      </c>
    </row>
    <row r="763" spans="1:73">
      <c r="A763" s="154" t="s">
        <v>7788</v>
      </c>
      <c r="B763" t="s">
        <v>259</v>
      </c>
      <c r="C763" t="s">
        <v>405</v>
      </c>
      <c r="E763" s="113">
        <v>11</v>
      </c>
      <c r="F763" s="113">
        <v>14</v>
      </c>
      <c r="S763" s="153">
        <v>1556.3798420000001</v>
      </c>
      <c r="Y763" s="136">
        <v>741.87</v>
      </c>
      <c r="AA763" s="153">
        <v>69208.98</v>
      </c>
      <c r="AC763">
        <v>33.119999999999997</v>
      </c>
      <c r="AG763" s="225">
        <v>4.78</v>
      </c>
      <c r="BS763" s="153">
        <v>47</v>
      </c>
      <c r="BU763" s="136">
        <v>22.4</v>
      </c>
    </row>
    <row r="764" spans="1:73">
      <c r="A764" s="154" t="s">
        <v>7788</v>
      </c>
      <c r="B764" t="s">
        <v>257</v>
      </c>
      <c r="C764" t="s">
        <v>7963</v>
      </c>
      <c r="E764" s="113">
        <v>9</v>
      </c>
      <c r="F764" s="113">
        <v>49</v>
      </c>
      <c r="S764" s="153">
        <v>1553.6697389999999</v>
      </c>
      <c r="Y764" s="136">
        <v>773</v>
      </c>
      <c r="AA764" s="153">
        <v>70770.23</v>
      </c>
      <c r="AC764">
        <v>33.5</v>
      </c>
      <c r="AG764" s="225">
        <v>4.7300000000000004</v>
      </c>
      <c r="BS764" s="153">
        <v>46.38</v>
      </c>
      <c r="BU764" s="136">
        <v>23.08</v>
      </c>
    </row>
    <row r="765" spans="1:73">
      <c r="A765" s="154" t="s">
        <v>7788</v>
      </c>
      <c r="B765" t="s">
        <v>259</v>
      </c>
      <c r="C765" t="s">
        <v>7963</v>
      </c>
      <c r="E765" s="113">
        <v>14</v>
      </c>
      <c r="F765" s="113">
        <v>61</v>
      </c>
      <c r="S765" s="153">
        <v>1427.4724779999999</v>
      </c>
      <c r="Y765" s="136">
        <v>715.5</v>
      </c>
      <c r="AA765" s="153">
        <v>69094.38</v>
      </c>
      <c r="AC765">
        <v>31.23</v>
      </c>
      <c r="AG765" s="225">
        <v>4.5199999999999996</v>
      </c>
      <c r="BS765" s="153">
        <v>45.71</v>
      </c>
      <c r="BU765" s="136">
        <v>22.91</v>
      </c>
    </row>
    <row r="766" spans="1:73">
      <c r="A766" s="154" t="s">
        <v>7788</v>
      </c>
      <c r="B766" t="s">
        <v>257</v>
      </c>
      <c r="C766" t="s">
        <v>7964</v>
      </c>
      <c r="E766" s="113">
        <v>15</v>
      </c>
      <c r="F766" s="113">
        <v>20</v>
      </c>
      <c r="S766" s="153">
        <v>1312.5867639999999</v>
      </c>
      <c r="Y766" s="136">
        <v>676.53</v>
      </c>
      <c r="AA766" s="153">
        <v>62015.28</v>
      </c>
      <c r="AC766">
        <v>28.87</v>
      </c>
      <c r="AG766" s="225">
        <v>4.66</v>
      </c>
      <c r="BS766" s="153">
        <v>45.46</v>
      </c>
      <c r="BU766" s="136">
        <v>23.43</v>
      </c>
    </row>
    <row r="767" spans="1:73">
      <c r="A767" s="154" t="s">
        <v>7788</v>
      </c>
      <c r="B767" t="s">
        <v>259</v>
      </c>
      <c r="C767" t="s">
        <v>7964</v>
      </c>
      <c r="E767" s="113">
        <v>21</v>
      </c>
      <c r="F767" s="113">
        <v>21</v>
      </c>
      <c r="S767" s="153">
        <v>1416.3967869999999</v>
      </c>
      <c r="Y767" s="136">
        <v>722.03</v>
      </c>
      <c r="AA767" s="153">
        <v>70077.55</v>
      </c>
      <c r="AC767">
        <v>31.08</v>
      </c>
      <c r="AG767" s="225">
        <v>4.43</v>
      </c>
      <c r="BS767" s="153">
        <v>45.58</v>
      </c>
      <c r="BU767" s="136">
        <v>23.23</v>
      </c>
    </row>
    <row r="768" spans="1:73">
      <c r="A768" s="154" t="s">
        <v>7788</v>
      </c>
      <c r="B768" t="s">
        <v>257</v>
      </c>
      <c r="C768" t="s">
        <v>7982</v>
      </c>
      <c r="E768" s="113">
        <v>1</v>
      </c>
      <c r="F768" s="113">
        <v>2</v>
      </c>
      <c r="S768" s="153">
        <v>1481.2963400000001</v>
      </c>
      <c r="Y768" s="136">
        <v>720.32</v>
      </c>
      <c r="AA768" s="153">
        <v>63126.32</v>
      </c>
      <c r="AC768">
        <v>31.94</v>
      </c>
      <c r="AG768" s="225">
        <v>5.0599999999999996</v>
      </c>
      <c r="BS768" s="153">
        <v>46.38</v>
      </c>
      <c r="BU768" s="136">
        <v>22.55</v>
      </c>
    </row>
    <row r="769" spans="1:73">
      <c r="A769" s="154" t="s">
        <v>7788</v>
      </c>
      <c r="B769" t="s">
        <v>259</v>
      </c>
      <c r="C769" t="s">
        <v>7982</v>
      </c>
      <c r="E769" s="113">
        <v>1</v>
      </c>
      <c r="F769" s="113">
        <v>42</v>
      </c>
      <c r="S769" s="153">
        <v>1448.6191269999999</v>
      </c>
      <c r="Y769" s="136">
        <v>764.64</v>
      </c>
      <c r="AA769" s="153">
        <v>74715.19</v>
      </c>
      <c r="AC769">
        <v>32.36</v>
      </c>
      <c r="AG769" s="225">
        <v>4.33</v>
      </c>
      <c r="BS769" s="153">
        <v>44.77</v>
      </c>
      <c r="BU769" s="136">
        <v>23.63</v>
      </c>
    </row>
    <row r="770" spans="1:73">
      <c r="A770" s="154" t="s">
        <v>7789</v>
      </c>
      <c r="B770" t="s">
        <v>257</v>
      </c>
      <c r="C770" t="s">
        <v>405</v>
      </c>
      <c r="E770" s="113">
        <v>7</v>
      </c>
      <c r="F770" s="113">
        <v>5</v>
      </c>
      <c r="S770" s="153">
        <v>1391.593273</v>
      </c>
      <c r="Y770" s="136">
        <v>598</v>
      </c>
      <c r="AA770" s="153">
        <v>60370.82</v>
      </c>
      <c r="AC770">
        <v>28.66</v>
      </c>
      <c r="AG770" s="225">
        <v>4.75</v>
      </c>
      <c r="BS770" s="153">
        <v>48.55</v>
      </c>
      <c r="BU770" s="136">
        <v>20.86</v>
      </c>
    </row>
    <row r="771" spans="1:73">
      <c r="A771" s="154" t="s">
        <v>7789</v>
      </c>
      <c r="B771" t="s">
        <v>259</v>
      </c>
      <c r="C771" t="s">
        <v>405</v>
      </c>
      <c r="E771" s="113">
        <v>10</v>
      </c>
      <c r="F771" s="113">
        <v>27</v>
      </c>
      <c r="S771" s="153">
        <v>1975.227611</v>
      </c>
      <c r="Y771" s="136">
        <v>866.68</v>
      </c>
      <c r="AA771" s="153">
        <v>89596.07</v>
      </c>
      <c r="AC771">
        <v>41</v>
      </c>
      <c r="AG771" s="225">
        <v>4.58</v>
      </c>
      <c r="BS771" s="153">
        <v>48.17</v>
      </c>
      <c r="BU771" s="136">
        <v>21.14</v>
      </c>
    </row>
    <row r="772" spans="1:73">
      <c r="A772" s="154" t="s">
        <v>7789</v>
      </c>
      <c r="B772" t="s">
        <v>257</v>
      </c>
      <c r="C772" t="s">
        <v>7963</v>
      </c>
      <c r="E772" s="113">
        <v>11</v>
      </c>
      <c r="F772" s="113">
        <v>37</v>
      </c>
      <c r="S772" s="153">
        <v>1970.230656</v>
      </c>
      <c r="Y772" s="136">
        <v>799.12</v>
      </c>
      <c r="AA772" s="153">
        <v>81106.8</v>
      </c>
      <c r="AC772">
        <v>40.08</v>
      </c>
      <c r="AG772" s="225">
        <v>4.9400000000000004</v>
      </c>
      <c r="BS772" s="153">
        <v>49.16</v>
      </c>
      <c r="BU772" s="136">
        <v>19.940000000000001</v>
      </c>
    </row>
    <row r="773" spans="1:73">
      <c r="A773" s="154" t="s">
        <v>7789</v>
      </c>
      <c r="B773" t="s">
        <v>259</v>
      </c>
      <c r="C773" t="s">
        <v>7963</v>
      </c>
      <c r="E773" s="113">
        <v>15</v>
      </c>
      <c r="F773" s="113">
        <v>61</v>
      </c>
      <c r="S773" s="153">
        <v>1330.350592</v>
      </c>
      <c r="Y773" s="136">
        <v>605.65</v>
      </c>
      <c r="AA773" s="153">
        <v>59364.38</v>
      </c>
      <c r="AC773">
        <v>28.28</v>
      </c>
      <c r="AG773" s="225">
        <v>4.76</v>
      </c>
      <c r="BS773" s="153">
        <v>47.04</v>
      </c>
      <c r="BU773" s="136">
        <v>21.41</v>
      </c>
    </row>
    <row r="774" spans="1:73">
      <c r="A774" s="154" t="s">
        <v>7789</v>
      </c>
      <c r="B774" t="s">
        <v>257</v>
      </c>
      <c r="C774" t="s">
        <v>7964</v>
      </c>
      <c r="E774" s="113">
        <v>13</v>
      </c>
      <c r="F774" s="113">
        <v>15</v>
      </c>
      <c r="S774" s="153">
        <v>1487.969384</v>
      </c>
      <c r="Y774" s="136">
        <v>645.26</v>
      </c>
      <c r="AA774" s="153">
        <v>65268.77</v>
      </c>
      <c r="AC774">
        <v>31.32</v>
      </c>
      <c r="AG774" s="225">
        <v>4.8</v>
      </c>
      <c r="BS774" s="153">
        <v>47.52</v>
      </c>
      <c r="BU774" s="136">
        <v>20.61</v>
      </c>
    </row>
    <row r="775" spans="1:73">
      <c r="A775" s="154" t="s">
        <v>7789</v>
      </c>
      <c r="B775" t="s">
        <v>259</v>
      </c>
      <c r="C775" t="s">
        <v>7964</v>
      </c>
      <c r="E775" s="113">
        <v>21</v>
      </c>
      <c r="F775" s="113">
        <v>7</v>
      </c>
      <c r="S775" s="153">
        <v>1841.975555</v>
      </c>
      <c r="Y775" s="136">
        <v>817.3</v>
      </c>
      <c r="AA775" s="153">
        <v>77210.22</v>
      </c>
      <c r="AC775">
        <v>38.56</v>
      </c>
      <c r="AG775" s="225">
        <v>4.99</v>
      </c>
      <c r="BS775" s="153">
        <v>47.76</v>
      </c>
      <c r="BU775" s="136">
        <v>21.19</v>
      </c>
    </row>
    <row r="776" spans="1:73">
      <c r="A776" s="154" t="s">
        <v>7789</v>
      </c>
      <c r="B776" t="s">
        <v>257</v>
      </c>
      <c r="C776" t="s">
        <v>7982</v>
      </c>
      <c r="E776" s="113">
        <v>1</v>
      </c>
      <c r="F776" s="113">
        <v>11</v>
      </c>
      <c r="S776" s="153">
        <v>1646.2943439999999</v>
      </c>
      <c r="Y776" s="136">
        <v>691.52</v>
      </c>
      <c r="AA776" s="153">
        <v>77856.34</v>
      </c>
      <c r="AC776">
        <v>33.71</v>
      </c>
      <c r="AG776" s="225">
        <v>4.33</v>
      </c>
      <c r="BS776" s="153">
        <v>48.84</v>
      </c>
      <c r="BU776" s="136">
        <v>20.52</v>
      </c>
    </row>
    <row r="777" spans="1:73">
      <c r="A777" s="154" t="s">
        <v>7789</v>
      </c>
      <c r="B777" t="s">
        <v>259</v>
      </c>
      <c r="C777" t="s">
        <v>7982</v>
      </c>
      <c r="E777" s="113">
        <v>3</v>
      </c>
      <c r="F777" s="113">
        <v>38</v>
      </c>
      <c r="S777" s="153">
        <v>1597.736187</v>
      </c>
      <c r="Y777" s="136">
        <v>816.26</v>
      </c>
      <c r="AA777" s="153">
        <v>81744.31</v>
      </c>
      <c r="AC777">
        <v>35.49</v>
      </c>
      <c r="AG777" s="225">
        <v>4.34</v>
      </c>
      <c r="BS777" s="153">
        <v>45.02</v>
      </c>
      <c r="BU777" s="136">
        <v>23</v>
      </c>
    </row>
    <row r="778" spans="1:73">
      <c r="A778" s="154" t="s">
        <v>7881</v>
      </c>
      <c r="B778" t="s">
        <v>257</v>
      </c>
      <c r="C778" t="s">
        <v>405</v>
      </c>
      <c r="E778" s="113">
        <v>5</v>
      </c>
      <c r="F778" s="113">
        <v>32</v>
      </c>
      <c r="S778" s="153">
        <v>1463.4344349999999</v>
      </c>
      <c r="Y778" s="136">
        <v>629.42999999999995</v>
      </c>
      <c r="AA778" s="153">
        <v>68165.490000000005</v>
      </c>
      <c r="AC778">
        <v>30.5</v>
      </c>
      <c r="AG778" s="225">
        <v>4.47</v>
      </c>
      <c r="BS778" s="153">
        <v>47.99</v>
      </c>
      <c r="BU778" s="136">
        <v>20.64</v>
      </c>
    </row>
    <row r="779" spans="1:73">
      <c r="A779" s="154" t="s">
        <v>7881</v>
      </c>
      <c r="B779" t="s">
        <v>259</v>
      </c>
      <c r="C779" t="s">
        <v>405</v>
      </c>
      <c r="E779" s="113">
        <v>12</v>
      </c>
      <c r="F779" s="113">
        <v>17</v>
      </c>
      <c r="S779" s="153">
        <v>1635.4021929999999</v>
      </c>
      <c r="Y779" s="136">
        <v>745.05</v>
      </c>
      <c r="AA779" s="153">
        <v>78028.77</v>
      </c>
      <c r="AC779">
        <v>34.31</v>
      </c>
      <c r="AG779" s="225">
        <v>4.4000000000000004</v>
      </c>
      <c r="BS779" s="153">
        <v>47.66</v>
      </c>
      <c r="BU779" s="136">
        <v>21.71</v>
      </c>
    </row>
    <row r="780" spans="1:73">
      <c r="A780" s="154" t="s">
        <v>7881</v>
      </c>
      <c r="B780" t="s">
        <v>257</v>
      </c>
      <c r="C780" t="s">
        <v>7963</v>
      </c>
      <c r="E780" s="113">
        <v>9</v>
      </c>
      <c r="F780" s="113">
        <v>60</v>
      </c>
      <c r="S780" s="153">
        <v>1460.788687</v>
      </c>
      <c r="Y780" s="136">
        <v>623.63</v>
      </c>
      <c r="AA780" s="153">
        <v>66182.179999999993</v>
      </c>
      <c r="AC780">
        <v>30.3</v>
      </c>
      <c r="AG780" s="225">
        <v>4.58</v>
      </c>
      <c r="BS780" s="153">
        <v>48.21</v>
      </c>
      <c r="BU780" s="136">
        <v>20.58</v>
      </c>
    </row>
    <row r="781" spans="1:73">
      <c r="A781" s="154" t="s">
        <v>7881</v>
      </c>
      <c r="B781" t="s">
        <v>259</v>
      </c>
      <c r="C781" t="s">
        <v>7963</v>
      </c>
      <c r="E781" s="113">
        <v>15</v>
      </c>
      <c r="F781" s="113">
        <v>52</v>
      </c>
      <c r="S781" s="153">
        <v>1296.899842</v>
      </c>
      <c r="Y781" s="136">
        <v>606.79</v>
      </c>
      <c r="AA781" s="153">
        <v>61542.720000000001</v>
      </c>
      <c r="AC781">
        <v>28.11</v>
      </c>
      <c r="AG781" s="225">
        <v>4.57</v>
      </c>
      <c r="BS781" s="153">
        <v>46.14</v>
      </c>
      <c r="BU781" s="136">
        <v>21.59</v>
      </c>
    </row>
    <row r="782" spans="1:73">
      <c r="A782" s="154" t="s">
        <v>7881</v>
      </c>
      <c r="B782" t="s">
        <v>257</v>
      </c>
      <c r="C782" t="s">
        <v>7964</v>
      </c>
      <c r="E782" s="113">
        <v>15</v>
      </c>
      <c r="F782" s="113">
        <v>22</v>
      </c>
      <c r="S782" s="153">
        <v>1600.7508700000001</v>
      </c>
      <c r="Y782" s="136">
        <v>755.15</v>
      </c>
      <c r="AA782" s="153">
        <v>80875.490000000005</v>
      </c>
      <c r="AC782">
        <v>34.79</v>
      </c>
      <c r="AG782" s="225">
        <v>4.3</v>
      </c>
      <c r="BS782" s="153">
        <v>46.01</v>
      </c>
      <c r="BU782" s="136">
        <v>21.71</v>
      </c>
    </row>
    <row r="783" spans="1:73">
      <c r="A783" s="154" t="s">
        <v>7881</v>
      </c>
      <c r="B783" t="s">
        <v>259</v>
      </c>
      <c r="C783" t="s">
        <v>7964</v>
      </c>
      <c r="E783" s="113">
        <v>21</v>
      </c>
      <c r="F783" s="113">
        <v>4</v>
      </c>
      <c r="S783" s="153">
        <v>1983.9897060000001</v>
      </c>
      <c r="Y783" s="136">
        <v>935.18</v>
      </c>
      <c r="AA783" s="153">
        <v>94951.94</v>
      </c>
      <c r="AC783">
        <v>42.61</v>
      </c>
      <c r="AG783" s="225">
        <v>4.49</v>
      </c>
      <c r="BS783" s="153">
        <v>46.57</v>
      </c>
      <c r="BU783" s="136">
        <v>21.95</v>
      </c>
    </row>
    <row r="784" spans="1:73">
      <c r="A784" s="154" t="s">
        <v>7881</v>
      </c>
      <c r="B784" t="s">
        <v>257</v>
      </c>
      <c r="C784" t="s">
        <v>7982</v>
      </c>
      <c r="E784" s="113">
        <v>4</v>
      </c>
      <c r="F784" s="113">
        <v>6</v>
      </c>
      <c r="S784" s="153">
        <v>1633.791731</v>
      </c>
      <c r="Y784" s="136">
        <v>705.04</v>
      </c>
      <c r="AA784" s="153">
        <v>78830.720000000001</v>
      </c>
      <c r="AC784">
        <v>34.49</v>
      </c>
      <c r="AG784" s="225">
        <v>4.38</v>
      </c>
      <c r="BS784" s="153">
        <v>47.37</v>
      </c>
      <c r="BU784" s="136">
        <v>20.440000000000001</v>
      </c>
    </row>
    <row r="785" spans="1:73">
      <c r="A785" s="154" t="s">
        <v>7881</v>
      </c>
      <c r="B785" t="s">
        <v>259</v>
      </c>
      <c r="C785" t="s">
        <v>7982</v>
      </c>
      <c r="E785" s="113">
        <v>4</v>
      </c>
      <c r="F785" s="113">
        <v>47</v>
      </c>
      <c r="S785" s="153">
        <v>1371.1369500000001</v>
      </c>
      <c r="Y785" s="136">
        <v>704.14</v>
      </c>
      <c r="AA785" s="153">
        <v>70468.42</v>
      </c>
      <c r="AC785">
        <v>30.58</v>
      </c>
      <c r="AG785" s="225">
        <v>4.34</v>
      </c>
      <c r="BS785" s="153">
        <v>44.83</v>
      </c>
      <c r="BU785" s="136">
        <v>23.02</v>
      </c>
    </row>
    <row r="786" spans="1:73">
      <c r="A786" s="154" t="s">
        <v>7790</v>
      </c>
      <c r="B786" t="s">
        <v>257</v>
      </c>
      <c r="C786" t="s">
        <v>405</v>
      </c>
      <c r="E786" s="113">
        <v>8</v>
      </c>
      <c r="F786" s="113">
        <v>32</v>
      </c>
      <c r="S786" s="153">
        <v>1474.9700760000001</v>
      </c>
      <c r="Y786" s="136">
        <v>651.5</v>
      </c>
      <c r="AA786" s="153">
        <v>65232.42</v>
      </c>
      <c r="AC786">
        <v>31.18</v>
      </c>
      <c r="AG786" s="225">
        <v>4.78</v>
      </c>
      <c r="BS786" s="153">
        <v>47.3</v>
      </c>
      <c r="BU786" s="136">
        <v>20.89</v>
      </c>
    </row>
    <row r="787" spans="1:73">
      <c r="A787" s="154" t="s">
        <v>7790</v>
      </c>
      <c r="B787" t="s">
        <v>259</v>
      </c>
      <c r="C787" t="s">
        <v>405</v>
      </c>
      <c r="E787" s="113">
        <v>11</v>
      </c>
      <c r="F787" s="113">
        <v>9</v>
      </c>
      <c r="S787" s="153">
        <v>1333.787335</v>
      </c>
      <c r="Y787" s="136">
        <v>625.48</v>
      </c>
      <c r="AA787" s="153">
        <v>55195.02</v>
      </c>
      <c r="AC787">
        <v>28.69</v>
      </c>
      <c r="AG787" s="225">
        <v>5.2</v>
      </c>
      <c r="BS787" s="153">
        <v>46.49</v>
      </c>
      <c r="BU787" s="136">
        <v>21.8</v>
      </c>
    </row>
    <row r="788" spans="1:73">
      <c r="A788" s="154" t="s">
        <v>7790</v>
      </c>
      <c r="B788" t="s">
        <v>257</v>
      </c>
      <c r="C788" t="s">
        <v>7963</v>
      </c>
      <c r="E788" s="113">
        <v>10</v>
      </c>
      <c r="F788" s="113">
        <v>54</v>
      </c>
      <c r="S788" s="153">
        <v>1430.060213</v>
      </c>
      <c r="Y788" s="136">
        <v>599.45000000000005</v>
      </c>
      <c r="AA788" s="153">
        <v>61866.66</v>
      </c>
      <c r="AC788">
        <v>30.12</v>
      </c>
      <c r="AG788" s="225">
        <v>4.87</v>
      </c>
      <c r="BS788" s="153">
        <v>47.48</v>
      </c>
      <c r="BU788" s="136">
        <v>19.899999999999999</v>
      </c>
    </row>
    <row r="789" spans="1:73">
      <c r="A789" s="154" t="s">
        <v>7790</v>
      </c>
      <c r="B789" t="s">
        <v>259</v>
      </c>
      <c r="C789" t="s">
        <v>7963</v>
      </c>
      <c r="E789" s="113">
        <v>15</v>
      </c>
      <c r="F789" s="113">
        <v>41</v>
      </c>
      <c r="S789" s="153">
        <v>1484.861586</v>
      </c>
      <c r="Y789" s="136">
        <v>732.07</v>
      </c>
      <c r="AA789" s="153">
        <v>67178.600000000006</v>
      </c>
      <c r="AC789">
        <v>32.950000000000003</v>
      </c>
      <c r="AG789" s="225">
        <v>4.9000000000000004</v>
      </c>
      <c r="BS789" s="153">
        <v>45.07</v>
      </c>
      <c r="BU789" s="136">
        <v>22.22</v>
      </c>
    </row>
    <row r="790" spans="1:73">
      <c r="A790" s="154" t="s">
        <v>7790</v>
      </c>
      <c r="B790" t="s">
        <v>257</v>
      </c>
      <c r="C790" t="s">
        <v>7964</v>
      </c>
      <c r="E790" s="113">
        <v>13</v>
      </c>
      <c r="F790" s="113">
        <v>1</v>
      </c>
      <c r="S790" s="153">
        <v>1481.325466</v>
      </c>
      <c r="Y790" s="136">
        <v>717.1</v>
      </c>
      <c r="AA790" s="153">
        <v>63737.86</v>
      </c>
      <c r="AC790">
        <v>32.43</v>
      </c>
      <c r="AG790" s="225">
        <v>5.09</v>
      </c>
      <c r="BS790" s="153">
        <v>45.67</v>
      </c>
      <c r="BU790" s="136">
        <v>22.11</v>
      </c>
    </row>
    <row r="791" spans="1:73">
      <c r="A791" s="154" t="s">
        <v>7790</v>
      </c>
      <c r="B791" t="s">
        <v>259</v>
      </c>
      <c r="C791" t="s">
        <v>7964</v>
      </c>
      <c r="E791" s="113">
        <v>19</v>
      </c>
      <c r="F791" s="113">
        <v>24</v>
      </c>
      <c r="S791" s="153">
        <v>1352.373863</v>
      </c>
      <c r="Y791" s="136">
        <v>650.54</v>
      </c>
      <c r="AA791" s="153">
        <v>60977.760000000002</v>
      </c>
      <c r="AC791">
        <v>29.65</v>
      </c>
      <c r="AG791" s="225">
        <v>4.8600000000000003</v>
      </c>
      <c r="BS791" s="153">
        <v>45.62</v>
      </c>
      <c r="BU791" s="136">
        <v>21.94</v>
      </c>
    </row>
    <row r="792" spans="1:73">
      <c r="A792" s="154" t="s">
        <v>7790</v>
      </c>
      <c r="B792" t="s">
        <v>257</v>
      </c>
      <c r="C792" t="s">
        <v>7982</v>
      </c>
      <c r="E792" s="113">
        <v>4</v>
      </c>
      <c r="F792" s="113">
        <v>28</v>
      </c>
      <c r="S792" s="153">
        <v>1424.4513899999999</v>
      </c>
      <c r="Y792" s="136">
        <v>657.72</v>
      </c>
      <c r="AA792" s="153">
        <v>64633.27</v>
      </c>
      <c r="AC792">
        <v>30.71</v>
      </c>
      <c r="AG792" s="225">
        <v>4.75</v>
      </c>
      <c r="BS792" s="153">
        <v>46.39</v>
      </c>
      <c r="BU792" s="136">
        <v>21.42</v>
      </c>
    </row>
    <row r="793" spans="1:73">
      <c r="A793" s="154" t="s">
        <v>7790</v>
      </c>
      <c r="B793" t="s">
        <v>259</v>
      </c>
      <c r="C793" t="s">
        <v>7982</v>
      </c>
      <c r="E793" s="113">
        <v>2</v>
      </c>
      <c r="F793" s="113">
        <v>54</v>
      </c>
      <c r="S793" s="153">
        <v>1454.771516</v>
      </c>
      <c r="Y793" s="136">
        <v>730.02</v>
      </c>
      <c r="AA793" s="153">
        <v>71649.52</v>
      </c>
      <c r="AC793">
        <v>32.44</v>
      </c>
      <c r="AG793" s="225">
        <v>4.53</v>
      </c>
      <c r="BS793" s="153">
        <v>44.84</v>
      </c>
      <c r="BU793" s="136">
        <v>22.5</v>
      </c>
    </row>
    <row r="794" spans="1:73">
      <c r="A794" s="154" t="s">
        <v>7791</v>
      </c>
      <c r="B794" t="s">
        <v>257</v>
      </c>
      <c r="C794" t="s">
        <v>405</v>
      </c>
      <c r="E794" s="113">
        <v>5</v>
      </c>
      <c r="F794" s="113">
        <v>8</v>
      </c>
      <c r="S794" s="153">
        <v>1575.775889</v>
      </c>
      <c r="Y794" s="136">
        <v>634.87</v>
      </c>
      <c r="AA794" s="153">
        <v>69358.679999999993</v>
      </c>
      <c r="AC794">
        <v>32.28</v>
      </c>
      <c r="AG794" s="225">
        <v>4.6500000000000004</v>
      </c>
      <c r="BS794" s="153">
        <v>48.82</v>
      </c>
      <c r="BU794" s="136">
        <v>19.670000000000002</v>
      </c>
    </row>
    <row r="795" spans="1:73">
      <c r="A795" s="154" t="s">
        <v>7791</v>
      </c>
      <c r="B795" t="s">
        <v>259</v>
      </c>
      <c r="C795" t="s">
        <v>405</v>
      </c>
      <c r="E795" s="113">
        <v>12</v>
      </c>
      <c r="F795" s="113">
        <v>16</v>
      </c>
      <c r="S795" s="153">
        <v>1690.9960329999999</v>
      </c>
      <c r="Y795" s="136">
        <v>719.94</v>
      </c>
      <c r="AA795" s="153">
        <v>74722.41</v>
      </c>
      <c r="AC795">
        <v>34.89</v>
      </c>
      <c r="AG795" s="225">
        <v>4.67</v>
      </c>
      <c r="BS795" s="153">
        <v>48.47</v>
      </c>
      <c r="BU795" s="136">
        <v>20.63</v>
      </c>
    </row>
    <row r="796" spans="1:73">
      <c r="A796" s="154" t="s">
        <v>7791</v>
      </c>
      <c r="B796" t="s">
        <v>257</v>
      </c>
      <c r="C796" t="s">
        <v>7963</v>
      </c>
      <c r="E796" s="113">
        <v>12</v>
      </c>
      <c r="F796" s="113">
        <v>51</v>
      </c>
      <c r="S796" s="153">
        <v>1342.572498</v>
      </c>
      <c r="Y796" s="136">
        <v>517.27</v>
      </c>
      <c r="AA796" s="153">
        <v>55852.05</v>
      </c>
      <c r="AC796">
        <v>27.05</v>
      </c>
      <c r="AG796" s="225">
        <v>4.84</v>
      </c>
      <c r="BS796" s="153">
        <v>49.63</v>
      </c>
      <c r="BU796" s="136">
        <v>19.12</v>
      </c>
    </row>
    <row r="797" spans="1:73">
      <c r="A797" s="154" t="s">
        <v>7791</v>
      </c>
      <c r="B797" t="s">
        <v>259</v>
      </c>
      <c r="C797" t="s">
        <v>7963</v>
      </c>
      <c r="E797" s="113">
        <v>14</v>
      </c>
      <c r="F797" s="113">
        <v>64</v>
      </c>
      <c r="S797" s="153">
        <v>1208.2311910000001</v>
      </c>
      <c r="Y797" s="136">
        <v>524.76</v>
      </c>
      <c r="AA797" s="153">
        <v>56156.34</v>
      </c>
      <c r="AC797">
        <v>25.25</v>
      </c>
      <c r="AG797" s="225">
        <v>4.5</v>
      </c>
      <c r="BS797" s="153">
        <v>47.85</v>
      </c>
      <c r="BU797" s="136">
        <v>20.78</v>
      </c>
    </row>
    <row r="798" spans="1:73">
      <c r="A798" s="154" t="s">
        <v>7791</v>
      </c>
      <c r="B798" t="s">
        <v>257</v>
      </c>
      <c r="C798" t="s">
        <v>7964</v>
      </c>
      <c r="E798" s="113">
        <v>15</v>
      </c>
      <c r="F798" s="113">
        <v>3</v>
      </c>
      <c r="S798" s="153">
        <v>1403.494555</v>
      </c>
      <c r="Y798" s="136">
        <v>664.49</v>
      </c>
      <c r="AA798" s="153">
        <v>66471.48</v>
      </c>
      <c r="AC798">
        <v>30.27</v>
      </c>
      <c r="AG798" s="225">
        <v>4.55</v>
      </c>
      <c r="BS798" s="153">
        <v>46.36</v>
      </c>
      <c r="BU798" s="136">
        <v>21.95</v>
      </c>
    </row>
    <row r="799" spans="1:73">
      <c r="A799" s="154" t="s">
        <v>7791</v>
      </c>
      <c r="B799" t="s">
        <v>259</v>
      </c>
      <c r="C799" t="s">
        <v>7964</v>
      </c>
      <c r="E799" s="113">
        <v>17</v>
      </c>
      <c r="F799" s="113">
        <v>9</v>
      </c>
      <c r="S799" s="153">
        <v>1251.8082959999999</v>
      </c>
      <c r="Y799" s="136">
        <v>576.32000000000005</v>
      </c>
      <c r="AA799" s="153">
        <v>56499.11</v>
      </c>
      <c r="AC799">
        <v>26.82</v>
      </c>
      <c r="AG799" s="225">
        <v>4.75</v>
      </c>
      <c r="BS799" s="153">
        <v>46.67</v>
      </c>
      <c r="BU799" s="136">
        <v>21.49</v>
      </c>
    </row>
    <row r="800" spans="1:73">
      <c r="A800" s="154" t="s">
        <v>7791</v>
      </c>
      <c r="B800" t="s">
        <v>257</v>
      </c>
      <c r="C800" t="s">
        <v>7982</v>
      </c>
      <c r="E800" s="113">
        <v>1</v>
      </c>
      <c r="F800" s="113">
        <v>21</v>
      </c>
      <c r="S800" s="153">
        <v>1502.4607100000001</v>
      </c>
      <c r="Y800" s="136">
        <v>651.78</v>
      </c>
      <c r="AA800" s="153">
        <v>63039.74</v>
      </c>
      <c r="AC800">
        <v>31.15</v>
      </c>
      <c r="AG800" s="225">
        <v>4.9400000000000004</v>
      </c>
      <c r="BS800" s="153">
        <v>48.23</v>
      </c>
      <c r="BU800" s="136">
        <v>20.92</v>
      </c>
    </row>
    <row r="801" spans="1:73">
      <c r="A801" s="154" t="s">
        <v>7791</v>
      </c>
      <c r="B801" t="s">
        <v>259</v>
      </c>
      <c r="C801" t="s">
        <v>7982</v>
      </c>
      <c r="E801" s="113">
        <v>1</v>
      </c>
      <c r="F801" s="113">
        <v>35</v>
      </c>
      <c r="S801" s="153">
        <v>1284.6949030000001</v>
      </c>
      <c r="Y801" s="136">
        <v>590.74</v>
      </c>
      <c r="AA801" s="153">
        <v>60040.08</v>
      </c>
      <c r="AC801">
        <v>27.23</v>
      </c>
      <c r="AG801" s="225">
        <v>4.53</v>
      </c>
      <c r="BS801" s="153">
        <v>47.18</v>
      </c>
      <c r="BU801" s="136">
        <v>21.7</v>
      </c>
    </row>
    <row r="802" spans="1:73">
      <c r="A802" s="154" t="s">
        <v>7792</v>
      </c>
      <c r="B802" t="s">
        <v>257</v>
      </c>
      <c r="C802" t="s">
        <v>405</v>
      </c>
      <c r="E802" s="113">
        <v>7</v>
      </c>
      <c r="F802" s="113">
        <v>4</v>
      </c>
      <c r="S802" s="153">
        <v>1482.507912</v>
      </c>
      <c r="Y802" s="136">
        <v>649.67999999999995</v>
      </c>
      <c r="AA802" s="153">
        <v>62236.45</v>
      </c>
      <c r="AC802">
        <v>30.75</v>
      </c>
      <c r="AG802" s="225">
        <v>4.9400000000000004</v>
      </c>
      <c r="BS802" s="153">
        <v>48.21</v>
      </c>
      <c r="BU802" s="136">
        <v>21.13</v>
      </c>
    </row>
    <row r="803" spans="1:73">
      <c r="A803" s="154" t="s">
        <v>7792</v>
      </c>
      <c r="B803" t="s">
        <v>259</v>
      </c>
      <c r="C803" t="s">
        <v>405</v>
      </c>
      <c r="E803" s="113">
        <v>9</v>
      </c>
      <c r="F803" s="113">
        <v>26</v>
      </c>
      <c r="S803" s="153">
        <v>1628.6798510000001</v>
      </c>
      <c r="Y803" s="136">
        <v>718.58</v>
      </c>
      <c r="AA803" s="153">
        <v>68332.86</v>
      </c>
      <c r="AC803">
        <v>33.909999999999997</v>
      </c>
      <c r="AG803" s="225">
        <v>4.96</v>
      </c>
      <c r="BS803" s="153">
        <v>48.03</v>
      </c>
      <c r="BU803" s="136">
        <v>21.19</v>
      </c>
    </row>
    <row r="804" spans="1:73">
      <c r="A804" s="154" t="s">
        <v>7792</v>
      </c>
      <c r="B804" t="s">
        <v>257</v>
      </c>
      <c r="C804" t="s">
        <v>7963</v>
      </c>
      <c r="E804" s="113">
        <v>11</v>
      </c>
      <c r="F804" s="113">
        <v>63</v>
      </c>
      <c r="S804" s="153">
        <v>1465.8430659999999</v>
      </c>
      <c r="Y804" s="136">
        <v>611.16999999999996</v>
      </c>
      <c r="AA804" s="153">
        <v>60681.39</v>
      </c>
      <c r="AC804">
        <v>29.86</v>
      </c>
      <c r="AG804" s="225">
        <v>4.92</v>
      </c>
      <c r="BS804" s="153">
        <v>49.1</v>
      </c>
      <c r="BU804" s="136">
        <v>20.47</v>
      </c>
    </row>
    <row r="805" spans="1:73">
      <c r="A805" s="154" t="s">
        <v>7792</v>
      </c>
      <c r="B805" t="s">
        <v>259</v>
      </c>
      <c r="C805" t="s">
        <v>7963</v>
      </c>
      <c r="E805" s="113">
        <v>15</v>
      </c>
      <c r="F805" s="113">
        <v>54</v>
      </c>
      <c r="S805" s="153">
        <v>1383.9020169999999</v>
      </c>
      <c r="Y805" s="136">
        <v>645.76</v>
      </c>
      <c r="AA805" s="153">
        <v>61358.16</v>
      </c>
      <c r="AC805">
        <v>29.65</v>
      </c>
      <c r="AG805" s="225">
        <v>4.83</v>
      </c>
      <c r="BS805" s="153">
        <v>46.68</v>
      </c>
      <c r="BU805" s="136">
        <v>21.78</v>
      </c>
    </row>
    <row r="806" spans="1:73">
      <c r="A806" s="154" t="s">
        <v>7792</v>
      </c>
      <c r="B806" t="s">
        <v>257</v>
      </c>
      <c r="C806" t="s">
        <v>7964</v>
      </c>
      <c r="E806" s="113">
        <v>14</v>
      </c>
      <c r="F806" s="113">
        <v>14</v>
      </c>
      <c r="S806" s="153">
        <v>1620.243385</v>
      </c>
      <c r="Y806" s="136">
        <v>749.72</v>
      </c>
      <c r="AA806" s="153">
        <v>73454.7</v>
      </c>
      <c r="AC806">
        <v>34.44</v>
      </c>
      <c r="AG806" s="225">
        <v>4.6900000000000004</v>
      </c>
      <c r="BS806" s="153">
        <v>47.05</v>
      </c>
      <c r="BU806" s="136">
        <v>21.77</v>
      </c>
    </row>
    <row r="807" spans="1:73">
      <c r="A807" s="154" t="s">
        <v>7792</v>
      </c>
      <c r="B807" t="s">
        <v>259</v>
      </c>
      <c r="C807" t="s">
        <v>7964</v>
      </c>
      <c r="E807" s="113">
        <v>17</v>
      </c>
      <c r="F807" s="113">
        <v>23</v>
      </c>
      <c r="S807" s="153">
        <v>1536.1655459999999</v>
      </c>
      <c r="Y807" s="136">
        <v>727.14</v>
      </c>
      <c r="AA807" s="153">
        <v>64821.19</v>
      </c>
      <c r="AC807">
        <v>33.049999999999997</v>
      </c>
      <c r="AG807" s="225">
        <v>5.0999999999999996</v>
      </c>
      <c r="BS807" s="153">
        <v>46.49</v>
      </c>
      <c r="BU807" s="136">
        <v>22</v>
      </c>
    </row>
    <row r="808" spans="1:73">
      <c r="A808" s="154" t="s">
        <v>7792</v>
      </c>
      <c r="B808" t="s">
        <v>257</v>
      </c>
      <c r="C808" t="s">
        <v>7982</v>
      </c>
      <c r="E808" s="113">
        <v>1</v>
      </c>
      <c r="F808" s="113">
        <v>29</v>
      </c>
      <c r="S808" s="153">
        <v>1815.3114049999999</v>
      </c>
      <c r="Y808" s="136">
        <v>749.8</v>
      </c>
      <c r="AA808" s="153">
        <v>86418.74</v>
      </c>
      <c r="AC808">
        <v>37.659999999999997</v>
      </c>
      <c r="AG808" s="225">
        <v>4.3600000000000003</v>
      </c>
      <c r="BS808" s="153">
        <v>48.21</v>
      </c>
      <c r="BU808" s="136">
        <v>19.91</v>
      </c>
    </row>
    <row r="809" spans="1:73">
      <c r="A809" s="154" t="s">
        <v>7792</v>
      </c>
      <c r="B809" t="s">
        <v>259</v>
      </c>
      <c r="C809" t="s">
        <v>7982</v>
      </c>
      <c r="E809" s="113">
        <v>4</v>
      </c>
      <c r="F809" s="113">
        <v>35</v>
      </c>
      <c r="S809" s="153">
        <v>1291.153646</v>
      </c>
      <c r="Y809" s="136">
        <v>660.19</v>
      </c>
      <c r="AA809" s="153">
        <v>56609.83</v>
      </c>
      <c r="AC809">
        <v>28.8</v>
      </c>
      <c r="AG809" s="225">
        <v>5.09</v>
      </c>
      <c r="BS809" s="153">
        <v>44.84</v>
      </c>
      <c r="BU809" s="136">
        <v>22.93</v>
      </c>
    </row>
    <row r="810" spans="1:73">
      <c r="A810" s="154" t="s">
        <v>7882</v>
      </c>
      <c r="B810" t="s">
        <v>257</v>
      </c>
      <c r="C810" t="s">
        <v>405</v>
      </c>
      <c r="E810" s="113">
        <v>5</v>
      </c>
      <c r="F810" s="113">
        <v>23</v>
      </c>
      <c r="S810" s="153">
        <v>1429.6590590000001</v>
      </c>
      <c r="Y810" s="136">
        <v>638.47</v>
      </c>
      <c r="AA810" s="153">
        <v>67472.97</v>
      </c>
      <c r="AC810">
        <v>30.06</v>
      </c>
      <c r="AG810" s="225">
        <v>4.46</v>
      </c>
      <c r="BS810" s="153">
        <v>47.56</v>
      </c>
      <c r="BU810" s="136">
        <v>21.24</v>
      </c>
    </row>
    <row r="811" spans="1:73">
      <c r="A811" s="154" t="s">
        <v>7882</v>
      </c>
      <c r="B811" t="s">
        <v>259</v>
      </c>
      <c r="C811" t="s">
        <v>405</v>
      </c>
      <c r="E811" s="113">
        <v>10</v>
      </c>
      <c r="F811" s="113">
        <v>19</v>
      </c>
      <c r="S811" s="153">
        <v>1816.279888</v>
      </c>
      <c r="Y811" s="136">
        <v>823.33</v>
      </c>
      <c r="AA811" s="153">
        <v>90625.18</v>
      </c>
      <c r="AC811">
        <v>38.19</v>
      </c>
      <c r="AG811" s="225">
        <v>4.21</v>
      </c>
      <c r="BS811" s="153">
        <v>47.56</v>
      </c>
      <c r="BU811" s="136">
        <v>21.56</v>
      </c>
    </row>
    <row r="812" spans="1:73">
      <c r="A812" s="154" t="s">
        <v>7882</v>
      </c>
      <c r="B812" t="s">
        <v>257</v>
      </c>
      <c r="C812" t="s">
        <v>7963</v>
      </c>
      <c r="E812" s="113">
        <v>10</v>
      </c>
      <c r="F812" s="113">
        <v>43</v>
      </c>
      <c r="S812" s="153">
        <v>1757.0533439999999</v>
      </c>
      <c r="Y812" s="136">
        <v>738.38</v>
      </c>
      <c r="AA812" s="153">
        <v>76095.600000000006</v>
      </c>
      <c r="AC812">
        <v>35.92</v>
      </c>
      <c r="AG812" s="225">
        <v>4.72</v>
      </c>
      <c r="BS812" s="153">
        <v>48.91</v>
      </c>
      <c r="BU812" s="136">
        <v>20.55</v>
      </c>
    </row>
    <row r="813" spans="1:73">
      <c r="A813" s="154" t="s">
        <v>7882</v>
      </c>
      <c r="B813" t="s">
        <v>259</v>
      </c>
      <c r="C813" t="s">
        <v>7963</v>
      </c>
      <c r="E813" s="113">
        <v>14</v>
      </c>
      <c r="F813" s="113">
        <v>37</v>
      </c>
      <c r="S813" s="153">
        <v>1435.838258</v>
      </c>
      <c r="Y813" s="136">
        <v>653.1</v>
      </c>
      <c r="AA813" s="153">
        <v>72492.479999999996</v>
      </c>
      <c r="AC813">
        <v>30.49</v>
      </c>
      <c r="AG813" s="225">
        <v>4.21</v>
      </c>
      <c r="BS813" s="153">
        <v>47.1</v>
      </c>
      <c r="BU813" s="136">
        <v>21.42</v>
      </c>
    </row>
    <row r="814" spans="1:73">
      <c r="A814" s="154" t="s">
        <v>7882</v>
      </c>
      <c r="B814" t="s">
        <v>257</v>
      </c>
      <c r="C814" t="s">
        <v>7964</v>
      </c>
      <c r="E814" s="113">
        <v>16</v>
      </c>
      <c r="F814" s="113">
        <v>26</v>
      </c>
      <c r="S814" s="153">
        <v>1706.988987</v>
      </c>
      <c r="Y814" s="136">
        <v>736.06</v>
      </c>
      <c r="AA814" s="153">
        <v>80844.929999999993</v>
      </c>
      <c r="AC814">
        <v>35.67</v>
      </c>
      <c r="AG814" s="225">
        <v>4.41</v>
      </c>
      <c r="BS814" s="153">
        <v>47.85</v>
      </c>
      <c r="BU814" s="136">
        <v>20.63</v>
      </c>
    </row>
    <row r="815" spans="1:73">
      <c r="A815" s="154" t="s">
        <v>7882</v>
      </c>
      <c r="B815" t="s">
        <v>259</v>
      </c>
      <c r="C815" t="s">
        <v>7964</v>
      </c>
      <c r="E815" s="113">
        <v>17</v>
      </c>
      <c r="F815" s="113">
        <v>7</v>
      </c>
      <c r="S815" s="153">
        <v>1381.922247</v>
      </c>
      <c r="Y815" s="136">
        <v>669.79</v>
      </c>
      <c r="AA815" s="153">
        <v>69657.17</v>
      </c>
      <c r="AC815">
        <v>29.66</v>
      </c>
      <c r="AG815" s="225">
        <v>4.26</v>
      </c>
      <c r="BS815" s="153">
        <v>46.59</v>
      </c>
      <c r="BU815" s="136">
        <v>22.58</v>
      </c>
    </row>
    <row r="816" spans="1:73">
      <c r="A816" s="154" t="s">
        <v>7882</v>
      </c>
      <c r="B816" t="s">
        <v>257</v>
      </c>
      <c r="C816" t="s">
        <v>7982</v>
      </c>
      <c r="E816" s="113">
        <v>4</v>
      </c>
      <c r="F816" s="113">
        <v>12</v>
      </c>
      <c r="S816" s="153">
        <v>1617.915624</v>
      </c>
      <c r="Y816" s="136">
        <v>699.18</v>
      </c>
      <c r="AA816" s="153">
        <v>67226.25</v>
      </c>
      <c r="AC816">
        <v>33.61</v>
      </c>
      <c r="AG816" s="225">
        <v>5</v>
      </c>
      <c r="BS816" s="153">
        <v>48.13</v>
      </c>
      <c r="BU816" s="136">
        <v>20.8</v>
      </c>
    </row>
    <row r="817" spans="1:73">
      <c r="A817" s="154" t="s">
        <v>7882</v>
      </c>
      <c r="B817" t="s">
        <v>259</v>
      </c>
      <c r="C817" t="s">
        <v>7982</v>
      </c>
      <c r="E817" s="113">
        <v>4</v>
      </c>
      <c r="F817" s="113">
        <v>60</v>
      </c>
      <c r="S817" s="153">
        <v>1640.966015</v>
      </c>
      <c r="Y817" s="136">
        <v>748.24</v>
      </c>
      <c r="AA817" s="153">
        <v>75838.2</v>
      </c>
      <c r="AC817">
        <v>34.880000000000003</v>
      </c>
      <c r="AG817" s="225">
        <v>4.5999999999999996</v>
      </c>
      <c r="BS817" s="153">
        <v>47.05</v>
      </c>
      <c r="BU817" s="136">
        <v>21.45</v>
      </c>
    </row>
    <row r="818" spans="1:73">
      <c r="A818" s="154" t="s">
        <v>7859</v>
      </c>
      <c r="B818" t="s">
        <v>257</v>
      </c>
      <c r="C818" t="s">
        <v>405</v>
      </c>
      <c r="E818" s="113">
        <v>7</v>
      </c>
      <c r="F818" s="113">
        <v>18</v>
      </c>
      <c r="S818" s="153">
        <v>1486.721693</v>
      </c>
      <c r="Y818" s="136">
        <v>621.66999999999996</v>
      </c>
      <c r="AA818" s="153">
        <v>63988.37</v>
      </c>
      <c r="AC818">
        <v>30.4</v>
      </c>
      <c r="AG818" s="225">
        <v>4.75</v>
      </c>
      <c r="BS818" s="153">
        <v>48.9</v>
      </c>
      <c r="BU818" s="136">
        <v>20.45</v>
      </c>
    </row>
    <row r="819" spans="1:73">
      <c r="A819" s="154" t="s">
        <v>7859</v>
      </c>
      <c r="B819" t="s">
        <v>259</v>
      </c>
      <c r="C819" t="s">
        <v>405</v>
      </c>
      <c r="E819" s="113">
        <v>9</v>
      </c>
      <c r="F819" s="113">
        <v>14</v>
      </c>
      <c r="S819" s="153">
        <v>1409.0141169999999</v>
      </c>
      <c r="Y819" s="136">
        <v>607.34176639999998</v>
      </c>
      <c r="AA819" s="153">
        <v>61193.30012</v>
      </c>
      <c r="AC819">
        <v>28.84</v>
      </c>
      <c r="AG819" s="225">
        <v>4.7125256670000004</v>
      </c>
      <c r="BS819" s="153">
        <v>48.860481299999996</v>
      </c>
      <c r="BU819" s="136">
        <v>21.060832999999999</v>
      </c>
    </row>
    <row r="820" spans="1:73">
      <c r="A820" s="154" t="s">
        <v>7859</v>
      </c>
      <c r="B820" t="s">
        <v>257</v>
      </c>
      <c r="C820" t="s">
        <v>7963</v>
      </c>
      <c r="E820" s="113">
        <v>11</v>
      </c>
      <c r="F820" s="113">
        <v>62</v>
      </c>
      <c r="S820" s="153">
        <v>1270.4760120000001</v>
      </c>
      <c r="Y820" s="136">
        <v>526.08000000000004</v>
      </c>
      <c r="AA820" s="153">
        <v>55669.19</v>
      </c>
      <c r="AC820">
        <v>25.93</v>
      </c>
      <c r="AG820" s="225">
        <v>4.66</v>
      </c>
      <c r="BS820" s="153">
        <v>48.99</v>
      </c>
      <c r="BU820" s="136">
        <v>20.29</v>
      </c>
    </row>
    <row r="821" spans="1:73">
      <c r="A821" s="154" t="s">
        <v>7859</v>
      </c>
      <c r="B821" t="s">
        <v>259</v>
      </c>
      <c r="C821" t="s">
        <v>7963</v>
      </c>
      <c r="E821" s="113">
        <v>16</v>
      </c>
      <c r="F821" s="113">
        <v>52</v>
      </c>
      <c r="S821" s="153">
        <v>1311.6699599999999</v>
      </c>
      <c r="Y821" s="136">
        <v>576.78124690000004</v>
      </c>
      <c r="AA821" s="153">
        <v>60087.687709999998</v>
      </c>
      <c r="AC821">
        <v>27.5</v>
      </c>
      <c r="AG821" s="225">
        <v>4.5759368839999999</v>
      </c>
      <c r="BS821" s="153">
        <v>47.704467800000003</v>
      </c>
      <c r="BU821" s="136">
        <v>20.977108000000001</v>
      </c>
    </row>
    <row r="822" spans="1:73">
      <c r="A822" s="154" t="s">
        <v>7859</v>
      </c>
      <c r="B822" t="s">
        <v>257</v>
      </c>
      <c r="C822" t="s">
        <v>7964</v>
      </c>
      <c r="E822" s="113">
        <v>15</v>
      </c>
      <c r="F822" s="113">
        <v>24</v>
      </c>
      <c r="S822" s="153">
        <v>1587.458208</v>
      </c>
      <c r="Y822" s="136">
        <v>721.9</v>
      </c>
      <c r="AA822" s="153">
        <v>67366.679999999993</v>
      </c>
      <c r="AC822">
        <v>33.47</v>
      </c>
      <c r="AG822" s="225">
        <v>4.97</v>
      </c>
      <c r="BS822" s="153">
        <v>47.43</v>
      </c>
      <c r="BU822" s="136">
        <v>21.57</v>
      </c>
    </row>
    <row r="823" spans="1:73">
      <c r="A823" s="154" t="s">
        <v>7859</v>
      </c>
      <c r="B823" t="s">
        <v>259</v>
      </c>
      <c r="C823" t="s">
        <v>7964</v>
      </c>
      <c r="E823" s="113">
        <v>19</v>
      </c>
      <c r="F823" s="113">
        <v>23</v>
      </c>
      <c r="S823" s="153">
        <v>1221.1167680000001</v>
      </c>
      <c r="Y823" s="136">
        <v>554.03285270000003</v>
      </c>
      <c r="AA823" s="153">
        <v>61097.116110000003</v>
      </c>
      <c r="AC823">
        <v>25.61</v>
      </c>
      <c r="AG823" s="225">
        <v>4.1917808220000001</v>
      </c>
      <c r="BS823" s="153">
        <v>47.680183399999997</v>
      </c>
      <c r="BU823" s="136">
        <v>21.632974600000001</v>
      </c>
    </row>
    <row r="824" spans="1:73">
      <c r="A824" s="154" t="s">
        <v>7859</v>
      </c>
      <c r="B824" t="s">
        <v>257</v>
      </c>
      <c r="C824" t="s">
        <v>7982</v>
      </c>
      <c r="E824" s="113">
        <v>3</v>
      </c>
      <c r="F824" s="113">
        <v>7</v>
      </c>
      <c r="S824" s="153">
        <v>1630.554676</v>
      </c>
      <c r="Y824" s="136">
        <v>701.50588819999996</v>
      </c>
      <c r="AA824" s="153">
        <v>72375.122430000003</v>
      </c>
      <c r="AC824">
        <v>33.51</v>
      </c>
      <c r="AG824" s="225">
        <v>4.6298124380000001</v>
      </c>
      <c r="BS824" s="153">
        <v>48.661182400000001</v>
      </c>
      <c r="BU824" s="136">
        <v>20.9352722</v>
      </c>
    </row>
    <row r="825" spans="1:73">
      <c r="A825" s="154" t="s">
        <v>7859</v>
      </c>
      <c r="B825" t="s">
        <v>259</v>
      </c>
      <c r="C825" t="s">
        <v>7982</v>
      </c>
      <c r="E825" s="113">
        <v>3</v>
      </c>
      <c r="F825" s="113">
        <v>45</v>
      </c>
      <c r="S825" s="153">
        <v>1348.491102</v>
      </c>
      <c r="Y825" s="136">
        <v>626.27953030000003</v>
      </c>
      <c r="AA825" s="153">
        <v>65994.559160000004</v>
      </c>
      <c r="AC825">
        <v>28.79</v>
      </c>
      <c r="AG825" s="225">
        <v>4.3627906980000004</v>
      </c>
      <c r="BS825" s="153">
        <v>46.835544599999999</v>
      </c>
      <c r="BU825" s="136">
        <v>21.7518253</v>
      </c>
    </row>
    <row r="826" spans="1:73">
      <c r="A826" s="154" t="s">
        <v>7883</v>
      </c>
      <c r="B826" t="s">
        <v>257</v>
      </c>
      <c r="C826" t="s">
        <v>405</v>
      </c>
      <c r="E826" s="113">
        <v>7</v>
      </c>
      <c r="F826" s="113">
        <v>13</v>
      </c>
      <c r="S826" s="153">
        <v>1488.524639</v>
      </c>
      <c r="Y826" s="136">
        <v>658.81</v>
      </c>
      <c r="AA826" s="153">
        <v>64136.23</v>
      </c>
      <c r="AC826">
        <v>30.87</v>
      </c>
      <c r="AG826" s="225">
        <v>4.8128342249999996</v>
      </c>
      <c r="BS826" s="153">
        <v>48.22</v>
      </c>
      <c r="BU826" s="136">
        <v>21.34</v>
      </c>
    </row>
    <row r="827" spans="1:73">
      <c r="A827" s="154" t="s">
        <v>7883</v>
      </c>
      <c r="B827" t="s">
        <v>259</v>
      </c>
      <c r="C827" t="s">
        <v>405</v>
      </c>
      <c r="E827" s="113">
        <v>9</v>
      </c>
      <c r="F827" s="113">
        <v>10</v>
      </c>
      <c r="S827" s="153">
        <v>1461.7364319999999</v>
      </c>
      <c r="Y827" s="136">
        <v>704.08</v>
      </c>
      <c r="AA827" s="153">
        <v>74844.149999999994</v>
      </c>
      <c r="AC827">
        <v>31.36</v>
      </c>
      <c r="AG827" s="225">
        <v>4.1899441340000001</v>
      </c>
      <c r="BS827" s="153">
        <v>46.61</v>
      </c>
      <c r="BU827" s="136">
        <v>22.45</v>
      </c>
    </row>
    <row r="828" spans="1:73">
      <c r="A828" s="154" t="s">
        <v>7883</v>
      </c>
      <c r="B828" t="s">
        <v>257</v>
      </c>
      <c r="C828" t="s">
        <v>7963</v>
      </c>
      <c r="E828" s="113">
        <v>12</v>
      </c>
      <c r="F828" s="113">
        <v>37</v>
      </c>
      <c r="S828" s="153">
        <v>1517.015167</v>
      </c>
      <c r="Y828" s="136">
        <v>662.22</v>
      </c>
      <c r="AA828" s="153">
        <v>65536.28</v>
      </c>
      <c r="AC828">
        <v>31.58</v>
      </c>
      <c r="AG828" s="225">
        <v>4.8182762200000004</v>
      </c>
      <c r="BS828" s="153">
        <v>48.04</v>
      </c>
      <c r="BU828" s="136">
        <v>20.97</v>
      </c>
    </row>
    <row r="829" spans="1:73">
      <c r="A829" s="154" t="s">
        <v>7883</v>
      </c>
      <c r="B829" t="s">
        <v>259</v>
      </c>
      <c r="C829" t="s">
        <v>7963</v>
      </c>
      <c r="E829" s="113">
        <v>16</v>
      </c>
      <c r="F829" s="113">
        <v>43</v>
      </c>
      <c r="S829" s="153">
        <v>1275.807611</v>
      </c>
      <c r="Y829" s="136">
        <v>604.04</v>
      </c>
      <c r="AA829" s="153">
        <v>66277.67</v>
      </c>
      <c r="AC829">
        <v>27.34</v>
      </c>
      <c r="AG829" s="225">
        <v>4.1244444439999999</v>
      </c>
      <c r="BS829" s="153">
        <v>46.67</v>
      </c>
      <c r="BU829" s="136">
        <v>22.1</v>
      </c>
    </row>
    <row r="830" spans="1:73">
      <c r="A830" s="154" t="s">
        <v>7883</v>
      </c>
      <c r="B830" t="s">
        <v>257</v>
      </c>
      <c r="C830" t="s">
        <v>7964</v>
      </c>
      <c r="E830" s="113">
        <v>14</v>
      </c>
      <c r="F830" s="113">
        <v>3</v>
      </c>
      <c r="S830" s="153">
        <v>1147.0743259999999</v>
      </c>
      <c r="Y830" s="136">
        <v>531</v>
      </c>
      <c r="AA830" s="153">
        <v>54467.42</v>
      </c>
      <c r="AC830">
        <v>24.37</v>
      </c>
      <c r="AG830" s="225">
        <v>4.4736842110000001</v>
      </c>
      <c r="BS830" s="153">
        <v>47.07</v>
      </c>
      <c r="BU830" s="136">
        <v>21.79</v>
      </c>
    </row>
    <row r="831" spans="1:73">
      <c r="A831" s="154" t="s">
        <v>7883</v>
      </c>
      <c r="B831" t="s">
        <v>259</v>
      </c>
      <c r="C831" t="s">
        <v>7964</v>
      </c>
      <c r="E831" s="113">
        <v>17</v>
      </c>
      <c r="F831" s="113">
        <v>15</v>
      </c>
      <c r="S831" s="153">
        <v>1280.3808220000001</v>
      </c>
      <c r="Y831" s="136">
        <v>636.59</v>
      </c>
      <c r="AA831" s="153">
        <v>64163.32</v>
      </c>
      <c r="AC831">
        <v>27.88</v>
      </c>
      <c r="AG831" s="225">
        <v>4.3457943930000003</v>
      </c>
      <c r="BS831" s="153">
        <v>45.92</v>
      </c>
      <c r="BU831" s="136">
        <v>22.83</v>
      </c>
    </row>
    <row r="832" spans="1:73">
      <c r="A832" s="154" t="s">
        <v>7883</v>
      </c>
      <c r="B832" t="s">
        <v>257</v>
      </c>
      <c r="C832" t="s">
        <v>7982</v>
      </c>
      <c r="E832" s="113">
        <v>2</v>
      </c>
      <c r="F832" s="113">
        <v>22</v>
      </c>
      <c r="S832" s="153">
        <v>1354.5168819999999</v>
      </c>
      <c r="Y832" s="136">
        <v>584.38</v>
      </c>
      <c r="AA832" s="153">
        <v>56742.54</v>
      </c>
      <c r="AC832">
        <v>28.01</v>
      </c>
      <c r="AG832" s="225">
        <v>4.9367088609999996</v>
      </c>
      <c r="BS832" s="153">
        <v>48.35</v>
      </c>
      <c r="BU832" s="136">
        <v>20.86</v>
      </c>
    </row>
    <row r="833" spans="1:73">
      <c r="A833" s="154" t="s">
        <v>7883</v>
      </c>
      <c r="B833" t="s">
        <v>259</v>
      </c>
      <c r="C833" t="s">
        <v>7982</v>
      </c>
      <c r="E833" s="113">
        <v>2</v>
      </c>
      <c r="F833" s="113">
        <v>40</v>
      </c>
      <c r="S833" s="153">
        <v>1083.244956</v>
      </c>
      <c r="Y833" s="136">
        <v>569.94000000000005</v>
      </c>
      <c r="AA833" s="153">
        <v>66248.710000000006</v>
      </c>
      <c r="AC833">
        <v>24.41</v>
      </c>
      <c r="AG833" s="225">
        <v>3.6850393700000001</v>
      </c>
      <c r="BS833" s="153">
        <v>44.37</v>
      </c>
      <c r="BU833" s="136">
        <v>23.35</v>
      </c>
    </row>
    <row r="834" spans="1:73">
      <c r="A834" s="154" t="s">
        <v>7793</v>
      </c>
      <c r="B834" t="s">
        <v>257</v>
      </c>
      <c r="C834" t="s">
        <v>405</v>
      </c>
      <c r="E834" s="113">
        <v>7</v>
      </c>
      <c r="F834" s="113">
        <v>2</v>
      </c>
      <c r="S834" s="153">
        <v>1664.7974200000001</v>
      </c>
      <c r="Y834" s="136">
        <v>726.08</v>
      </c>
      <c r="AA834" s="153">
        <v>80667.58</v>
      </c>
      <c r="AC834">
        <v>34.83</v>
      </c>
      <c r="AG834" s="225">
        <v>4.317548747</v>
      </c>
      <c r="BS834" s="153">
        <v>47.8</v>
      </c>
      <c r="BU834" s="136">
        <v>20.85</v>
      </c>
    </row>
    <row r="835" spans="1:73">
      <c r="A835" s="154" t="s">
        <v>7793</v>
      </c>
      <c r="B835" t="s">
        <v>259</v>
      </c>
      <c r="C835" t="s">
        <v>405</v>
      </c>
      <c r="E835" s="113">
        <v>12</v>
      </c>
      <c r="F835" s="113">
        <v>31</v>
      </c>
      <c r="S835" s="153">
        <v>1998.278994</v>
      </c>
      <c r="Y835" s="136">
        <v>896.91</v>
      </c>
      <c r="AA835" s="153">
        <v>88903.55</v>
      </c>
      <c r="AC835">
        <v>41.58</v>
      </c>
      <c r="AG835" s="225">
        <v>4.6769230769999997</v>
      </c>
      <c r="BS835" s="153">
        <v>48.06</v>
      </c>
      <c r="BU835" s="136">
        <v>21.57</v>
      </c>
    </row>
    <row r="836" spans="1:73">
      <c r="A836" s="154" t="s">
        <v>7793</v>
      </c>
      <c r="B836" t="s">
        <v>257</v>
      </c>
      <c r="C836" t="s">
        <v>7963</v>
      </c>
      <c r="E836" s="113">
        <v>9</v>
      </c>
      <c r="F836" s="113">
        <v>44</v>
      </c>
      <c r="S836" s="153">
        <v>1714.6047819999999</v>
      </c>
      <c r="Y836" s="136">
        <v>694.76</v>
      </c>
      <c r="AA836" s="153">
        <v>75933.83</v>
      </c>
      <c r="AC836">
        <v>35.01</v>
      </c>
      <c r="AG836" s="225">
        <v>4.6100000000000003</v>
      </c>
      <c r="BS836" s="153">
        <v>48.98</v>
      </c>
      <c r="BU836" s="136">
        <v>19.850000000000001</v>
      </c>
    </row>
    <row r="837" spans="1:73">
      <c r="A837" s="154" t="s">
        <v>7793</v>
      </c>
      <c r="B837" t="s">
        <v>259</v>
      </c>
      <c r="C837" t="s">
        <v>7963</v>
      </c>
      <c r="E837" s="113">
        <v>15</v>
      </c>
      <c r="F837" s="113">
        <v>56</v>
      </c>
      <c r="S837" s="153">
        <v>1551.475295</v>
      </c>
      <c r="Y837" s="136">
        <v>735.26</v>
      </c>
      <c r="AA837" s="153">
        <v>78783.75</v>
      </c>
      <c r="AC837">
        <v>33.76</v>
      </c>
      <c r="AG837" s="225">
        <v>4.2857142860000002</v>
      </c>
      <c r="BS837" s="153">
        <v>45.95</v>
      </c>
      <c r="BU837" s="136">
        <v>21.78</v>
      </c>
    </row>
    <row r="838" spans="1:73">
      <c r="A838" s="154" t="s">
        <v>7793</v>
      </c>
      <c r="B838" t="s">
        <v>257</v>
      </c>
      <c r="C838" t="s">
        <v>7964</v>
      </c>
      <c r="E838" s="113">
        <v>14</v>
      </c>
      <c r="F838" s="113">
        <v>11</v>
      </c>
      <c r="S838" s="153">
        <v>1664.208016</v>
      </c>
      <c r="Y838" s="136">
        <v>734.15</v>
      </c>
      <c r="AA838" s="153">
        <v>78378.039999999994</v>
      </c>
      <c r="AC838">
        <v>34.85</v>
      </c>
      <c r="AG838" s="225">
        <v>4.446583253</v>
      </c>
      <c r="BS838" s="153">
        <v>47.75</v>
      </c>
      <c r="BU838" s="136">
        <v>21.07</v>
      </c>
    </row>
    <row r="839" spans="1:73">
      <c r="A839" s="154" t="s">
        <v>7793</v>
      </c>
      <c r="B839" t="s">
        <v>259</v>
      </c>
      <c r="C839" t="s">
        <v>7964</v>
      </c>
      <c r="E839" s="113">
        <v>18</v>
      </c>
      <c r="F839" s="113">
        <v>19</v>
      </c>
      <c r="S839" s="153">
        <v>1937.831768</v>
      </c>
      <c r="Y839" s="136">
        <v>835.38</v>
      </c>
      <c r="AA839" s="153">
        <v>92850.27</v>
      </c>
      <c r="AC839">
        <v>40.22</v>
      </c>
      <c r="AG839" s="225">
        <v>4.331450094</v>
      </c>
      <c r="BS839" s="153">
        <v>48.18</v>
      </c>
      <c r="BU839" s="136">
        <v>20.77</v>
      </c>
    </row>
    <row r="840" spans="1:73">
      <c r="A840" s="154" t="s">
        <v>7793</v>
      </c>
      <c r="B840" t="s">
        <v>257</v>
      </c>
      <c r="C840" t="s">
        <v>7982</v>
      </c>
      <c r="E840" s="113">
        <v>4</v>
      </c>
      <c r="F840" s="113">
        <v>7</v>
      </c>
      <c r="S840" s="153">
        <v>1866.0679130000001</v>
      </c>
      <c r="Y840" s="136">
        <v>796.46</v>
      </c>
      <c r="AA840" s="153">
        <v>86471.52</v>
      </c>
      <c r="AC840">
        <v>39.090000000000003</v>
      </c>
      <c r="AG840" s="225">
        <v>4.5210727970000004</v>
      </c>
      <c r="BS840" s="153">
        <v>47.73</v>
      </c>
      <c r="BU840" s="136">
        <v>20.37</v>
      </c>
    </row>
    <row r="841" spans="1:73">
      <c r="A841" s="154" t="s">
        <v>7793</v>
      </c>
      <c r="B841" t="s">
        <v>259</v>
      </c>
      <c r="C841" t="s">
        <v>7982</v>
      </c>
      <c r="E841" s="113">
        <v>4</v>
      </c>
      <c r="F841" s="113">
        <v>55</v>
      </c>
      <c r="S841" s="153">
        <v>1673.4036920000001</v>
      </c>
      <c r="Y841" s="136">
        <v>834.61</v>
      </c>
      <c r="AA841" s="153">
        <v>85458.94</v>
      </c>
      <c r="AC841">
        <v>36.82</v>
      </c>
      <c r="AG841" s="225">
        <v>4.3082636949999999</v>
      </c>
      <c r="BS841" s="153">
        <v>45.45</v>
      </c>
      <c r="BU841" s="136">
        <v>22.67</v>
      </c>
    </row>
    <row r="842" spans="1:73">
      <c r="A842" s="154" t="s">
        <v>7794</v>
      </c>
      <c r="B842" t="s">
        <v>257</v>
      </c>
      <c r="C842" t="s">
        <v>405</v>
      </c>
      <c r="E842" s="113">
        <v>6</v>
      </c>
      <c r="F842" s="113">
        <v>20</v>
      </c>
      <c r="S842" s="153">
        <v>1553.080258</v>
      </c>
      <c r="Y842" s="136">
        <v>716.32</v>
      </c>
      <c r="AA842" s="153">
        <v>71828.94</v>
      </c>
      <c r="AC842">
        <v>32.770000000000003</v>
      </c>
      <c r="AG842" s="225">
        <v>4.5617529880000003</v>
      </c>
      <c r="BS842" s="153">
        <v>47.4</v>
      </c>
      <c r="BU842" s="136">
        <v>21.86</v>
      </c>
    </row>
    <row r="843" spans="1:73">
      <c r="A843" s="154" t="s">
        <v>7794</v>
      </c>
      <c r="B843" t="s">
        <v>259</v>
      </c>
      <c r="C843" t="s">
        <v>405</v>
      </c>
      <c r="E843" s="113">
        <v>9</v>
      </c>
      <c r="F843" s="113">
        <v>16</v>
      </c>
      <c r="S843" s="153">
        <v>1771.3554469999999</v>
      </c>
      <c r="Y843" s="136">
        <v>792.48</v>
      </c>
      <c r="AA843" s="153">
        <v>88392.34</v>
      </c>
      <c r="AC843">
        <v>36.64</v>
      </c>
      <c r="AG843" s="225">
        <v>4.1447963799999998</v>
      </c>
      <c r="BS843" s="153">
        <v>48.35</v>
      </c>
      <c r="BU843" s="136">
        <v>21.63</v>
      </c>
    </row>
    <row r="844" spans="1:73">
      <c r="A844" s="154" t="s">
        <v>7794</v>
      </c>
      <c r="B844" t="s">
        <v>257</v>
      </c>
      <c r="C844" t="s">
        <v>7963</v>
      </c>
      <c r="E844" s="113">
        <v>11</v>
      </c>
      <c r="F844" s="113">
        <v>58</v>
      </c>
      <c r="S844" s="153">
        <v>1289.8669910000001</v>
      </c>
      <c r="Y844" s="136">
        <v>562.15</v>
      </c>
      <c r="AA844" s="153">
        <v>55347.28</v>
      </c>
      <c r="AC844">
        <v>26.52</v>
      </c>
      <c r="AG844" s="225">
        <v>4.7916666670000003</v>
      </c>
      <c r="BS844" s="153">
        <v>48.64</v>
      </c>
      <c r="BU844" s="136">
        <v>21.2</v>
      </c>
    </row>
    <row r="845" spans="1:73">
      <c r="A845" s="154" t="s">
        <v>7794</v>
      </c>
      <c r="B845" t="s">
        <v>259</v>
      </c>
      <c r="C845" t="s">
        <v>7963</v>
      </c>
      <c r="E845" s="113">
        <v>13</v>
      </c>
      <c r="F845" s="113">
        <v>61</v>
      </c>
      <c r="S845" s="153">
        <v>1466.0963879999999</v>
      </c>
      <c r="Y845" s="136">
        <v>623.96</v>
      </c>
      <c r="AA845" s="153">
        <v>64203.26</v>
      </c>
      <c r="AC845">
        <v>29.98</v>
      </c>
      <c r="AG845" s="225">
        <v>4.6693386769999998</v>
      </c>
      <c r="BS845" s="153">
        <v>48.9</v>
      </c>
      <c r="BU845" s="136">
        <v>20.81</v>
      </c>
    </row>
    <row r="846" spans="1:73">
      <c r="A846" s="154" t="s">
        <v>7794</v>
      </c>
      <c r="B846" t="s">
        <v>257</v>
      </c>
      <c r="C846" t="s">
        <v>7964</v>
      </c>
      <c r="E846" s="113">
        <v>14</v>
      </c>
      <c r="F846" s="113">
        <v>9</v>
      </c>
      <c r="S846" s="153">
        <v>1425.6139310000001</v>
      </c>
      <c r="Y846" s="136">
        <v>644.88</v>
      </c>
      <c r="AA846" s="153">
        <v>64806.74</v>
      </c>
      <c r="AC846">
        <v>30.24</v>
      </c>
      <c r="AG846" s="225">
        <v>4.6659919030000001</v>
      </c>
      <c r="BS846" s="153">
        <v>47.15</v>
      </c>
      <c r="BU846" s="136">
        <v>21.33</v>
      </c>
    </row>
    <row r="847" spans="1:73">
      <c r="A847" s="154" t="s">
        <v>7794</v>
      </c>
      <c r="B847" t="s">
        <v>259</v>
      </c>
      <c r="C847" t="s">
        <v>7964</v>
      </c>
      <c r="E847" s="113">
        <v>21</v>
      </c>
      <c r="F847" s="113">
        <v>6</v>
      </c>
      <c r="S847" s="153">
        <v>1707.505983</v>
      </c>
      <c r="Y847" s="136">
        <v>802.89</v>
      </c>
      <c r="AA847" s="153">
        <v>76208.19</v>
      </c>
      <c r="AC847">
        <v>36.130000000000003</v>
      </c>
      <c r="AG847" s="225">
        <v>4.7411167509999999</v>
      </c>
      <c r="BS847" s="153">
        <v>47.26</v>
      </c>
      <c r="BU847" s="136">
        <v>22.22</v>
      </c>
    </row>
    <row r="848" spans="1:73">
      <c r="A848" s="154" t="s">
        <v>7794</v>
      </c>
      <c r="B848" t="s">
        <v>257</v>
      </c>
      <c r="C848" t="s">
        <v>7982</v>
      </c>
      <c r="E848" s="113">
        <v>3</v>
      </c>
      <c r="F848" s="113">
        <v>17</v>
      </c>
      <c r="S848" s="153">
        <v>1354.428656</v>
      </c>
      <c r="Y848" s="136">
        <v>642.82000000000005</v>
      </c>
      <c r="AA848" s="153">
        <v>65583.22</v>
      </c>
      <c r="AC848">
        <v>28.72</v>
      </c>
      <c r="AG848" s="225">
        <v>4.3796992479999997</v>
      </c>
      <c r="BS848" s="153">
        <v>47.15</v>
      </c>
      <c r="BU848" s="136">
        <v>22.38</v>
      </c>
    </row>
    <row r="849" spans="1:73">
      <c r="A849" s="154" t="s">
        <v>7794</v>
      </c>
      <c r="B849" t="s">
        <v>259</v>
      </c>
      <c r="C849" t="s">
        <v>7982</v>
      </c>
      <c r="E849" s="113">
        <v>1</v>
      </c>
      <c r="F849" s="113">
        <v>53</v>
      </c>
      <c r="S849" s="153">
        <v>1590.1864660000001</v>
      </c>
      <c r="Y849" s="136">
        <v>775.89</v>
      </c>
      <c r="AA849" s="153">
        <v>75153.03</v>
      </c>
      <c r="AC849">
        <v>34.17</v>
      </c>
      <c r="AG849" s="225">
        <v>4.5463414630000001</v>
      </c>
      <c r="BS849" s="153">
        <v>46.54</v>
      </c>
      <c r="BU849" s="136">
        <v>22.71</v>
      </c>
    </row>
    <row r="850" spans="1:73">
      <c r="A850" s="154" t="s">
        <v>7795</v>
      </c>
      <c r="B850" t="s">
        <v>257</v>
      </c>
      <c r="C850" t="s">
        <v>405</v>
      </c>
      <c r="E850" s="113">
        <v>7</v>
      </c>
      <c r="F850" s="113">
        <v>8</v>
      </c>
      <c r="S850" s="153">
        <v>1325.7132959999999</v>
      </c>
      <c r="Y850" s="136">
        <v>563.20000000000005</v>
      </c>
      <c r="AA850" s="153">
        <v>55926.38</v>
      </c>
      <c r="AC850">
        <v>27.51</v>
      </c>
      <c r="AG850" s="225">
        <v>4.9192680299999996</v>
      </c>
      <c r="BS850" s="153">
        <v>48.19</v>
      </c>
      <c r="BU850" s="136">
        <v>20.47</v>
      </c>
    </row>
    <row r="851" spans="1:73">
      <c r="A851" s="154" t="s">
        <v>7795</v>
      </c>
      <c r="B851" t="s">
        <v>259</v>
      </c>
      <c r="C851" t="s">
        <v>405</v>
      </c>
      <c r="E851" s="113">
        <v>11</v>
      </c>
      <c r="F851" s="113">
        <v>15</v>
      </c>
      <c r="S851" s="153">
        <v>1493.9661659999999</v>
      </c>
      <c r="Y851" s="136">
        <v>625.28</v>
      </c>
      <c r="AA851" s="153">
        <v>62582.34</v>
      </c>
      <c r="AC851">
        <v>30.41</v>
      </c>
      <c r="AG851" s="225">
        <v>4.8586387430000002</v>
      </c>
      <c r="BS851" s="153">
        <v>49.13</v>
      </c>
      <c r="BU851" s="136">
        <v>20.56</v>
      </c>
    </row>
    <row r="852" spans="1:73">
      <c r="A852" s="154" t="s">
        <v>7795</v>
      </c>
      <c r="B852" t="s">
        <v>257</v>
      </c>
      <c r="C852" t="s">
        <v>7963</v>
      </c>
      <c r="E852" s="113">
        <v>11</v>
      </c>
      <c r="F852" s="113">
        <v>33</v>
      </c>
      <c r="S852" s="153">
        <v>1369.385683</v>
      </c>
      <c r="Y852" s="136">
        <v>572.65</v>
      </c>
      <c r="AA852" s="153">
        <v>54670.92</v>
      </c>
      <c r="AC852">
        <v>28.3</v>
      </c>
      <c r="AG852" s="225">
        <v>5.1769911500000001</v>
      </c>
      <c r="BS852" s="153">
        <v>48.38</v>
      </c>
      <c r="BU852" s="136">
        <v>20.23</v>
      </c>
    </row>
    <row r="853" spans="1:73">
      <c r="A853" s="154" t="s">
        <v>7795</v>
      </c>
      <c r="B853" t="s">
        <v>259</v>
      </c>
      <c r="C853" t="s">
        <v>7963</v>
      </c>
      <c r="E853" s="113">
        <v>13</v>
      </c>
      <c r="F853" s="113">
        <v>58</v>
      </c>
      <c r="S853" s="153">
        <v>1586.822731</v>
      </c>
      <c r="Y853" s="136">
        <v>707.52</v>
      </c>
      <c r="AA853" s="153">
        <v>67924.44</v>
      </c>
      <c r="AC853">
        <v>32.880000000000003</v>
      </c>
      <c r="AG853" s="225">
        <v>4.8407643309999999</v>
      </c>
      <c r="BS853" s="153">
        <v>48.26</v>
      </c>
      <c r="BU853" s="136">
        <v>21.52</v>
      </c>
    </row>
    <row r="854" spans="1:73">
      <c r="A854" s="154" t="s">
        <v>7795</v>
      </c>
      <c r="B854" t="s">
        <v>257</v>
      </c>
      <c r="C854" t="s">
        <v>7964</v>
      </c>
      <c r="E854" s="113">
        <v>13</v>
      </c>
      <c r="F854" s="113">
        <v>25</v>
      </c>
      <c r="S854" s="153">
        <v>1374.737286</v>
      </c>
      <c r="Y854" s="136">
        <v>595.5</v>
      </c>
      <c r="AA854" s="153">
        <v>57915.8</v>
      </c>
      <c r="AC854">
        <v>28.62</v>
      </c>
      <c r="AG854" s="225">
        <v>4.9414270499999997</v>
      </c>
      <c r="BS854" s="153">
        <v>48.04</v>
      </c>
      <c r="BU854" s="136">
        <v>20.81</v>
      </c>
    </row>
    <row r="855" spans="1:73">
      <c r="A855" s="154" t="s">
        <v>7795</v>
      </c>
      <c r="B855" t="s">
        <v>259</v>
      </c>
      <c r="C855" t="s">
        <v>7964</v>
      </c>
      <c r="E855" s="113">
        <v>17</v>
      </c>
      <c r="F855" s="113">
        <v>10</v>
      </c>
      <c r="S855" s="153">
        <v>1445.279689</v>
      </c>
      <c r="Y855" s="136">
        <v>693.2</v>
      </c>
      <c r="AA855" s="153">
        <v>64628.21</v>
      </c>
      <c r="AC855">
        <v>31.14</v>
      </c>
      <c r="AG855" s="225">
        <v>4.8182762200000004</v>
      </c>
      <c r="BS855" s="153">
        <v>46.41</v>
      </c>
      <c r="BU855" s="136">
        <v>22.26</v>
      </c>
    </row>
    <row r="856" spans="1:73">
      <c r="A856" s="154" t="s">
        <v>7795</v>
      </c>
      <c r="B856" t="s">
        <v>257</v>
      </c>
      <c r="C856" t="s">
        <v>7982</v>
      </c>
      <c r="E856" s="113">
        <v>1</v>
      </c>
      <c r="F856" s="113">
        <v>12</v>
      </c>
      <c r="S856" s="153">
        <v>1349.631427</v>
      </c>
      <c r="Y856" s="136">
        <v>607.29999999999995</v>
      </c>
      <c r="AA856" s="153">
        <v>64442.77</v>
      </c>
      <c r="AC856">
        <v>28.3</v>
      </c>
      <c r="AG856" s="225">
        <v>4.3918291549999999</v>
      </c>
      <c r="BS856" s="153">
        <v>47.69</v>
      </c>
      <c r="BU856" s="136">
        <v>21.46</v>
      </c>
    </row>
    <row r="857" spans="1:73">
      <c r="A857" s="154" t="s">
        <v>7795</v>
      </c>
      <c r="B857" t="s">
        <v>259</v>
      </c>
      <c r="C857" t="s">
        <v>7982</v>
      </c>
      <c r="E857" s="113">
        <v>1</v>
      </c>
      <c r="F857" s="113">
        <v>58</v>
      </c>
      <c r="S857" s="153">
        <v>1380.165698</v>
      </c>
      <c r="Y857" s="136">
        <v>676.3</v>
      </c>
      <c r="AA857" s="153">
        <v>62355.4</v>
      </c>
      <c r="AC857">
        <v>30.05</v>
      </c>
      <c r="AG857" s="225">
        <v>4.8194014449999996</v>
      </c>
      <c r="BS857" s="153">
        <v>45.93</v>
      </c>
      <c r="BU857" s="136">
        <v>22.5</v>
      </c>
    </row>
    <row r="858" spans="1:73">
      <c r="A858" s="154" t="s">
        <v>7796</v>
      </c>
      <c r="B858" t="s">
        <v>257</v>
      </c>
      <c r="C858" t="s">
        <v>405</v>
      </c>
      <c r="E858" s="113">
        <v>6</v>
      </c>
      <c r="F858" s="113">
        <v>32</v>
      </c>
      <c r="S858" s="153">
        <v>1447.0567169999999</v>
      </c>
      <c r="Y858" s="136">
        <v>654.91</v>
      </c>
      <c r="AA858" s="153">
        <v>60164.67</v>
      </c>
      <c r="AC858">
        <v>30.83</v>
      </c>
      <c r="AG858" s="225">
        <v>5.1238738740000001</v>
      </c>
      <c r="BS858" s="153">
        <v>46.94</v>
      </c>
      <c r="BU858" s="136">
        <v>21.24</v>
      </c>
    </row>
    <row r="859" spans="1:73">
      <c r="A859" s="154" t="s">
        <v>7796</v>
      </c>
      <c r="B859" t="s">
        <v>259</v>
      </c>
      <c r="C859" t="s">
        <v>405</v>
      </c>
      <c r="E859" s="113">
        <v>9</v>
      </c>
      <c r="F859" s="113">
        <v>23</v>
      </c>
      <c r="S859" s="153">
        <v>1382.920617</v>
      </c>
      <c r="Y859" s="136">
        <v>664.2</v>
      </c>
      <c r="AA859" s="153">
        <v>58479.93</v>
      </c>
      <c r="AC859">
        <v>30.09</v>
      </c>
      <c r="AG859" s="225">
        <v>5.1460674160000002</v>
      </c>
      <c r="BS859" s="153">
        <v>45.95</v>
      </c>
      <c r="BU859" s="136">
        <v>22.07</v>
      </c>
    </row>
    <row r="860" spans="1:73">
      <c r="A860" s="154" t="s">
        <v>7796</v>
      </c>
      <c r="B860" t="s">
        <v>257</v>
      </c>
      <c r="C860" t="s">
        <v>7963</v>
      </c>
      <c r="E860" s="113">
        <v>11</v>
      </c>
      <c r="F860" s="113">
        <v>45</v>
      </c>
      <c r="S860" s="153">
        <v>1218.0024430000001</v>
      </c>
      <c r="Y860" s="136">
        <v>555.29999999999995</v>
      </c>
      <c r="AA860" s="153">
        <v>49759.06</v>
      </c>
      <c r="AC860">
        <v>26.19</v>
      </c>
      <c r="AG860" s="225">
        <v>5.2637614680000002</v>
      </c>
      <c r="BS860" s="153">
        <v>46.5</v>
      </c>
      <c r="BU860" s="136">
        <v>21.2</v>
      </c>
    </row>
    <row r="861" spans="1:73">
      <c r="A861" s="154" t="s">
        <v>7796</v>
      </c>
      <c r="B861" t="s">
        <v>259</v>
      </c>
      <c r="C861" t="s">
        <v>7963</v>
      </c>
      <c r="E861" s="113">
        <v>14</v>
      </c>
      <c r="F861" s="113">
        <v>53</v>
      </c>
      <c r="S861" s="153">
        <v>1430.863568</v>
      </c>
      <c r="Y861" s="136">
        <v>661.78</v>
      </c>
      <c r="AA861" s="153">
        <v>61837.59</v>
      </c>
      <c r="AC861">
        <v>30.99</v>
      </c>
      <c r="AG861" s="225">
        <v>5.0107991360000002</v>
      </c>
      <c r="BS861" s="153">
        <v>46.18</v>
      </c>
      <c r="BU861" s="136">
        <v>21.36</v>
      </c>
    </row>
    <row r="862" spans="1:73">
      <c r="A862" s="154" t="s">
        <v>7796</v>
      </c>
      <c r="B862" t="s">
        <v>257</v>
      </c>
      <c r="C862" t="s">
        <v>7964</v>
      </c>
      <c r="E862" s="113">
        <v>16</v>
      </c>
      <c r="F862" s="113">
        <v>2</v>
      </c>
      <c r="S862" s="153">
        <v>1291.460752</v>
      </c>
      <c r="Y862" s="136">
        <v>617.83000000000004</v>
      </c>
      <c r="AA862" s="153">
        <v>55388.13</v>
      </c>
      <c r="AC862">
        <v>28.21</v>
      </c>
      <c r="AG862" s="225">
        <v>5.0935093509999998</v>
      </c>
      <c r="BS862" s="153">
        <v>45.78</v>
      </c>
      <c r="BU862" s="136">
        <v>21.9</v>
      </c>
    </row>
    <row r="863" spans="1:73">
      <c r="A863" s="154" t="s">
        <v>7796</v>
      </c>
      <c r="B863" t="s">
        <v>259</v>
      </c>
      <c r="C863" t="s">
        <v>7964</v>
      </c>
      <c r="E863" s="113">
        <v>21</v>
      </c>
      <c r="F863" s="113">
        <v>20</v>
      </c>
      <c r="S863" s="153">
        <v>1308.362768</v>
      </c>
      <c r="Y863" s="136">
        <v>647.79999999999995</v>
      </c>
      <c r="AA863" s="153">
        <v>58734.97</v>
      </c>
      <c r="AC863">
        <v>28.99</v>
      </c>
      <c r="AG863" s="225">
        <v>4.9361702129999996</v>
      </c>
      <c r="BS863" s="153">
        <v>45.13</v>
      </c>
      <c r="BU863" s="136">
        <v>22.34</v>
      </c>
    </row>
    <row r="864" spans="1:73">
      <c r="A864" s="154" t="s">
        <v>7796</v>
      </c>
      <c r="B864" t="s">
        <v>257</v>
      </c>
      <c r="C864" t="s">
        <v>7982</v>
      </c>
      <c r="E864" s="113">
        <v>4</v>
      </c>
      <c r="F864" s="113">
        <v>27</v>
      </c>
      <c r="S864" s="153">
        <v>1357.7397450000001</v>
      </c>
      <c r="Y864" s="136">
        <v>634.65</v>
      </c>
      <c r="AA864" s="153">
        <v>67970.960000000006</v>
      </c>
      <c r="AC864">
        <v>29.81</v>
      </c>
      <c r="AG864" s="225">
        <v>4.384976526</v>
      </c>
      <c r="BS864" s="153">
        <v>45.55</v>
      </c>
      <c r="BU864" s="136">
        <v>21.29</v>
      </c>
    </row>
    <row r="865" spans="1:73">
      <c r="A865" s="154" t="s">
        <v>7796</v>
      </c>
      <c r="B865" t="s">
        <v>259</v>
      </c>
      <c r="C865" t="s">
        <v>7982</v>
      </c>
      <c r="E865" s="113">
        <v>1</v>
      </c>
      <c r="F865" s="113">
        <v>62</v>
      </c>
      <c r="S865" s="153">
        <v>1140.7065439999999</v>
      </c>
      <c r="Y865" s="136">
        <v>599.72</v>
      </c>
      <c r="AA865" s="153">
        <v>53278.61</v>
      </c>
      <c r="AC865">
        <v>25.76</v>
      </c>
      <c r="AG865" s="225">
        <v>4.8347107439999997</v>
      </c>
      <c r="BS865" s="153">
        <v>44.28</v>
      </c>
      <c r="BU865" s="136">
        <v>23.28</v>
      </c>
    </row>
    <row r="866" spans="1:73">
      <c r="A866" s="154" t="s">
        <v>7797</v>
      </c>
      <c r="B866" t="s">
        <v>257</v>
      </c>
      <c r="C866" t="s">
        <v>405</v>
      </c>
      <c r="E866" s="113">
        <v>5</v>
      </c>
      <c r="F866" s="113">
        <v>19</v>
      </c>
      <c r="S866" s="153">
        <v>1393.6340580000001</v>
      </c>
      <c r="Y866" s="136">
        <v>620.03</v>
      </c>
      <c r="AA866" s="153">
        <v>57658.83</v>
      </c>
      <c r="AC866">
        <v>28.7</v>
      </c>
      <c r="AG866" s="225">
        <v>4.9781659390000002</v>
      </c>
      <c r="BS866" s="153">
        <v>48.55</v>
      </c>
      <c r="BU866" s="136">
        <v>21.6</v>
      </c>
    </row>
    <row r="867" spans="1:73">
      <c r="A867" s="154" t="s">
        <v>7797</v>
      </c>
      <c r="B867" t="s">
        <v>259</v>
      </c>
      <c r="C867" t="s">
        <v>405</v>
      </c>
      <c r="E867" s="113">
        <v>10</v>
      </c>
      <c r="F867" s="113">
        <v>16</v>
      </c>
      <c r="S867" s="153">
        <v>1932.7099270000001</v>
      </c>
      <c r="Y867" s="136">
        <v>845.84</v>
      </c>
      <c r="AA867" s="153">
        <v>80119.570000000007</v>
      </c>
      <c r="AC867">
        <v>39.549999999999997</v>
      </c>
      <c r="AG867" s="225">
        <v>4.9357601710000001</v>
      </c>
      <c r="BS867" s="153">
        <v>48.87</v>
      </c>
      <c r="BU867" s="136">
        <v>21.39</v>
      </c>
    </row>
    <row r="868" spans="1:73">
      <c r="A868" s="154" t="s">
        <v>7797</v>
      </c>
      <c r="B868" t="s">
        <v>257</v>
      </c>
      <c r="C868" t="s">
        <v>7963</v>
      </c>
      <c r="E868" s="113">
        <v>9</v>
      </c>
      <c r="F868" s="113">
        <v>33</v>
      </c>
      <c r="S868" s="153">
        <v>1607.180899</v>
      </c>
      <c r="Y868" s="136">
        <v>696.47</v>
      </c>
      <c r="AA868" s="153">
        <v>63245.83</v>
      </c>
      <c r="AC868">
        <v>32.99</v>
      </c>
      <c r="AG868" s="225">
        <v>5.216400911</v>
      </c>
      <c r="BS868" s="153">
        <v>48.71</v>
      </c>
      <c r="BU868" s="136">
        <v>21.11</v>
      </c>
    </row>
    <row r="869" spans="1:73">
      <c r="A869" s="154" t="s">
        <v>7797</v>
      </c>
      <c r="B869" t="s">
        <v>259</v>
      </c>
      <c r="C869" t="s">
        <v>7963</v>
      </c>
      <c r="E869" s="113">
        <v>16</v>
      </c>
      <c r="F869" s="113">
        <v>53</v>
      </c>
      <c r="S869" s="153">
        <v>1240.8987990000001</v>
      </c>
      <c r="Y869" s="136">
        <v>583.80999999999995</v>
      </c>
      <c r="AA869" s="153">
        <v>48757.73</v>
      </c>
      <c r="AC869">
        <v>25.84</v>
      </c>
      <c r="AG869" s="225">
        <v>5.2996474740000004</v>
      </c>
      <c r="BS869" s="153">
        <v>48.02</v>
      </c>
      <c r="BU869" s="136">
        <v>22.59</v>
      </c>
    </row>
    <row r="870" spans="1:73">
      <c r="A870" s="154" t="s">
        <v>7797</v>
      </c>
      <c r="B870" t="s">
        <v>257</v>
      </c>
      <c r="C870" t="s">
        <v>7964</v>
      </c>
      <c r="E870" s="113">
        <v>13</v>
      </c>
      <c r="F870" s="113">
        <v>24</v>
      </c>
      <c r="S870" s="153">
        <v>1396.1459910000001</v>
      </c>
      <c r="Y870" s="136">
        <v>601.96</v>
      </c>
      <c r="AA870" s="153">
        <v>58950.73</v>
      </c>
      <c r="AC870">
        <v>28.58</v>
      </c>
      <c r="AG870" s="225">
        <v>4.8488008340000004</v>
      </c>
      <c r="BS870" s="153">
        <v>48.84</v>
      </c>
      <c r="BU870" s="136">
        <v>21.06</v>
      </c>
    </row>
    <row r="871" spans="1:73">
      <c r="A871" s="154" t="s">
        <v>7797</v>
      </c>
      <c r="B871" t="s">
        <v>259</v>
      </c>
      <c r="C871" t="s">
        <v>7964</v>
      </c>
      <c r="E871" s="113">
        <v>18</v>
      </c>
      <c r="F871" s="113">
        <v>6</v>
      </c>
      <c r="S871" s="153">
        <v>1489.784165</v>
      </c>
      <c r="Y871" s="136">
        <v>728.58</v>
      </c>
      <c r="AA871" s="153">
        <v>59784.25</v>
      </c>
      <c r="AC871">
        <v>31.44</v>
      </c>
      <c r="AG871" s="225">
        <v>5.258426966</v>
      </c>
      <c r="BS871" s="153">
        <v>47.39</v>
      </c>
      <c r="BU871" s="136">
        <v>23.18</v>
      </c>
    </row>
    <row r="872" spans="1:73">
      <c r="A872" s="154" t="s">
        <v>7797</v>
      </c>
      <c r="B872" t="s">
        <v>257</v>
      </c>
      <c r="C872" t="s">
        <v>7982</v>
      </c>
      <c r="E872" s="113">
        <v>2</v>
      </c>
      <c r="F872" s="113">
        <v>3</v>
      </c>
      <c r="S872" s="153">
        <v>1354.35274</v>
      </c>
      <c r="Y872" s="136">
        <v>586.64</v>
      </c>
      <c r="AA872" s="153">
        <v>56894.22</v>
      </c>
      <c r="AC872">
        <v>27.74</v>
      </c>
      <c r="AG872" s="225">
        <v>4.8757763980000002</v>
      </c>
      <c r="BS872" s="153">
        <v>48.82</v>
      </c>
      <c r="BU872" s="136">
        <v>21.15</v>
      </c>
    </row>
    <row r="873" spans="1:73">
      <c r="A873" s="154" t="s">
        <v>7797</v>
      </c>
      <c r="B873" t="s">
        <v>259</v>
      </c>
      <c r="C873" t="s">
        <v>7982</v>
      </c>
      <c r="E873" s="113">
        <v>2</v>
      </c>
      <c r="F873" s="113">
        <v>45</v>
      </c>
      <c r="S873" s="153">
        <v>1576.981616</v>
      </c>
      <c r="Y873" s="136">
        <v>764.69</v>
      </c>
      <c r="AA873" s="153">
        <v>65673.61</v>
      </c>
      <c r="AC873">
        <v>33.340000000000003</v>
      </c>
      <c r="AG873" s="225">
        <v>5.0759219089999998</v>
      </c>
      <c r="BS873" s="153">
        <v>47.31</v>
      </c>
      <c r="BU873" s="136">
        <v>22.94</v>
      </c>
    </row>
    <row r="874" spans="1:73">
      <c r="A874" s="154" t="s">
        <v>7884</v>
      </c>
      <c r="B874" t="s">
        <v>257</v>
      </c>
      <c r="C874" t="s">
        <v>405</v>
      </c>
      <c r="E874" s="113">
        <v>6</v>
      </c>
      <c r="F874" s="113">
        <v>25</v>
      </c>
      <c r="S874" s="153">
        <v>1155.337078</v>
      </c>
      <c r="Y874" s="136">
        <v>522.22</v>
      </c>
      <c r="AA874" s="153">
        <v>47687.71</v>
      </c>
      <c r="AC874">
        <v>23.9</v>
      </c>
      <c r="AG874" s="225">
        <v>5.0109649120000004</v>
      </c>
      <c r="BS874" s="153">
        <v>48.35</v>
      </c>
      <c r="BU874" s="136">
        <v>21.85</v>
      </c>
    </row>
    <row r="875" spans="1:73">
      <c r="A875" s="154" t="s">
        <v>7884</v>
      </c>
      <c r="B875" t="s">
        <v>259</v>
      </c>
      <c r="C875" t="s">
        <v>405</v>
      </c>
      <c r="E875" s="113">
        <v>11</v>
      </c>
      <c r="F875" s="113">
        <v>30</v>
      </c>
      <c r="S875" s="153">
        <v>1846.68587</v>
      </c>
      <c r="Y875" s="136">
        <v>834.39</v>
      </c>
      <c r="AA875" s="153">
        <v>75489.399999999994</v>
      </c>
      <c r="AC875">
        <v>37.909999999999997</v>
      </c>
      <c r="AG875" s="225">
        <v>5.0217864920000004</v>
      </c>
      <c r="BS875" s="153">
        <v>48.71</v>
      </c>
      <c r="BU875" s="136">
        <v>22.01</v>
      </c>
    </row>
    <row r="876" spans="1:73">
      <c r="A876" s="154" t="s">
        <v>7884</v>
      </c>
      <c r="B876" t="s">
        <v>257</v>
      </c>
      <c r="C876" t="s">
        <v>7963</v>
      </c>
      <c r="E876" s="113">
        <v>10</v>
      </c>
      <c r="F876" s="113">
        <v>42</v>
      </c>
      <c r="S876" s="153">
        <v>1604.286926</v>
      </c>
      <c r="Y876" s="136">
        <v>710.28</v>
      </c>
      <c r="AA876" s="153">
        <v>65917.87</v>
      </c>
      <c r="AC876">
        <v>32.85</v>
      </c>
      <c r="AG876" s="225">
        <v>4.98392283</v>
      </c>
      <c r="BS876" s="153">
        <v>48.83</v>
      </c>
      <c r="BU876" s="136">
        <v>21.62</v>
      </c>
    </row>
    <row r="877" spans="1:73">
      <c r="A877" s="154" t="s">
        <v>7884</v>
      </c>
      <c r="B877" t="s">
        <v>259</v>
      </c>
      <c r="C877" t="s">
        <v>7963</v>
      </c>
      <c r="E877" s="113">
        <v>13</v>
      </c>
      <c r="F877" s="113">
        <v>50</v>
      </c>
      <c r="S877" s="153">
        <v>1608.3415640000001</v>
      </c>
      <c r="Y877" s="136">
        <v>708.68</v>
      </c>
      <c r="AA877" s="153">
        <v>66044.2</v>
      </c>
      <c r="AC877">
        <v>32.630000000000003</v>
      </c>
      <c r="AG877" s="225">
        <v>4.941302028</v>
      </c>
      <c r="BS877" s="153">
        <v>49.28</v>
      </c>
      <c r="BU877" s="136">
        <v>21.72</v>
      </c>
    </row>
    <row r="878" spans="1:73">
      <c r="A878" s="154" t="s">
        <v>7884</v>
      </c>
      <c r="B878" t="s">
        <v>257</v>
      </c>
      <c r="C878" t="s">
        <v>7964</v>
      </c>
      <c r="E878" s="113">
        <v>16</v>
      </c>
      <c r="F878" s="113">
        <v>7</v>
      </c>
      <c r="S878" s="153">
        <v>1788.6067860000001</v>
      </c>
      <c r="Y878" s="136">
        <v>776.26</v>
      </c>
      <c r="AA878" s="153">
        <v>73027.789999999994</v>
      </c>
      <c r="AC878">
        <v>36.51</v>
      </c>
      <c r="AG878" s="225">
        <v>5</v>
      </c>
      <c r="BS878" s="153">
        <v>48.98</v>
      </c>
      <c r="BU878" s="136">
        <v>21.26</v>
      </c>
    </row>
    <row r="879" spans="1:73">
      <c r="A879" s="154" t="s">
        <v>7884</v>
      </c>
      <c r="B879" t="s">
        <v>259</v>
      </c>
      <c r="C879" t="s">
        <v>7964</v>
      </c>
      <c r="E879" s="113">
        <v>19</v>
      </c>
      <c r="F879" s="113">
        <v>11</v>
      </c>
      <c r="S879" s="153">
        <v>1491.772884</v>
      </c>
      <c r="Y879" s="136">
        <v>690.56</v>
      </c>
      <c r="AA879" s="153">
        <v>65139.35</v>
      </c>
      <c r="AC879">
        <v>31.31</v>
      </c>
      <c r="AG879" s="225">
        <v>4.8070907189999996</v>
      </c>
      <c r="BS879" s="153">
        <v>47.64</v>
      </c>
      <c r="BU879" s="136">
        <v>22.05</v>
      </c>
    </row>
    <row r="880" spans="1:73">
      <c r="A880" s="154" t="s">
        <v>7884</v>
      </c>
      <c r="B880" t="s">
        <v>257</v>
      </c>
      <c r="C880" t="s">
        <v>7982</v>
      </c>
      <c r="E880" s="113">
        <v>1</v>
      </c>
      <c r="F880" s="113">
        <v>26</v>
      </c>
      <c r="S880" s="153">
        <v>1480.8768869999999</v>
      </c>
      <c r="Y880" s="136">
        <v>655.05999999999995</v>
      </c>
      <c r="AA880" s="153">
        <v>62359.82</v>
      </c>
      <c r="AC880">
        <v>30.85</v>
      </c>
      <c r="AG880" s="225">
        <v>4.9474789919999997</v>
      </c>
      <c r="BS880" s="153">
        <v>48</v>
      </c>
      <c r="BU880" s="136">
        <v>21.23</v>
      </c>
    </row>
    <row r="881" spans="1:73">
      <c r="A881" s="154" t="s">
        <v>7884</v>
      </c>
      <c r="B881" t="s">
        <v>259</v>
      </c>
      <c r="C881" t="s">
        <v>7982</v>
      </c>
      <c r="E881" s="113">
        <v>4</v>
      </c>
      <c r="F881" s="113">
        <v>44</v>
      </c>
      <c r="S881" s="153">
        <v>1826.0798729999999</v>
      </c>
      <c r="Y881" s="136">
        <v>820.7</v>
      </c>
      <c r="AA881" s="153">
        <v>74100.37</v>
      </c>
      <c r="AC881">
        <v>37.82</v>
      </c>
      <c r="AG881" s="225">
        <v>5.103373232</v>
      </c>
      <c r="BS881" s="153">
        <v>48.29</v>
      </c>
      <c r="BU881" s="136">
        <v>21.7</v>
      </c>
    </row>
    <row r="882" spans="1:73">
      <c r="A882" s="154" t="s">
        <v>7885</v>
      </c>
      <c r="B882" t="s">
        <v>257</v>
      </c>
      <c r="C882" t="s">
        <v>405</v>
      </c>
      <c r="E882" s="113">
        <v>7</v>
      </c>
      <c r="F882" s="113">
        <v>31</v>
      </c>
      <c r="S882" s="153">
        <v>1616.95622</v>
      </c>
      <c r="Y882" s="136">
        <v>713.27</v>
      </c>
      <c r="AA882" s="153">
        <v>71091.92</v>
      </c>
      <c r="AC882">
        <v>33.71</v>
      </c>
      <c r="AG882" s="225">
        <v>4.7412008280000002</v>
      </c>
      <c r="BS882" s="153">
        <v>47.97</v>
      </c>
      <c r="BU882" s="136">
        <v>21.16</v>
      </c>
    </row>
    <row r="883" spans="1:73">
      <c r="A883" s="154" t="s">
        <v>7885</v>
      </c>
      <c r="B883" t="s">
        <v>259</v>
      </c>
      <c r="C883" t="s">
        <v>405</v>
      </c>
      <c r="E883" s="113">
        <v>9</v>
      </c>
      <c r="F883" s="113">
        <v>22</v>
      </c>
      <c r="S883" s="153">
        <v>1902.3348390000001</v>
      </c>
      <c r="Y883" s="136">
        <v>823.74</v>
      </c>
      <c r="AA883" s="153">
        <v>85558.31</v>
      </c>
      <c r="AC883">
        <v>39.67</v>
      </c>
      <c r="AG883" s="225">
        <v>4.6366427840000002</v>
      </c>
      <c r="BS883" s="153">
        <v>47.95</v>
      </c>
      <c r="BU883" s="136">
        <v>20.76</v>
      </c>
    </row>
    <row r="884" spans="1:73">
      <c r="A884" s="154" t="s">
        <v>7885</v>
      </c>
      <c r="B884" t="s">
        <v>257</v>
      </c>
      <c r="C884" t="s">
        <v>7963</v>
      </c>
      <c r="E884" s="113">
        <v>9</v>
      </c>
      <c r="F884" s="113">
        <v>63</v>
      </c>
      <c r="S884" s="153">
        <v>1433.372912</v>
      </c>
      <c r="Y884" s="136">
        <v>597.65</v>
      </c>
      <c r="AA884" s="153">
        <v>60005.88</v>
      </c>
      <c r="AC884">
        <v>29.56</v>
      </c>
      <c r="AG884" s="225">
        <v>4.9261603379999999</v>
      </c>
      <c r="BS884" s="153">
        <v>48.49</v>
      </c>
      <c r="BU884" s="136">
        <v>20.22</v>
      </c>
    </row>
    <row r="885" spans="1:73">
      <c r="A885" s="154" t="s">
        <v>7885</v>
      </c>
      <c r="B885" t="s">
        <v>259</v>
      </c>
      <c r="C885" t="s">
        <v>7963</v>
      </c>
      <c r="E885" s="113">
        <v>14</v>
      </c>
      <c r="F885" s="113">
        <v>54</v>
      </c>
      <c r="S885" s="153">
        <v>1544.6865760000001</v>
      </c>
      <c r="Y885" s="136">
        <v>680.34</v>
      </c>
      <c r="AA885" s="153">
        <v>66646.89</v>
      </c>
      <c r="AC885">
        <v>32.340000000000003</v>
      </c>
      <c r="AG885" s="225">
        <v>4.8523206749999996</v>
      </c>
      <c r="BS885" s="153">
        <v>47.77</v>
      </c>
      <c r="BU885" s="136">
        <v>21.04</v>
      </c>
    </row>
    <row r="886" spans="1:73">
      <c r="A886" s="154" t="s">
        <v>7885</v>
      </c>
      <c r="B886" t="s">
        <v>257</v>
      </c>
      <c r="C886" t="s">
        <v>7964</v>
      </c>
      <c r="E886" s="113">
        <v>13</v>
      </c>
      <c r="F886" s="113">
        <v>3</v>
      </c>
      <c r="S886" s="153">
        <v>1506.717903</v>
      </c>
      <c r="Y886" s="136">
        <v>657.07</v>
      </c>
      <c r="AA886" s="153">
        <v>67728.820000000007</v>
      </c>
      <c r="AC886">
        <v>31.58</v>
      </c>
      <c r="AG886" s="225">
        <v>4.662638469</v>
      </c>
      <c r="BS886" s="153">
        <v>47.71</v>
      </c>
      <c r="BU886" s="136">
        <v>20.81</v>
      </c>
    </row>
    <row r="887" spans="1:73">
      <c r="A887" s="154" t="s">
        <v>7885</v>
      </c>
      <c r="B887" t="s">
        <v>259</v>
      </c>
      <c r="C887" t="s">
        <v>7964</v>
      </c>
      <c r="E887" s="113">
        <v>21</v>
      </c>
      <c r="F887" s="113">
        <v>17</v>
      </c>
      <c r="S887" s="153">
        <v>1223.947181</v>
      </c>
      <c r="Y887" s="136">
        <v>589.37</v>
      </c>
      <c r="AA887" s="153">
        <v>54603.03</v>
      </c>
      <c r="AC887">
        <v>26.34</v>
      </c>
      <c r="AG887" s="225">
        <v>4.823651452</v>
      </c>
      <c r="BS887" s="153">
        <v>46.47</v>
      </c>
      <c r="BU887" s="136">
        <v>22.38</v>
      </c>
    </row>
    <row r="888" spans="1:73">
      <c r="A888" s="154" t="s">
        <v>7885</v>
      </c>
      <c r="B888" t="s">
        <v>257</v>
      </c>
      <c r="C888" t="s">
        <v>7982</v>
      </c>
      <c r="E888" s="113">
        <v>4</v>
      </c>
      <c r="F888" s="113">
        <v>22</v>
      </c>
      <c r="S888" s="153">
        <v>1458.686749</v>
      </c>
      <c r="Y888" s="136">
        <v>587.91</v>
      </c>
      <c r="AA888" s="153">
        <v>61483.62</v>
      </c>
      <c r="AC888">
        <v>30.1</v>
      </c>
      <c r="AG888" s="225">
        <v>4.8958333329999997</v>
      </c>
      <c r="BS888" s="153">
        <v>48.46</v>
      </c>
      <c r="BU888" s="136">
        <v>19.53</v>
      </c>
    </row>
    <row r="889" spans="1:73">
      <c r="A889" s="154" t="s">
        <v>7885</v>
      </c>
      <c r="B889" t="s">
        <v>259</v>
      </c>
      <c r="C889" t="s">
        <v>7982</v>
      </c>
      <c r="E889" s="113">
        <v>4</v>
      </c>
      <c r="F889" s="113">
        <v>52</v>
      </c>
      <c r="S889" s="153">
        <v>1614.1523110000001</v>
      </c>
      <c r="Y889" s="136">
        <v>724.71</v>
      </c>
      <c r="AA889" s="153">
        <v>84737.86</v>
      </c>
      <c r="AC889">
        <v>34.270000000000003</v>
      </c>
      <c r="AG889" s="225">
        <v>4.0447504299999997</v>
      </c>
      <c r="BS889" s="153">
        <v>47.1</v>
      </c>
      <c r="BU889" s="136">
        <v>21.14</v>
      </c>
    </row>
    <row r="890" spans="1:73">
      <c r="A890" s="154" t="s">
        <v>7798</v>
      </c>
      <c r="B890" t="s">
        <v>257</v>
      </c>
      <c r="C890" t="s">
        <v>405</v>
      </c>
      <c r="E890" s="113">
        <v>5</v>
      </c>
      <c r="F890" s="113">
        <v>26</v>
      </c>
      <c r="S890" s="153">
        <v>1197.5428870000001</v>
      </c>
      <c r="Y890" s="136">
        <v>557.87</v>
      </c>
      <c r="AA890" s="153">
        <v>59387.99</v>
      </c>
      <c r="AC890">
        <v>25.38</v>
      </c>
      <c r="AG890" s="225">
        <v>4.2736644799999999</v>
      </c>
      <c r="BS890" s="153">
        <v>47.18</v>
      </c>
      <c r="BU890" s="136">
        <v>21.98</v>
      </c>
    </row>
    <row r="891" spans="1:73">
      <c r="A891" s="154" t="s">
        <v>7798</v>
      </c>
      <c r="B891" t="s">
        <v>259</v>
      </c>
      <c r="C891" t="s">
        <v>405</v>
      </c>
      <c r="E891" s="113">
        <v>11</v>
      </c>
      <c r="F891" s="113">
        <v>13</v>
      </c>
      <c r="S891" s="153">
        <v>1386.995381</v>
      </c>
      <c r="Y891" s="136">
        <v>660.64</v>
      </c>
      <c r="AA891" s="153">
        <v>67659.22</v>
      </c>
      <c r="AC891">
        <v>29.89</v>
      </c>
      <c r="AG891" s="225">
        <v>4.4174757280000003</v>
      </c>
      <c r="BS891" s="153">
        <v>46.41</v>
      </c>
      <c r="BU891" s="136">
        <v>22.1</v>
      </c>
    </row>
    <row r="892" spans="1:73">
      <c r="A892" s="154" t="s">
        <v>7798</v>
      </c>
      <c r="B892" t="s">
        <v>257</v>
      </c>
      <c r="C892" t="s">
        <v>7963</v>
      </c>
      <c r="E892" s="113">
        <v>9</v>
      </c>
      <c r="F892" s="113">
        <v>64</v>
      </c>
      <c r="S892" s="153">
        <v>1137.2268650000001</v>
      </c>
      <c r="Y892" s="136">
        <v>509.91</v>
      </c>
      <c r="AA892" s="153">
        <v>55490.54</v>
      </c>
      <c r="AC892">
        <v>23.9</v>
      </c>
      <c r="AG892" s="225">
        <v>4.3072573040000002</v>
      </c>
      <c r="BS892" s="153">
        <v>47.58</v>
      </c>
      <c r="BU892" s="136">
        <v>21.33</v>
      </c>
    </row>
    <row r="893" spans="1:73">
      <c r="A893" s="154" t="s">
        <v>7798</v>
      </c>
      <c r="B893" t="s">
        <v>259</v>
      </c>
      <c r="C893" t="s">
        <v>7963</v>
      </c>
      <c r="E893" s="113">
        <v>13</v>
      </c>
      <c r="F893" s="113">
        <v>42</v>
      </c>
      <c r="S893" s="153">
        <v>1350.099201</v>
      </c>
      <c r="Y893" s="136">
        <v>653.07000000000005</v>
      </c>
      <c r="AA893" s="153">
        <v>63279.96</v>
      </c>
      <c r="AC893">
        <v>28.57</v>
      </c>
      <c r="AG893" s="225">
        <v>4.5142296369999997</v>
      </c>
      <c r="BS893" s="153">
        <v>47.26</v>
      </c>
      <c r="BU893" s="136">
        <v>22.86</v>
      </c>
    </row>
    <row r="894" spans="1:73">
      <c r="A894" s="154" t="s">
        <v>7798</v>
      </c>
      <c r="B894" t="s">
        <v>257</v>
      </c>
      <c r="C894" t="s">
        <v>7964</v>
      </c>
      <c r="E894" s="113">
        <v>13</v>
      </c>
      <c r="F894" s="113">
        <v>19</v>
      </c>
      <c r="S894" s="153">
        <v>1129.3218099999999</v>
      </c>
      <c r="Y894" s="136">
        <v>565.72</v>
      </c>
      <c r="AA894" s="153">
        <v>58275.74</v>
      </c>
      <c r="AC894">
        <v>25.19</v>
      </c>
      <c r="AG894" s="225">
        <v>4.3233082710000001</v>
      </c>
      <c r="BS894" s="153">
        <v>44.82</v>
      </c>
      <c r="BU894" s="136">
        <v>22.45</v>
      </c>
    </row>
    <row r="895" spans="1:73">
      <c r="A895" s="154" t="s">
        <v>7798</v>
      </c>
      <c r="B895" t="s">
        <v>259</v>
      </c>
      <c r="C895" t="s">
        <v>7964</v>
      </c>
      <c r="E895" s="113">
        <v>20</v>
      </c>
      <c r="F895" s="113">
        <v>20</v>
      </c>
      <c r="S895" s="153">
        <v>1026.8474639999999</v>
      </c>
      <c r="Y895" s="136">
        <v>538.65</v>
      </c>
      <c r="AA895" s="153">
        <v>52614.49</v>
      </c>
      <c r="AC895">
        <v>22.98</v>
      </c>
      <c r="AG895" s="225">
        <v>4.3684710349999998</v>
      </c>
      <c r="BS895" s="153">
        <v>44.68</v>
      </c>
      <c r="BU895" s="136">
        <v>23.44</v>
      </c>
    </row>
    <row r="896" spans="1:73">
      <c r="A896" s="154" t="s">
        <v>7798</v>
      </c>
      <c r="B896" t="s">
        <v>257</v>
      </c>
      <c r="C896" t="s">
        <v>7982</v>
      </c>
      <c r="E896" s="113">
        <v>4</v>
      </c>
      <c r="F896" s="113">
        <v>8</v>
      </c>
      <c r="S896" s="153">
        <v>1220.0172849999999</v>
      </c>
      <c r="Y896" s="136">
        <v>561.20000000000005</v>
      </c>
      <c r="AA896" s="153">
        <v>52781.38</v>
      </c>
      <c r="AC896">
        <v>26.08</v>
      </c>
      <c r="AG896" s="225">
        <v>4.941302028</v>
      </c>
      <c r="BS896" s="153">
        <v>46.78</v>
      </c>
      <c r="BU896" s="136">
        <v>21.52</v>
      </c>
    </row>
    <row r="897" spans="1:73">
      <c r="A897" s="154" t="s">
        <v>7798</v>
      </c>
      <c r="B897" t="s">
        <v>259</v>
      </c>
      <c r="C897" t="s">
        <v>7982</v>
      </c>
      <c r="E897" s="113">
        <v>4</v>
      </c>
      <c r="F897" s="113">
        <v>33</v>
      </c>
      <c r="S897" s="153">
        <v>1276.782907</v>
      </c>
      <c r="Y897" s="136">
        <v>671.59</v>
      </c>
      <c r="AA897" s="153">
        <v>61028.58</v>
      </c>
      <c r="AC897">
        <v>28.5</v>
      </c>
      <c r="AG897" s="225">
        <v>4.6693386769999998</v>
      </c>
      <c r="BS897" s="153">
        <v>44.81</v>
      </c>
      <c r="BU897" s="136">
        <v>23.57</v>
      </c>
    </row>
    <row r="898" spans="1:73">
      <c r="A898" s="154" t="s">
        <v>7799</v>
      </c>
      <c r="B898" t="s">
        <v>257</v>
      </c>
      <c r="C898" t="s">
        <v>405</v>
      </c>
      <c r="E898" s="113">
        <v>7</v>
      </c>
      <c r="F898" s="113">
        <v>27</v>
      </c>
      <c r="S898" s="153">
        <v>1559.8370580000001</v>
      </c>
      <c r="Y898" s="136">
        <v>655.08000000000004</v>
      </c>
      <c r="AA898" s="153">
        <v>59870.19</v>
      </c>
      <c r="AC898">
        <v>32.61</v>
      </c>
      <c r="AG898" s="225">
        <v>5.4469606669999999</v>
      </c>
      <c r="BS898" s="153">
        <v>47.83</v>
      </c>
      <c r="BU898" s="136">
        <v>20.09</v>
      </c>
    </row>
    <row r="899" spans="1:73">
      <c r="A899" s="154" t="s">
        <v>7799</v>
      </c>
      <c r="B899" t="s">
        <v>259</v>
      </c>
      <c r="C899" t="s">
        <v>405</v>
      </c>
      <c r="E899" s="113">
        <v>12</v>
      </c>
      <c r="F899" s="113">
        <v>15</v>
      </c>
      <c r="S899" s="153">
        <v>1790.4439669999999</v>
      </c>
      <c r="Y899" s="136">
        <v>795.26</v>
      </c>
      <c r="AA899" s="153">
        <v>71316.81</v>
      </c>
      <c r="AC899">
        <v>37.909999999999997</v>
      </c>
      <c r="AG899" s="225">
        <v>5.3161592510000002</v>
      </c>
      <c r="BS899" s="153">
        <v>47.22</v>
      </c>
      <c r="BU899" s="136">
        <v>20.98</v>
      </c>
    </row>
    <row r="900" spans="1:73">
      <c r="A900" s="154" t="s">
        <v>7799</v>
      </c>
      <c r="B900" t="s">
        <v>257</v>
      </c>
      <c r="C900" t="s">
        <v>7963</v>
      </c>
      <c r="E900" s="113">
        <v>12</v>
      </c>
      <c r="F900" s="113">
        <v>61</v>
      </c>
      <c r="S900" s="153">
        <v>1635.7124120000001</v>
      </c>
      <c r="Y900" s="136">
        <v>698.54</v>
      </c>
      <c r="AA900" s="153">
        <v>60730.84</v>
      </c>
      <c r="AC900">
        <v>34.01</v>
      </c>
      <c r="AG900" s="225">
        <v>5.6</v>
      </c>
      <c r="BS900" s="153">
        <v>48.1</v>
      </c>
      <c r="BU900" s="136">
        <v>20.54</v>
      </c>
    </row>
    <row r="901" spans="1:73">
      <c r="A901" s="154" t="s">
        <v>7799</v>
      </c>
      <c r="B901" t="s">
        <v>259</v>
      </c>
      <c r="C901" t="s">
        <v>7963</v>
      </c>
      <c r="E901" s="113">
        <v>14</v>
      </c>
      <c r="F901" s="113">
        <v>43</v>
      </c>
      <c r="S901" s="153">
        <v>1489.7882750000001</v>
      </c>
      <c r="Y901" s="136">
        <v>692.68</v>
      </c>
      <c r="AA901" s="153">
        <v>55423.33</v>
      </c>
      <c r="AC901">
        <v>31.56</v>
      </c>
      <c r="AG901" s="225">
        <v>5.695121951</v>
      </c>
      <c r="BS901" s="153">
        <v>47.2</v>
      </c>
      <c r="BU901" s="136">
        <v>21.95</v>
      </c>
    </row>
    <row r="902" spans="1:73">
      <c r="A902" s="154" t="s">
        <v>7799</v>
      </c>
      <c r="B902" t="s">
        <v>257</v>
      </c>
      <c r="C902" t="s">
        <v>7964</v>
      </c>
      <c r="E902" s="113">
        <v>15</v>
      </c>
      <c r="F902" s="113">
        <v>4</v>
      </c>
      <c r="S902" s="153">
        <v>1690.262888</v>
      </c>
      <c r="Y902" s="136">
        <v>735.32</v>
      </c>
      <c r="AA902" s="153">
        <v>64837.16</v>
      </c>
      <c r="AC902">
        <v>35.6</v>
      </c>
      <c r="AG902" s="225">
        <v>5.4904306219999999</v>
      </c>
      <c r="BS902" s="153">
        <v>47.48</v>
      </c>
      <c r="BU902" s="136">
        <v>20.66</v>
      </c>
    </row>
    <row r="903" spans="1:73">
      <c r="A903" s="154" t="s">
        <v>7799</v>
      </c>
      <c r="B903" t="s">
        <v>259</v>
      </c>
      <c r="C903" t="s">
        <v>7964</v>
      </c>
      <c r="E903" s="113">
        <v>21</v>
      </c>
      <c r="F903" s="113">
        <v>15</v>
      </c>
      <c r="S903" s="153">
        <v>1648.6127899999999</v>
      </c>
      <c r="Y903" s="136">
        <v>762.23</v>
      </c>
      <c r="AA903" s="153">
        <v>67892.61</v>
      </c>
      <c r="AC903">
        <v>35.14</v>
      </c>
      <c r="AG903" s="225">
        <v>5.1751412429999997</v>
      </c>
      <c r="BS903" s="153">
        <v>46.92</v>
      </c>
      <c r="BU903" s="136">
        <v>21.69</v>
      </c>
    </row>
    <row r="904" spans="1:73">
      <c r="A904" s="154" t="s">
        <v>7799</v>
      </c>
      <c r="B904" t="s">
        <v>257</v>
      </c>
      <c r="C904" t="s">
        <v>7982</v>
      </c>
      <c r="E904" s="113">
        <v>2</v>
      </c>
      <c r="F904" s="113">
        <v>31</v>
      </c>
      <c r="S904" s="153">
        <v>1719.100048</v>
      </c>
      <c r="Y904" s="136">
        <v>736.75</v>
      </c>
      <c r="AA904" s="153">
        <v>66286.66</v>
      </c>
      <c r="AC904">
        <v>35.86</v>
      </c>
      <c r="AG904" s="225">
        <v>5.4104046239999999</v>
      </c>
      <c r="BS904" s="153">
        <v>47.93</v>
      </c>
      <c r="BU904" s="136">
        <v>20.54</v>
      </c>
    </row>
    <row r="905" spans="1:73">
      <c r="A905" s="154" t="s">
        <v>7799</v>
      </c>
      <c r="B905" t="s">
        <v>259</v>
      </c>
      <c r="C905" t="s">
        <v>7982</v>
      </c>
      <c r="E905" s="113">
        <v>3</v>
      </c>
      <c r="F905" s="113">
        <v>49</v>
      </c>
      <c r="S905" s="153">
        <v>1561.9468199999999</v>
      </c>
      <c r="Y905" s="136">
        <v>753.9</v>
      </c>
      <c r="AA905" s="153">
        <v>82370.89</v>
      </c>
      <c r="AC905">
        <v>33.9</v>
      </c>
      <c r="AG905" s="225">
        <v>4.115082825</v>
      </c>
      <c r="BS905" s="153">
        <v>46.08</v>
      </c>
      <c r="BU905" s="136">
        <v>22.24</v>
      </c>
    </row>
    <row r="906" spans="1:73">
      <c r="A906" s="154" t="s">
        <v>7800</v>
      </c>
      <c r="B906" t="s">
        <v>257</v>
      </c>
      <c r="C906" t="s">
        <v>405</v>
      </c>
      <c r="E906" s="113">
        <v>7</v>
      </c>
      <c r="F906" s="113">
        <v>21</v>
      </c>
      <c r="S906" s="153">
        <v>1508.415307</v>
      </c>
      <c r="Y906" s="136">
        <v>647.86</v>
      </c>
      <c r="AA906" s="153">
        <v>65634.67</v>
      </c>
      <c r="AC906">
        <v>30.99</v>
      </c>
      <c r="AG906" s="225">
        <v>4.7213459520000001</v>
      </c>
      <c r="BS906" s="153">
        <v>48.68</v>
      </c>
      <c r="BU906" s="136">
        <v>20.91</v>
      </c>
    </row>
    <row r="907" spans="1:73">
      <c r="A907" s="154" t="s">
        <v>7800</v>
      </c>
      <c r="B907" t="s">
        <v>259</v>
      </c>
      <c r="C907" t="s">
        <v>405</v>
      </c>
      <c r="E907" s="113">
        <v>12</v>
      </c>
      <c r="F907" s="113">
        <v>20</v>
      </c>
      <c r="S907" s="153">
        <v>1714.0511690000001</v>
      </c>
      <c r="Y907" s="136">
        <v>729.69</v>
      </c>
      <c r="AA907" s="153">
        <v>76286.91</v>
      </c>
      <c r="AC907">
        <v>35.36</v>
      </c>
      <c r="AG907" s="225">
        <v>4.6356275299999998</v>
      </c>
      <c r="BS907" s="153">
        <v>48.47</v>
      </c>
      <c r="BU907" s="136">
        <v>20.63</v>
      </c>
    </row>
    <row r="908" spans="1:73">
      <c r="A908" s="154" t="s">
        <v>7800</v>
      </c>
      <c r="B908" t="s">
        <v>257</v>
      </c>
      <c r="C908" t="s">
        <v>7963</v>
      </c>
      <c r="E908" s="113">
        <v>10</v>
      </c>
      <c r="F908" s="113">
        <v>58</v>
      </c>
      <c r="S908" s="153">
        <v>1587.9149070000001</v>
      </c>
      <c r="Y908" s="136">
        <v>673.58</v>
      </c>
      <c r="AA908" s="153">
        <v>65971.929999999993</v>
      </c>
      <c r="AC908">
        <v>32.74</v>
      </c>
      <c r="AG908" s="225">
        <v>4.9630411829999996</v>
      </c>
      <c r="BS908" s="153">
        <v>48.5</v>
      </c>
      <c r="BU908" s="136">
        <v>20.57</v>
      </c>
    </row>
    <row r="909" spans="1:73">
      <c r="A909" s="154" t="s">
        <v>7800</v>
      </c>
      <c r="B909" t="s">
        <v>259</v>
      </c>
      <c r="C909" t="s">
        <v>7963</v>
      </c>
      <c r="E909" s="113">
        <v>14</v>
      </c>
      <c r="F909" s="113">
        <v>55</v>
      </c>
      <c r="S909" s="153">
        <v>1472.6448330000001</v>
      </c>
      <c r="Y909" s="136">
        <v>678.82</v>
      </c>
      <c r="AA909" s="153">
        <v>70177.77</v>
      </c>
      <c r="AC909">
        <v>31.32</v>
      </c>
      <c r="AG909" s="225">
        <v>4.462890625</v>
      </c>
      <c r="BS909" s="153">
        <v>47.02</v>
      </c>
      <c r="BU909" s="136">
        <v>21.67</v>
      </c>
    </row>
    <row r="910" spans="1:73">
      <c r="A910" s="154" t="s">
        <v>7800</v>
      </c>
      <c r="B910" t="s">
        <v>257</v>
      </c>
      <c r="C910" t="s">
        <v>7964</v>
      </c>
      <c r="E910" s="113">
        <v>13</v>
      </c>
      <c r="F910" s="113">
        <v>11</v>
      </c>
      <c r="S910" s="153">
        <v>1436.2885980000001</v>
      </c>
      <c r="Y910" s="136">
        <v>670.97</v>
      </c>
      <c r="AA910" s="153">
        <v>65101.52</v>
      </c>
      <c r="AC910">
        <v>30.41</v>
      </c>
      <c r="AG910" s="225">
        <v>4.6707193519999999</v>
      </c>
      <c r="BS910" s="153">
        <v>47.24</v>
      </c>
      <c r="BU910" s="136">
        <v>22.07</v>
      </c>
    </row>
    <row r="911" spans="1:73">
      <c r="A911" s="154" t="s">
        <v>7800</v>
      </c>
      <c r="B911" t="s">
        <v>259</v>
      </c>
      <c r="C911" t="s">
        <v>7964</v>
      </c>
      <c r="E911" s="113">
        <v>17</v>
      </c>
      <c r="F911" s="113">
        <v>14</v>
      </c>
      <c r="S911" s="153">
        <v>1717.0084549999999</v>
      </c>
      <c r="Y911" s="136">
        <v>780.4</v>
      </c>
      <c r="AA911" s="153">
        <v>71430.48</v>
      </c>
      <c r="AC911">
        <v>35.520000000000003</v>
      </c>
      <c r="AG911" s="225">
        <v>4.9732047159999997</v>
      </c>
      <c r="BS911" s="153">
        <v>48.33</v>
      </c>
      <c r="BU911" s="136">
        <v>21.97</v>
      </c>
    </row>
    <row r="912" spans="1:73">
      <c r="A912" s="154" t="s">
        <v>7800</v>
      </c>
      <c r="B912" t="s">
        <v>257</v>
      </c>
      <c r="C912" t="s">
        <v>7982</v>
      </c>
      <c r="E912" s="113">
        <v>3</v>
      </c>
      <c r="F912" s="113">
        <v>32</v>
      </c>
      <c r="S912" s="153">
        <v>1639.492236</v>
      </c>
      <c r="Y912" s="136">
        <v>724.2</v>
      </c>
      <c r="AA912" s="153">
        <v>66534.36</v>
      </c>
      <c r="AC912">
        <v>34.06</v>
      </c>
      <c r="AG912" s="225">
        <v>5.1195652169999999</v>
      </c>
      <c r="BS912" s="153">
        <v>48.13</v>
      </c>
      <c r="BU912" s="136">
        <v>21.26</v>
      </c>
    </row>
    <row r="913" spans="1:73">
      <c r="A913" s="154" t="s">
        <v>7800</v>
      </c>
      <c r="B913" t="s">
        <v>259</v>
      </c>
      <c r="C913" t="s">
        <v>7982</v>
      </c>
      <c r="E913" s="113">
        <v>3</v>
      </c>
      <c r="F913" s="113">
        <v>34</v>
      </c>
      <c r="S913" s="153">
        <v>1725.7420830000001</v>
      </c>
      <c r="Y913" s="136">
        <v>803.56</v>
      </c>
      <c r="AA913" s="153">
        <v>77896.19</v>
      </c>
      <c r="AC913">
        <v>36.520000000000003</v>
      </c>
      <c r="AG913" s="225">
        <v>4.687809713</v>
      </c>
      <c r="BS913" s="153">
        <v>47.26</v>
      </c>
      <c r="BU913" s="136">
        <v>22.01</v>
      </c>
    </row>
    <row r="914" spans="1:73">
      <c r="A914" s="154" t="s">
        <v>7860</v>
      </c>
      <c r="B914" t="s">
        <v>257</v>
      </c>
      <c r="C914" t="s">
        <v>405</v>
      </c>
      <c r="E914" s="113">
        <v>6</v>
      </c>
      <c r="F914" s="113">
        <v>22</v>
      </c>
      <c r="S914" s="153">
        <v>1054.5486519999999</v>
      </c>
      <c r="Y914" s="136">
        <v>484.42</v>
      </c>
      <c r="AA914" s="153">
        <v>49436.71</v>
      </c>
      <c r="AC914">
        <v>22.35</v>
      </c>
      <c r="AG914" s="225">
        <v>4.5219123510000001</v>
      </c>
      <c r="BS914" s="153">
        <v>47.17</v>
      </c>
      <c r="BU914" s="136">
        <v>21.67</v>
      </c>
    </row>
    <row r="915" spans="1:73">
      <c r="A915" s="154" t="s">
        <v>7860</v>
      </c>
      <c r="B915" t="s">
        <v>259</v>
      </c>
      <c r="C915" t="s">
        <v>405</v>
      </c>
      <c r="E915" s="113">
        <v>9</v>
      </c>
      <c r="F915" s="113">
        <v>1</v>
      </c>
      <c r="S915" s="153">
        <v>1054.778407</v>
      </c>
      <c r="Y915" s="136">
        <v>499.85</v>
      </c>
      <c r="AA915" s="153">
        <v>50830.05</v>
      </c>
      <c r="AC915">
        <v>22.49</v>
      </c>
      <c r="AG915" s="225">
        <v>4.4240077439999999</v>
      </c>
      <c r="BS915" s="153">
        <v>46.91</v>
      </c>
      <c r="BU915" s="136">
        <v>22.23</v>
      </c>
    </row>
    <row r="916" spans="1:73">
      <c r="A916" s="154" t="s">
        <v>7860</v>
      </c>
      <c r="B916" t="s">
        <v>257</v>
      </c>
      <c r="C916" t="s">
        <v>7963</v>
      </c>
      <c r="E916" s="113">
        <v>9</v>
      </c>
      <c r="F916" s="113">
        <v>41</v>
      </c>
      <c r="S916" s="153">
        <v>1162.3253689999999</v>
      </c>
      <c r="Y916" s="136">
        <v>523</v>
      </c>
      <c r="AA916" s="153">
        <v>50904.91</v>
      </c>
      <c r="AC916">
        <v>24.34</v>
      </c>
      <c r="AG916" s="225">
        <v>4.7821576759999997</v>
      </c>
      <c r="BS916" s="153">
        <v>47.75</v>
      </c>
      <c r="BU916" s="136">
        <v>21.48</v>
      </c>
    </row>
    <row r="917" spans="1:73">
      <c r="A917" s="154" t="s">
        <v>7860</v>
      </c>
      <c r="B917" t="s">
        <v>259</v>
      </c>
      <c r="C917" t="s">
        <v>7963</v>
      </c>
      <c r="E917" s="113">
        <v>13</v>
      </c>
      <c r="F917" s="113">
        <v>54</v>
      </c>
      <c r="S917" s="153">
        <v>1297.6947789999999</v>
      </c>
      <c r="Y917" s="136">
        <v>630.87</v>
      </c>
      <c r="AA917" s="153">
        <v>60878.07</v>
      </c>
      <c r="AC917">
        <v>27.96</v>
      </c>
      <c r="AG917" s="225">
        <v>4.5924453280000002</v>
      </c>
      <c r="BS917" s="153">
        <v>46.42</v>
      </c>
      <c r="BU917" s="136">
        <v>22.56</v>
      </c>
    </row>
    <row r="918" spans="1:73">
      <c r="A918" s="154" t="s">
        <v>7860</v>
      </c>
      <c r="B918" t="s">
        <v>257</v>
      </c>
      <c r="C918" t="s">
        <v>7964</v>
      </c>
      <c r="E918" s="113">
        <v>14</v>
      </c>
      <c r="F918" s="113">
        <v>25</v>
      </c>
      <c r="S918" s="153">
        <v>1200.401967</v>
      </c>
      <c r="Y918" s="136">
        <v>587.9</v>
      </c>
      <c r="AA918" s="153">
        <v>59168.76</v>
      </c>
      <c r="AC918">
        <v>26.1</v>
      </c>
      <c r="AG918" s="225">
        <v>4.410646388</v>
      </c>
      <c r="BS918" s="153">
        <v>46</v>
      </c>
      <c r="BU918" s="136">
        <v>22.53</v>
      </c>
    </row>
    <row r="919" spans="1:73">
      <c r="A919" s="154" t="s">
        <v>7860</v>
      </c>
      <c r="B919" t="s">
        <v>259</v>
      </c>
      <c r="C919" t="s">
        <v>7964</v>
      </c>
      <c r="E919" s="113">
        <v>17</v>
      </c>
      <c r="F919" s="113">
        <v>18</v>
      </c>
      <c r="S919" s="153">
        <v>1181.674475</v>
      </c>
      <c r="Y919" s="136">
        <v>581.16999999999996</v>
      </c>
      <c r="AA919" s="153">
        <v>56688.83</v>
      </c>
      <c r="AC919">
        <v>25.54</v>
      </c>
      <c r="AG919" s="225">
        <v>4.5052833809999999</v>
      </c>
      <c r="BS919" s="153">
        <v>46.27</v>
      </c>
      <c r="BU919" s="136">
        <v>22.76</v>
      </c>
    </row>
    <row r="920" spans="1:73">
      <c r="A920" s="154" t="s">
        <v>7860</v>
      </c>
      <c r="B920" t="s">
        <v>257</v>
      </c>
      <c r="C920" t="s">
        <v>7982</v>
      </c>
      <c r="E920" s="113">
        <v>3</v>
      </c>
      <c r="F920" s="113">
        <v>15</v>
      </c>
      <c r="S920" s="153">
        <v>1009.441457</v>
      </c>
      <c r="Y920" s="136">
        <v>472.44</v>
      </c>
      <c r="AA920" s="153">
        <v>45052.56</v>
      </c>
      <c r="AC920">
        <v>21.23</v>
      </c>
      <c r="AG920" s="225">
        <v>4.7129909369999998</v>
      </c>
      <c r="BS920" s="153">
        <v>47.54</v>
      </c>
      <c r="BU920" s="136">
        <v>22.25</v>
      </c>
    </row>
    <row r="921" spans="1:73">
      <c r="A921" s="154" t="s">
        <v>7860</v>
      </c>
      <c r="B921" t="s">
        <v>259</v>
      </c>
      <c r="C921" t="s">
        <v>7982</v>
      </c>
      <c r="E921" s="113">
        <v>2</v>
      </c>
      <c r="F921" s="113">
        <v>37</v>
      </c>
      <c r="S921" s="153">
        <v>953.70853439999996</v>
      </c>
      <c r="Y921" s="136">
        <v>499.56</v>
      </c>
      <c r="AA921" s="153">
        <v>53844.94</v>
      </c>
      <c r="AC921">
        <v>21.27</v>
      </c>
      <c r="AG921" s="225">
        <v>3.949579832</v>
      </c>
      <c r="BS921" s="153">
        <v>44.85</v>
      </c>
      <c r="BU921" s="136">
        <v>23.49</v>
      </c>
    </row>
    <row r="922" spans="1:73">
      <c r="A922" s="154" t="s">
        <v>7886</v>
      </c>
      <c r="B922" t="s">
        <v>257</v>
      </c>
      <c r="C922" t="s">
        <v>405</v>
      </c>
      <c r="E922" s="113">
        <v>8</v>
      </c>
      <c r="F922" s="113">
        <v>12</v>
      </c>
      <c r="S922" s="153">
        <v>1427.464434</v>
      </c>
      <c r="Y922" s="136">
        <v>667.49</v>
      </c>
      <c r="AA922" s="153">
        <v>63209.84</v>
      </c>
      <c r="AC922">
        <v>30.27</v>
      </c>
      <c r="AG922" s="225">
        <v>4.7890295360000001</v>
      </c>
      <c r="BS922" s="153">
        <v>47.16</v>
      </c>
      <c r="BU922" s="136">
        <v>22.05</v>
      </c>
    </row>
    <row r="923" spans="1:73">
      <c r="A923" s="154" t="s">
        <v>7886</v>
      </c>
      <c r="B923" t="s">
        <v>259</v>
      </c>
      <c r="C923" t="s">
        <v>405</v>
      </c>
      <c r="E923" s="113">
        <v>9</v>
      </c>
      <c r="F923" s="113">
        <v>2</v>
      </c>
      <c r="S923" s="153">
        <v>1531.2820119999999</v>
      </c>
      <c r="Y923" s="136">
        <v>709.93</v>
      </c>
      <c r="AA923" s="153">
        <v>67466.31</v>
      </c>
      <c r="AC923">
        <v>32.36</v>
      </c>
      <c r="AG923" s="225">
        <v>4.7966631910000004</v>
      </c>
      <c r="BS923" s="153">
        <v>47.32</v>
      </c>
      <c r="BU923" s="136">
        <v>21.94</v>
      </c>
    </row>
    <row r="924" spans="1:73">
      <c r="A924" s="154" t="s">
        <v>7886</v>
      </c>
      <c r="B924" t="s">
        <v>257</v>
      </c>
      <c r="C924" t="s">
        <v>7963</v>
      </c>
      <c r="E924" s="113">
        <v>12</v>
      </c>
      <c r="F924" s="113">
        <v>62</v>
      </c>
      <c r="S924" s="153">
        <v>1688.8350849999999</v>
      </c>
      <c r="Y924" s="136">
        <v>733.64</v>
      </c>
      <c r="AA924" s="153">
        <v>68004.399999999994</v>
      </c>
      <c r="AC924">
        <v>34.840000000000003</v>
      </c>
      <c r="AG924" s="225">
        <v>5.1233183860000002</v>
      </c>
      <c r="BS924" s="153">
        <v>48.47</v>
      </c>
      <c r="BU924" s="136">
        <v>21.06</v>
      </c>
    </row>
    <row r="925" spans="1:73">
      <c r="A925" s="154" t="s">
        <v>7886</v>
      </c>
      <c r="B925" t="s">
        <v>259</v>
      </c>
      <c r="C925" t="s">
        <v>7963</v>
      </c>
      <c r="E925" s="113">
        <v>13</v>
      </c>
      <c r="F925" s="113">
        <v>35</v>
      </c>
      <c r="S925" s="153">
        <v>1479.5611759999999</v>
      </c>
      <c r="Y925" s="136">
        <v>715.03</v>
      </c>
      <c r="AA925" s="153">
        <v>66799.31</v>
      </c>
      <c r="AC925">
        <v>32.04</v>
      </c>
      <c r="AG925" s="225">
        <v>4.7962382449999996</v>
      </c>
      <c r="BS925" s="153">
        <v>46.18</v>
      </c>
      <c r="BU925" s="136">
        <v>22.32</v>
      </c>
    </row>
    <row r="926" spans="1:73">
      <c r="A926" s="154" t="s">
        <v>7886</v>
      </c>
      <c r="B926" t="s">
        <v>257</v>
      </c>
      <c r="C926" t="s">
        <v>7964</v>
      </c>
      <c r="E926" s="113">
        <v>13</v>
      </c>
      <c r="F926" s="113">
        <v>6</v>
      </c>
      <c r="S926" s="153">
        <v>1413.571747</v>
      </c>
      <c r="Y926" s="136">
        <v>675.29</v>
      </c>
      <c r="AA926" s="153">
        <v>59500.02</v>
      </c>
      <c r="AC926">
        <v>30.38</v>
      </c>
      <c r="AG926" s="225">
        <v>5.1052048729999999</v>
      </c>
      <c r="BS926" s="153">
        <v>46.54</v>
      </c>
      <c r="BU926" s="136">
        <v>22.23</v>
      </c>
    </row>
    <row r="927" spans="1:73">
      <c r="A927" s="154" t="s">
        <v>7886</v>
      </c>
      <c r="B927" t="s">
        <v>259</v>
      </c>
      <c r="C927" t="s">
        <v>7964</v>
      </c>
      <c r="E927" s="113">
        <v>21</v>
      </c>
      <c r="F927" s="113">
        <v>14</v>
      </c>
      <c r="S927" s="153">
        <v>1651.77738</v>
      </c>
      <c r="Y927" s="136">
        <v>757.13</v>
      </c>
      <c r="AA927" s="153">
        <v>73205.61</v>
      </c>
      <c r="AC927">
        <v>35.28</v>
      </c>
      <c r="AG927" s="225">
        <v>4.8186528500000003</v>
      </c>
      <c r="BS927" s="153">
        <v>46.83</v>
      </c>
      <c r="BU927" s="136">
        <v>21.46</v>
      </c>
    </row>
    <row r="928" spans="1:73">
      <c r="A928" s="154" t="s">
        <v>7886</v>
      </c>
      <c r="B928" t="s">
        <v>257</v>
      </c>
      <c r="C928" t="s">
        <v>7982</v>
      </c>
      <c r="E928" s="113">
        <v>1</v>
      </c>
      <c r="F928" s="113">
        <v>28</v>
      </c>
      <c r="S928" s="153">
        <v>1504.9689530000001</v>
      </c>
      <c r="Y928" s="136">
        <v>658.27</v>
      </c>
      <c r="AA928" s="153">
        <v>63409.7</v>
      </c>
      <c r="AC928">
        <v>31.54</v>
      </c>
      <c r="AG928" s="225">
        <v>4.9734325190000002</v>
      </c>
      <c r="BS928" s="153">
        <v>47.72</v>
      </c>
      <c r="BU928" s="136">
        <v>20.87</v>
      </c>
    </row>
    <row r="929" spans="1:73">
      <c r="A929" s="154" t="s">
        <v>7886</v>
      </c>
      <c r="B929" t="s">
        <v>259</v>
      </c>
      <c r="C929" t="s">
        <v>7982</v>
      </c>
      <c r="E929" s="113">
        <v>1</v>
      </c>
      <c r="F929" s="113">
        <v>50</v>
      </c>
      <c r="S929" s="153">
        <v>1293.9420399999999</v>
      </c>
      <c r="Y929" s="136">
        <v>599.09</v>
      </c>
      <c r="AA929" s="153">
        <v>62081.83</v>
      </c>
      <c r="AC929">
        <v>27.7</v>
      </c>
      <c r="AG929" s="225">
        <v>4.4612476369999996</v>
      </c>
      <c r="BS929" s="153">
        <v>46.72</v>
      </c>
      <c r="BU929" s="136">
        <v>21.63</v>
      </c>
    </row>
    <row r="930" spans="1:73">
      <c r="A930" s="154" t="s">
        <v>7801</v>
      </c>
      <c r="B930" t="s">
        <v>257</v>
      </c>
      <c r="C930" t="s">
        <v>405</v>
      </c>
      <c r="E930" s="113">
        <v>6</v>
      </c>
      <c r="F930" s="113">
        <v>7</v>
      </c>
      <c r="S930" s="153">
        <v>1465.474739</v>
      </c>
      <c r="Y930" s="136">
        <v>666.72</v>
      </c>
      <c r="AA930" s="153">
        <v>66464.350000000006</v>
      </c>
      <c r="AC930">
        <v>31.22</v>
      </c>
      <c r="AG930" s="225">
        <v>4.6979166670000003</v>
      </c>
      <c r="BS930" s="153">
        <v>46.93</v>
      </c>
      <c r="BU930" s="136">
        <v>21.35</v>
      </c>
    </row>
    <row r="931" spans="1:73">
      <c r="A931" s="154" t="s">
        <v>7801</v>
      </c>
      <c r="B931" t="s">
        <v>259</v>
      </c>
      <c r="C931" t="s">
        <v>405</v>
      </c>
      <c r="E931" s="113">
        <v>9</v>
      </c>
      <c r="F931" s="113">
        <v>13</v>
      </c>
      <c r="S931" s="153">
        <v>1570.095098</v>
      </c>
      <c r="Y931" s="136">
        <v>733.37</v>
      </c>
      <c r="AA931" s="153">
        <v>71898.81</v>
      </c>
      <c r="AC931">
        <v>33.96</v>
      </c>
      <c r="AG931" s="225">
        <v>4.7227926079999998</v>
      </c>
      <c r="BS931" s="153">
        <v>46.24</v>
      </c>
      <c r="BU931" s="136">
        <v>21.6</v>
      </c>
    </row>
    <row r="932" spans="1:73">
      <c r="A932" s="154" t="s">
        <v>7801</v>
      </c>
      <c r="B932" t="s">
        <v>257</v>
      </c>
      <c r="C932" t="s">
        <v>7963</v>
      </c>
      <c r="E932" s="113">
        <v>9</v>
      </c>
      <c r="F932" s="113">
        <v>53</v>
      </c>
      <c r="S932" s="153">
        <v>1424.8173200000001</v>
      </c>
      <c r="Y932" s="136">
        <v>682.54</v>
      </c>
      <c r="AA932" s="153">
        <v>62705.81</v>
      </c>
      <c r="AC932">
        <v>30.65</v>
      </c>
      <c r="AG932" s="225">
        <v>4.8877005349999996</v>
      </c>
      <c r="BS932" s="153">
        <v>46.49</v>
      </c>
      <c r="BU932" s="136">
        <v>22.27</v>
      </c>
    </row>
    <row r="933" spans="1:73">
      <c r="A933" s="154" t="s">
        <v>7801</v>
      </c>
      <c r="B933" t="s">
        <v>259</v>
      </c>
      <c r="C933" t="s">
        <v>7963</v>
      </c>
      <c r="E933" s="113">
        <v>13</v>
      </c>
      <c r="F933" s="113">
        <v>41</v>
      </c>
      <c r="S933" s="153">
        <v>1459.724927</v>
      </c>
      <c r="Y933" s="136">
        <v>708.49</v>
      </c>
      <c r="AA933" s="153">
        <v>63830.96</v>
      </c>
      <c r="AC933">
        <v>31.78</v>
      </c>
      <c r="AG933" s="225">
        <v>4.978448276</v>
      </c>
      <c r="BS933" s="153">
        <v>45.94</v>
      </c>
      <c r="BU933" s="136">
        <v>22.3</v>
      </c>
    </row>
    <row r="934" spans="1:73">
      <c r="A934" s="154" t="s">
        <v>7801</v>
      </c>
      <c r="B934" t="s">
        <v>257</v>
      </c>
      <c r="C934" t="s">
        <v>7964</v>
      </c>
      <c r="E934" s="113">
        <v>14</v>
      </c>
      <c r="F934" s="113">
        <v>4</v>
      </c>
      <c r="S934" s="153">
        <v>1433.196185</v>
      </c>
      <c r="Y934" s="136">
        <v>715.17</v>
      </c>
      <c r="AA934" s="153">
        <v>65196.18</v>
      </c>
      <c r="AC934">
        <v>31.73</v>
      </c>
      <c r="AG934" s="225">
        <v>4.8674443270000003</v>
      </c>
      <c r="BS934" s="153">
        <v>45.16</v>
      </c>
      <c r="BU934" s="136">
        <v>22.54</v>
      </c>
    </row>
    <row r="935" spans="1:73">
      <c r="A935" s="154" t="s">
        <v>7801</v>
      </c>
      <c r="B935" t="s">
        <v>259</v>
      </c>
      <c r="C935" t="s">
        <v>7964</v>
      </c>
      <c r="E935" s="113">
        <v>20</v>
      </c>
      <c r="F935" s="113">
        <v>1</v>
      </c>
      <c r="S935" s="153">
        <v>1300.599874</v>
      </c>
      <c r="Y935" s="136">
        <v>688.09</v>
      </c>
      <c r="AA935" s="153">
        <v>65643.649999999994</v>
      </c>
      <c r="AC935">
        <v>29.37</v>
      </c>
      <c r="AG935" s="225">
        <v>4.473429952</v>
      </c>
      <c r="BS935" s="153">
        <v>44.29</v>
      </c>
      <c r="BU935" s="136">
        <v>23.43</v>
      </c>
    </row>
    <row r="936" spans="1:73">
      <c r="A936" s="154" t="s">
        <v>7801</v>
      </c>
      <c r="B936" t="s">
        <v>257</v>
      </c>
      <c r="C936" t="s">
        <v>7982</v>
      </c>
      <c r="E936" s="113">
        <v>20</v>
      </c>
      <c r="F936" s="113">
        <v>25</v>
      </c>
      <c r="S936" s="153">
        <v>1267.7040119999999</v>
      </c>
      <c r="Y936" s="136">
        <v>573.63</v>
      </c>
      <c r="AA936" s="153">
        <v>58622.21</v>
      </c>
      <c r="AC936">
        <v>26.99</v>
      </c>
      <c r="AG936" s="225">
        <v>4.6039603959999997</v>
      </c>
      <c r="BS936" s="153">
        <v>46.97</v>
      </c>
      <c r="BU936" s="136">
        <v>21.25</v>
      </c>
    </row>
    <row r="937" spans="1:73">
      <c r="A937" s="154" t="s">
        <v>7801</v>
      </c>
      <c r="B937" t="s">
        <v>259</v>
      </c>
      <c r="C937" t="s">
        <v>7982</v>
      </c>
      <c r="E937" s="113">
        <v>4</v>
      </c>
      <c r="F937" s="113">
        <v>18</v>
      </c>
      <c r="S937" s="153">
        <v>1523.8805130000001</v>
      </c>
      <c r="Y937" s="136">
        <v>761.53</v>
      </c>
      <c r="AA937" s="153">
        <v>73391.240000000005</v>
      </c>
      <c r="AC937">
        <v>33.75</v>
      </c>
      <c r="AG937" s="225">
        <v>4.5980392160000001</v>
      </c>
      <c r="BS937" s="153">
        <v>45.16</v>
      </c>
      <c r="BU937" s="136">
        <v>22.57</v>
      </c>
    </row>
    <row r="938" spans="1:73">
      <c r="A938" s="154" t="s">
        <v>7861</v>
      </c>
      <c r="B938" t="s">
        <v>257</v>
      </c>
      <c r="C938" t="s">
        <v>405</v>
      </c>
      <c r="E938" s="113">
        <v>6</v>
      </c>
      <c r="F938" s="113">
        <v>58</v>
      </c>
      <c r="S938" s="153">
        <v>1022.584795</v>
      </c>
      <c r="Y938" s="136">
        <v>396.77</v>
      </c>
      <c r="AA938" s="153">
        <v>43379.839999999997</v>
      </c>
      <c r="AC938">
        <v>20.13</v>
      </c>
      <c r="AG938" s="225">
        <v>4.6392785569999999</v>
      </c>
      <c r="BS938" s="153">
        <v>50.81</v>
      </c>
      <c r="BU938" s="136">
        <v>19.72</v>
      </c>
    </row>
    <row r="939" spans="1:73">
      <c r="A939" s="154" t="s">
        <v>7861</v>
      </c>
      <c r="B939" t="s">
        <v>259</v>
      </c>
      <c r="C939" t="s">
        <v>405</v>
      </c>
      <c r="E939" s="113">
        <v>7</v>
      </c>
      <c r="F939" s="113">
        <v>32</v>
      </c>
      <c r="S939" s="153">
        <v>1268.4682969999999</v>
      </c>
      <c r="Y939" s="136">
        <v>490.78</v>
      </c>
      <c r="AA939" s="153">
        <v>54471.41</v>
      </c>
      <c r="AC939">
        <v>24.82</v>
      </c>
      <c r="AG939" s="225">
        <v>4.5573440639999996</v>
      </c>
      <c r="BS939" s="153">
        <v>51.1</v>
      </c>
      <c r="BU939" s="136">
        <v>19.77</v>
      </c>
    </row>
    <row r="940" spans="1:73">
      <c r="A940" s="154" t="s">
        <v>7861</v>
      </c>
      <c r="B940" t="s">
        <v>257</v>
      </c>
      <c r="C940" t="s">
        <v>7963</v>
      </c>
      <c r="E940" s="113">
        <v>10</v>
      </c>
      <c r="F940" s="113">
        <v>26</v>
      </c>
      <c r="S940" s="153">
        <v>1494.5387559999999</v>
      </c>
      <c r="Y940" s="136">
        <v>574.22</v>
      </c>
      <c r="AA940" s="153">
        <v>65980.55</v>
      </c>
      <c r="AC940">
        <v>29.17</v>
      </c>
      <c r="AG940" s="225">
        <v>4.4203581529999996</v>
      </c>
      <c r="BS940" s="153">
        <v>51.24</v>
      </c>
      <c r="BU940" s="136">
        <v>19.690000000000001</v>
      </c>
    </row>
    <row r="941" spans="1:73">
      <c r="A941" s="154" t="s">
        <v>7861</v>
      </c>
      <c r="B941" t="s">
        <v>259</v>
      </c>
      <c r="C941" t="s">
        <v>7963</v>
      </c>
      <c r="E941" s="113">
        <v>12</v>
      </c>
      <c r="F941" s="113">
        <v>47</v>
      </c>
      <c r="S941" s="153">
        <v>1187.1820499999999</v>
      </c>
      <c r="Y941" s="136">
        <v>470.37</v>
      </c>
      <c r="AA941" s="153">
        <v>52275.34</v>
      </c>
      <c r="AC941">
        <v>23.5</v>
      </c>
      <c r="AG941" s="225">
        <v>4.4961240309999999</v>
      </c>
      <c r="BS941" s="153">
        <v>50.51</v>
      </c>
      <c r="BU941" s="136">
        <v>20.010000000000002</v>
      </c>
    </row>
    <row r="942" spans="1:73">
      <c r="A942" s="154" t="s">
        <v>7861</v>
      </c>
      <c r="B942" t="s">
        <v>257</v>
      </c>
      <c r="C942" t="s">
        <v>7964</v>
      </c>
      <c r="E942" s="113">
        <v>14</v>
      </c>
      <c r="F942" s="113">
        <v>40</v>
      </c>
      <c r="S942" s="153">
        <v>1296.9845170000001</v>
      </c>
      <c r="Y942" s="136">
        <v>486.25</v>
      </c>
      <c r="AA942" s="153">
        <v>57595.45</v>
      </c>
      <c r="AC942">
        <v>25.64</v>
      </c>
      <c r="AG942" s="225">
        <v>4.451923077</v>
      </c>
      <c r="BS942" s="153">
        <v>50.58</v>
      </c>
      <c r="BU942" s="136">
        <v>18.96</v>
      </c>
    </row>
    <row r="943" spans="1:73">
      <c r="A943" s="154" t="s">
        <v>7861</v>
      </c>
      <c r="B943" t="s">
        <v>259</v>
      </c>
      <c r="C943" t="s">
        <v>7964</v>
      </c>
      <c r="E943" s="113">
        <v>14</v>
      </c>
      <c r="F943" s="113">
        <v>7</v>
      </c>
      <c r="S943" s="153">
        <v>881.57733150000001</v>
      </c>
      <c r="Y943" s="136">
        <v>333.84</v>
      </c>
      <c r="AA943" s="153">
        <v>39563.870000000003</v>
      </c>
      <c r="AC943">
        <v>17.28</v>
      </c>
      <c r="AG943" s="225">
        <v>4.3667296789999996</v>
      </c>
      <c r="BS943" s="153">
        <v>51.03</v>
      </c>
      <c r="BU943" s="136">
        <v>19.32</v>
      </c>
    </row>
    <row r="944" spans="1:73">
      <c r="A944" s="154" t="s">
        <v>7861</v>
      </c>
      <c r="B944" t="s">
        <v>257</v>
      </c>
      <c r="C944" t="s">
        <v>7982</v>
      </c>
      <c r="E944" s="113">
        <v>21</v>
      </c>
      <c r="F944" s="113">
        <v>12</v>
      </c>
      <c r="S944" s="153">
        <v>1014.301698</v>
      </c>
      <c r="Y944" s="136">
        <v>390.91</v>
      </c>
      <c r="AA944" s="153">
        <v>47713.11</v>
      </c>
      <c r="AC944">
        <v>20.09</v>
      </c>
      <c r="AG944" s="225">
        <v>4.2114537439999999</v>
      </c>
      <c r="BS944" s="153">
        <v>50.48</v>
      </c>
      <c r="BU944" s="136">
        <v>19.45</v>
      </c>
    </row>
    <row r="945" spans="1:73">
      <c r="A945" s="154" t="s">
        <v>7861</v>
      </c>
      <c r="B945" t="s">
        <v>259</v>
      </c>
      <c r="C945" t="s">
        <v>7982</v>
      </c>
      <c r="E945" s="113">
        <v>4</v>
      </c>
      <c r="F945" s="113">
        <v>26</v>
      </c>
      <c r="S945" s="153">
        <v>905.37305330000004</v>
      </c>
      <c r="Y945" s="136">
        <v>378.07</v>
      </c>
      <c r="AA945" s="153">
        <v>38837</v>
      </c>
      <c r="AC945">
        <v>18.29</v>
      </c>
      <c r="AG945" s="225">
        <v>4.7094188380000004</v>
      </c>
      <c r="BS945" s="153">
        <v>49.5</v>
      </c>
      <c r="BU945" s="136">
        <v>20.67</v>
      </c>
    </row>
    <row r="946" spans="1:73">
      <c r="A946" s="154" t="s">
        <v>7802</v>
      </c>
      <c r="B946" t="s">
        <v>257</v>
      </c>
      <c r="C946" t="s">
        <v>405</v>
      </c>
      <c r="E946" s="113">
        <v>5</v>
      </c>
      <c r="F946" s="113">
        <v>48</v>
      </c>
      <c r="S946" s="153">
        <v>1680.9739939999999</v>
      </c>
      <c r="Y946" s="136">
        <v>723.28</v>
      </c>
      <c r="AA946" s="153">
        <v>75134.97</v>
      </c>
      <c r="AC946">
        <v>35.549999999999997</v>
      </c>
      <c r="AG946" s="225">
        <v>4.7319587629999997</v>
      </c>
      <c r="BS946" s="153">
        <v>47.28</v>
      </c>
      <c r="BU946" s="136">
        <v>20.34</v>
      </c>
    </row>
    <row r="947" spans="1:73">
      <c r="A947" s="154" t="s">
        <v>7802</v>
      </c>
      <c r="B947" t="s">
        <v>259</v>
      </c>
      <c r="C947" t="s">
        <v>405</v>
      </c>
      <c r="E947" s="113">
        <v>8</v>
      </c>
      <c r="F947" s="113">
        <v>30</v>
      </c>
      <c r="S947" s="153">
        <v>1777.433256</v>
      </c>
      <c r="Y947" s="136">
        <v>833.27</v>
      </c>
      <c r="AA947" s="153">
        <v>82380.25</v>
      </c>
      <c r="AC947">
        <v>38.33</v>
      </c>
      <c r="AG947" s="225">
        <v>4.6528497409999998</v>
      </c>
      <c r="BS947" s="153">
        <v>46.37</v>
      </c>
      <c r="BU947" s="136">
        <v>21.74</v>
      </c>
    </row>
    <row r="948" spans="1:73">
      <c r="A948" s="154" t="s">
        <v>7802</v>
      </c>
      <c r="B948" t="s">
        <v>257</v>
      </c>
      <c r="C948" t="s">
        <v>7963</v>
      </c>
      <c r="E948" s="113">
        <v>10</v>
      </c>
      <c r="F948" s="113">
        <v>2</v>
      </c>
      <c r="S948" s="153">
        <v>1796.0943400000001</v>
      </c>
      <c r="Y948" s="136">
        <v>812.76</v>
      </c>
      <c r="AA948" s="153">
        <v>83373.64</v>
      </c>
      <c r="AC948">
        <v>38.69</v>
      </c>
      <c r="AG948" s="225">
        <v>4.6399999999999997</v>
      </c>
      <c r="BS948" s="153">
        <v>46.43</v>
      </c>
      <c r="BU948" s="136">
        <v>21.01</v>
      </c>
    </row>
    <row r="949" spans="1:73">
      <c r="A949" s="154" t="s">
        <v>7802</v>
      </c>
      <c r="B949" t="s">
        <v>259</v>
      </c>
      <c r="C949" t="s">
        <v>7963</v>
      </c>
      <c r="E949" s="113">
        <v>11</v>
      </c>
      <c r="F949" s="113">
        <v>41</v>
      </c>
      <c r="S949" s="153">
        <v>1250.0781469999999</v>
      </c>
      <c r="Y949" s="136">
        <v>612.66</v>
      </c>
      <c r="AA949" s="153">
        <v>63489.79</v>
      </c>
      <c r="AC949">
        <v>27.53</v>
      </c>
      <c r="AG949" s="225">
        <v>4.335863378</v>
      </c>
      <c r="BS949" s="153">
        <v>45.41</v>
      </c>
      <c r="BU949" s="136">
        <v>22.26</v>
      </c>
    </row>
    <row r="950" spans="1:73">
      <c r="A950" s="154" t="s">
        <v>7802</v>
      </c>
      <c r="B950" t="s">
        <v>257</v>
      </c>
      <c r="C950" t="s">
        <v>7964</v>
      </c>
      <c r="E950" s="113">
        <v>14</v>
      </c>
      <c r="F950" s="113">
        <v>50</v>
      </c>
      <c r="S950" s="153">
        <v>1546.438832</v>
      </c>
      <c r="Y950" s="136">
        <v>695.46</v>
      </c>
      <c r="AA950" s="153">
        <v>70830.77</v>
      </c>
      <c r="AC950">
        <v>33.17</v>
      </c>
      <c r="AG950" s="225">
        <v>4.6834170850000003</v>
      </c>
      <c r="BS950" s="153">
        <v>46.62</v>
      </c>
      <c r="BU950" s="136">
        <v>20.96</v>
      </c>
    </row>
    <row r="951" spans="1:73">
      <c r="A951" s="154" t="s">
        <v>7802</v>
      </c>
      <c r="B951" t="s">
        <v>259</v>
      </c>
      <c r="C951" t="s">
        <v>7964</v>
      </c>
      <c r="E951" s="113">
        <v>14</v>
      </c>
      <c r="F951" s="113">
        <v>24</v>
      </c>
      <c r="S951" s="153">
        <v>1808.816955</v>
      </c>
      <c r="Y951" s="136">
        <v>881.96</v>
      </c>
      <c r="AA951" s="153">
        <v>84980.29</v>
      </c>
      <c r="AC951">
        <v>39.369999999999997</v>
      </c>
      <c r="AG951" s="225">
        <v>4.6329365080000002</v>
      </c>
      <c r="BS951" s="153">
        <v>45.94</v>
      </c>
      <c r="BU951" s="136">
        <v>22.4</v>
      </c>
    </row>
    <row r="952" spans="1:73">
      <c r="A952" s="154" t="s">
        <v>7802</v>
      </c>
      <c r="B952" t="s">
        <v>257</v>
      </c>
      <c r="C952" t="s">
        <v>7982</v>
      </c>
      <c r="E952" s="113">
        <v>19</v>
      </c>
      <c r="F952" s="113">
        <v>4</v>
      </c>
      <c r="S952" s="153">
        <v>1649.1703110000001</v>
      </c>
      <c r="Y952" s="136">
        <v>751.68</v>
      </c>
      <c r="AA952" s="153">
        <v>72541.960000000006</v>
      </c>
      <c r="AC952">
        <v>35.409999999999997</v>
      </c>
      <c r="AG952" s="225">
        <v>4.8808290159999999</v>
      </c>
      <c r="BS952" s="153">
        <v>46.58</v>
      </c>
      <c r="BU952" s="136">
        <v>21.23</v>
      </c>
    </row>
    <row r="953" spans="1:73">
      <c r="A953" s="154" t="s">
        <v>7802</v>
      </c>
      <c r="B953" t="s">
        <v>259</v>
      </c>
      <c r="C953" t="s">
        <v>7982</v>
      </c>
      <c r="E953" s="113">
        <v>2</v>
      </c>
      <c r="F953" s="113">
        <v>10</v>
      </c>
      <c r="S953" s="153">
        <v>1767.327937</v>
      </c>
      <c r="Y953" s="136">
        <v>873.55</v>
      </c>
      <c r="AA953" s="153">
        <v>88477.26</v>
      </c>
      <c r="AC953">
        <v>39.49</v>
      </c>
      <c r="AG953" s="225">
        <v>4.4634377970000001</v>
      </c>
      <c r="BS953" s="153">
        <v>44.75</v>
      </c>
      <c r="BU953" s="136">
        <v>22.12</v>
      </c>
    </row>
    <row r="954" spans="1:73">
      <c r="A954" s="154" t="s">
        <v>7803</v>
      </c>
      <c r="B954" t="s">
        <v>257</v>
      </c>
      <c r="C954" t="s">
        <v>405</v>
      </c>
      <c r="E954" s="113">
        <v>8</v>
      </c>
      <c r="F954" s="113">
        <v>37</v>
      </c>
      <c r="S954" s="153">
        <v>1060.356221</v>
      </c>
      <c r="Y954" s="136">
        <v>524.27</v>
      </c>
      <c r="AA954" s="153">
        <v>46405.599999999999</v>
      </c>
      <c r="AC954">
        <v>23.03</v>
      </c>
      <c r="AG954" s="225">
        <v>4.9617486340000001</v>
      </c>
      <c r="BS954" s="153">
        <v>46.05</v>
      </c>
      <c r="BU954" s="136">
        <v>22.77</v>
      </c>
    </row>
    <row r="955" spans="1:73">
      <c r="A955" s="154" t="s">
        <v>7803</v>
      </c>
      <c r="B955" t="s">
        <v>259</v>
      </c>
      <c r="C955" t="s">
        <v>405</v>
      </c>
      <c r="E955" s="113">
        <v>5</v>
      </c>
      <c r="F955" s="113">
        <v>3</v>
      </c>
      <c r="S955" s="153">
        <v>1179.591885</v>
      </c>
      <c r="Y955" s="136">
        <v>573.16</v>
      </c>
      <c r="AA955" s="153">
        <v>49015.69</v>
      </c>
      <c r="AC955">
        <v>25.58</v>
      </c>
      <c r="AG955" s="225">
        <v>5.2183908050000003</v>
      </c>
      <c r="BS955" s="153">
        <v>46.12</v>
      </c>
      <c r="BU955" s="136">
        <v>22.41</v>
      </c>
    </row>
    <row r="956" spans="1:73">
      <c r="A956" s="154" t="s">
        <v>7803</v>
      </c>
      <c r="B956" t="s">
        <v>257</v>
      </c>
      <c r="C956" t="s">
        <v>7963</v>
      </c>
      <c r="E956" s="113">
        <v>9</v>
      </c>
      <c r="F956" s="113">
        <v>29</v>
      </c>
      <c r="S956" s="153">
        <v>1216.3870420000001</v>
      </c>
      <c r="Y956" s="136">
        <v>566.85</v>
      </c>
      <c r="AA956" s="153">
        <v>50156.6</v>
      </c>
      <c r="AC956">
        <v>25.95</v>
      </c>
      <c r="AG956" s="225">
        <v>5.1731843580000003</v>
      </c>
      <c r="BS956" s="153">
        <v>46.88</v>
      </c>
      <c r="BU956" s="136">
        <v>21.85</v>
      </c>
    </row>
    <row r="957" spans="1:73">
      <c r="A957" s="154" t="s">
        <v>7803</v>
      </c>
      <c r="B957" t="s">
        <v>259</v>
      </c>
      <c r="C957" t="s">
        <v>7963</v>
      </c>
      <c r="E957" s="113">
        <v>9</v>
      </c>
      <c r="F957" s="113">
        <v>61</v>
      </c>
      <c r="S957" s="153" t="s">
        <v>7965</v>
      </c>
      <c r="Y957" s="136" t="s">
        <v>7965</v>
      </c>
      <c r="AA957" s="153" t="s">
        <v>7965</v>
      </c>
      <c r="AC957" t="s">
        <v>7965</v>
      </c>
      <c r="AG957" s="225" t="s">
        <v>7965</v>
      </c>
      <c r="BS957" s="153" t="s">
        <v>7965</v>
      </c>
      <c r="BU957" s="136" t="s">
        <v>7965</v>
      </c>
    </row>
    <row r="958" spans="1:73">
      <c r="A958" s="154" t="s">
        <v>7803</v>
      </c>
      <c r="B958" t="s">
        <v>257</v>
      </c>
      <c r="C958" t="s">
        <v>7964</v>
      </c>
      <c r="E958" s="113">
        <v>16</v>
      </c>
      <c r="F958" s="113">
        <v>51</v>
      </c>
      <c r="S958" s="153">
        <v>1138.728697</v>
      </c>
      <c r="Y958" s="136">
        <v>546.4</v>
      </c>
      <c r="AA958" s="153">
        <v>46845.51</v>
      </c>
      <c r="AC958">
        <v>24.49</v>
      </c>
      <c r="AG958" s="225">
        <v>5.2272727269999999</v>
      </c>
      <c r="BS958" s="153">
        <v>46.5</v>
      </c>
      <c r="BU958" s="136">
        <v>22.31</v>
      </c>
    </row>
    <row r="959" spans="1:73">
      <c r="A959" s="154" t="s">
        <v>7803</v>
      </c>
      <c r="B959" t="s">
        <v>259</v>
      </c>
      <c r="C959" t="s">
        <v>7964</v>
      </c>
      <c r="E959" s="113">
        <v>16</v>
      </c>
      <c r="F959" s="113">
        <v>23</v>
      </c>
      <c r="S959" s="153">
        <v>985.30263539999999</v>
      </c>
      <c r="Y959" s="136">
        <v>472.79</v>
      </c>
      <c r="AA959" s="153">
        <v>38972.300000000003</v>
      </c>
      <c r="AC959">
        <v>21</v>
      </c>
      <c r="AG959" s="225">
        <v>5.3890824620000002</v>
      </c>
      <c r="BS959" s="153">
        <v>46.91</v>
      </c>
      <c r="BU959" s="136">
        <v>22.51</v>
      </c>
    </row>
    <row r="960" spans="1:73">
      <c r="A960" s="154" t="s">
        <v>7803</v>
      </c>
      <c r="B960" t="s">
        <v>257</v>
      </c>
      <c r="C960" t="s">
        <v>7982</v>
      </c>
      <c r="E960" s="113">
        <v>18</v>
      </c>
      <c r="F960" s="113">
        <v>9</v>
      </c>
      <c r="S960" s="153">
        <v>1067.923816</v>
      </c>
      <c r="Y960" s="136">
        <v>508.92</v>
      </c>
      <c r="AA960" s="153">
        <v>43970.57</v>
      </c>
      <c r="AC960">
        <v>23.17</v>
      </c>
      <c r="AG960" s="225">
        <v>5.2696629210000001</v>
      </c>
      <c r="BS960" s="153">
        <v>46.09</v>
      </c>
      <c r="BU960" s="136">
        <v>21.96</v>
      </c>
    </row>
    <row r="961" spans="1:73">
      <c r="A961" s="154" t="s">
        <v>7803</v>
      </c>
      <c r="B961" t="s">
        <v>259</v>
      </c>
      <c r="C961" t="s">
        <v>7982</v>
      </c>
      <c r="E961" s="113">
        <v>1</v>
      </c>
      <c r="F961" s="113">
        <v>16</v>
      </c>
      <c r="S961" s="153">
        <v>1046.2509219999999</v>
      </c>
      <c r="Y961" s="136">
        <v>531.59</v>
      </c>
      <c r="AA961" s="153">
        <v>46360.46</v>
      </c>
      <c r="AC961">
        <v>22.98</v>
      </c>
      <c r="AG961" s="225">
        <v>4.9576271189999996</v>
      </c>
      <c r="BS961" s="153">
        <v>45.52</v>
      </c>
      <c r="BU961" s="136">
        <v>23.13</v>
      </c>
    </row>
    <row r="962" spans="1:73">
      <c r="A962" s="154" t="s">
        <v>7862</v>
      </c>
      <c r="B962" t="s">
        <v>257</v>
      </c>
      <c r="C962" t="s">
        <v>405</v>
      </c>
      <c r="E962" s="113">
        <v>5</v>
      </c>
      <c r="F962" s="113">
        <v>11</v>
      </c>
      <c r="S962" s="153">
        <v>1267.737312</v>
      </c>
      <c r="Y962" s="136">
        <v>575.04</v>
      </c>
      <c r="AA962" s="153">
        <v>53972.11</v>
      </c>
      <c r="AC962">
        <v>26.93</v>
      </c>
      <c r="AG962" s="225">
        <v>4.9889624719999999</v>
      </c>
      <c r="BS962" s="153">
        <v>47.08</v>
      </c>
      <c r="BU962" s="136">
        <v>21.36</v>
      </c>
    </row>
    <row r="963" spans="1:73">
      <c r="A963" s="154" t="s">
        <v>7862</v>
      </c>
      <c r="B963" t="s">
        <v>259</v>
      </c>
      <c r="C963" t="s">
        <v>405</v>
      </c>
      <c r="E963" s="113">
        <v>11</v>
      </c>
      <c r="F963" s="113">
        <v>4</v>
      </c>
      <c r="S963" s="153">
        <v>1186.063148</v>
      </c>
      <c r="Y963" s="136">
        <v>595.54999999999995</v>
      </c>
      <c r="AA963" s="153">
        <v>53583.3</v>
      </c>
      <c r="AC963">
        <v>25.83</v>
      </c>
      <c r="AG963" s="225">
        <v>4.8210526319999998</v>
      </c>
      <c r="BS963" s="153">
        <v>45.91</v>
      </c>
      <c r="BU963" s="136">
        <v>23.05</v>
      </c>
    </row>
    <row r="964" spans="1:73">
      <c r="A964" s="154" t="s">
        <v>7862</v>
      </c>
      <c r="B964" t="s">
        <v>257</v>
      </c>
      <c r="C964" t="s">
        <v>7963</v>
      </c>
      <c r="E964" s="113">
        <v>11</v>
      </c>
      <c r="F964" s="113">
        <v>64</v>
      </c>
      <c r="S964" s="153">
        <v>1265.9034300000001</v>
      </c>
      <c r="Y964" s="136">
        <v>533.37</v>
      </c>
      <c r="AA964" s="153">
        <v>49332.55</v>
      </c>
      <c r="AC964">
        <v>26.12</v>
      </c>
      <c r="AG964" s="225">
        <v>5.2941176470000002</v>
      </c>
      <c r="BS964" s="153">
        <v>48.47</v>
      </c>
      <c r="BU964" s="136">
        <v>20.420000000000002</v>
      </c>
    </row>
    <row r="965" spans="1:73">
      <c r="A965" s="154" t="s">
        <v>7862</v>
      </c>
      <c r="B965" t="s">
        <v>259</v>
      </c>
      <c r="C965" t="s">
        <v>7963</v>
      </c>
      <c r="E965" s="113">
        <v>15</v>
      </c>
      <c r="F965" s="113">
        <v>36</v>
      </c>
      <c r="S965" s="153">
        <v>787.33642659999998</v>
      </c>
      <c r="Y965" s="136">
        <v>376.82</v>
      </c>
      <c r="AA965" s="153">
        <v>33100.25</v>
      </c>
      <c r="AC965">
        <v>16.920000000000002</v>
      </c>
      <c r="AG965" s="225">
        <v>5.1111111109999996</v>
      </c>
      <c r="BS965" s="153">
        <v>46.54</v>
      </c>
      <c r="BU965" s="136">
        <v>22.27</v>
      </c>
    </row>
    <row r="966" spans="1:73">
      <c r="A966" s="154" t="s">
        <v>7862</v>
      </c>
      <c r="B966" t="s">
        <v>257</v>
      </c>
      <c r="C966" t="s">
        <v>7964</v>
      </c>
      <c r="E966" s="113">
        <v>13</v>
      </c>
      <c r="F966" s="113">
        <v>7</v>
      </c>
      <c r="S966" s="153">
        <v>1276.5328870000001</v>
      </c>
      <c r="Y966" s="136">
        <v>647.16999999999996</v>
      </c>
      <c r="AA966" s="153">
        <v>54034.17</v>
      </c>
      <c r="AC966">
        <v>27.8</v>
      </c>
      <c r="AG966" s="225">
        <v>5.1447661470000003</v>
      </c>
      <c r="BS966" s="153">
        <v>45.92</v>
      </c>
      <c r="BU966" s="136">
        <v>23.28</v>
      </c>
    </row>
    <row r="967" spans="1:73">
      <c r="A967" s="154" t="s">
        <v>7862</v>
      </c>
      <c r="B967" t="s">
        <v>259</v>
      </c>
      <c r="C967" t="s">
        <v>7964</v>
      </c>
      <c r="E967" s="113">
        <v>19</v>
      </c>
      <c r="F967" s="113">
        <v>6</v>
      </c>
      <c r="S967" s="153">
        <v>908.10166379999998</v>
      </c>
      <c r="Y967" s="136">
        <v>468.13</v>
      </c>
      <c r="AA967" s="153">
        <v>41661.21</v>
      </c>
      <c r="AC967">
        <v>19.87</v>
      </c>
      <c r="AG967" s="225">
        <v>4.7697031729999999</v>
      </c>
      <c r="BS967" s="153">
        <v>45.7</v>
      </c>
      <c r="BU967" s="136">
        <v>23.56</v>
      </c>
    </row>
    <row r="968" spans="1:73">
      <c r="A968" s="154" t="s">
        <v>7862</v>
      </c>
      <c r="B968" t="s">
        <v>257</v>
      </c>
      <c r="C968" t="s">
        <v>7982</v>
      </c>
      <c r="E968" s="113">
        <v>3</v>
      </c>
      <c r="F968" s="113">
        <v>21</v>
      </c>
      <c r="S968" s="153">
        <v>1102.656817</v>
      </c>
      <c r="Y968" s="136">
        <v>521.05999999999995</v>
      </c>
      <c r="AA968" s="153">
        <v>44278.82</v>
      </c>
      <c r="AC968">
        <v>23.91</v>
      </c>
      <c r="AG968" s="225">
        <v>5.398843931</v>
      </c>
      <c r="BS968" s="153">
        <v>46.13</v>
      </c>
      <c r="BU968" s="136">
        <v>21.8</v>
      </c>
    </row>
    <row r="969" spans="1:73">
      <c r="A969" s="154" t="s">
        <v>7862</v>
      </c>
      <c r="B969" t="s">
        <v>259</v>
      </c>
      <c r="C969" t="s">
        <v>7982</v>
      </c>
      <c r="E969" s="113">
        <v>2</v>
      </c>
      <c r="F969" s="113">
        <v>48</v>
      </c>
      <c r="S969" s="153">
        <v>1077.1126839999999</v>
      </c>
      <c r="Y969" s="136">
        <v>545.32000000000005</v>
      </c>
      <c r="AA969" s="153">
        <v>44864.69</v>
      </c>
      <c r="AC969">
        <v>23.64</v>
      </c>
      <c r="AG969" s="225">
        <v>5.2690582959999999</v>
      </c>
      <c r="BS969" s="153">
        <v>45.56</v>
      </c>
      <c r="BU969" s="136">
        <v>23.07</v>
      </c>
    </row>
  </sheetData>
  <sheetProtection selectLockedCells="1" selectUnlockedCells="1"/>
  <autoFilter ref="A1:CM1">
    <sortState ref="A2:CM881">
      <sortCondition ref="A1:A881"/>
    </sortState>
  </autoFilter>
  <sortState ref="D699:I703">
    <sortCondition ref="D699:D703"/>
    <sortCondition ref="F699:F703"/>
    <sortCondition ref="E699:E703"/>
  </sortState>
  <pageMargins left="0.78749999999999998" right="0.78749999999999998" top="1.0527777777777778" bottom="1.0527777777777778" header="0.78749999999999998" footer="0.78749999999999998"/>
  <pageSetup paperSize="9" orientation="portrait" useFirstPageNumber="1" horizontalDpi="300" verticalDpi="300" r:id="rId1"/>
  <headerFooter alignWithMargins="0">
    <oddHeader>&amp;C&amp;"Times New Roman,Regular"&amp;12&amp;A</oddHeader>
    <oddFooter>&amp;C&amp;"Times New Roman,Regular"&amp;12Page &amp;P</oddFooter>
  </headerFooter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Feuil10" enableFormatConditionsCalculation="0">
    <tabColor indexed="9"/>
  </sheetPr>
  <dimension ref="A1:F6"/>
  <sheetViews>
    <sheetView zoomScale="95" zoomScaleNormal="95" workbookViewId="0">
      <selection activeCell="G36" sqref="G36"/>
    </sheetView>
  </sheetViews>
  <sheetFormatPr baseColWidth="10" defaultColWidth="11.5703125" defaultRowHeight="12.75"/>
  <cols>
    <col min="1" max="1" width="16.28515625" style="141" bestFit="1" customWidth="1"/>
    <col min="2" max="2" width="7.5703125" style="142" bestFit="1" customWidth="1"/>
    <col min="3" max="3" width="9.42578125" style="141" customWidth="1"/>
    <col min="4" max="4" width="9" style="143" customWidth="1"/>
    <col min="5" max="5" width="14.140625" style="143" customWidth="1"/>
    <col min="6" max="6" width="12.42578125" style="143" customWidth="1"/>
    <col min="7" max="16384" width="11.5703125" style="144"/>
  </cols>
  <sheetData>
    <row r="1" spans="1:6">
      <c r="A1" s="145" t="s">
        <v>215</v>
      </c>
      <c r="B1" s="146" t="s">
        <v>216</v>
      </c>
      <c r="C1" s="145" t="s">
        <v>217</v>
      </c>
      <c r="D1" s="147" t="s">
        <v>218</v>
      </c>
      <c r="E1" s="147" t="s">
        <v>219</v>
      </c>
      <c r="F1" s="147" t="s">
        <v>29</v>
      </c>
    </row>
    <row r="2" spans="1:6">
      <c r="A2" s="141" t="s">
        <v>7704</v>
      </c>
      <c r="B2" s="142" t="s">
        <v>7710</v>
      </c>
      <c r="C2" s="141" t="s">
        <v>7709</v>
      </c>
    </row>
    <row r="3" spans="1:6">
      <c r="A3" s="141" t="s">
        <v>7705</v>
      </c>
      <c r="B3" s="142" t="s">
        <v>7710</v>
      </c>
      <c r="C3" s="141" t="s">
        <v>7709</v>
      </c>
    </row>
    <row r="4" spans="1:6">
      <c r="A4" s="141" t="s">
        <v>7706</v>
      </c>
      <c r="B4" s="142" t="s">
        <v>7710</v>
      </c>
      <c r="C4" s="141" t="s">
        <v>7709</v>
      </c>
    </row>
    <row r="5" spans="1:6">
      <c r="A5" s="141" t="s">
        <v>7707</v>
      </c>
      <c r="B5" s="142" t="s">
        <v>7710</v>
      </c>
      <c r="C5" s="141" t="s">
        <v>7709</v>
      </c>
    </row>
    <row r="6" spans="1:6">
      <c r="A6" s="141" t="s">
        <v>7708</v>
      </c>
      <c r="B6" s="142" t="s">
        <v>7710</v>
      </c>
      <c r="C6" s="141" t="s">
        <v>7709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1" enableFormatConditionsCalculation="0">
    <tabColor indexed="9"/>
  </sheetPr>
  <dimension ref="A1:C1"/>
  <sheetViews>
    <sheetView zoomScale="89" zoomScaleNormal="89" workbookViewId="0">
      <selection activeCell="G54" sqref="G54"/>
    </sheetView>
  </sheetViews>
  <sheetFormatPr baseColWidth="10" defaultColWidth="10.7109375" defaultRowHeight="12"/>
  <cols>
    <col min="1" max="1" width="9.28515625" style="148" customWidth="1"/>
    <col min="2" max="2" width="10.42578125" style="148" customWidth="1"/>
    <col min="3" max="3" width="11" style="148" customWidth="1"/>
  </cols>
  <sheetData>
    <row r="1" spans="1:3" s="150" customFormat="1">
      <c r="A1" s="149" t="s">
        <v>233</v>
      </c>
      <c r="B1" s="149" t="s">
        <v>234</v>
      </c>
      <c r="C1" s="149" t="s">
        <v>235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2"/>
  <dimension ref="A1:E5470"/>
  <sheetViews>
    <sheetView zoomScale="89" zoomScaleNormal="89" workbookViewId="0">
      <selection activeCell="E5" sqref="E5"/>
    </sheetView>
  </sheetViews>
  <sheetFormatPr baseColWidth="10" defaultColWidth="9" defaultRowHeight="12"/>
  <cols>
    <col min="1" max="1" width="82.140625" customWidth="1"/>
    <col min="2" max="2" width="105.28515625" customWidth="1"/>
    <col min="3" max="3" width="83.140625" customWidth="1"/>
    <col min="4" max="4" width="27.85546875" customWidth="1"/>
    <col min="5" max="5" width="46" customWidth="1"/>
  </cols>
  <sheetData>
    <row r="1" spans="1:5">
      <c r="A1" s="151" t="s">
        <v>146</v>
      </c>
      <c r="B1" s="151" t="s">
        <v>276</v>
      </c>
      <c r="C1" s="151" t="s">
        <v>149</v>
      </c>
      <c r="D1" s="151" t="s">
        <v>26</v>
      </c>
      <c r="E1" s="151" t="s">
        <v>65</v>
      </c>
    </row>
    <row r="2" spans="1:5">
      <c r="A2" s="151" t="s">
        <v>277</v>
      </c>
      <c r="B2" s="151" t="s">
        <v>278</v>
      </c>
      <c r="C2" s="151" t="s">
        <v>279</v>
      </c>
      <c r="D2" s="151" t="s">
        <v>280</v>
      </c>
      <c r="E2" s="151" t="s">
        <v>281</v>
      </c>
    </row>
    <row r="3" spans="1:5">
      <c r="A3" s="151" t="s">
        <v>282</v>
      </c>
      <c r="B3" s="151" t="s">
        <v>283</v>
      </c>
      <c r="C3" s="151" t="s">
        <v>284</v>
      </c>
      <c r="D3" s="151" t="s">
        <v>285</v>
      </c>
      <c r="E3" s="151" t="s">
        <v>286</v>
      </c>
    </row>
    <row r="4" spans="1:5">
      <c r="A4" s="151" t="s">
        <v>287</v>
      </c>
      <c r="B4" s="151" t="s">
        <v>288</v>
      </c>
      <c r="C4" s="151" t="s">
        <v>289</v>
      </c>
      <c r="D4" s="151" t="s">
        <v>290</v>
      </c>
      <c r="E4" s="151" t="s">
        <v>291</v>
      </c>
    </row>
    <row r="5" spans="1:5">
      <c r="A5" s="151" t="s">
        <v>292</v>
      </c>
      <c r="B5" s="151" t="s">
        <v>293</v>
      </c>
      <c r="C5" s="151" t="s">
        <v>294</v>
      </c>
      <c r="D5" s="151" t="s">
        <v>295</v>
      </c>
      <c r="E5" s="151" t="s">
        <v>296</v>
      </c>
    </row>
    <row r="6" spans="1:5">
      <c r="A6" s="151" t="s">
        <v>297</v>
      </c>
      <c r="B6" s="151" t="s">
        <v>298</v>
      </c>
      <c r="C6" s="151" t="s">
        <v>299</v>
      </c>
      <c r="D6" s="151" t="s">
        <v>300</v>
      </c>
      <c r="E6" s="151" t="s">
        <v>90</v>
      </c>
    </row>
    <row r="7" spans="1:5">
      <c r="A7" s="151" t="s">
        <v>301</v>
      </c>
      <c r="B7" s="151" t="s">
        <v>302</v>
      </c>
      <c r="C7" s="151" t="s">
        <v>303</v>
      </c>
      <c r="D7" s="151" t="s">
        <v>304</v>
      </c>
      <c r="E7" s="151" t="s">
        <v>305</v>
      </c>
    </row>
    <row r="8" spans="1:5">
      <c r="A8" s="151" t="s">
        <v>306</v>
      </c>
      <c r="B8" s="151" t="s">
        <v>307</v>
      </c>
      <c r="C8" s="151" t="s">
        <v>308</v>
      </c>
      <c r="D8" s="151" t="s">
        <v>309</v>
      </c>
      <c r="E8" s="151" t="s">
        <v>310</v>
      </c>
    </row>
    <row r="9" spans="1:5">
      <c r="A9" s="151" t="s">
        <v>311</v>
      </c>
      <c r="B9" s="151" t="s">
        <v>312</v>
      </c>
      <c r="C9" s="151" t="s">
        <v>313</v>
      </c>
      <c r="D9" s="151" t="s">
        <v>314</v>
      </c>
      <c r="E9" s="151" t="s">
        <v>315</v>
      </c>
    </row>
    <row r="10" spans="1:5">
      <c r="A10" s="151" t="s">
        <v>316</v>
      </c>
      <c r="B10" s="151" t="s">
        <v>317</v>
      </c>
      <c r="C10" s="151" t="s">
        <v>318</v>
      </c>
      <c r="D10" s="151" t="s">
        <v>319</v>
      </c>
      <c r="E10" s="151" t="s">
        <v>320</v>
      </c>
    </row>
    <row r="11" spans="1:5">
      <c r="A11" s="151" t="s">
        <v>321</v>
      </c>
      <c r="B11" s="151" t="s">
        <v>322</v>
      </c>
      <c r="C11" s="151" t="s">
        <v>323</v>
      </c>
      <c r="D11" s="151" t="s">
        <v>324</v>
      </c>
      <c r="E11" s="151" t="s">
        <v>325</v>
      </c>
    </row>
    <row r="12" spans="1:5">
      <c r="A12" s="151" t="s">
        <v>326</v>
      </c>
      <c r="B12" s="151" t="s">
        <v>327</v>
      </c>
      <c r="C12" s="151" t="s">
        <v>328</v>
      </c>
      <c r="D12" s="151" t="s">
        <v>329</v>
      </c>
      <c r="E12" s="151" t="s">
        <v>330</v>
      </c>
    </row>
    <row r="13" spans="1:5">
      <c r="A13" s="151" t="s">
        <v>331</v>
      </c>
      <c r="B13" s="151" t="s">
        <v>332</v>
      </c>
      <c r="C13" s="151" t="s">
        <v>333</v>
      </c>
      <c r="D13" s="151" t="s">
        <v>334</v>
      </c>
      <c r="E13" s="151" t="s">
        <v>335</v>
      </c>
    </row>
    <row r="14" spans="1:5">
      <c r="A14" s="151" t="s">
        <v>336</v>
      </c>
      <c r="B14" s="151" t="s">
        <v>337</v>
      </c>
      <c r="C14" s="151" t="s">
        <v>338</v>
      </c>
      <c r="D14" s="151" t="s">
        <v>339</v>
      </c>
      <c r="E14" s="151" t="s">
        <v>340</v>
      </c>
    </row>
    <row r="15" spans="1:5">
      <c r="A15" s="151" t="s">
        <v>341</v>
      </c>
      <c r="B15" s="151" t="s">
        <v>342</v>
      </c>
      <c r="C15" s="151" t="s">
        <v>343</v>
      </c>
      <c r="D15" s="151" t="s">
        <v>344</v>
      </c>
      <c r="E15" s="151" t="s">
        <v>345</v>
      </c>
    </row>
    <row r="16" spans="1:5">
      <c r="A16" s="151" t="s">
        <v>346</v>
      </c>
      <c r="B16" s="151" t="s">
        <v>347</v>
      </c>
      <c r="C16" s="151" t="s">
        <v>348</v>
      </c>
      <c r="D16" s="151" t="s">
        <v>349</v>
      </c>
      <c r="E16" s="151" t="s">
        <v>350</v>
      </c>
    </row>
    <row r="17" spans="1:5">
      <c r="A17" s="151" t="s">
        <v>351</v>
      </c>
      <c r="B17" s="151" t="s">
        <v>352</v>
      </c>
      <c r="C17" s="151" t="s">
        <v>353</v>
      </c>
      <c r="D17" s="151" t="s">
        <v>354</v>
      </c>
      <c r="E17" s="151" t="s">
        <v>355</v>
      </c>
    </row>
    <row r="18" spans="1:5">
      <c r="A18" s="151" t="s">
        <v>356</v>
      </c>
      <c r="B18" s="151" t="s">
        <v>357</v>
      </c>
      <c r="C18" s="151" t="s">
        <v>358</v>
      </c>
      <c r="D18" s="151" t="s">
        <v>359</v>
      </c>
      <c r="E18" s="151" t="s">
        <v>360</v>
      </c>
    </row>
    <row r="19" spans="1:5">
      <c r="A19" s="151" t="s">
        <v>361</v>
      </c>
      <c r="B19" s="151" t="s">
        <v>362</v>
      </c>
      <c r="C19" s="151" t="s">
        <v>363</v>
      </c>
      <c r="D19" s="151" t="s">
        <v>364</v>
      </c>
      <c r="E19" s="151" t="s">
        <v>365</v>
      </c>
    </row>
    <row r="20" spans="1:5">
      <c r="A20" s="151" t="s">
        <v>366</v>
      </c>
      <c r="B20" s="151" t="s">
        <v>367</v>
      </c>
      <c r="C20" s="151" t="s">
        <v>368</v>
      </c>
      <c r="D20" s="151" t="s">
        <v>369</v>
      </c>
      <c r="E20" s="151" t="s">
        <v>370</v>
      </c>
    </row>
    <row r="21" spans="1:5">
      <c r="A21" s="151" t="s">
        <v>371</v>
      </c>
      <c r="B21" s="151" t="s">
        <v>372</v>
      </c>
      <c r="C21" s="151" t="s">
        <v>373</v>
      </c>
      <c r="D21" s="151" t="s">
        <v>374</v>
      </c>
      <c r="E21" s="151" t="s">
        <v>375</v>
      </c>
    </row>
    <row r="22" spans="1:5">
      <c r="A22" s="151" t="s">
        <v>376</v>
      </c>
      <c r="B22" s="151" t="s">
        <v>377</v>
      </c>
      <c r="D22" s="151" t="s">
        <v>378</v>
      </c>
      <c r="E22" s="151" t="s">
        <v>379</v>
      </c>
    </row>
    <row r="23" spans="1:5">
      <c r="A23" s="151" t="s">
        <v>380</v>
      </c>
      <c r="B23" s="151" t="s">
        <v>381</v>
      </c>
      <c r="D23" s="151" t="s">
        <v>382</v>
      </c>
      <c r="E23" s="151" t="s">
        <v>383</v>
      </c>
    </row>
    <row r="24" spans="1:5">
      <c r="A24" s="151" t="s">
        <v>384</v>
      </c>
      <c r="B24" s="151" t="s">
        <v>385</v>
      </c>
      <c r="D24" s="151" t="s">
        <v>386</v>
      </c>
      <c r="E24" s="151" t="s">
        <v>387</v>
      </c>
    </row>
    <row r="25" spans="1:5">
      <c r="A25" s="151" t="s">
        <v>388</v>
      </c>
      <c r="B25" s="151" t="s">
        <v>389</v>
      </c>
      <c r="D25" s="151" t="s">
        <v>390</v>
      </c>
    </row>
    <row r="26" spans="1:5">
      <c r="A26" s="151" t="s">
        <v>391</v>
      </c>
      <c r="B26" s="151" t="s">
        <v>392</v>
      </c>
      <c r="D26" s="151" t="s">
        <v>393</v>
      </c>
    </row>
    <row r="27" spans="1:5">
      <c r="A27" s="151" t="s">
        <v>394</v>
      </c>
      <c r="B27" s="151" t="s">
        <v>395</v>
      </c>
      <c r="D27" s="151" t="s">
        <v>396</v>
      </c>
    </row>
    <row r="28" spans="1:5">
      <c r="A28" s="151" t="s">
        <v>397</v>
      </c>
      <c r="B28" s="151" t="s">
        <v>398</v>
      </c>
      <c r="D28" s="151" t="s">
        <v>399</v>
      </c>
    </row>
    <row r="29" spans="1:5">
      <c r="A29" s="151" t="s">
        <v>400</v>
      </c>
      <c r="B29" s="151" t="s">
        <v>401</v>
      </c>
      <c r="D29" s="151" t="s">
        <v>402</v>
      </c>
    </row>
    <row r="30" spans="1:5">
      <c r="A30" s="151" t="s">
        <v>403</v>
      </c>
      <c r="B30" s="151" t="s">
        <v>404</v>
      </c>
      <c r="D30" s="151" t="s">
        <v>405</v>
      </c>
    </row>
    <row r="31" spans="1:5">
      <c r="A31" s="151" t="s">
        <v>406</v>
      </c>
      <c r="B31" s="151" t="s">
        <v>407</v>
      </c>
      <c r="D31" s="151" t="s">
        <v>408</v>
      </c>
    </row>
    <row r="32" spans="1:5">
      <c r="A32" s="151" t="s">
        <v>409</v>
      </c>
      <c r="B32" s="151" t="s">
        <v>410</v>
      </c>
      <c r="D32" s="151" t="s">
        <v>411</v>
      </c>
    </row>
    <row r="33" spans="1:4">
      <c r="A33" s="151" t="s">
        <v>412</v>
      </c>
      <c r="B33" s="151" t="s">
        <v>413</v>
      </c>
      <c r="D33" s="151" t="s">
        <v>414</v>
      </c>
    </row>
    <row r="34" spans="1:4">
      <c r="A34" s="151" t="s">
        <v>415</v>
      </c>
      <c r="B34" s="151" t="s">
        <v>416</v>
      </c>
      <c r="D34" s="151" t="s">
        <v>417</v>
      </c>
    </row>
    <row r="35" spans="1:4">
      <c r="A35" s="151" t="s">
        <v>418</v>
      </c>
      <c r="B35" s="151" t="s">
        <v>419</v>
      </c>
      <c r="D35" s="151" t="s">
        <v>420</v>
      </c>
    </row>
    <row r="36" spans="1:4">
      <c r="A36" s="151" t="s">
        <v>421</v>
      </c>
      <c r="B36" s="151" t="s">
        <v>422</v>
      </c>
      <c r="D36" s="151" t="s">
        <v>423</v>
      </c>
    </row>
    <row r="37" spans="1:4">
      <c r="A37" s="151" t="s">
        <v>424</v>
      </c>
      <c r="B37" s="151" t="s">
        <v>425</v>
      </c>
      <c r="D37" s="151" t="s">
        <v>426</v>
      </c>
    </row>
    <row r="38" spans="1:4">
      <c r="A38" s="151" t="s">
        <v>427</v>
      </c>
      <c r="B38" s="151" t="s">
        <v>428</v>
      </c>
      <c r="D38" s="151" t="s">
        <v>429</v>
      </c>
    </row>
    <row r="39" spans="1:4">
      <c r="A39" s="151" t="s">
        <v>430</v>
      </c>
      <c r="B39" s="151" t="s">
        <v>431</v>
      </c>
      <c r="D39" s="151" t="s">
        <v>432</v>
      </c>
    </row>
    <row r="40" spans="1:4">
      <c r="A40" s="151" t="s">
        <v>433</v>
      </c>
      <c r="B40" s="151" t="s">
        <v>434</v>
      </c>
      <c r="D40" s="151" t="s">
        <v>435</v>
      </c>
    </row>
    <row r="41" spans="1:4">
      <c r="A41" s="151" t="s">
        <v>436</v>
      </c>
      <c r="B41" s="151" t="s">
        <v>437</v>
      </c>
      <c r="D41" s="151" t="s">
        <v>438</v>
      </c>
    </row>
    <row r="42" spans="1:4">
      <c r="A42" s="151" t="s">
        <v>439</v>
      </c>
      <c r="B42" s="151" t="s">
        <v>440</v>
      </c>
      <c r="D42" s="151" t="s">
        <v>441</v>
      </c>
    </row>
    <row r="43" spans="1:4">
      <c r="A43" s="151" t="s">
        <v>442</v>
      </c>
      <c r="B43" s="151" t="s">
        <v>443</v>
      </c>
      <c r="D43" s="151" t="s">
        <v>444</v>
      </c>
    </row>
    <row r="44" spans="1:4">
      <c r="A44" s="151" t="s">
        <v>445</v>
      </c>
      <c r="B44" s="151" t="s">
        <v>446</v>
      </c>
      <c r="D44" s="151" t="s">
        <v>447</v>
      </c>
    </row>
    <row r="45" spans="1:4">
      <c r="A45" s="151" t="s">
        <v>448</v>
      </c>
      <c r="B45" s="151" t="s">
        <v>449</v>
      </c>
      <c r="D45" s="151" t="s">
        <v>450</v>
      </c>
    </row>
    <row r="46" spans="1:4">
      <c r="A46" s="151" t="s">
        <v>451</v>
      </c>
      <c r="B46" s="151" t="s">
        <v>452</v>
      </c>
      <c r="D46" s="151" t="s">
        <v>453</v>
      </c>
    </row>
    <row r="47" spans="1:4">
      <c r="A47" s="151" t="s">
        <v>454</v>
      </c>
      <c r="B47" s="151" t="s">
        <v>455</v>
      </c>
      <c r="D47" s="151" t="s">
        <v>456</v>
      </c>
    </row>
    <row r="48" spans="1:4">
      <c r="A48" s="151" t="s">
        <v>457</v>
      </c>
      <c r="B48" s="151" t="s">
        <v>458</v>
      </c>
      <c r="D48" s="151" t="s">
        <v>459</v>
      </c>
    </row>
    <row r="49" spans="1:4">
      <c r="A49" s="151" t="s">
        <v>460</v>
      </c>
      <c r="B49" s="151" t="s">
        <v>461</v>
      </c>
      <c r="D49" s="151" t="s">
        <v>462</v>
      </c>
    </row>
    <row r="50" spans="1:4">
      <c r="A50" s="151" t="s">
        <v>463</v>
      </c>
      <c r="B50" s="151" t="s">
        <v>464</v>
      </c>
      <c r="D50" s="151" t="s">
        <v>465</v>
      </c>
    </row>
    <row r="51" spans="1:4">
      <c r="A51" s="151" t="s">
        <v>466</v>
      </c>
      <c r="B51" s="151" t="s">
        <v>467</v>
      </c>
      <c r="D51" s="151" t="s">
        <v>468</v>
      </c>
    </row>
    <row r="52" spans="1:4">
      <c r="A52" s="151" t="s">
        <v>469</v>
      </c>
      <c r="B52" s="151" t="s">
        <v>470</v>
      </c>
      <c r="D52" s="151" t="s">
        <v>471</v>
      </c>
    </row>
    <row r="53" spans="1:4">
      <c r="A53" s="151" t="s">
        <v>472</v>
      </c>
      <c r="B53" s="151" t="s">
        <v>473</v>
      </c>
      <c r="D53" s="151" t="s">
        <v>474</v>
      </c>
    </row>
    <row r="54" spans="1:4">
      <c r="A54" s="151" t="s">
        <v>475</v>
      </c>
      <c r="B54" s="151" t="s">
        <v>476</v>
      </c>
      <c r="D54" s="151" t="s">
        <v>477</v>
      </c>
    </row>
    <row r="55" spans="1:4">
      <c r="A55" s="151" t="s">
        <v>478</v>
      </c>
      <c r="B55" s="151" t="s">
        <v>479</v>
      </c>
      <c r="D55" s="151" t="s">
        <v>480</v>
      </c>
    </row>
    <row r="56" spans="1:4">
      <c r="A56" s="151" t="s">
        <v>481</v>
      </c>
      <c r="B56" s="151" t="s">
        <v>482</v>
      </c>
      <c r="D56" s="151" t="s">
        <v>483</v>
      </c>
    </row>
    <row r="57" spans="1:4">
      <c r="A57" s="151" t="s">
        <v>484</v>
      </c>
      <c r="B57" s="151" t="s">
        <v>485</v>
      </c>
      <c r="D57" s="151" t="s">
        <v>486</v>
      </c>
    </row>
    <row r="58" spans="1:4">
      <c r="A58" s="151" t="s">
        <v>487</v>
      </c>
      <c r="B58" s="151" t="s">
        <v>488</v>
      </c>
      <c r="D58" s="151" t="s">
        <v>489</v>
      </c>
    </row>
    <row r="59" spans="1:4">
      <c r="A59" s="151" t="s">
        <v>490</v>
      </c>
      <c r="B59" s="151" t="s">
        <v>491</v>
      </c>
      <c r="D59" s="151" t="s">
        <v>492</v>
      </c>
    </row>
    <row r="60" spans="1:4">
      <c r="A60" s="151" t="s">
        <v>493</v>
      </c>
      <c r="B60" s="151" t="s">
        <v>494</v>
      </c>
      <c r="D60" s="151" t="s">
        <v>495</v>
      </c>
    </row>
    <row r="61" spans="1:4">
      <c r="A61" s="151" t="s">
        <v>496</v>
      </c>
      <c r="B61" s="151" t="s">
        <v>497</v>
      </c>
      <c r="D61" s="151" t="s">
        <v>498</v>
      </c>
    </row>
    <row r="62" spans="1:4">
      <c r="A62" s="151" t="s">
        <v>499</v>
      </c>
      <c r="B62" s="151" t="s">
        <v>500</v>
      </c>
      <c r="D62" s="151" t="s">
        <v>501</v>
      </c>
    </row>
    <row r="63" spans="1:4">
      <c r="A63" s="151" t="s">
        <v>502</v>
      </c>
      <c r="B63" s="151" t="s">
        <v>503</v>
      </c>
      <c r="D63" s="151" t="s">
        <v>504</v>
      </c>
    </row>
    <row r="64" spans="1:4">
      <c r="A64" s="151" t="s">
        <v>505</v>
      </c>
      <c r="B64" s="151" t="s">
        <v>506</v>
      </c>
      <c r="D64" s="151" t="s">
        <v>507</v>
      </c>
    </row>
    <row r="65" spans="1:4">
      <c r="A65" s="151" t="s">
        <v>508</v>
      </c>
      <c r="B65" s="151" t="s">
        <v>509</v>
      </c>
      <c r="D65" s="151" t="s">
        <v>510</v>
      </c>
    </row>
    <row r="66" spans="1:4">
      <c r="A66" s="151" t="s">
        <v>511</v>
      </c>
      <c r="B66" s="151" t="s">
        <v>512</v>
      </c>
      <c r="D66" s="151" t="s">
        <v>513</v>
      </c>
    </row>
    <row r="67" spans="1:4">
      <c r="A67" s="151" t="s">
        <v>514</v>
      </c>
      <c r="B67" s="151" t="s">
        <v>515</v>
      </c>
      <c r="D67" s="151" t="s">
        <v>516</v>
      </c>
    </row>
    <row r="68" spans="1:4">
      <c r="A68" s="151" t="s">
        <v>517</v>
      </c>
      <c r="B68" s="151" t="s">
        <v>518</v>
      </c>
      <c r="D68" s="151" t="s">
        <v>519</v>
      </c>
    </row>
    <row r="69" spans="1:4">
      <c r="A69" s="151" t="s">
        <v>520</v>
      </c>
      <c r="B69" s="151" t="s">
        <v>521</v>
      </c>
      <c r="D69" s="151" t="s">
        <v>522</v>
      </c>
    </row>
    <row r="70" spans="1:4">
      <c r="A70" s="151" t="s">
        <v>523</v>
      </c>
      <c r="B70" s="151" t="s">
        <v>524</v>
      </c>
      <c r="D70" s="151" t="s">
        <v>525</v>
      </c>
    </row>
    <row r="71" spans="1:4">
      <c r="A71" s="151" t="s">
        <v>526</v>
      </c>
      <c r="B71" s="151" t="s">
        <v>527</v>
      </c>
      <c r="D71" s="151" t="s">
        <v>528</v>
      </c>
    </row>
    <row r="72" spans="1:4">
      <c r="A72" s="151" t="s">
        <v>529</v>
      </c>
      <c r="B72" s="151" t="s">
        <v>530</v>
      </c>
      <c r="D72" s="151" t="s">
        <v>531</v>
      </c>
    </row>
    <row r="73" spans="1:4">
      <c r="A73" s="151" t="s">
        <v>532</v>
      </c>
      <c r="B73" s="151" t="s">
        <v>533</v>
      </c>
      <c r="D73" s="151" t="s">
        <v>534</v>
      </c>
    </row>
    <row r="74" spans="1:4">
      <c r="A74" s="151" t="s">
        <v>535</v>
      </c>
      <c r="B74" s="151" t="s">
        <v>536</v>
      </c>
      <c r="D74" s="151" t="s">
        <v>537</v>
      </c>
    </row>
    <row r="75" spans="1:4">
      <c r="A75" s="151" t="s">
        <v>538</v>
      </c>
      <c r="B75" s="151" t="s">
        <v>539</v>
      </c>
      <c r="D75" s="151" t="s">
        <v>540</v>
      </c>
    </row>
    <row r="76" spans="1:4">
      <c r="A76" s="151" t="s">
        <v>255</v>
      </c>
      <c r="B76" s="151" t="s">
        <v>541</v>
      </c>
      <c r="D76" s="151" t="s">
        <v>542</v>
      </c>
    </row>
    <row r="77" spans="1:4">
      <c r="A77" s="151" t="s">
        <v>543</v>
      </c>
      <c r="B77" s="151" t="s">
        <v>544</v>
      </c>
      <c r="D77" s="151" t="s">
        <v>545</v>
      </c>
    </row>
    <row r="78" spans="1:4">
      <c r="A78" s="151" t="s">
        <v>546</v>
      </c>
      <c r="B78" s="151" t="s">
        <v>547</v>
      </c>
      <c r="D78" s="151" t="s">
        <v>548</v>
      </c>
    </row>
    <row r="79" spans="1:4">
      <c r="A79" s="151" t="s">
        <v>549</v>
      </c>
      <c r="B79" s="151" t="s">
        <v>550</v>
      </c>
      <c r="D79" s="151" t="s">
        <v>551</v>
      </c>
    </row>
    <row r="80" spans="1:4">
      <c r="A80" s="151" t="s">
        <v>552</v>
      </c>
      <c r="B80" s="151" t="s">
        <v>553</v>
      </c>
      <c r="D80" s="151" t="s">
        <v>554</v>
      </c>
    </row>
    <row r="81" spans="1:4">
      <c r="A81" s="151" t="s">
        <v>555</v>
      </c>
      <c r="B81" s="151" t="s">
        <v>556</v>
      </c>
      <c r="D81" s="151" t="s">
        <v>557</v>
      </c>
    </row>
    <row r="82" spans="1:4">
      <c r="A82" s="151" t="s">
        <v>558</v>
      </c>
      <c r="B82" s="151" t="s">
        <v>559</v>
      </c>
      <c r="D82" s="151" t="s">
        <v>560</v>
      </c>
    </row>
    <row r="83" spans="1:4">
      <c r="A83" s="151" t="s">
        <v>561</v>
      </c>
      <c r="B83" s="151" t="s">
        <v>562</v>
      </c>
      <c r="D83" s="151" t="s">
        <v>563</v>
      </c>
    </row>
    <row r="84" spans="1:4">
      <c r="A84" s="151" t="s">
        <v>564</v>
      </c>
      <c r="B84" s="151" t="s">
        <v>565</v>
      </c>
      <c r="D84" s="151" t="s">
        <v>566</v>
      </c>
    </row>
    <row r="85" spans="1:4">
      <c r="A85" s="151" t="s">
        <v>567</v>
      </c>
      <c r="B85" s="151" t="s">
        <v>568</v>
      </c>
      <c r="D85" s="151" t="s">
        <v>569</v>
      </c>
    </row>
    <row r="86" spans="1:4">
      <c r="A86" s="151" t="s">
        <v>570</v>
      </c>
      <c r="B86" s="151" t="s">
        <v>571</v>
      </c>
      <c r="D86" s="151" t="s">
        <v>572</v>
      </c>
    </row>
    <row r="87" spans="1:4">
      <c r="A87" s="151" t="s">
        <v>573</v>
      </c>
      <c r="B87" s="151" t="s">
        <v>574</v>
      </c>
      <c r="D87" s="151" t="s">
        <v>575</v>
      </c>
    </row>
    <row r="88" spans="1:4">
      <c r="A88" s="151" t="s">
        <v>576</v>
      </c>
      <c r="B88" s="151" t="s">
        <v>577</v>
      </c>
      <c r="D88" s="151" t="s">
        <v>578</v>
      </c>
    </row>
    <row r="89" spans="1:4">
      <c r="A89" s="151" t="s">
        <v>579</v>
      </c>
      <c r="B89" s="151" t="s">
        <v>580</v>
      </c>
      <c r="D89" s="151" t="s">
        <v>581</v>
      </c>
    </row>
    <row r="90" spans="1:4">
      <c r="A90" s="151" t="s">
        <v>582</v>
      </c>
      <c r="B90" s="151" t="s">
        <v>583</v>
      </c>
      <c r="D90" s="151" t="s">
        <v>584</v>
      </c>
    </row>
    <row r="91" spans="1:4">
      <c r="A91" s="151" t="s">
        <v>585</v>
      </c>
      <c r="B91" s="151" t="s">
        <v>586</v>
      </c>
      <c r="D91" s="151" t="s">
        <v>587</v>
      </c>
    </row>
    <row r="92" spans="1:4">
      <c r="A92" s="151" t="s">
        <v>588</v>
      </c>
      <c r="B92" s="151" t="s">
        <v>589</v>
      </c>
      <c r="D92" s="151" t="s">
        <v>590</v>
      </c>
    </row>
    <row r="93" spans="1:4">
      <c r="A93" s="151" t="s">
        <v>591</v>
      </c>
      <c r="B93" s="151" t="s">
        <v>592</v>
      </c>
      <c r="D93" s="151" t="s">
        <v>593</v>
      </c>
    </row>
    <row r="94" spans="1:4">
      <c r="A94" s="151" t="s">
        <v>594</v>
      </c>
      <c r="B94" s="151" t="s">
        <v>595</v>
      </c>
      <c r="D94" s="151" t="s">
        <v>596</v>
      </c>
    </row>
    <row r="95" spans="1:4">
      <c r="A95" s="151" t="s">
        <v>597</v>
      </c>
      <c r="B95" s="151" t="s">
        <v>598</v>
      </c>
      <c r="D95" s="151" t="s">
        <v>119</v>
      </c>
    </row>
    <row r="96" spans="1:4">
      <c r="A96" s="151" t="s">
        <v>599</v>
      </c>
      <c r="B96" s="151" t="s">
        <v>600</v>
      </c>
      <c r="D96" s="151" t="s">
        <v>601</v>
      </c>
    </row>
    <row r="97" spans="1:4">
      <c r="A97" s="151" t="s">
        <v>602</v>
      </c>
      <c r="B97" s="151" t="s">
        <v>603</v>
      </c>
      <c r="D97" s="151" t="s">
        <v>604</v>
      </c>
    </row>
    <row r="98" spans="1:4">
      <c r="A98" s="151" t="s">
        <v>605</v>
      </c>
      <c r="B98" s="151" t="s">
        <v>606</v>
      </c>
      <c r="D98" s="151" t="s">
        <v>607</v>
      </c>
    </row>
    <row r="99" spans="1:4">
      <c r="A99" s="151" t="s">
        <v>608</v>
      </c>
      <c r="B99" s="151" t="s">
        <v>609</v>
      </c>
      <c r="D99" s="151" t="s">
        <v>610</v>
      </c>
    </row>
    <row r="100" spans="1:4">
      <c r="A100" s="151" t="s">
        <v>611</v>
      </c>
      <c r="B100" s="151" t="s">
        <v>612</v>
      </c>
      <c r="D100" s="151" t="s">
        <v>613</v>
      </c>
    </row>
    <row r="101" spans="1:4">
      <c r="A101" s="151" t="s">
        <v>614</v>
      </c>
      <c r="B101" s="151" t="s">
        <v>615</v>
      </c>
      <c r="D101" s="151" t="s">
        <v>616</v>
      </c>
    </row>
    <row r="102" spans="1:4">
      <c r="A102" s="151" t="s">
        <v>617</v>
      </c>
      <c r="B102" s="151" t="s">
        <v>618</v>
      </c>
      <c r="D102" s="151" t="s">
        <v>619</v>
      </c>
    </row>
    <row r="103" spans="1:4">
      <c r="A103" s="151" t="s">
        <v>620</v>
      </c>
      <c r="B103" s="151" t="s">
        <v>621</v>
      </c>
      <c r="D103" s="151" t="s">
        <v>622</v>
      </c>
    </row>
    <row r="104" spans="1:4">
      <c r="A104" s="151" t="s">
        <v>623</v>
      </c>
      <c r="B104" s="151" t="s">
        <v>624</v>
      </c>
      <c r="D104" s="151" t="s">
        <v>625</v>
      </c>
    </row>
    <row r="105" spans="1:4">
      <c r="A105" s="151" t="s">
        <v>626</v>
      </c>
      <c r="B105" s="151" t="s">
        <v>627</v>
      </c>
      <c r="D105" s="151" t="s">
        <v>628</v>
      </c>
    </row>
    <row r="106" spans="1:4">
      <c r="A106" s="151" t="s">
        <v>629</v>
      </c>
      <c r="B106" s="151" t="s">
        <v>630</v>
      </c>
      <c r="D106" s="151" t="s">
        <v>631</v>
      </c>
    </row>
    <row r="107" spans="1:4">
      <c r="A107" s="151" t="s">
        <v>632</v>
      </c>
      <c r="B107" s="151" t="s">
        <v>633</v>
      </c>
      <c r="D107" s="151" t="s">
        <v>634</v>
      </c>
    </row>
    <row r="108" spans="1:4">
      <c r="A108" s="151" t="s">
        <v>635</v>
      </c>
      <c r="B108" s="151" t="s">
        <v>636</v>
      </c>
      <c r="D108" s="151" t="s">
        <v>637</v>
      </c>
    </row>
    <row r="109" spans="1:4">
      <c r="A109" s="151" t="s">
        <v>638</v>
      </c>
      <c r="B109" s="151" t="s">
        <v>639</v>
      </c>
      <c r="D109" s="151" t="s">
        <v>640</v>
      </c>
    </row>
    <row r="110" spans="1:4">
      <c r="A110" s="151" t="s">
        <v>641</v>
      </c>
      <c r="B110" s="151" t="s">
        <v>642</v>
      </c>
      <c r="D110" s="151" t="s">
        <v>643</v>
      </c>
    </row>
    <row r="111" spans="1:4">
      <c r="A111" s="151" t="s">
        <v>644</v>
      </c>
      <c r="B111" s="151" t="s">
        <v>645</v>
      </c>
      <c r="D111" s="151" t="s">
        <v>646</v>
      </c>
    </row>
    <row r="112" spans="1:4">
      <c r="A112" s="151" t="s">
        <v>647</v>
      </c>
      <c r="B112" s="151" t="s">
        <v>648</v>
      </c>
      <c r="D112" s="151" t="s">
        <v>649</v>
      </c>
    </row>
    <row r="113" spans="1:4">
      <c r="A113" s="151" t="s">
        <v>650</v>
      </c>
      <c r="B113" s="151" t="s">
        <v>651</v>
      </c>
      <c r="D113" s="151" t="s">
        <v>652</v>
      </c>
    </row>
    <row r="114" spans="1:4">
      <c r="A114" s="151" t="s">
        <v>653</v>
      </c>
      <c r="B114" s="151" t="s">
        <v>654</v>
      </c>
      <c r="D114" s="151" t="s">
        <v>655</v>
      </c>
    </row>
    <row r="115" spans="1:4">
      <c r="A115" s="151" t="s">
        <v>656</v>
      </c>
      <c r="B115" s="151" t="s">
        <v>657</v>
      </c>
      <c r="D115" s="151" t="s">
        <v>658</v>
      </c>
    </row>
    <row r="116" spans="1:4">
      <c r="A116" s="151" t="s">
        <v>659</v>
      </c>
      <c r="B116" s="151" t="s">
        <v>660</v>
      </c>
      <c r="D116" s="151" t="s">
        <v>661</v>
      </c>
    </row>
    <row r="117" spans="1:4">
      <c r="A117" s="151" t="s">
        <v>662</v>
      </c>
      <c r="B117" s="151" t="s">
        <v>663</v>
      </c>
      <c r="D117" s="151" t="s">
        <v>664</v>
      </c>
    </row>
    <row r="118" spans="1:4">
      <c r="A118" s="151" t="s">
        <v>665</v>
      </c>
      <c r="B118" s="151" t="s">
        <v>666</v>
      </c>
      <c r="D118" s="151" t="s">
        <v>667</v>
      </c>
    </row>
    <row r="119" spans="1:4">
      <c r="A119" s="151" t="s">
        <v>668</v>
      </c>
      <c r="B119" s="151" t="s">
        <v>669</v>
      </c>
      <c r="D119" s="151" t="s">
        <v>670</v>
      </c>
    </row>
    <row r="120" spans="1:4">
      <c r="A120" s="151" t="s">
        <v>671</v>
      </c>
      <c r="B120" s="151" t="s">
        <v>672</v>
      </c>
      <c r="D120" s="151" t="s">
        <v>673</v>
      </c>
    </row>
    <row r="121" spans="1:4">
      <c r="A121" s="151" t="s">
        <v>674</v>
      </c>
      <c r="B121" s="151" t="s">
        <v>675</v>
      </c>
      <c r="D121" s="151" t="s">
        <v>676</v>
      </c>
    </row>
    <row r="122" spans="1:4">
      <c r="A122" s="151" t="s">
        <v>677</v>
      </c>
      <c r="B122" s="151" t="s">
        <v>678</v>
      </c>
      <c r="D122" s="151" t="s">
        <v>679</v>
      </c>
    </row>
    <row r="123" spans="1:4">
      <c r="A123" s="151" t="s">
        <v>680</v>
      </c>
      <c r="B123" s="151" t="s">
        <v>681</v>
      </c>
      <c r="D123" s="151" t="s">
        <v>682</v>
      </c>
    </row>
    <row r="124" spans="1:4">
      <c r="A124" s="151" t="s">
        <v>683</v>
      </c>
      <c r="B124" s="151" t="s">
        <v>684</v>
      </c>
      <c r="D124" s="151" t="s">
        <v>685</v>
      </c>
    </row>
    <row r="125" spans="1:4">
      <c r="A125" s="151" t="s">
        <v>686</v>
      </c>
      <c r="B125" s="151" t="s">
        <v>687</v>
      </c>
      <c r="D125" s="151" t="s">
        <v>688</v>
      </c>
    </row>
    <row r="126" spans="1:4">
      <c r="A126" s="151" t="s">
        <v>689</v>
      </c>
      <c r="B126" s="151" t="s">
        <v>690</v>
      </c>
      <c r="D126" s="151" t="s">
        <v>691</v>
      </c>
    </row>
    <row r="127" spans="1:4">
      <c r="A127" s="151" t="s">
        <v>692</v>
      </c>
      <c r="B127" s="151" t="s">
        <v>693</v>
      </c>
      <c r="D127" s="151" t="s">
        <v>694</v>
      </c>
    </row>
    <row r="128" spans="1:4">
      <c r="A128" s="151" t="s">
        <v>695</v>
      </c>
      <c r="B128" s="151" t="s">
        <v>696</v>
      </c>
      <c r="D128" s="151" t="s">
        <v>697</v>
      </c>
    </row>
    <row r="129" spans="1:4">
      <c r="A129" s="151" t="s">
        <v>698</v>
      </c>
      <c r="B129" s="151" t="s">
        <v>699</v>
      </c>
      <c r="D129" s="151" t="s">
        <v>700</v>
      </c>
    </row>
    <row r="130" spans="1:4">
      <c r="A130" s="151" t="s">
        <v>701</v>
      </c>
      <c r="B130" s="151" t="s">
        <v>702</v>
      </c>
      <c r="D130" s="151" t="s">
        <v>703</v>
      </c>
    </row>
    <row r="131" spans="1:4">
      <c r="A131" s="151" t="s">
        <v>704</v>
      </c>
      <c r="B131" s="151" t="s">
        <v>705</v>
      </c>
      <c r="D131" s="151" t="s">
        <v>706</v>
      </c>
    </row>
    <row r="132" spans="1:4">
      <c r="A132" s="151" t="s">
        <v>707</v>
      </c>
      <c r="B132" s="151" t="s">
        <v>708</v>
      </c>
      <c r="D132" s="151" t="s">
        <v>709</v>
      </c>
    </row>
    <row r="133" spans="1:4">
      <c r="A133" s="151" t="s">
        <v>710</v>
      </c>
      <c r="B133" s="151" t="s">
        <v>711</v>
      </c>
      <c r="D133" s="151" t="s">
        <v>712</v>
      </c>
    </row>
    <row r="134" spans="1:4">
      <c r="A134" s="151" t="s">
        <v>713</v>
      </c>
      <c r="B134" s="151" t="s">
        <v>714</v>
      </c>
      <c r="D134" s="151" t="s">
        <v>715</v>
      </c>
    </row>
    <row r="135" spans="1:4">
      <c r="A135" s="151" t="s">
        <v>716</v>
      </c>
      <c r="B135" s="151" t="s">
        <v>717</v>
      </c>
      <c r="D135" s="151" t="s">
        <v>718</v>
      </c>
    </row>
    <row r="136" spans="1:4">
      <c r="A136" s="151" t="s">
        <v>719</v>
      </c>
      <c r="B136" s="151" t="s">
        <v>720</v>
      </c>
      <c r="D136" s="151" t="s">
        <v>721</v>
      </c>
    </row>
    <row r="137" spans="1:4">
      <c r="A137" s="151" t="s">
        <v>722</v>
      </c>
      <c r="B137" s="151" t="s">
        <v>723</v>
      </c>
      <c r="D137" s="151" t="s">
        <v>724</v>
      </c>
    </row>
    <row r="138" spans="1:4">
      <c r="A138" s="151" t="s">
        <v>725</v>
      </c>
      <c r="B138" s="151" t="s">
        <v>726</v>
      </c>
      <c r="D138" s="151" t="s">
        <v>727</v>
      </c>
    </row>
    <row r="139" spans="1:4">
      <c r="A139" s="151" t="s">
        <v>728</v>
      </c>
      <c r="B139" s="151" t="s">
        <v>729</v>
      </c>
      <c r="D139" s="151" t="s">
        <v>730</v>
      </c>
    </row>
    <row r="140" spans="1:4">
      <c r="A140" s="151" t="s">
        <v>731</v>
      </c>
      <c r="B140" s="151" t="s">
        <v>732</v>
      </c>
      <c r="D140" s="151" t="s">
        <v>733</v>
      </c>
    </row>
    <row r="141" spans="1:4">
      <c r="A141" s="151" t="s">
        <v>734</v>
      </c>
      <c r="B141" s="151" t="s">
        <v>735</v>
      </c>
      <c r="D141" s="151" t="s">
        <v>736</v>
      </c>
    </row>
    <row r="142" spans="1:4">
      <c r="A142" s="151" t="s">
        <v>737</v>
      </c>
      <c r="B142" s="151" t="s">
        <v>738</v>
      </c>
      <c r="D142" s="151" t="s">
        <v>739</v>
      </c>
    </row>
    <row r="143" spans="1:4">
      <c r="A143" s="151" t="s">
        <v>740</v>
      </c>
      <c r="B143" s="151" t="s">
        <v>741</v>
      </c>
      <c r="D143" s="151" t="s">
        <v>742</v>
      </c>
    </row>
    <row r="144" spans="1:4">
      <c r="A144" s="151" t="s">
        <v>743</v>
      </c>
      <c r="B144" s="151" t="s">
        <v>744</v>
      </c>
      <c r="D144" s="151" t="s">
        <v>745</v>
      </c>
    </row>
    <row r="145" spans="1:4">
      <c r="A145" s="151" t="s">
        <v>746</v>
      </c>
      <c r="B145" s="151" t="s">
        <v>747</v>
      </c>
      <c r="D145" s="151" t="s">
        <v>748</v>
      </c>
    </row>
    <row r="146" spans="1:4">
      <c r="A146" s="151" t="s">
        <v>749</v>
      </c>
      <c r="B146" s="151" t="s">
        <v>750</v>
      </c>
      <c r="D146" s="151" t="s">
        <v>751</v>
      </c>
    </row>
    <row r="147" spans="1:4">
      <c r="A147" s="151" t="s">
        <v>752</v>
      </c>
      <c r="B147" s="151" t="s">
        <v>753</v>
      </c>
      <c r="D147" s="151" t="s">
        <v>754</v>
      </c>
    </row>
    <row r="148" spans="1:4">
      <c r="A148" s="151" t="s">
        <v>755</v>
      </c>
      <c r="B148" s="151" t="s">
        <v>756</v>
      </c>
      <c r="D148" s="151" t="s">
        <v>757</v>
      </c>
    </row>
    <row r="149" spans="1:4">
      <c r="A149" s="151" t="s">
        <v>758</v>
      </c>
      <c r="B149" s="151" t="s">
        <v>759</v>
      </c>
      <c r="D149" s="151" t="s">
        <v>760</v>
      </c>
    </row>
    <row r="150" spans="1:4">
      <c r="A150" s="151" t="s">
        <v>761</v>
      </c>
      <c r="B150" s="151" t="s">
        <v>762</v>
      </c>
      <c r="D150" s="151" t="s">
        <v>763</v>
      </c>
    </row>
    <row r="151" spans="1:4">
      <c r="A151" s="151" t="s">
        <v>764</v>
      </c>
      <c r="B151" s="151" t="s">
        <v>765</v>
      </c>
      <c r="D151" s="151" t="s">
        <v>766</v>
      </c>
    </row>
    <row r="152" spans="1:4">
      <c r="A152" s="151" t="s">
        <v>767</v>
      </c>
      <c r="B152" s="151" t="s">
        <v>768</v>
      </c>
      <c r="D152" s="151" t="s">
        <v>769</v>
      </c>
    </row>
    <row r="153" spans="1:4">
      <c r="A153" s="151" t="s">
        <v>770</v>
      </c>
      <c r="B153" s="151" t="s">
        <v>771</v>
      </c>
      <c r="D153" s="151" t="s">
        <v>772</v>
      </c>
    </row>
    <row r="154" spans="1:4">
      <c r="A154" s="151" t="s">
        <v>773</v>
      </c>
      <c r="B154" s="151" t="s">
        <v>774</v>
      </c>
      <c r="D154" s="151" t="s">
        <v>775</v>
      </c>
    </row>
    <row r="155" spans="1:4">
      <c r="A155" s="151" t="s">
        <v>776</v>
      </c>
      <c r="B155" s="151" t="s">
        <v>777</v>
      </c>
      <c r="D155" s="151" t="s">
        <v>778</v>
      </c>
    </row>
    <row r="156" spans="1:4">
      <c r="A156" s="151" t="s">
        <v>779</v>
      </c>
      <c r="B156" s="151" t="s">
        <v>780</v>
      </c>
      <c r="D156" s="151" t="s">
        <v>781</v>
      </c>
    </row>
    <row r="157" spans="1:4">
      <c r="A157" s="151" t="s">
        <v>782</v>
      </c>
      <c r="B157" s="151" t="s">
        <v>783</v>
      </c>
      <c r="D157" s="151" t="s">
        <v>784</v>
      </c>
    </row>
    <row r="158" spans="1:4">
      <c r="A158" s="151" t="s">
        <v>785</v>
      </c>
      <c r="B158" s="151" t="s">
        <v>786</v>
      </c>
      <c r="D158" s="151" t="s">
        <v>787</v>
      </c>
    </row>
    <row r="159" spans="1:4">
      <c r="A159" s="151" t="s">
        <v>788</v>
      </c>
      <c r="B159" s="151" t="s">
        <v>789</v>
      </c>
      <c r="D159" s="151" t="s">
        <v>790</v>
      </c>
    </row>
    <row r="160" spans="1:4">
      <c r="A160" s="151" t="s">
        <v>791</v>
      </c>
      <c r="B160" s="151" t="s">
        <v>792</v>
      </c>
      <c r="D160" s="151" t="s">
        <v>793</v>
      </c>
    </row>
    <row r="161" spans="1:4">
      <c r="A161" s="151" t="s">
        <v>794</v>
      </c>
      <c r="B161" s="151" t="s">
        <v>795</v>
      </c>
      <c r="D161" s="151" t="s">
        <v>796</v>
      </c>
    </row>
    <row r="162" spans="1:4">
      <c r="A162" s="151" t="s">
        <v>797</v>
      </c>
      <c r="B162" s="151" t="s">
        <v>798</v>
      </c>
      <c r="D162" s="151" t="s">
        <v>799</v>
      </c>
    </row>
    <row r="163" spans="1:4">
      <c r="A163" s="151" t="s">
        <v>800</v>
      </c>
      <c r="B163" s="151" t="s">
        <v>801</v>
      </c>
      <c r="D163" s="151" t="s">
        <v>802</v>
      </c>
    </row>
    <row r="164" spans="1:4">
      <c r="A164" s="151" t="s">
        <v>803</v>
      </c>
      <c r="B164" s="151" t="s">
        <v>804</v>
      </c>
      <c r="D164" s="151" t="s">
        <v>805</v>
      </c>
    </row>
    <row r="165" spans="1:4">
      <c r="A165" s="151" t="s">
        <v>806</v>
      </c>
      <c r="B165" s="151" t="s">
        <v>807</v>
      </c>
      <c r="D165" s="151" t="s">
        <v>808</v>
      </c>
    </row>
    <row r="166" spans="1:4">
      <c r="A166" s="151" t="s">
        <v>809</v>
      </c>
      <c r="B166" s="151" t="s">
        <v>810</v>
      </c>
      <c r="D166" s="151" t="s">
        <v>811</v>
      </c>
    </row>
    <row r="167" spans="1:4">
      <c r="A167" s="151" t="s">
        <v>812</v>
      </c>
      <c r="B167" s="151" t="s">
        <v>813</v>
      </c>
      <c r="D167" s="151" t="s">
        <v>814</v>
      </c>
    </row>
    <row r="168" spans="1:4">
      <c r="A168" s="151" t="s">
        <v>815</v>
      </c>
      <c r="B168" s="151" t="s">
        <v>816</v>
      </c>
      <c r="D168" s="151" t="s">
        <v>817</v>
      </c>
    </row>
    <row r="169" spans="1:4">
      <c r="A169" s="151" t="s">
        <v>818</v>
      </c>
      <c r="B169" s="151" t="s">
        <v>819</v>
      </c>
      <c r="D169" s="151" t="s">
        <v>820</v>
      </c>
    </row>
    <row r="170" spans="1:4">
      <c r="A170" s="151" t="s">
        <v>821</v>
      </c>
      <c r="B170" s="151" t="s">
        <v>822</v>
      </c>
      <c r="D170" s="151" t="s">
        <v>823</v>
      </c>
    </row>
    <row r="171" spans="1:4">
      <c r="A171" s="151" t="s">
        <v>824</v>
      </c>
      <c r="B171" s="151" t="s">
        <v>825</v>
      </c>
      <c r="D171" s="151" t="s">
        <v>826</v>
      </c>
    </row>
    <row r="172" spans="1:4">
      <c r="A172" s="151" t="s">
        <v>827</v>
      </c>
      <c r="B172" s="151" t="s">
        <v>828</v>
      </c>
      <c r="D172" s="151" t="s">
        <v>829</v>
      </c>
    </row>
    <row r="173" spans="1:4">
      <c r="A173" s="151" t="s">
        <v>830</v>
      </c>
      <c r="B173" s="151" t="s">
        <v>831</v>
      </c>
      <c r="D173" s="151" t="s">
        <v>832</v>
      </c>
    </row>
    <row r="174" spans="1:4">
      <c r="A174" s="151" t="s">
        <v>833</v>
      </c>
      <c r="B174" s="151" t="s">
        <v>834</v>
      </c>
      <c r="D174" s="151" t="s">
        <v>835</v>
      </c>
    </row>
    <row r="175" spans="1:4">
      <c r="A175" s="151" t="s">
        <v>836</v>
      </c>
      <c r="B175" s="151" t="s">
        <v>837</v>
      </c>
      <c r="D175" s="151" t="s">
        <v>838</v>
      </c>
    </row>
    <row r="176" spans="1:4">
      <c r="A176" s="151" t="s">
        <v>839</v>
      </c>
      <c r="B176" s="151" t="s">
        <v>840</v>
      </c>
      <c r="D176" s="151" t="s">
        <v>841</v>
      </c>
    </row>
    <row r="177" spans="1:4">
      <c r="A177" s="151" t="s">
        <v>842</v>
      </c>
      <c r="B177" s="151" t="s">
        <v>843</v>
      </c>
      <c r="D177" s="151" t="s">
        <v>844</v>
      </c>
    </row>
    <row r="178" spans="1:4">
      <c r="A178" s="151" t="s">
        <v>845</v>
      </c>
      <c r="B178" s="151" t="s">
        <v>846</v>
      </c>
      <c r="D178" s="151" t="s">
        <v>847</v>
      </c>
    </row>
    <row r="179" spans="1:4">
      <c r="A179" s="151" t="s">
        <v>848</v>
      </c>
      <c r="B179" s="151" t="s">
        <v>849</v>
      </c>
      <c r="D179" s="151" t="s">
        <v>850</v>
      </c>
    </row>
    <row r="180" spans="1:4">
      <c r="A180" s="151" t="s">
        <v>851</v>
      </c>
      <c r="B180" s="151" t="s">
        <v>852</v>
      </c>
      <c r="D180" s="151" t="s">
        <v>853</v>
      </c>
    </row>
    <row r="181" spans="1:4">
      <c r="A181" s="151" t="s">
        <v>854</v>
      </c>
      <c r="B181" s="151" t="s">
        <v>855</v>
      </c>
      <c r="D181" s="151" t="s">
        <v>856</v>
      </c>
    </row>
    <row r="182" spans="1:4">
      <c r="A182" s="151" t="s">
        <v>857</v>
      </c>
      <c r="B182" s="151" t="s">
        <v>858</v>
      </c>
      <c r="D182" s="151" t="s">
        <v>859</v>
      </c>
    </row>
    <row r="183" spans="1:4">
      <c r="A183" s="151" t="s">
        <v>860</v>
      </c>
      <c r="B183" s="151" t="s">
        <v>861</v>
      </c>
      <c r="D183" s="151" t="s">
        <v>862</v>
      </c>
    </row>
    <row r="184" spans="1:4">
      <c r="A184" s="151" t="s">
        <v>863</v>
      </c>
      <c r="B184" s="151" t="s">
        <v>864</v>
      </c>
      <c r="D184" s="151" t="s">
        <v>865</v>
      </c>
    </row>
    <row r="185" spans="1:4">
      <c r="A185" s="151" t="s">
        <v>866</v>
      </c>
      <c r="B185" s="151" t="s">
        <v>867</v>
      </c>
      <c r="D185" s="151" t="s">
        <v>868</v>
      </c>
    </row>
    <row r="186" spans="1:4">
      <c r="A186" s="151" t="s">
        <v>869</v>
      </c>
      <c r="B186" s="151" t="s">
        <v>870</v>
      </c>
      <c r="D186" s="151" t="s">
        <v>871</v>
      </c>
    </row>
    <row r="187" spans="1:4">
      <c r="A187" s="151" t="s">
        <v>872</v>
      </c>
      <c r="B187" s="151" t="s">
        <v>873</v>
      </c>
      <c r="D187" s="151" t="s">
        <v>874</v>
      </c>
    </row>
    <row r="188" spans="1:4">
      <c r="A188" s="151" t="s">
        <v>875</v>
      </c>
      <c r="B188" s="151" t="s">
        <v>876</v>
      </c>
      <c r="D188" s="151" t="s">
        <v>877</v>
      </c>
    </row>
    <row r="189" spans="1:4">
      <c r="A189" s="151" t="s">
        <v>878</v>
      </c>
      <c r="B189" s="151" t="s">
        <v>879</v>
      </c>
      <c r="D189" s="151" t="s">
        <v>880</v>
      </c>
    </row>
    <row r="190" spans="1:4">
      <c r="A190" s="151" t="s">
        <v>881</v>
      </c>
      <c r="B190" s="151" t="s">
        <v>882</v>
      </c>
      <c r="D190" s="151" t="s">
        <v>883</v>
      </c>
    </row>
    <row r="191" spans="1:4">
      <c r="A191" s="151" t="s">
        <v>884</v>
      </c>
      <c r="B191" s="151" t="s">
        <v>885</v>
      </c>
      <c r="D191" s="151" t="s">
        <v>886</v>
      </c>
    </row>
    <row r="192" spans="1:4">
      <c r="A192" s="151" t="s">
        <v>887</v>
      </c>
      <c r="B192" s="151" t="s">
        <v>888</v>
      </c>
      <c r="D192" s="151" t="s">
        <v>889</v>
      </c>
    </row>
    <row r="193" spans="1:4">
      <c r="A193" s="151" t="s">
        <v>890</v>
      </c>
      <c r="B193" s="151" t="s">
        <v>891</v>
      </c>
      <c r="D193" s="151" t="s">
        <v>892</v>
      </c>
    </row>
    <row r="194" spans="1:4">
      <c r="A194" s="151" t="s">
        <v>893</v>
      </c>
      <c r="B194" s="151" t="s">
        <v>894</v>
      </c>
      <c r="D194" s="151" t="s">
        <v>895</v>
      </c>
    </row>
    <row r="195" spans="1:4">
      <c r="A195" s="151" t="s">
        <v>896</v>
      </c>
      <c r="B195" s="151" t="s">
        <v>897</v>
      </c>
      <c r="D195" s="151" t="s">
        <v>898</v>
      </c>
    </row>
    <row r="196" spans="1:4">
      <c r="A196" s="151" t="s">
        <v>899</v>
      </c>
      <c r="B196" s="151" t="s">
        <v>900</v>
      </c>
      <c r="D196" s="151" t="s">
        <v>901</v>
      </c>
    </row>
    <row r="197" spans="1:4">
      <c r="A197" s="151" t="s">
        <v>902</v>
      </c>
      <c r="B197" s="151" t="s">
        <v>903</v>
      </c>
      <c r="D197" s="151" t="s">
        <v>904</v>
      </c>
    </row>
    <row r="198" spans="1:4">
      <c r="A198" s="151" t="s">
        <v>905</v>
      </c>
      <c r="B198" s="151" t="s">
        <v>906</v>
      </c>
      <c r="D198" s="151" t="s">
        <v>907</v>
      </c>
    </row>
    <row r="199" spans="1:4">
      <c r="A199" s="151" t="s">
        <v>908</v>
      </c>
      <c r="B199" s="151" t="s">
        <v>909</v>
      </c>
      <c r="D199" s="151" t="s">
        <v>910</v>
      </c>
    </row>
    <row r="200" spans="1:4">
      <c r="A200" s="151" t="s">
        <v>911</v>
      </c>
      <c r="B200" s="151" t="s">
        <v>912</v>
      </c>
      <c r="D200" s="151" t="s">
        <v>913</v>
      </c>
    </row>
    <row r="201" spans="1:4">
      <c r="A201" s="151" t="s">
        <v>914</v>
      </c>
      <c r="B201" s="151" t="s">
        <v>915</v>
      </c>
      <c r="D201" s="151" t="s">
        <v>916</v>
      </c>
    </row>
    <row r="202" spans="1:4">
      <c r="A202" s="151" t="s">
        <v>917</v>
      </c>
      <c r="B202" s="151" t="s">
        <v>918</v>
      </c>
      <c r="D202" s="151" t="s">
        <v>919</v>
      </c>
    </row>
    <row r="203" spans="1:4">
      <c r="A203" s="151" t="s">
        <v>920</v>
      </c>
      <c r="B203" s="151" t="s">
        <v>921</v>
      </c>
      <c r="D203" s="151" t="s">
        <v>922</v>
      </c>
    </row>
    <row r="204" spans="1:4">
      <c r="A204" s="151" t="s">
        <v>923</v>
      </c>
      <c r="B204" s="151" t="s">
        <v>924</v>
      </c>
      <c r="D204" s="151" t="s">
        <v>925</v>
      </c>
    </row>
    <row r="205" spans="1:4">
      <c r="A205" s="151" t="s">
        <v>926</v>
      </c>
      <c r="B205" s="151" t="s">
        <v>927</v>
      </c>
      <c r="D205" s="151" t="s">
        <v>928</v>
      </c>
    </row>
    <row r="206" spans="1:4">
      <c r="A206" s="151" t="s">
        <v>929</v>
      </c>
      <c r="B206" s="151" t="s">
        <v>930</v>
      </c>
      <c r="D206" s="151" t="s">
        <v>931</v>
      </c>
    </row>
    <row r="207" spans="1:4">
      <c r="A207" s="151" t="s">
        <v>932</v>
      </c>
      <c r="B207" s="151" t="s">
        <v>933</v>
      </c>
      <c r="D207" s="151" t="s">
        <v>934</v>
      </c>
    </row>
    <row r="208" spans="1:4">
      <c r="A208" s="151" t="s">
        <v>935</v>
      </c>
      <c r="B208" s="151" t="s">
        <v>936</v>
      </c>
      <c r="D208" s="151" t="s">
        <v>937</v>
      </c>
    </row>
    <row r="209" spans="1:4">
      <c r="A209" s="151" t="s">
        <v>938</v>
      </c>
      <c r="B209" s="151" t="s">
        <v>939</v>
      </c>
      <c r="D209" s="151" t="s">
        <v>940</v>
      </c>
    </row>
    <row r="210" spans="1:4">
      <c r="A210" s="151" t="s">
        <v>941</v>
      </c>
      <c r="B210" s="151" t="s">
        <v>942</v>
      </c>
      <c r="D210" s="151" t="s">
        <v>943</v>
      </c>
    </row>
    <row r="211" spans="1:4">
      <c r="A211" s="151" t="s">
        <v>944</v>
      </c>
      <c r="B211" s="151" t="s">
        <v>945</v>
      </c>
      <c r="D211" s="151" t="s">
        <v>946</v>
      </c>
    </row>
    <row r="212" spans="1:4">
      <c r="A212" s="151" t="s">
        <v>947</v>
      </c>
      <c r="B212" s="151" t="s">
        <v>948</v>
      </c>
      <c r="D212" s="151" t="s">
        <v>949</v>
      </c>
    </row>
    <row r="213" spans="1:4">
      <c r="A213" s="151" t="s">
        <v>950</v>
      </c>
      <c r="B213" s="151" t="s">
        <v>951</v>
      </c>
      <c r="D213" s="151" t="s">
        <v>952</v>
      </c>
    </row>
    <row r="214" spans="1:4">
      <c r="A214" s="151" t="s">
        <v>953</v>
      </c>
      <c r="B214" s="151" t="s">
        <v>954</v>
      </c>
      <c r="D214" s="151" t="s">
        <v>955</v>
      </c>
    </row>
    <row r="215" spans="1:4">
      <c r="A215" s="151" t="s">
        <v>956</v>
      </c>
      <c r="B215" s="151" t="s">
        <v>957</v>
      </c>
      <c r="D215" s="151" t="s">
        <v>958</v>
      </c>
    </row>
    <row r="216" spans="1:4">
      <c r="A216" s="151" t="s">
        <v>959</v>
      </c>
      <c r="B216" s="151" t="s">
        <v>960</v>
      </c>
      <c r="D216" s="151" t="s">
        <v>961</v>
      </c>
    </row>
    <row r="217" spans="1:4">
      <c r="A217" s="151" t="s">
        <v>962</v>
      </c>
      <c r="B217" s="151" t="s">
        <v>963</v>
      </c>
      <c r="D217" s="151" t="s">
        <v>964</v>
      </c>
    </row>
    <row r="218" spans="1:4">
      <c r="A218" s="151" t="s">
        <v>965</v>
      </c>
      <c r="B218" s="151" t="s">
        <v>966</v>
      </c>
      <c r="D218" s="151" t="s">
        <v>967</v>
      </c>
    </row>
    <row r="219" spans="1:4">
      <c r="A219" s="151" t="s">
        <v>968</v>
      </c>
      <c r="B219" s="151" t="s">
        <v>969</v>
      </c>
      <c r="D219" s="151" t="s">
        <v>970</v>
      </c>
    </row>
    <row r="220" spans="1:4">
      <c r="A220" s="151" t="s">
        <v>971</v>
      </c>
      <c r="B220" s="151" t="s">
        <v>972</v>
      </c>
      <c r="D220" s="151" t="s">
        <v>973</v>
      </c>
    </row>
    <row r="221" spans="1:4">
      <c r="A221" s="151" t="s">
        <v>974</v>
      </c>
      <c r="B221" s="151" t="s">
        <v>975</v>
      </c>
      <c r="D221" s="151" t="s">
        <v>976</v>
      </c>
    </row>
    <row r="222" spans="1:4">
      <c r="A222" s="151" t="s">
        <v>977</v>
      </c>
      <c r="B222" s="151" t="s">
        <v>978</v>
      </c>
      <c r="D222" s="151" t="s">
        <v>979</v>
      </c>
    </row>
    <row r="223" spans="1:4">
      <c r="A223" s="151" t="s">
        <v>980</v>
      </c>
      <c r="B223" s="151" t="s">
        <v>981</v>
      </c>
      <c r="D223" s="151" t="s">
        <v>982</v>
      </c>
    </row>
    <row r="224" spans="1:4">
      <c r="A224" s="151" t="s">
        <v>983</v>
      </c>
      <c r="B224" s="151" t="s">
        <v>984</v>
      </c>
      <c r="D224" s="151" t="s">
        <v>985</v>
      </c>
    </row>
    <row r="225" spans="1:4">
      <c r="A225" s="151" t="s">
        <v>986</v>
      </c>
      <c r="B225" s="151" t="s">
        <v>987</v>
      </c>
      <c r="D225" s="152" t="s">
        <v>243</v>
      </c>
    </row>
    <row r="226" spans="1:4">
      <c r="A226" s="151" t="s">
        <v>988</v>
      </c>
      <c r="B226" s="151" t="s">
        <v>989</v>
      </c>
      <c r="D226" t="s">
        <v>243</v>
      </c>
    </row>
    <row r="227" spans="1:4">
      <c r="A227" s="151" t="s">
        <v>990</v>
      </c>
      <c r="B227" s="151" t="s">
        <v>991</v>
      </c>
    </row>
    <row r="228" spans="1:4">
      <c r="A228" s="151" t="s">
        <v>992</v>
      </c>
      <c r="B228" s="151" t="s">
        <v>993</v>
      </c>
    </row>
    <row r="229" spans="1:4">
      <c r="A229" s="151" t="s">
        <v>994</v>
      </c>
      <c r="B229" s="151" t="s">
        <v>995</v>
      </c>
    </row>
    <row r="230" spans="1:4">
      <c r="A230" s="151" t="s">
        <v>996</v>
      </c>
      <c r="B230" s="151" t="s">
        <v>997</v>
      </c>
    </row>
    <row r="231" spans="1:4">
      <c r="A231" s="151" t="s">
        <v>998</v>
      </c>
      <c r="B231" s="151" t="s">
        <v>999</v>
      </c>
    </row>
    <row r="232" spans="1:4">
      <c r="A232" s="151" t="s">
        <v>1000</v>
      </c>
      <c r="B232" s="151" t="s">
        <v>1001</v>
      </c>
    </row>
    <row r="233" spans="1:4">
      <c r="A233" s="151" t="s">
        <v>1002</v>
      </c>
      <c r="B233" s="151" t="s">
        <v>1003</v>
      </c>
    </row>
    <row r="234" spans="1:4">
      <c r="A234" s="151" t="s">
        <v>1004</v>
      </c>
      <c r="B234" s="151" t="s">
        <v>1005</v>
      </c>
    </row>
    <row r="235" spans="1:4">
      <c r="A235" s="151" t="s">
        <v>1006</v>
      </c>
      <c r="B235" s="151" t="s">
        <v>1007</v>
      </c>
    </row>
    <row r="236" spans="1:4">
      <c r="A236" s="151" t="s">
        <v>1008</v>
      </c>
      <c r="B236" s="151" t="s">
        <v>1009</v>
      </c>
    </row>
    <row r="237" spans="1:4">
      <c r="A237" s="151" t="s">
        <v>1010</v>
      </c>
      <c r="B237" s="151" t="s">
        <v>1011</v>
      </c>
    </row>
    <row r="238" spans="1:4">
      <c r="A238" s="151" t="s">
        <v>1012</v>
      </c>
      <c r="B238" s="151" t="s">
        <v>1013</v>
      </c>
    </row>
    <row r="239" spans="1:4">
      <c r="A239" s="151" t="s">
        <v>1014</v>
      </c>
      <c r="B239" s="151" t="s">
        <v>1015</v>
      </c>
    </row>
    <row r="240" spans="1:4">
      <c r="A240" s="151" t="s">
        <v>1016</v>
      </c>
      <c r="B240" s="151" t="s">
        <v>1017</v>
      </c>
    </row>
    <row r="241" spans="1:2">
      <c r="A241" s="151" t="s">
        <v>1018</v>
      </c>
      <c r="B241" s="151" t="s">
        <v>1019</v>
      </c>
    </row>
    <row r="242" spans="1:2">
      <c r="A242" s="151" t="s">
        <v>1020</v>
      </c>
      <c r="B242" s="151" t="s">
        <v>1021</v>
      </c>
    </row>
    <row r="243" spans="1:2">
      <c r="A243" s="151" t="s">
        <v>1022</v>
      </c>
      <c r="B243" s="151" t="s">
        <v>1023</v>
      </c>
    </row>
    <row r="244" spans="1:2">
      <c r="A244" s="151" t="s">
        <v>1024</v>
      </c>
      <c r="B244" s="151" t="s">
        <v>1025</v>
      </c>
    </row>
    <row r="245" spans="1:2">
      <c r="A245" s="151" t="s">
        <v>1026</v>
      </c>
      <c r="B245" s="151" t="s">
        <v>1027</v>
      </c>
    </row>
    <row r="246" spans="1:2">
      <c r="A246" s="151" t="s">
        <v>1028</v>
      </c>
      <c r="B246" s="151" t="s">
        <v>1029</v>
      </c>
    </row>
    <row r="247" spans="1:2">
      <c r="A247" s="151" t="s">
        <v>1030</v>
      </c>
      <c r="B247" s="151" t="s">
        <v>1031</v>
      </c>
    </row>
    <row r="248" spans="1:2">
      <c r="A248" s="151" t="s">
        <v>1032</v>
      </c>
      <c r="B248" s="151" t="s">
        <v>1033</v>
      </c>
    </row>
    <row r="249" spans="1:2">
      <c r="A249" s="151" t="s">
        <v>1034</v>
      </c>
      <c r="B249" s="151" t="s">
        <v>1035</v>
      </c>
    </row>
    <row r="250" spans="1:2">
      <c r="A250" s="151" t="s">
        <v>1036</v>
      </c>
      <c r="B250" s="151" t="s">
        <v>1037</v>
      </c>
    </row>
    <row r="251" spans="1:2">
      <c r="A251" s="151" t="s">
        <v>1038</v>
      </c>
      <c r="B251" s="151" t="s">
        <v>1039</v>
      </c>
    </row>
    <row r="252" spans="1:2">
      <c r="A252" s="151" t="s">
        <v>1040</v>
      </c>
      <c r="B252" s="151" t="s">
        <v>1041</v>
      </c>
    </row>
    <row r="253" spans="1:2">
      <c r="A253" s="151" t="s">
        <v>1042</v>
      </c>
      <c r="B253" s="151" t="s">
        <v>1043</v>
      </c>
    </row>
    <row r="254" spans="1:2">
      <c r="A254" s="151" t="s">
        <v>1044</v>
      </c>
      <c r="B254" s="151" t="s">
        <v>1045</v>
      </c>
    </row>
    <row r="255" spans="1:2">
      <c r="A255" s="151" t="s">
        <v>1046</v>
      </c>
      <c r="B255" s="151" t="s">
        <v>1047</v>
      </c>
    </row>
    <row r="256" spans="1:2">
      <c r="A256" s="151" t="s">
        <v>1048</v>
      </c>
      <c r="B256" s="151" t="s">
        <v>1049</v>
      </c>
    </row>
    <row r="257" spans="1:2">
      <c r="A257" s="151" t="s">
        <v>1050</v>
      </c>
      <c r="B257" s="151" t="s">
        <v>1051</v>
      </c>
    </row>
    <row r="258" spans="1:2">
      <c r="A258" s="151" t="s">
        <v>1052</v>
      </c>
      <c r="B258" s="151" t="s">
        <v>1053</v>
      </c>
    </row>
    <row r="259" spans="1:2">
      <c r="A259" s="151" t="s">
        <v>1054</v>
      </c>
      <c r="B259" s="151" t="s">
        <v>1055</v>
      </c>
    </row>
    <row r="260" spans="1:2">
      <c r="A260" s="151" t="s">
        <v>1056</v>
      </c>
      <c r="B260" s="151" t="s">
        <v>1057</v>
      </c>
    </row>
    <row r="261" spans="1:2">
      <c r="A261" s="151" t="s">
        <v>1058</v>
      </c>
      <c r="B261" s="151" t="s">
        <v>1059</v>
      </c>
    </row>
    <row r="262" spans="1:2">
      <c r="A262" s="151" t="s">
        <v>1060</v>
      </c>
      <c r="B262" s="151" t="s">
        <v>1061</v>
      </c>
    </row>
    <row r="263" spans="1:2">
      <c r="A263" s="151" t="s">
        <v>1062</v>
      </c>
      <c r="B263" s="151" t="s">
        <v>1063</v>
      </c>
    </row>
    <row r="264" spans="1:2">
      <c r="A264" s="151" t="s">
        <v>1064</v>
      </c>
      <c r="B264" s="151" t="s">
        <v>1065</v>
      </c>
    </row>
    <row r="265" spans="1:2">
      <c r="A265" s="151" t="s">
        <v>1066</v>
      </c>
      <c r="B265" s="151" t="s">
        <v>1067</v>
      </c>
    </row>
    <row r="266" spans="1:2">
      <c r="A266" s="151" t="s">
        <v>1068</v>
      </c>
      <c r="B266" s="151" t="s">
        <v>1069</v>
      </c>
    </row>
    <row r="267" spans="1:2">
      <c r="A267" s="151" t="s">
        <v>1070</v>
      </c>
      <c r="B267" s="151" t="s">
        <v>1071</v>
      </c>
    </row>
    <row r="268" spans="1:2">
      <c r="A268" s="151" t="s">
        <v>1072</v>
      </c>
      <c r="B268" s="151" t="s">
        <v>1073</v>
      </c>
    </row>
    <row r="269" spans="1:2">
      <c r="A269" s="151" t="s">
        <v>1074</v>
      </c>
      <c r="B269" s="151" t="s">
        <v>1075</v>
      </c>
    </row>
    <row r="270" spans="1:2">
      <c r="A270" s="151" t="s">
        <v>1076</v>
      </c>
      <c r="B270" s="151" t="s">
        <v>1077</v>
      </c>
    </row>
    <row r="271" spans="1:2">
      <c r="A271" s="151" t="s">
        <v>1078</v>
      </c>
      <c r="B271" s="151" t="s">
        <v>1079</v>
      </c>
    </row>
    <row r="272" spans="1:2">
      <c r="A272" s="151" t="s">
        <v>1080</v>
      </c>
      <c r="B272" s="151" t="s">
        <v>1081</v>
      </c>
    </row>
    <row r="273" spans="1:2">
      <c r="A273" s="151" t="s">
        <v>1082</v>
      </c>
      <c r="B273" s="151" t="s">
        <v>1083</v>
      </c>
    </row>
    <row r="274" spans="1:2">
      <c r="A274" s="151" t="s">
        <v>1084</v>
      </c>
      <c r="B274" s="151" t="s">
        <v>1085</v>
      </c>
    </row>
    <row r="275" spans="1:2">
      <c r="A275" s="151" t="s">
        <v>1086</v>
      </c>
      <c r="B275" s="151" t="s">
        <v>1087</v>
      </c>
    </row>
    <row r="276" spans="1:2">
      <c r="A276" s="151" t="s">
        <v>1088</v>
      </c>
      <c r="B276" s="151" t="s">
        <v>1089</v>
      </c>
    </row>
    <row r="277" spans="1:2">
      <c r="A277" s="151" t="s">
        <v>1090</v>
      </c>
      <c r="B277" s="151" t="s">
        <v>1091</v>
      </c>
    </row>
    <row r="278" spans="1:2">
      <c r="A278" s="151" t="s">
        <v>1092</v>
      </c>
      <c r="B278" s="151" t="s">
        <v>1093</v>
      </c>
    </row>
    <row r="279" spans="1:2">
      <c r="A279" s="151" t="s">
        <v>1094</v>
      </c>
      <c r="B279" s="151" t="s">
        <v>1095</v>
      </c>
    </row>
    <row r="280" spans="1:2">
      <c r="A280" s="151" t="s">
        <v>1096</v>
      </c>
      <c r="B280" s="151" t="s">
        <v>279</v>
      </c>
    </row>
    <row r="281" spans="1:2">
      <c r="A281" s="151" t="s">
        <v>1097</v>
      </c>
      <c r="B281" s="151" t="s">
        <v>1098</v>
      </c>
    </row>
    <row r="282" spans="1:2">
      <c r="A282" s="151" t="s">
        <v>1099</v>
      </c>
      <c r="B282" s="151" t="s">
        <v>1100</v>
      </c>
    </row>
    <row r="283" spans="1:2">
      <c r="A283" s="151" t="s">
        <v>1101</v>
      </c>
      <c r="B283" s="151" t="s">
        <v>1102</v>
      </c>
    </row>
    <row r="284" spans="1:2">
      <c r="A284" s="151" t="s">
        <v>1103</v>
      </c>
      <c r="B284" s="151" t="s">
        <v>1104</v>
      </c>
    </row>
    <row r="285" spans="1:2">
      <c r="A285" s="151" t="s">
        <v>1105</v>
      </c>
      <c r="B285" s="151" t="s">
        <v>1106</v>
      </c>
    </row>
    <row r="286" spans="1:2">
      <c r="A286" s="151" t="s">
        <v>1107</v>
      </c>
      <c r="B286" s="151" t="s">
        <v>1108</v>
      </c>
    </row>
    <row r="287" spans="1:2">
      <c r="A287" s="151" t="s">
        <v>1109</v>
      </c>
      <c r="B287" s="151" t="s">
        <v>1110</v>
      </c>
    </row>
    <row r="288" spans="1:2">
      <c r="A288" s="151" t="s">
        <v>1111</v>
      </c>
      <c r="B288" s="151" t="s">
        <v>1112</v>
      </c>
    </row>
    <row r="289" spans="1:2">
      <c r="A289" s="151" t="s">
        <v>1113</v>
      </c>
      <c r="B289" s="151" t="s">
        <v>1114</v>
      </c>
    </row>
    <row r="290" spans="1:2">
      <c r="A290" s="151" t="s">
        <v>1115</v>
      </c>
      <c r="B290" s="151" t="s">
        <v>1116</v>
      </c>
    </row>
    <row r="291" spans="1:2">
      <c r="A291" s="151" t="s">
        <v>1117</v>
      </c>
      <c r="B291" s="151" t="s">
        <v>1118</v>
      </c>
    </row>
    <row r="292" spans="1:2">
      <c r="A292" s="151" t="s">
        <v>1119</v>
      </c>
      <c r="B292" s="151" t="s">
        <v>1120</v>
      </c>
    </row>
    <row r="293" spans="1:2">
      <c r="A293" s="151" t="s">
        <v>1121</v>
      </c>
      <c r="B293" s="151" t="s">
        <v>1122</v>
      </c>
    </row>
    <row r="294" spans="1:2">
      <c r="A294" s="151" t="s">
        <v>1123</v>
      </c>
      <c r="B294" s="151" t="s">
        <v>1124</v>
      </c>
    </row>
    <row r="295" spans="1:2">
      <c r="A295" s="151" t="s">
        <v>1125</v>
      </c>
      <c r="B295" s="151" t="s">
        <v>1126</v>
      </c>
    </row>
    <row r="296" spans="1:2">
      <c r="A296" s="151" t="s">
        <v>1127</v>
      </c>
      <c r="B296" s="151" t="s">
        <v>1128</v>
      </c>
    </row>
    <row r="297" spans="1:2">
      <c r="A297" s="151" t="s">
        <v>1129</v>
      </c>
      <c r="B297" s="151" t="s">
        <v>1130</v>
      </c>
    </row>
    <row r="298" spans="1:2">
      <c r="A298" s="151" t="s">
        <v>1131</v>
      </c>
      <c r="B298" s="151" t="s">
        <v>1132</v>
      </c>
    </row>
    <row r="299" spans="1:2">
      <c r="A299" s="151" t="s">
        <v>1133</v>
      </c>
      <c r="B299" s="151" t="s">
        <v>1134</v>
      </c>
    </row>
    <row r="300" spans="1:2">
      <c r="A300" s="151" t="s">
        <v>1135</v>
      </c>
      <c r="B300" s="151" t="s">
        <v>1136</v>
      </c>
    </row>
    <row r="301" spans="1:2">
      <c r="A301" s="151" t="s">
        <v>1137</v>
      </c>
      <c r="B301" s="151" t="s">
        <v>1138</v>
      </c>
    </row>
    <row r="302" spans="1:2">
      <c r="A302" s="151" t="s">
        <v>1139</v>
      </c>
      <c r="B302" s="151" t="s">
        <v>1140</v>
      </c>
    </row>
    <row r="303" spans="1:2">
      <c r="A303" s="151" t="s">
        <v>1141</v>
      </c>
      <c r="B303" s="151" t="s">
        <v>1142</v>
      </c>
    </row>
    <row r="304" spans="1:2">
      <c r="A304" s="151" t="s">
        <v>1143</v>
      </c>
      <c r="B304" s="151" t="s">
        <v>1144</v>
      </c>
    </row>
    <row r="305" spans="1:2">
      <c r="A305" s="151" t="s">
        <v>1145</v>
      </c>
      <c r="B305" s="151" t="s">
        <v>1146</v>
      </c>
    </row>
    <row r="306" spans="1:2">
      <c r="A306" s="151" t="s">
        <v>1147</v>
      </c>
      <c r="B306" s="151" t="s">
        <v>1148</v>
      </c>
    </row>
    <row r="307" spans="1:2">
      <c r="A307" s="151" t="s">
        <v>1149</v>
      </c>
      <c r="B307" s="151" t="s">
        <v>468</v>
      </c>
    </row>
    <row r="308" spans="1:2">
      <c r="A308" s="151" t="s">
        <v>1150</v>
      </c>
      <c r="B308" s="151" t="s">
        <v>1151</v>
      </c>
    </row>
    <row r="309" spans="1:2">
      <c r="A309" s="151" t="s">
        <v>1152</v>
      </c>
      <c r="B309" s="151" t="s">
        <v>1153</v>
      </c>
    </row>
    <row r="310" spans="1:2">
      <c r="A310" s="151" t="s">
        <v>1154</v>
      </c>
      <c r="B310" s="151" t="s">
        <v>1155</v>
      </c>
    </row>
    <row r="311" spans="1:2">
      <c r="A311" s="151" t="s">
        <v>1156</v>
      </c>
      <c r="B311" s="151" t="s">
        <v>1157</v>
      </c>
    </row>
    <row r="312" spans="1:2">
      <c r="A312" s="151" t="s">
        <v>1158</v>
      </c>
      <c r="B312" s="151" t="s">
        <v>1159</v>
      </c>
    </row>
    <row r="313" spans="1:2">
      <c r="A313" s="151" t="s">
        <v>1160</v>
      </c>
      <c r="B313" s="151" t="s">
        <v>1161</v>
      </c>
    </row>
    <row r="314" spans="1:2">
      <c r="A314" s="151" t="s">
        <v>1162</v>
      </c>
      <c r="B314" s="151" t="s">
        <v>1163</v>
      </c>
    </row>
    <row r="315" spans="1:2">
      <c r="A315" s="151" t="s">
        <v>1164</v>
      </c>
      <c r="B315" s="151" t="s">
        <v>1165</v>
      </c>
    </row>
    <row r="316" spans="1:2">
      <c r="A316" s="151" t="s">
        <v>1166</v>
      </c>
      <c r="B316" s="151" t="s">
        <v>1167</v>
      </c>
    </row>
    <row r="317" spans="1:2">
      <c r="A317" s="151" t="s">
        <v>1168</v>
      </c>
      <c r="B317" s="151" t="s">
        <v>1169</v>
      </c>
    </row>
    <row r="318" spans="1:2">
      <c r="A318" s="151" t="s">
        <v>1170</v>
      </c>
      <c r="B318" s="151" t="s">
        <v>1171</v>
      </c>
    </row>
    <row r="319" spans="1:2">
      <c r="A319" s="151" t="s">
        <v>1172</v>
      </c>
      <c r="B319" s="151" t="s">
        <v>1173</v>
      </c>
    </row>
    <row r="320" spans="1:2">
      <c r="A320" s="151" t="s">
        <v>1174</v>
      </c>
      <c r="B320" s="151" t="s">
        <v>1175</v>
      </c>
    </row>
    <row r="321" spans="1:2">
      <c r="A321" s="151" t="s">
        <v>1176</v>
      </c>
      <c r="B321" s="151" t="s">
        <v>1177</v>
      </c>
    </row>
    <row r="322" spans="1:2">
      <c r="A322" s="151" t="s">
        <v>1178</v>
      </c>
      <c r="B322" s="151" t="s">
        <v>1179</v>
      </c>
    </row>
    <row r="323" spans="1:2">
      <c r="A323" s="151" t="s">
        <v>1180</v>
      </c>
      <c r="B323" s="151" t="s">
        <v>1181</v>
      </c>
    </row>
    <row r="324" spans="1:2">
      <c r="A324" s="151" t="s">
        <v>1182</v>
      </c>
      <c r="B324" s="151" t="s">
        <v>1183</v>
      </c>
    </row>
    <row r="325" spans="1:2">
      <c r="A325" s="151" t="s">
        <v>1184</v>
      </c>
      <c r="B325" s="151" t="s">
        <v>1185</v>
      </c>
    </row>
    <row r="326" spans="1:2">
      <c r="A326" s="151" t="s">
        <v>1186</v>
      </c>
      <c r="B326" s="151" t="s">
        <v>1187</v>
      </c>
    </row>
    <row r="327" spans="1:2">
      <c r="A327" s="151" t="s">
        <v>1188</v>
      </c>
      <c r="B327" s="151" t="s">
        <v>1189</v>
      </c>
    </row>
    <row r="328" spans="1:2">
      <c r="A328" s="151" t="s">
        <v>1190</v>
      </c>
      <c r="B328" s="151" t="s">
        <v>1191</v>
      </c>
    </row>
    <row r="329" spans="1:2">
      <c r="A329" s="151" t="s">
        <v>1192</v>
      </c>
      <c r="B329" s="151" t="s">
        <v>1193</v>
      </c>
    </row>
    <row r="330" spans="1:2">
      <c r="A330" s="151" t="s">
        <v>1194</v>
      </c>
      <c r="B330" s="151" t="s">
        <v>1195</v>
      </c>
    </row>
    <row r="331" spans="1:2">
      <c r="A331" s="151" t="s">
        <v>1196</v>
      </c>
      <c r="B331" s="151" t="s">
        <v>1197</v>
      </c>
    </row>
    <row r="332" spans="1:2">
      <c r="A332" s="151" t="s">
        <v>1198</v>
      </c>
      <c r="B332" s="151" t="s">
        <v>1199</v>
      </c>
    </row>
    <row r="333" spans="1:2">
      <c r="A333" s="151" t="s">
        <v>1200</v>
      </c>
      <c r="B333" s="151" t="s">
        <v>1201</v>
      </c>
    </row>
    <row r="334" spans="1:2">
      <c r="A334" s="151" t="s">
        <v>1202</v>
      </c>
      <c r="B334" s="151" t="s">
        <v>1203</v>
      </c>
    </row>
    <row r="335" spans="1:2">
      <c r="A335" s="151" t="s">
        <v>1204</v>
      </c>
      <c r="B335" s="151" t="s">
        <v>1205</v>
      </c>
    </row>
    <row r="336" spans="1:2">
      <c r="A336" s="151" t="s">
        <v>1206</v>
      </c>
      <c r="B336" s="151" t="s">
        <v>1207</v>
      </c>
    </row>
    <row r="337" spans="1:2">
      <c r="A337" s="151" t="s">
        <v>1208</v>
      </c>
      <c r="B337" s="151" t="s">
        <v>1209</v>
      </c>
    </row>
    <row r="338" spans="1:2">
      <c r="A338" s="151" t="s">
        <v>1210</v>
      </c>
      <c r="B338" s="151" t="s">
        <v>1211</v>
      </c>
    </row>
    <row r="339" spans="1:2">
      <c r="A339" s="151" t="s">
        <v>1212</v>
      </c>
      <c r="B339" s="151" t="s">
        <v>1213</v>
      </c>
    </row>
    <row r="340" spans="1:2">
      <c r="A340" s="151" t="s">
        <v>1214</v>
      </c>
      <c r="B340" s="151" t="s">
        <v>1215</v>
      </c>
    </row>
    <row r="341" spans="1:2">
      <c r="A341" s="151" t="s">
        <v>1216</v>
      </c>
      <c r="B341" s="151" t="s">
        <v>1217</v>
      </c>
    </row>
    <row r="342" spans="1:2">
      <c r="A342" s="151" t="s">
        <v>1218</v>
      </c>
      <c r="B342" s="151" t="s">
        <v>1219</v>
      </c>
    </row>
    <row r="343" spans="1:2">
      <c r="A343" s="151" t="s">
        <v>1220</v>
      </c>
      <c r="B343" s="151" t="s">
        <v>1221</v>
      </c>
    </row>
    <row r="344" spans="1:2">
      <c r="A344" s="151" t="s">
        <v>1222</v>
      </c>
      <c r="B344" s="151" t="s">
        <v>1223</v>
      </c>
    </row>
    <row r="345" spans="1:2">
      <c r="A345" s="151" t="s">
        <v>1224</v>
      </c>
      <c r="B345" s="151" t="s">
        <v>1225</v>
      </c>
    </row>
    <row r="346" spans="1:2">
      <c r="A346" s="151" t="s">
        <v>1226</v>
      </c>
      <c r="B346" s="151" t="s">
        <v>1227</v>
      </c>
    </row>
    <row r="347" spans="1:2">
      <c r="A347" s="151" t="s">
        <v>1228</v>
      </c>
      <c r="B347" s="151" t="s">
        <v>1229</v>
      </c>
    </row>
    <row r="348" spans="1:2">
      <c r="A348" s="151" t="s">
        <v>1230</v>
      </c>
      <c r="B348" s="151" t="s">
        <v>1231</v>
      </c>
    </row>
    <row r="349" spans="1:2">
      <c r="A349" s="151" t="s">
        <v>1232</v>
      </c>
      <c r="B349" s="151" t="s">
        <v>1233</v>
      </c>
    </row>
    <row r="350" spans="1:2">
      <c r="A350" s="151" t="s">
        <v>1234</v>
      </c>
      <c r="B350" s="151" t="s">
        <v>1235</v>
      </c>
    </row>
    <row r="351" spans="1:2">
      <c r="A351" s="151" t="s">
        <v>1236</v>
      </c>
      <c r="B351" s="151" t="s">
        <v>1237</v>
      </c>
    </row>
    <row r="352" spans="1:2">
      <c r="A352" s="151" t="s">
        <v>1238</v>
      </c>
      <c r="B352" s="151" t="s">
        <v>1239</v>
      </c>
    </row>
    <row r="353" spans="1:2">
      <c r="A353" s="151" t="s">
        <v>1240</v>
      </c>
      <c r="B353" s="151" t="s">
        <v>1241</v>
      </c>
    </row>
    <row r="354" spans="1:2">
      <c r="A354" s="151" t="s">
        <v>1242</v>
      </c>
      <c r="B354" s="151" t="s">
        <v>1243</v>
      </c>
    </row>
    <row r="355" spans="1:2">
      <c r="A355" s="151" t="s">
        <v>1244</v>
      </c>
      <c r="B355" s="151" t="s">
        <v>1245</v>
      </c>
    </row>
    <row r="356" spans="1:2">
      <c r="A356" s="151" t="s">
        <v>1246</v>
      </c>
      <c r="B356" s="151" t="s">
        <v>1247</v>
      </c>
    </row>
    <row r="357" spans="1:2">
      <c r="A357" s="151" t="s">
        <v>1248</v>
      </c>
      <c r="B357" s="151" t="s">
        <v>1249</v>
      </c>
    </row>
    <row r="358" spans="1:2">
      <c r="A358" s="151" t="s">
        <v>1250</v>
      </c>
      <c r="B358" s="151" t="s">
        <v>1251</v>
      </c>
    </row>
    <row r="359" spans="1:2">
      <c r="A359" s="151" t="s">
        <v>1252</v>
      </c>
      <c r="B359" s="151" t="s">
        <v>1253</v>
      </c>
    </row>
    <row r="360" spans="1:2">
      <c r="A360" s="151" t="s">
        <v>1254</v>
      </c>
      <c r="B360" s="151" t="s">
        <v>1255</v>
      </c>
    </row>
    <row r="361" spans="1:2">
      <c r="A361" s="151" t="s">
        <v>1256</v>
      </c>
      <c r="B361" s="151" t="s">
        <v>1257</v>
      </c>
    </row>
    <row r="362" spans="1:2">
      <c r="A362" s="151" t="s">
        <v>1258</v>
      </c>
      <c r="B362" s="151" t="s">
        <v>1259</v>
      </c>
    </row>
    <row r="363" spans="1:2">
      <c r="A363" s="151" t="s">
        <v>1260</v>
      </c>
      <c r="B363" s="151" t="s">
        <v>1261</v>
      </c>
    </row>
    <row r="364" spans="1:2">
      <c r="A364" s="151" t="s">
        <v>1262</v>
      </c>
      <c r="B364" s="151" t="s">
        <v>1263</v>
      </c>
    </row>
    <row r="365" spans="1:2">
      <c r="A365" s="151" t="s">
        <v>1264</v>
      </c>
      <c r="B365" s="151" t="s">
        <v>1265</v>
      </c>
    </row>
    <row r="366" spans="1:2">
      <c r="A366" s="151" t="s">
        <v>1266</v>
      </c>
      <c r="B366" s="151" t="s">
        <v>1267</v>
      </c>
    </row>
    <row r="367" spans="1:2">
      <c r="A367" s="151" t="s">
        <v>1268</v>
      </c>
      <c r="B367" s="151" t="s">
        <v>1269</v>
      </c>
    </row>
    <row r="368" spans="1:2">
      <c r="A368" s="151" t="s">
        <v>1270</v>
      </c>
      <c r="B368" s="151" t="s">
        <v>1271</v>
      </c>
    </row>
    <row r="369" spans="1:2">
      <c r="A369" s="151" t="s">
        <v>1272</v>
      </c>
      <c r="B369" s="151" t="s">
        <v>1273</v>
      </c>
    </row>
    <row r="370" spans="1:2">
      <c r="A370" s="151" t="s">
        <v>1274</v>
      </c>
      <c r="B370" s="151" t="s">
        <v>1275</v>
      </c>
    </row>
    <row r="371" spans="1:2">
      <c r="A371" s="151" t="s">
        <v>1276</v>
      </c>
      <c r="B371" s="151" t="s">
        <v>1277</v>
      </c>
    </row>
    <row r="372" spans="1:2">
      <c r="A372" s="151" t="s">
        <v>1278</v>
      </c>
      <c r="B372" s="151" t="s">
        <v>1279</v>
      </c>
    </row>
    <row r="373" spans="1:2">
      <c r="A373" s="151" t="s">
        <v>1280</v>
      </c>
      <c r="B373" s="151" t="s">
        <v>1281</v>
      </c>
    </row>
    <row r="374" spans="1:2">
      <c r="A374" s="151" t="s">
        <v>1282</v>
      </c>
      <c r="B374" s="151" t="s">
        <v>1283</v>
      </c>
    </row>
    <row r="375" spans="1:2">
      <c r="A375" s="151" t="s">
        <v>1284</v>
      </c>
      <c r="B375" s="151" t="s">
        <v>1285</v>
      </c>
    </row>
    <row r="376" spans="1:2">
      <c r="A376" s="151" t="s">
        <v>1286</v>
      </c>
      <c r="B376" s="151" t="s">
        <v>1287</v>
      </c>
    </row>
    <row r="377" spans="1:2">
      <c r="A377" s="151" t="s">
        <v>1288</v>
      </c>
      <c r="B377" s="151" t="s">
        <v>1289</v>
      </c>
    </row>
    <row r="378" spans="1:2">
      <c r="A378" s="151" t="s">
        <v>1290</v>
      </c>
      <c r="B378" s="151" t="s">
        <v>1291</v>
      </c>
    </row>
    <row r="379" spans="1:2">
      <c r="A379" s="151" t="s">
        <v>1292</v>
      </c>
      <c r="B379" s="151" t="s">
        <v>1293</v>
      </c>
    </row>
    <row r="380" spans="1:2">
      <c r="A380" s="151" t="s">
        <v>1294</v>
      </c>
      <c r="B380" s="151" t="s">
        <v>1295</v>
      </c>
    </row>
    <row r="381" spans="1:2">
      <c r="A381" s="151" t="s">
        <v>1296</v>
      </c>
      <c r="B381" s="151" t="s">
        <v>1297</v>
      </c>
    </row>
    <row r="382" spans="1:2">
      <c r="A382" s="151" t="s">
        <v>1298</v>
      </c>
      <c r="B382" s="151" t="s">
        <v>1299</v>
      </c>
    </row>
    <row r="383" spans="1:2">
      <c r="A383" s="151" t="s">
        <v>1300</v>
      </c>
      <c r="B383" s="151" t="s">
        <v>1301</v>
      </c>
    </row>
    <row r="384" spans="1:2">
      <c r="A384" s="151" t="s">
        <v>1302</v>
      </c>
      <c r="B384" s="151" t="s">
        <v>1303</v>
      </c>
    </row>
    <row r="385" spans="1:2">
      <c r="A385" s="151" t="s">
        <v>1304</v>
      </c>
      <c r="B385" s="151" t="s">
        <v>1305</v>
      </c>
    </row>
    <row r="386" spans="1:2">
      <c r="A386" s="151" t="s">
        <v>1306</v>
      </c>
      <c r="B386" s="151" t="s">
        <v>1307</v>
      </c>
    </row>
    <row r="387" spans="1:2">
      <c r="A387" s="151" t="s">
        <v>1308</v>
      </c>
      <c r="B387" s="151" t="s">
        <v>1309</v>
      </c>
    </row>
    <row r="388" spans="1:2">
      <c r="A388" s="151" t="s">
        <v>1310</v>
      </c>
      <c r="B388" s="151" t="s">
        <v>1311</v>
      </c>
    </row>
    <row r="389" spans="1:2">
      <c r="A389" s="151" t="s">
        <v>1312</v>
      </c>
      <c r="B389" s="151" t="s">
        <v>1313</v>
      </c>
    </row>
    <row r="390" spans="1:2">
      <c r="A390" s="151" t="s">
        <v>1314</v>
      </c>
      <c r="B390" s="151" t="s">
        <v>1315</v>
      </c>
    </row>
    <row r="391" spans="1:2">
      <c r="A391" s="151" t="s">
        <v>1316</v>
      </c>
      <c r="B391" s="151" t="s">
        <v>1317</v>
      </c>
    </row>
    <row r="392" spans="1:2">
      <c r="A392" s="151" t="s">
        <v>1318</v>
      </c>
      <c r="B392" s="151" t="s">
        <v>1319</v>
      </c>
    </row>
    <row r="393" spans="1:2">
      <c r="A393" s="151" t="s">
        <v>1320</v>
      </c>
      <c r="B393" s="151" t="s">
        <v>1321</v>
      </c>
    </row>
    <row r="394" spans="1:2">
      <c r="A394" s="151" t="s">
        <v>1322</v>
      </c>
      <c r="B394" s="151" t="s">
        <v>1323</v>
      </c>
    </row>
    <row r="395" spans="1:2">
      <c r="A395" s="151" t="s">
        <v>1324</v>
      </c>
      <c r="B395" s="151" t="s">
        <v>1325</v>
      </c>
    </row>
    <row r="396" spans="1:2">
      <c r="A396" s="151" t="s">
        <v>1326</v>
      </c>
      <c r="B396" s="151" t="s">
        <v>1327</v>
      </c>
    </row>
    <row r="397" spans="1:2">
      <c r="A397" s="151" t="s">
        <v>1328</v>
      </c>
      <c r="B397" s="151" t="s">
        <v>1329</v>
      </c>
    </row>
    <row r="398" spans="1:2">
      <c r="A398" s="151" t="s">
        <v>1330</v>
      </c>
      <c r="B398" s="151" t="s">
        <v>1331</v>
      </c>
    </row>
    <row r="399" spans="1:2">
      <c r="A399" s="151" t="s">
        <v>1332</v>
      </c>
      <c r="B399" s="151" t="s">
        <v>1333</v>
      </c>
    </row>
    <row r="400" spans="1:2">
      <c r="A400" s="151" t="s">
        <v>1334</v>
      </c>
      <c r="B400" s="151" t="s">
        <v>1335</v>
      </c>
    </row>
    <row r="401" spans="1:2">
      <c r="A401" s="151" t="s">
        <v>1336</v>
      </c>
      <c r="B401" s="151" t="s">
        <v>1337</v>
      </c>
    </row>
    <row r="402" spans="1:2">
      <c r="A402" s="151" t="s">
        <v>1338</v>
      </c>
      <c r="B402" s="151" t="s">
        <v>1339</v>
      </c>
    </row>
    <row r="403" spans="1:2">
      <c r="A403" s="151" t="s">
        <v>1340</v>
      </c>
      <c r="B403" s="151" t="s">
        <v>1341</v>
      </c>
    </row>
    <row r="404" spans="1:2">
      <c r="A404" s="151" t="s">
        <v>1342</v>
      </c>
      <c r="B404" s="151" t="s">
        <v>1343</v>
      </c>
    </row>
    <row r="405" spans="1:2">
      <c r="A405" s="151" t="s">
        <v>1344</v>
      </c>
      <c r="B405" s="151" t="s">
        <v>1345</v>
      </c>
    </row>
    <row r="406" spans="1:2">
      <c r="A406" s="151" t="s">
        <v>1346</v>
      </c>
      <c r="B406" s="151" t="s">
        <v>1347</v>
      </c>
    </row>
    <row r="407" spans="1:2">
      <c r="A407" s="151" t="s">
        <v>1348</v>
      </c>
      <c r="B407" s="151" t="s">
        <v>1349</v>
      </c>
    </row>
    <row r="408" spans="1:2">
      <c r="A408" s="151" t="s">
        <v>1350</v>
      </c>
      <c r="B408" s="151" t="s">
        <v>1351</v>
      </c>
    </row>
    <row r="409" spans="1:2">
      <c r="A409" s="151" t="s">
        <v>1352</v>
      </c>
      <c r="B409" s="151" t="s">
        <v>1353</v>
      </c>
    </row>
    <row r="410" spans="1:2">
      <c r="A410" s="151" t="s">
        <v>1354</v>
      </c>
      <c r="B410" s="151" t="s">
        <v>1355</v>
      </c>
    </row>
    <row r="411" spans="1:2">
      <c r="A411" s="151" t="s">
        <v>1356</v>
      </c>
      <c r="B411" s="151" t="s">
        <v>1357</v>
      </c>
    </row>
    <row r="412" spans="1:2">
      <c r="A412" s="151" t="s">
        <v>1358</v>
      </c>
      <c r="B412" s="151" t="s">
        <v>1359</v>
      </c>
    </row>
    <row r="413" spans="1:2">
      <c r="A413" s="151" t="s">
        <v>1360</v>
      </c>
      <c r="B413" s="151" t="s">
        <v>1361</v>
      </c>
    </row>
    <row r="414" spans="1:2">
      <c r="A414" s="151" t="s">
        <v>1362</v>
      </c>
      <c r="B414" s="151" t="s">
        <v>1363</v>
      </c>
    </row>
    <row r="415" spans="1:2">
      <c r="A415" s="151" t="s">
        <v>1364</v>
      </c>
      <c r="B415" s="151" t="s">
        <v>1365</v>
      </c>
    </row>
    <row r="416" spans="1:2">
      <c r="A416" s="151" t="s">
        <v>1366</v>
      </c>
      <c r="B416" s="151" t="s">
        <v>1367</v>
      </c>
    </row>
    <row r="417" spans="1:2">
      <c r="A417" s="151" t="s">
        <v>1368</v>
      </c>
      <c r="B417" s="151" t="s">
        <v>1369</v>
      </c>
    </row>
    <row r="418" spans="1:2">
      <c r="A418" s="151" t="s">
        <v>1370</v>
      </c>
      <c r="B418" s="151" t="s">
        <v>1371</v>
      </c>
    </row>
    <row r="419" spans="1:2">
      <c r="A419" s="151" t="s">
        <v>1372</v>
      </c>
      <c r="B419" s="151" t="s">
        <v>1373</v>
      </c>
    </row>
    <row r="420" spans="1:2">
      <c r="A420" s="151" t="s">
        <v>1374</v>
      </c>
      <c r="B420" s="151" t="s">
        <v>1375</v>
      </c>
    </row>
    <row r="421" spans="1:2">
      <c r="A421" s="151" t="s">
        <v>1376</v>
      </c>
      <c r="B421" s="151" t="s">
        <v>1377</v>
      </c>
    </row>
    <row r="422" spans="1:2">
      <c r="A422" s="151" t="s">
        <v>1378</v>
      </c>
      <c r="B422" s="151" t="s">
        <v>1379</v>
      </c>
    </row>
    <row r="423" spans="1:2">
      <c r="A423" s="151" t="s">
        <v>1380</v>
      </c>
      <c r="B423" s="151" t="s">
        <v>1381</v>
      </c>
    </row>
    <row r="424" spans="1:2">
      <c r="A424" s="151" t="s">
        <v>1382</v>
      </c>
      <c r="B424" s="151" t="s">
        <v>1383</v>
      </c>
    </row>
    <row r="425" spans="1:2">
      <c r="A425" s="151" t="s">
        <v>1384</v>
      </c>
      <c r="B425" s="151" t="s">
        <v>1385</v>
      </c>
    </row>
    <row r="426" spans="1:2">
      <c r="A426" s="151" t="s">
        <v>1386</v>
      </c>
      <c r="B426" s="151" t="s">
        <v>1387</v>
      </c>
    </row>
    <row r="427" spans="1:2">
      <c r="A427" s="151" t="s">
        <v>1388</v>
      </c>
      <c r="B427" s="151" t="s">
        <v>1389</v>
      </c>
    </row>
    <row r="428" spans="1:2">
      <c r="A428" s="151" t="s">
        <v>1390</v>
      </c>
      <c r="B428" s="151" t="s">
        <v>1391</v>
      </c>
    </row>
    <row r="429" spans="1:2">
      <c r="A429" s="151" t="s">
        <v>1392</v>
      </c>
      <c r="B429" s="151" t="s">
        <v>1393</v>
      </c>
    </row>
    <row r="430" spans="1:2">
      <c r="A430" s="151" t="s">
        <v>1394</v>
      </c>
      <c r="B430" s="151" t="s">
        <v>1395</v>
      </c>
    </row>
    <row r="431" spans="1:2">
      <c r="A431" s="151" t="s">
        <v>1396</v>
      </c>
      <c r="B431" s="151" t="s">
        <v>1397</v>
      </c>
    </row>
    <row r="432" spans="1:2">
      <c r="A432" s="151" t="s">
        <v>1398</v>
      </c>
      <c r="B432" s="151" t="s">
        <v>1399</v>
      </c>
    </row>
    <row r="433" spans="1:2">
      <c r="A433" s="151" t="s">
        <v>1400</v>
      </c>
      <c r="B433" s="151" t="s">
        <v>1401</v>
      </c>
    </row>
    <row r="434" spans="1:2">
      <c r="A434" s="151" t="s">
        <v>1402</v>
      </c>
      <c r="B434" s="151" t="s">
        <v>1403</v>
      </c>
    </row>
    <row r="435" spans="1:2">
      <c r="A435" s="151" t="s">
        <v>1404</v>
      </c>
      <c r="B435" s="151" t="s">
        <v>1405</v>
      </c>
    </row>
    <row r="436" spans="1:2">
      <c r="A436" s="151" t="s">
        <v>1406</v>
      </c>
      <c r="B436" s="151" t="s">
        <v>1407</v>
      </c>
    </row>
    <row r="437" spans="1:2">
      <c r="A437" s="151" t="s">
        <v>1408</v>
      </c>
      <c r="B437" s="151" t="s">
        <v>1409</v>
      </c>
    </row>
    <row r="438" spans="1:2">
      <c r="A438" s="151" t="s">
        <v>1410</v>
      </c>
      <c r="B438" s="151" t="s">
        <v>1411</v>
      </c>
    </row>
    <row r="439" spans="1:2">
      <c r="A439" s="151" t="s">
        <v>1412</v>
      </c>
      <c r="B439" s="151" t="s">
        <v>1413</v>
      </c>
    </row>
    <row r="440" spans="1:2">
      <c r="A440" s="151" t="s">
        <v>1414</v>
      </c>
      <c r="B440" s="151" t="s">
        <v>1415</v>
      </c>
    </row>
    <row r="441" spans="1:2">
      <c r="A441" s="151" t="s">
        <v>1416</v>
      </c>
      <c r="B441" s="151" t="s">
        <v>1417</v>
      </c>
    </row>
    <row r="442" spans="1:2">
      <c r="A442" s="151" t="s">
        <v>1418</v>
      </c>
      <c r="B442" s="151" t="s">
        <v>1419</v>
      </c>
    </row>
    <row r="443" spans="1:2">
      <c r="A443" s="151" t="s">
        <v>1420</v>
      </c>
      <c r="B443" s="151" t="s">
        <v>1421</v>
      </c>
    </row>
    <row r="444" spans="1:2">
      <c r="A444" s="151" t="s">
        <v>1422</v>
      </c>
      <c r="B444" s="151" t="s">
        <v>1423</v>
      </c>
    </row>
    <row r="445" spans="1:2">
      <c r="A445" s="151" t="s">
        <v>1424</v>
      </c>
      <c r="B445" s="151" t="s">
        <v>1425</v>
      </c>
    </row>
    <row r="446" spans="1:2">
      <c r="A446" s="151" t="s">
        <v>1426</v>
      </c>
      <c r="B446" s="151" t="s">
        <v>1427</v>
      </c>
    </row>
    <row r="447" spans="1:2">
      <c r="A447" s="151" t="s">
        <v>1428</v>
      </c>
      <c r="B447" s="151" t="s">
        <v>1429</v>
      </c>
    </row>
    <row r="448" spans="1:2">
      <c r="A448" s="151" t="s">
        <v>1430</v>
      </c>
      <c r="B448" s="151" t="s">
        <v>1431</v>
      </c>
    </row>
    <row r="449" spans="1:2">
      <c r="A449" s="151" t="s">
        <v>1432</v>
      </c>
      <c r="B449" s="151" t="s">
        <v>1433</v>
      </c>
    </row>
    <row r="450" spans="1:2">
      <c r="A450" s="151" t="s">
        <v>1434</v>
      </c>
      <c r="B450" s="151" t="s">
        <v>1435</v>
      </c>
    </row>
    <row r="451" spans="1:2">
      <c r="A451" s="151" t="s">
        <v>1436</v>
      </c>
      <c r="B451" s="151" t="s">
        <v>1437</v>
      </c>
    </row>
    <row r="452" spans="1:2">
      <c r="A452" s="151" t="s">
        <v>1438</v>
      </c>
      <c r="B452" s="151" t="s">
        <v>1439</v>
      </c>
    </row>
    <row r="453" spans="1:2">
      <c r="A453" s="151" t="s">
        <v>1440</v>
      </c>
      <c r="B453" s="151" t="s">
        <v>1441</v>
      </c>
    </row>
    <row r="454" spans="1:2">
      <c r="A454" s="151" t="s">
        <v>1442</v>
      </c>
      <c r="B454" s="151" t="s">
        <v>1443</v>
      </c>
    </row>
    <row r="455" spans="1:2">
      <c r="A455" s="151" t="s">
        <v>1444</v>
      </c>
      <c r="B455" s="151" t="s">
        <v>1445</v>
      </c>
    </row>
    <row r="456" spans="1:2">
      <c r="A456" s="151" t="s">
        <v>1446</v>
      </c>
      <c r="B456" s="151" t="s">
        <v>1447</v>
      </c>
    </row>
    <row r="457" spans="1:2">
      <c r="A457" s="151" t="s">
        <v>1448</v>
      </c>
      <c r="B457" s="151" t="s">
        <v>1449</v>
      </c>
    </row>
    <row r="458" spans="1:2">
      <c r="A458" s="151" t="s">
        <v>1450</v>
      </c>
      <c r="B458" s="151" t="s">
        <v>1451</v>
      </c>
    </row>
    <row r="459" spans="1:2">
      <c r="A459" s="151" t="s">
        <v>1452</v>
      </c>
      <c r="B459" s="151" t="s">
        <v>1453</v>
      </c>
    </row>
    <row r="460" spans="1:2">
      <c r="A460" s="151" t="s">
        <v>1454</v>
      </c>
      <c r="B460" s="151" t="s">
        <v>1455</v>
      </c>
    </row>
    <row r="461" spans="1:2">
      <c r="A461" s="151" t="s">
        <v>1456</v>
      </c>
      <c r="B461" s="151" t="s">
        <v>1457</v>
      </c>
    </row>
    <row r="462" spans="1:2">
      <c r="A462" s="151" t="s">
        <v>1458</v>
      </c>
      <c r="B462" s="151" t="s">
        <v>1459</v>
      </c>
    </row>
    <row r="463" spans="1:2">
      <c r="A463" s="151" t="s">
        <v>1460</v>
      </c>
      <c r="B463" s="151" t="s">
        <v>1461</v>
      </c>
    </row>
    <row r="464" spans="1:2">
      <c r="A464" s="151" t="s">
        <v>1462</v>
      </c>
      <c r="B464" s="151" t="s">
        <v>1463</v>
      </c>
    </row>
    <row r="465" spans="1:2">
      <c r="A465" s="151" t="s">
        <v>1464</v>
      </c>
      <c r="B465" s="151" t="s">
        <v>1465</v>
      </c>
    </row>
    <row r="466" spans="1:2">
      <c r="A466" s="151" t="s">
        <v>1466</v>
      </c>
      <c r="B466" s="151" t="s">
        <v>1467</v>
      </c>
    </row>
    <row r="467" spans="1:2">
      <c r="A467" s="151" t="s">
        <v>1468</v>
      </c>
      <c r="B467" s="151" t="s">
        <v>1469</v>
      </c>
    </row>
    <row r="468" spans="1:2">
      <c r="A468" s="151" t="s">
        <v>1470</v>
      </c>
      <c r="B468" s="151" t="s">
        <v>1471</v>
      </c>
    </row>
    <row r="469" spans="1:2">
      <c r="A469" s="151" t="s">
        <v>1472</v>
      </c>
      <c r="B469" s="151" t="s">
        <v>1473</v>
      </c>
    </row>
    <row r="470" spans="1:2">
      <c r="A470" s="151" t="s">
        <v>1474</v>
      </c>
      <c r="B470" s="151" t="s">
        <v>1475</v>
      </c>
    </row>
    <row r="471" spans="1:2">
      <c r="A471" s="151" t="s">
        <v>1476</v>
      </c>
      <c r="B471" s="151" t="s">
        <v>1477</v>
      </c>
    </row>
    <row r="472" spans="1:2">
      <c r="A472" s="151" t="s">
        <v>1478</v>
      </c>
      <c r="B472" s="151" t="s">
        <v>1479</v>
      </c>
    </row>
    <row r="473" spans="1:2">
      <c r="A473" s="151" t="s">
        <v>1480</v>
      </c>
      <c r="B473" s="151" t="s">
        <v>1481</v>
      </c>
    </row>
    <row r="474" spans="1:2">
      <c r="A474" s="151" t="s">
        <v>1482</v>
      </c>
      <c r="B474" s="151" t="s">
        <v>1483</v>
      </c>
    </row>
    <row r="475" spans="1:2">
      <c r="A475" s="151" t="s">
        <v>1484</v>
      </c>
      <c r="B475" s="151" t="s">
        <v>1485</v>
      </c>
    </row>
    <row r="476" spans="1:2">
      <c r="A476" s="151" t="s">
        <v>1486</v>
      </c>
      <c r="B476" s="151" t="s">
        <v>1487</v>
      </c>
    </row>
    <row r="477" spans="1:2">
      <c r="A477" s="151" t="s">
        <v>1488</v>
      </c>
      <c r="B477" s="151" t="s">
        <v>1489</v>
      </c>
    </row>
    <row r="478" spans="1:2">
      <c r="A478" s="151" t="s">
        <v>1490</v>
      </c>
      <c r="B478" s="151" t="s">
        <v>1491</v>
      </c>
    </row>
    <row r="479" spans="1:2">
      <c r="A479" s="151" t="s">
        <v>1492</v>
      </c>
      <c r="B479" s="151" t="s">
        <v>1493</v>
      </c>
    </row>
    <row r="480" spans="1:2">
      <c r="A480" s="151" t="s">
        <v>1494</v>
      </c>
      <c r="B480" s="151" t="s">
        <v>1495</v>
      </c>
    </row>
    <row r="481" spans="1:2">
      <c r="A481" s="151" t="s">
        <v>1496</v>
      </c>
      <c r="B481" s="151" t="s">
        <v>1497</v>
      </c>
    </row>
    <row r="482" spans="1:2">
      <c r="A482" s="151" t="s">
        <v>1498</v>
      </c>
      <c r="B482" s="151" t="s">
        <v>1499</v>
      </c>
    </row>
    <row r="483" spans="1:2">
      <c r="A483" s="151" t="s">
        <v>1500</v>
      </c>
      <c r="B483" s="151" t="s">
        <v>1501</v>
      </c>
    </row>
    <row r="484" spans="1:2">
      <c r="A484" s="151" t="s">
        <v>1502</v>
      </c>
      <c r="B484" s="151" t="s">
        <v>1503</v>
      </c>
    </row>
    <row r="485" spans="1:2">
      <c r="A485" s="151" t="s">
        <v>1504</v>
      </c>
      <c r="B485" s="151" t="s">
        <v>1505</v>
      </c>
    </row>
    <row r="486" spans="1:2">
      <c r="A486" s="151" t="s">
        <v>1506</v>
      </c>
      <c r="B486" s="151" t="s">
        <v>1507</v>
      </c>
    </row>
    <row r="487" spans="1:2">
      <c r="A487" s="151" t="s">
        <v>1508</v>
      </c>
      <c r="B487" s="151" t="s">
        <v>1509</v>
      </c>
    </row>
    <row r="488" spans="1:2">
      <c r="A488" s="151" t="s">
        <v>1510</v>
      </c>
      <c r="B488" s="151" t="s">
        <v>1511</v>
      </c>
    </row>
    <row r="489" spans="1:2">
      <c r="A489" s="151" t="s">
        <v>1512</v>
      </c>
      <c r="B489" s="151" t="s">
        <v>1513</v>
      </c>
    </row>
    <row r="490" spans="1:2">
      <c r="A490" s="151" t="s">
        <v>1514</v>
      </c>
      <c r="B490" s="151" t="s">
        <v>1515</v>
      </c>
    </row>
    <row r="491" spans="1:2">
      <c r="A491" s="151" t="s">
        <v>1516</v>
      </c>
      <c r="B491" s="151" t="s">
        <v>1517</v>
      </c>
    </row>
    <row r="492" spans="1:2">
      <c r="A492" s="151" t="s">
        <v>1518</v>
      </c>
      <c r="B492" s="151" t="s">
        <v>1519</v>
      </c>
    </row>
    <row r="493" spans="1:2">
      <c r="A493" s="151" t="s">
        <v>1520</v>
      </c>
      <c r="B493" s="151" t="s">
        <v>1521</v>
      </c>
    </row>
    <row r="494" spans="1:2">
      <c r="A494" s="151" t="s">
        <v>1522</v>
      </c>
      <c r="B494" s="151" t="s">
        <v>1523</v>
      </c>
    </row>
    <row r="495" spans="1:2">
      <c r="A495" s="151" t="s">
        <v>1524</v>
      </c>
      <c r="B495" s="151" t="s">
        <v>1525</v>
      </c>
    </row>
    <row r="496" spans="1:2">
      <c r="A496" s="151" t="s">
        <v>1526</v>
      </c>
      <c r="B496" s="151" t="s">
        <v>1527</v>
      </c>
    </row>
    <row r="497" spans="1:2">
      <c r="A497" s="151" t="s">
        <v>1528</v>
      </c>
      <c r="B497" s="151" t="s">
        <v>1529</v>
      </c>
    </row>
    <row r="498" spans="1:2">
      <c r="A498" s="151" t="s">
        <v>1530</v>
      </c>
      <c r="B498" s="151" t="s">
        <v>1531</v>
      </c>
    </row>
    <row r="499" spans="1:2">
      <c r="A499" s="151" t="s">
        <v>1532</v>
      </c>
      <c r="B499" s="151" t="s">
        <v>1533</v>
      </c>
    </row>
    <row r="500" spans="1:2">
      <c r="A500" s="151" t="s">
        <v>1534</v>
      </c>
      <c r="B500" s="151" t="s">
        <v>1535</v>
      </c>
    </row>
    <row r="501" spans="1:2">
      <c r="A501" s="151" t="s">
        <v>1536</v>
      </c>
      <c r="B501" s="151" t="s">
        <v>284</v>
      </c>
    </row>
    <row r="502" spans="1:2">
      <c r="A502" s="151" t="s">
        <v>1537</v>
      </c>
      <c r="B502" s="151" t="s">
        <v>1538</v>
      </c>
    </row>
    <row r="503" spans="1:2">
      <c r="A503" s="151" t="s">
        <v>1539</v>
      </c>
      <c r="B503" s="151" t="s">
        <v>1540</v>
      </c>
    </row>
    <row r="504" spans="1:2">
      <c r="A504" s="151" t="s">
        <v>1541</v>
      </c>
      <c r="B504" s="151" t="s">
        <v>1542</v>
      </c>
    </row>
    <row r="505" spans="1:2">
      <c r="A505" s="151" t="s">
        <v>1543</v>
      </c>
      <c r="B505" s="151" t="s">
        <v>1544</v>
      </c>
    </row>
    <row r="506" spans="1:2">
      <c r="A506" s="151" t="s">
        <v>1545</v>
      </c>
      <c r="B506" s="151" t="s">
        <v>1546</v>
      </c>
    </row>
    <row r="507" spans="1:2">
      <c r="A507" s="151" t="s">
        <v>1547</v>
      </c>
      <c r="B507" s="151" t="s">
        <v>1548</v>
      </c>
    </row>
    <row r="508" spans="1:2">
      <c r="A508" s="151" t="s">
        <v>1549</v>
      </c>
      <c r="B508" s="151" t="s">
        <v>1550</v>
      </c>
    </row>
    <row r="509" spans="1:2">
      <c r="A509" s="151" t="s">
        <v>1551</v>
      </c>
      <c r="B509" s="151" t="s">
        <v>1552</v>
      </c>
    </row>
    <row r="510" spans="1:2">
      <c r="A510" s="151" t="s">
        <v>1553</v>
      </c>
      <c r="B510" s="151" t="s">
        <v>1554</v>
      </c>
    </row>
    <row r="511" spans="1:2">
      <c r="A511" s="151" t="s">
        <v>1555</v>
      </c>
      <c r="B511" s="151" t="s">
        <v>1556</v>
      </c>
    </row>
    <row r="512" spans="1:2">
      <c r="A512" s="151" t="s">
        <v>1557</v>
      </c>
      <c r="B512" s="151" t="s">
        <v>1558</v>
      </c>
    </row>
    <row r="513" spans="1:2">
      <c r="A513" s="151" t="s">
        <v>1559</v>
      </c>
      <c r="B513" s="151" t="s">
        <v>1560</v>
      </c>
    </row>
    <row r="514" spans="1:2">
      <c r="A514" s="151" t="s">
        <v>1561</v>
      </c>
      <c r="B514" s="151" t="s">
        <v>1562</v>
      </c>
    </row>
    <row r="515" spans="1:2">
      <c r="A515" s="151" t="s">
        <v>1563</v>
      </c>
      <c r="B515" s="151" t="s">
        <v>1564</v>
      </c>
    </row>
    <row r="516" spans="1:2">
      <c r="A516" s="151" t="s">
        <v>1565</v>
      </c>
      <c r="B516" s="151" t="s">
        <v>1566</v>
      </c>
    </row>
    <row r="517" spans="1:2">
      <c r="A517" s="151" t="s">
        <v>1567</v>
      </c>
      <c r="B517" s="151" t="s">
        <v>1568</v>
      </c>
    </row>
    <row r="518" spans="1:2">
      <c r="A518" s="151" t="s">
        <v>1569</v>
      </c>
      <c r="B518" s="151" t="s">
        <v>1570</v>
      </c>
    </row>
    <row r="519" spans="1:2">
      <c r="A519" s="151" t="s">
        <v>1571</v>
      </c>
      <c r="B519" s="151" t="s">
        <v>1572</v>
      </c>
    </row>
    <row r="520" spans="1:2">
      <c r="A520" s="151" t="s">
        <v>1573</v>
      </c>
      <c r="B520" s="151" t="s">
        <v>1574</v>
      </c>
    </row>
    <row r="521" spans="1:2">
      <c r="A521" s="151" t="s">
        <v>1575</v>
      </c>
      <c r="B521" s="151" t="s">
        <v>1576</v>
      </c>
    </row>
    <row r="522" spans="1:2">
      <c r="A522" s="151" t="s">
        <v>1577</v>
      </c>
      <c r="B522" s="151" t="s">
        <v>1578</v>
      </c>
    </row>
    <row r="523" spans="1:2">
      <c r="A523" s="151" t="s">
        <v>1579</v>
      </c>
      <c r="B523" s="151" t="s">
        <v>1580</v>
      </c>
    </row>
    <row r="524" spans="1:2">
      <c r="A524" s="151" t="s">
        <v>1581</v>
      </c>
      <c r="B524" s="151" t="s">
        <v>1582</v>
      </c>
    </row>
    <row r="525" spans="1:2">
      <c r="A525" s="151" t="s">
        <v>1583</v>
      </c>
      <c r="B525" s="151" t="s">
        <v>1584</v>
      </c>
    </row>
    <row r="526" spans="1:2">
      <c r="A526" s="151" t="s">
        <v>1585</v>
      </c>
      <c r="B526" s="151" t="s">
        <v>1586</v>
      </c>
    </row>
    <row r="527" spans="1:2">
      <c r="A527" s="151" t="s">
        <v>1587</v>
      </c>
      <c r="B527" s="151" t="s">
        <v>1588</v>
      </c>
    </row>
    <row r="528" spans="1:2">
      <c r="A528" s="151" t="s">
        <v>1589</v>
      </c>
      <c r="B528" s="151" t="s">
        <v>1590</v>
      </c>
    </row>
    <row r="529" spans="1:2">
      <c r="A529" s="151" t="s">
        <v>1591</v>
      </c>
      <c r="B529" s="151" t="s">
        <v>1592</v>
      </c>
    </row>
    <row r="530" spans="1:2">
      <c r="A530" s="151" t="s">
        <v>1593</v>
      </c>
      <c r="B530" s="151" t="s">
        <v>1594</v>
      </c>
    </row>
    <row r="531" spans="1:2">
      <c r="A531" s="151" t="s">
        <v>1595</v>
      </c>
      <c r="B531" s="151" t="s">
        <v>1596</v>
      </c>
    </row>
    <row r="532" spans="1:2">
      <c r="A532" s="151" t="s">
        <v>1597</v>
      </c>
      <c r="B532" s="151" t="s">
        <v>1598</v>
      </c>
    </row>
    <row r="533" spans="1:2">
      <c r="A533" s="151" t="s">
        <v>1599</v>
      </c>
      <c r="B533" s="151" t="s">
        <v>1600</v>
      </c>
    </row>
    <row r="534" spans="1:2">
      <c r="A534" s="151" t="s">
        <v>1601</v>
      </c>
      <c r="B534" s="151" t="s">
        <v>1602</v>
      </c>
    </row>
    <row r="535" spans="1:2">
      <c r="A535" s="151" t="s">
        <v>1603</v>
      </c>
      <c r="B535" s="151" t="s">
        <v>1604</v>
      </c>
    </row>
    <row r="536" spans="1:2">
      <c r="A536" s="151" t="s">
        <v>1605</v>
      </c>
      <c r="B536" s="151" t="s">
        <v>1606</v>
      </c>
    </row>
    <row r="537" spans="1:2">
      <c r="A537" s="151" t="s">
        <v>1607</v>
      </c>
      <c r="B537" s="151" t="s">
        <v>1608</v>
      </c>
    </row>
    <row r="538" spans="1:2">
      <c r="A538" s="151" t="s">
        <v>1609</v>
      </c>
      <c r="B538" s="151" t="s">
        <v>1610</v>
      </c>
    </row>
    <row r="539" spans="1:2">
      <c r="A539" s="151" t="s">
        <v>1611</v>
      </c>
      <c r="B539" s="151" t="s">
        <v>1612</v>
      </c>
    </row>
    <row r="540" spans="1:2">
      <c r="A540" s="151" t="s">
        <v>1613</v>
      </c>
      <c r="B540" s="151" t="s">
        <v>1614</v>
      </c>
    </row>
    <row r="541" spans="1:2">
      <c r="A541" s="151" t="s">
        <v>1615</v>
      </c>
      <c r="B541" s="151" t="s">
        <v>1616</v>
      </c>
    </row>
    <row r="542" spans="1:2">
      <c r="A542" s="151" t="s">
        <v>1617</v>
      </c>
      <c r="B542" s="151" t="s">
        <v>1618</v>
      </c>
    </row>
    <row r="543" spans="1:2">
      <c r="A543" s="151" t="s">
        <v>1619</v>
      </c>
      <c r="B543" s="151" t="s">
        <v>1620</v>
      </c>
    </row>
    <row r="544" spans="1:2">
      <c r="A544" s="151" t="s">
        <v>1621</v>
      </c>
      <c r="B544" s="151" t="s">
        <v>1622</v>
      </c>
    </row>
    <row r="545" spans="1:2">
      <c r="A545" s="151" t="s">
        <v>1623</v>
      </c>
      <c r="B545" s="151" t="s">
        <v>1624</v>
      </c>
    </row>
    <row r="546" spans="1:2">
      <c r="A546" s="151" t="s">
        <v>1625</v>
      </c>
      <c r="B546" s="151" t="s">
        <v>1626</v>
      </c>
    </row>
    <row r="547" spans="1:2">
      <c r="A547" s="151" t="s">
        <v>1627</v>
      </c>
      <c r="B547" s="151" t="s">
        <v>1628</v>
      </c>
    </row>
    <row r="548" spans="1:2">
      <c r="A548" s="151" t="s">
        <v>1629</v>
      </c>
      <c r="B548" s="151" t="s">
        <v>1630</v>
      </c>
    </row>
    <row r="549" spans="1:2">
      <c r="A549" s="151" t="s">
        <v>1631</v>
      </c>
      <c r="B549" s="151" t="s">
        <v>1632</v>
      </c>
    </row>
    <row r="550" spans="1:2">
      <c r="A550" s="151" t="s">
        <v>1633</v>
      </c>
      <c r="B550" s="151" t="s">
        <v>1634</v>
      </c>
    </row>
    <row r="551" spans="1:2">
      <c r="A551" s="151" t="s">
        <v>1635</v>
      </c>
      <c r="B551" s="151" t="s">
        <v>1636</v>
      </c>
    </row>
    <row r="552" spans="1:2">
      <c r="A552" s="151" t="s">
        <v>1637</v>
      </c>
      <c r="B552" s="151" t="s">
        <v>1638</v>
      </c>
    </row>
    <row r="553" spans="1:2">
      <c r="A553" s="151" t="s">
        <v>1639</v>
      </c>
      <c r="B553" s="151" t="s">
        <v>1640</v>
      </c>
    </row>
    <row r="554" spans="1:2">
      <c r="A554" s="151" t="s">
        <v>1641</v>
      </c>
      <c r="B554" s="151" t="s">
        <v>1642</v>
      </c>
    </row>
    <row r="555" spans="1:2">
      <c r="A555" s="151" t="s">
        <v>1643</v>
      </c>
      <c r="B555" s="151" t="s">
        <v>1644</v>
      </c>
    </row>
    <row r="556" spans="1:2">
      <c r="A556" s="151" t="s">
        <v>1645</v>
      </c>
      <c r="B556" s="151" t="s">
        <v>1646</v>
      </c>
    </row>
    <row r="557" spans="1:2">
      <c r="A557" s="151" t="s">
        <v>1647</v>
      </c>
      <c r="B557" s="151" t="s">
        <v>1648</v>
      </c>
    </row>
    <row r="558" spans="1:2">
      <c r="A558" s="151" t="s">
        <v>1649</v>
      </c>
      <c r="B558" s="151" t="s">
        <v>1650</v>
      </c>
    </row>
    <row r="559" spans="1:2">
      <c r="A559" s="151" t="s">
        <v>1651</v>
      </c>
      <c r="B559" s="151" t="s">
        <v>1652</v>
      </c>
    </row>
    <row r="560" spans="1:2">
      <c r="A560" s="151" t="s">
        <v>1653</v>
      </c>
      <c r="B560" s="151" t="s">
        <v>1654</v>
      </c>
    </row>
    <row r="561" spans="1:2">
      <c r="A561" s="151" t="s">
        <v>1655</v>
      </c>
      <c r="B561" s="151" t="s">
        <v>1656</v>
      </c>
    </row>
    <row r="562" spans="1:2">
      <c r="A562" s="151" t="s">
        <v>1657</v>
      </c>
      <c r="B562" s="151" t="s">
        <v>1658</v>
      </c>
    </row>
    <row r="563" spans="1:2">
      <c r="A563" s="151" t="s">
        <v>1659</v>
      </c>
      <c r="B563" s="151" t="s">
        <v>1660</v>
      </c>
    </row>
    <row r="564" spans="1:2">
      <c r="A564" s="151" t="s">
        <v>1661</v>
      </c>
      <c r="B564" s="151" t="s">
        <v>1662</v>
      </c>
    </row>
    <row r="565" spans="1:2">
      <c r="A565" s="151" t="s">
        <v>1663</v>
      </c>
      <c r="B565" s="151" t="s">
        <v>1664</v>
      </c>
    </row>
    <row r="566" spans="1:2">
      <c r="A566" s="151" t="s">
        <v>1665</v>
      </c>
      <c r="B566" s="151" t="s">
        <v>1666</v>
      </c>
    </row>
    <row r="567" spans="1:2">
      <c r="A567" s="151" t="s">
        <v>1667</v>
      </c>
      <c r="B567" s="151" t="s">
        <v>1668</v>
      </c>
    </row>
    <row r="568" spans="1:2">
      <c r="A568" s="151" t="s">
        <v>1669</v>
      </c>
      <c r="B568" s="151" t="s">
        <v>1670</v>
      </c>
    </row>
    <row r="569" spans="1:2">
      <c r="A569" s="151" t="s">
        <v>1671</v>
      </c>
      <c r="B569" s="151" t="s">
        <v>1672</v>
      </c>
    </row>
    <row r="570" spans="1:2">
      <c r="A570" s="151" t="s">
        <v>1673</v>
      </c>
      <c r="B570" s="151" t="s">
        <v>1674</v>
      </c>
    </row>
    <row r="571" spans="1:2">
      <c r="A571" s="151" t="s">
        <v>1675</v>
      </c>
      <c r="B571" s="151" t="s">
        <v>1676</v>
      </c>
    </row>
    <row r="572" spans="1:2">
      <c r="A572" s="151" t="s">
        <v>1677</v>
      </c>
      <c r="B572" s="151" t="s">
        <v>1678</v>
      </c>
    </row>
    <row r="573" spans="1:2">
      <c r="A573" s="151" t="s">
        <v>1679</v>
      </c>
      <c r="B573" s="151" t="s">
        <v>1680</v>
      </c>
    </row>
    <row r="574" spans="1:2">
      <c r="A574" s="151" t="s">
        <v>1681</v>
      </c>
      <c r="B574" s="151" t="s">
        <v>1682</v>
      </c>
    </row>
    <row r="575" spans="1:2">
      <c r="A575" s="151" t="s">
        <v>1683</v>
      </c>
      <c r="B575" s="151" t="s">
        <v>1684</v>
      </c>
    </row>
    <row r="576" spans="1:2">
      <c r="A576" s="151" t="s">
        <v>1685</v>
      </c>
      <c r="B576" s="151" t="s">
        <v>1686</v>
      </c>
    </row>
    <row r="577" spans="1:2">
      <c r="A577" s="151" t="s">
        <v>1687</v>
      </c>
      <c r="B577" s="151" t="s">
        <v>1688</v>
      </c>
    </row>
    <row r="578" spans="1:2">
      <c r="A578" s="151" t="s">
        <v>1689</v>
      </c>
      <c r="B578" s="151" t="s">
        <v>1690</v>
      </c>
    </row>
    <row r="579" spans="1:2">
      <c r="A579" s="151" t="s">
        <v>1691</v>
      </c>
      <c r="B579" s="151" t="s">
        <v>1692</v>
      </c>
    </row>
    <row r="580" spans="1:2">
      <c r="A580" s="151" t="s">
        <v>1693</v>
      </c>
      <c r="B580" s="151" t="s">
        <v>1694</v>
      </c>
    </row>
    <row r="581" spans="1:2">
      <c r="A581" s="151" t="s">
        <v>1695</v>
      </c>
      <c r="B581" s="151" t="s">
        <v>1696</v>
      </c>
    </row>
    <row r="582" spans="1:2">
      <c r="A582" s="151" t="s">
        <v>1697</v>
      </c>
      <c r="B582" s="151" t="s">
        <v>1698</v>
      </c>
    </row>
    <row r="583" spans="1:2">
      <c r="A583" s="151" t="s">
        <v>1699</v>
      </c>
      <c r="B583" s="151" t="s">
        <v>1700</v>
      </c>
    </row>
    <row r="584" spans="1:2">
      <c r="A584" s="151" t="s">
        <v>1701</v>
      </c>
      <c r="B584" s="151" t="s">
        <v>1702</v>
      </c>
    </row>
    <row r="585" spans="1:2">
      <c r="A585" s="151" t="s">
        <v>1703</v>
      </c>
      <c r="B585" s="151" t="s">
        <v>1704</v>
      </c>
    </row>
    <row r="586" spans="1:2">
      <c r="A586" s="151" t="s">
        <v>1705</v>
      </c>
      <c r="B586" s="151" t="s">
        <v>1706</v>
      </c>
    </row>
    <row r="587" spans="1:2">
      <c r="A587" s="151" t="s">
        <v>1707</v>
      </c>
      <c r="B587" s="151" t="s">
        <v>1708</v>
      </c>
    </row>
    <row r="588" spans="1:2">
      <c r="A588" s="151" t="s">
        <v>1709</v>
      </c>
      <c r="B588" s="151" t="s">
        <v>119</v>
      </c>
    </row>
    <row r="589" spans="1:2">
      <c r="A589" s="151" t="s">
        <v>1710</v>
      </c>
      <c r="B589" s="151" t="s">
        <v>1711</v>
      </c>
    </row>
    <row r="590" spans="1:2">
      <c r="A590" s="151" t="s">
        <v>1712</v>
      </c>
      <c r="B590" s="151" t="s">
        <v>1713</v>
      </c>
    </row>
    <row r="591" spans="1:2">
      <c r="A591" s="151" t="s">
        <v>1714</v>
      </c>
      <c r="B591" s="151" t="s">
        <v>1715</v>
      </c>
    </row>
    <row r="592" spans="1:2">
      <c r="A592" s="151" t="s">
        <v>1716</v>
      </c>
      <c r="B592" s="151" t="s">
        <v>1717</v>
      </c>
    </row>
    <row r="593" spans="1:2">
      <c r="A593" s="151" t="s">
        <v>1718</v>
      </c>
      <c r="B593" s="151" t="s">
        <v>1719</v>
      </c>
    </row>
    <row r="594" spans="1:2">
      <c r="A594" s="151" t="s">
        <v>1720</v>
      </c>
      <c r="B594" s="151" t="s">
        <v>1721</v>
      </c>
    </row>
    <row r="595" spans="1:2">
      <c r="A595" s="151" t="s">
        <v>1722</v>
      </c>
      <c r="B595" s="151" t="s">
        <v>1723</v>
      </c>
    </row>
    <row r="596" spans="1:2">
      <c r="A596" s="151" t="s">
        <v>1724</v>
      </c>
      <c r="B596" s="151" t="s">
        <v>1725</v>
      </c>
    </row>
    <row r="597" spans="1:2">
      <c r="A597" s="151" t="s">
        <v>1726</v>
      </c>
      <c r="B597" s="151" t="s">
        <v>1727</v>
      </c>
    </row>
    <row r="598" spans="1:2">
      <c r="A598" s="151" t="s">
        <v>1728</v>
      </c>
      <c r="B598" s="151" t="s">
        <v>1729</v>
      </c>
    </row>
    <row r="599" spans="1:2">
      <c r="A599" s="151" t="s">
        <v>1730</v>
      </c>
      <c r="B599" s="151" t="s">
        <v>1731</v>
      </c>
    </row>
    <row r="600" spans="1:2">
      <c r="A600" s="151" t="s">
        <v>1732</v>
      </c>
      <c r="B600" s="151" t="s">
        <v>1733</v>
      </c>
    </row>
    <row r="601" spans="1:2">
      <c r="A601" s="151" t="s">
        <v>1734</v>
      </c>
      <c r="B601" s="151" t="s">
        <v>1735</v>
      </c>
    </row>
    <row r="602" spans="1:2">
      <c r="A602" s="151" t="s">
        <v>1736</v>
      </c>
      <c r="B602" s="151" t="s">
        <v>1737</v>
      </c>
    </row>
    <row r="603" spans="1:2">
      <c r="A603" s="151" t="s">
        <v>1738</v>
      </c>
      <c r="B603" s="151" t="s">
        <v>1739</v>
      </c>
    </row>
    <row r="604" spans="1:2">
      <c r="A604" s="151" t="s">
        <v>1740</v>
      </c>
      <c r="B604" s="151" t="s">
        <v>1741</v>
      </c>
    </row>
    <row r="605" spans="1:2">
      <c r="A605" s="151" t="s">
        <v>1742</v>
      </c>
      <c r="B605" s="151" t="s">
        <v>1743</v>
      </c>
    </row>
    <row r="606" spans="1:2">
      <c r="A606" s="151" t="s">
        <v>1744</v>
      </c>
      <c r="B606" s="151" t="s">
        <v>1745</v>
      </c>
    </row>
    <row r="607" spans="1:2">
      <c r="A607" s="151" t="s">
        <v>1746</v>
      </c>
      <c r="B607" s="151" t="s">
        <v>1747</v>
      </c>
    </row>
    <row r="608" spans="1:2">
      <c r="A608" s="151" t="s">
        <v>1748</v>
      </c>
      <c r="B608" s="151" t="s">
        <v>1749</v>
      </c>
    </row>
    <row r="609" spans="1:2">
      <c r="A609" s="151" t="s">
        <v>1750</v>
      </c>
      <c r="B609" s="151" t="s">
        <v>1751</v>
      </c>
    </row>
    <row r="610" spans="1:2">
      <c r="A610" s="151" t="s">
        <v>1752</v>
      </c>
      <c r="B610" s="151" t="s">
        <v>1753</v>
      </c>
    </row>
    <row r="611" spans="1:2">
      <c r="A611" s="151" t="s">
        <v>1754</v>
      </c>
      <c r="B611" s="151" t="s">
        <v>1755</v>
      </c>
    </row>
    <row r="612" spans="1:2">
      <c r="A612" s="151" t="s">
        <v>1756</v>
      </c>
      <c r="B612" s="151" t="s">
        <v>1757</v>
      </c>
    </row>
    <row r="613" spans="1:2">
      <c r="A613" s="151" t="s">
        <v>1758</v>
      </c>
      <c r="B613" s="151" t="s">
        <v>1759</v>
      </c>
    </row>
    <row r="614" spans="1:2">
      <c r="A614" s="151" t="s">
        <v>1760</v>
      </c>
      <c r="B614" s="151" t="s">
        <v>1761</v>
      </c>
    </row>
    <row r="615" spans="1:2">
      <c r="A615" s="151" t="s">
        <v>1762</v>
      </c>
      <c r="B615" s="151" t="s">
        <v>1763</v>
      </c>
    </row>
    <row r="616" spans="1:2">
      <c r="A616" s="151" t="s">
        <v>1764</v>
      </c>
      <c r="B616" s="151" t="s">
        <v>1765</v>
      </c>
    </row>
    <row r="617" spans="1:2">
      <c r="A617" s="151" t="s">
        <v>1766</v>
      </c>
      <c r="B617" s="151" t="s">
        <v>1767</v>
      </c>
    </row>
    <row r="618" spans="1:2">
      <c r="A618" s="151" t="s">
        <v>1768</v>
      </c>
      <c r="B618" s="151" t="s">
        <v>1769</v>
      </c>
    </row>
    <row r="619" spans="1:2">
      <c r="A619" s="151" t="s">
        <v>1770</v>
      </c>
      <c r="B619" s="151" t="s">
        <v>1771</v>
      </c>
    </row>
    <row r="620" spans="1:2">
      <c r="A620" s="151" t="s">
        <v>1772</v>
      </c>
      <c r="B620" s="151" t="s">
        <v>1773</v>
      </c>
    </row>
    <row r="621" spans="1:2">
      <c r="A621" s="151" t="s">
        <v>1774</v>
      </c>
      <c r="B621" s="151" t="s">
        <v>1775</v>
      </c>
    </row>
    <row r="622" spans="1:2">
      <c r="A622" s="151" t="s">
        <v>1776</v>
      </c>
      <c r="B622" s="151" t="s">
        <v>1777</v>
      </c>
    </row>
    <row r="623" spans="1:2">
      <c r="A623" s="151" t="s">
        <v>1778</v>
      </c>
      <c r="B623" s="151" t="s">
        <v>1779</v>
      </c>
    </row>
    <row r="624" spans="1:2">
      <c r="A624" s="151" t="s">
        <v>1780</v>
      </c>
      <c r="B624" s="151" t="s">
        <v>1781</v>
      </c>
    </row>
    <row r="625" spans="1:2">
      <c r="A625" s="151" t="s">
        <v>1782</v>
      </c>
      <c r="B625" s="151" t="s">
        <v>1783</v>
      </c>
    </row>
    <row r="626" spans="1:2">
      <c r="A626" s="151" t="s">
        <v>1784</v>
      </c>
      <c r="B626" s="151" t="s">
        <v>1785</v>
      </c>
    </row>
    <row r="627" spans="1:2">
      <c r="A627" s="151" t="s">
        <v>1786</v>
      </c>
      <c r="B627" s="151" t="s">
        <v>289</v>
      </c>
    </row>
    <row r="628" spans="1:2">
      <c r="A628" s="151" t="s">
        <v>1787</v>
      </c>
      <c r="B628" s="151" t="s">
        <v>1788</v>
      </c>
    </row>
    <row r="629" spans="1:2">
      <c r="A629" s="151" t="s">
        <v>1789</v>
      </c>
      <c r="B629" s="151" t="s">
        <v>1790</v>
      </c>
    </row>
    <row r="630" spans="1:2">
      <c r="A630" s="151" t="s">
        <v>1791</v>
      </c>
      <c r="B630" s="151" t="s">
        <v>1792</v>
      </c>
    </row>
    <row r="631" spans="1:2">
      <c r="A631" s="151" t="s">
        <v>1793</v>
      </c>
      <c r="B631" s="151" t="s">
        <v>1794</v>
      </c>
    </row>
    <row r="632" spans="1:2">
      <c r="A632" s="151" t="s">
        <v>1795</v>
      </c>
      <c r="B632" s="151" t="s">
        <v>1796</v>
      </c>
    </row>
    <row r="633" spans="1:2">
      <c r="A633" s="151" t="s">
        <v>1797</v>
      </c>
      <c r="B633" s="151" t="s">
        <v>1798</v>
      </c>
    </row>
    <row r="634" spans="1:2">
      <c r="A634" s="151" t="s">
        <v>1799</v>
      </c>
      <c r="B634" s="151" t="s">
        <v>1800</v>
      </c>
    </row>
    <row r="635" spans="1:2">
      <c r="A635" s="151" t="s">
        <v>1801</v>
      </c>
      <c r="B635" s="151" t="s">
        <v>1802</v>
      </c>
    </row>
    <row r="636" spans="1:2">
      <c r="A636" s="151" t="s">
        <v>1803</v>
      </c>
      <c r="B636" s="151" t="s">
        <v>1804</v>
      </c>
    </row>
    <row r="637" spans="1:2">
      <c r="A637" s="151" t="s">
        <v>1805</v>
      </c>
      <c r="B637" s="151" t="s">
        <v>1806</v>
      </c>
    </row>
    <row r="638" spans="1:2">
      <c r="A638" s="151" t="s">
        <v>1807</v>
      </c>
      <c r="B638" s="151" t="s">
        <v>1808</v>
      </c>
    </row>
    <row r="639" spans="1:2">
      <c r="A639" s="151" t="s">
        <v>1809</v>
      </c>
      <c r="B639" s="151" t="s">
        <v>1810</v>
      </c>
    </row>
    <row r="640" spans="1:2">
      <c r="A640" s="151" t="s">
        <v>1811</v>
      </c>
      <c r="B640" s="151" t="s">
        <v>1812</v>
      </c>
    </row>
    <row r="641" spans="1:2">
      <c r="A641" s="151" t="s">
        <v>1813</v>
      </c>
      <c r="B641" s="151" t="s">
        <v>1814</v>
      </c>
    </row>
    <row r="642" spans="1:2">
      <c r="A642" s="151" t="s">
        <v>1815</v>
      </c>
      <c r="B642" s="151" t="s">
        <v>1816</v>
      </c>
    </row>
    <row r="643" spans="1:2">
      <c r="A643" s="151" t="s">
        <v>1817</v>
      </c>
      <c r="B643" s="151" t="s">
        <v>1818</v>
      </c>
    </row>
    <row r="644" spans="1:2">
      <c r="A644" s="151" t="s">
        <v>1819</v>
      </c>
      <c r="B644" s="151" t="s">
        <v>1820</v>
      </c>
    </row>
    <row r="645" spans="1:2">
      <c r="A645" s="151" t="s">
        <v>1821</v>
      </c>
      <c r="B645" s="151" t="s">
        <v>1822</v>
      </c>
    </row>
    <row r="646" spans="1:2">
      <c r="A646" s="151" t="s">
        <v>1823</v>
      </c>
      <c r="B646" s="151" t="s">
        <v>1824</v>
      </c>
    </row>
    <row r="647" spans="1:2">
      <c r="A647" s="151" t="s">
        <v>1825</v>
      </c>
      <c r="B647" s="151" t="s">
        <v>1826</v>
      </c>
    </row>
    <row r="648" spans="1:2">
      <c r="A648" s="151" t="s">
        <v>1827</v>
      </c>
      <c r="B648" s="151" t="s">
        <v>1828</v>
      </c>
    </row>
    <row r="649" spans="1:2">
      <c r="A649" s="151" t="s">
        <v>1829</v>
      </c>
      <c r="B649" s="151" t="s">
        <v>1830</v>
      </c>
    </row>
    <row r="650" spans="1:2">
      <c r="A650" s="151" t="s">
        <v>1831</v>
      </c>
      <c r="B650" s="151" t="s">
        <v>1832</v>
      </c>
    </row>
    <row r="651" spans="1:2">
      <c r="A651" s="151" t="s">
        <v>1833</v>
      </c>
      <c r="B651" s="151" t="s">
        <v>1834</v>
      </c>
    </row>
    <row r="652" spans="1:2">
      <c r="A652" s="151" t="s">
        <v>1835</v>
      </c>
      <c r="B652" s="151" t="s">
        <v>1836</v>
      </c>
    </row>
    <row r="653" spans="1:2">
      <c r="A653" s="151" t="s">
        <v>1837</v>
      </c>
      <c r="B653" s="151" t="s">
        <v>1838</v>
      </c>
    </row>
    <row r="654" spans="1:2">
      <c r="A654" s="151" t="s">
        <v>1839</v>
      </c>
      <c r="B654" s="151" t="s">
        <v>1840</v>
      </c>
    </row>
    <row r="655" spans="1:2">
      <c r="A655" s="151" t="s">
        <v>1841</v>
      </c>
      <c r="B655" s="151" t="s">
        <v>1842</v>
      </c>
    </row>
    <row r="656" spans="1:2">
      <c r="A656" s="151" t="s">
        <v>1843</v>
      </c>
      <c r="B656" s="151" t="s">
        <v>1844</v>
      </c>
    </row>
    <row r="657" spans="1:2">
      <c r="A657" s="151" t="s">
        <v>1845</v>
      </c>
      <c r="B657" s="151" t="s">
        <v>1846</v>
      </c>
    </row>
    <row r="658" spans="1:2">
      <c r="A658" s="151" t="s">
        <v>1847</v>
      </c>
      <c r="B658" s="151" t="s">
        <v>1848</v>
      </c>
    </row>
    <row r="659" spans="1:2">
      <c r="A659" s="151" t="s">
        <v>1849</v>
      </c>
      <c r="B659" s="151" t="s">
        <v>1850</v>
      </c>
    </row>
    <row r="660" spans="1:2">
      <c r="A660" s="151" t="s">
        <v>1851</v>
      </c>
      <c r="B660" s="151" t="s">
        <v>1852</v>
      </c>
    </row>
    <row r="661" spans="1:2">
      <c r="A661" s="151" t="s">
        <v>1853</v>
      </c>
      <c r="B661" s="151" t="s">
        <v>1854</v>
      </c>
    </row>
    <row r="662" spans="1:2">
      <c r="A662" s="151" t="s">
        <v>1855</v>
      </c>
      <c r="B662" s="151" t="s">
        <v>1856</v>
      </c>
    </row>
    <row r="663" spans="1:2">
      <c r="A663" s="151" t="s">
        <v>1857</v>
      </c>
      <c r="B663" s="151" t="s">
        <v>1858</v>
      </c>
    </row>
    <row r="664" spans="1:2">
      <c r="A664" s="151" t="s">
        <v>1859</v>
      </c>
      <c r="B664" s="151" t="s">
        <v>1860</v>
      </c>
    </row>
    <row r="665" spans="1:2">
      <c r="A665" s="151" t="s">
        <v>1861</v>
      </c>
      <c r="B665" s="151" t="s">
        <v>1862</v>
      </c>
    </row>
    <row r="666" spans="1:2">
      <c r="A666" s="151" t="s">
        <v>1863</v>
      </c>
      <c r="B666" s="151" t="s">
        <v>1864</v>
      </c>
    </row>
    <row r="667" spans="1:2">
      <c r="A667" s="151" t="s">
        <v>1865</v>
      </c>
      <c r="B667" s="151" t="s">
        <v>1866</v>
      </c>
    </row>
    <row r="668" spans="1:2">
      <c r="A668" s="151" t="s">
        <v>1867</v>
      </c>
      <c r="B668" s="151" t="s">
        <v>1868</v>
      </c>
    </row>
    <row r="669" spans="1:2">
      <c r="A669" s="151" t="s">
        <v>1869</v>
      </c>
      <c r="B669" s="151" t="s">
        <v>1870</v>
      </c>
    </row>
    <row r="670" spans="1:2">
      <c r="A670" s="151" t="s">
        <v>1871</v>
      </c>
      <c r="B670" s="151" t="s">
        <v>1872</v>
      </c>
    </row>
    <row r="671" spans="1:2">
      <c r="A671" s="151" t="s">
        <v>1873</v>
      </c>
      <c r="B671" s="151" t="s">
        <v>1874</v>
      </c>
    </row>
    <row r="672" spans="1:2">
      <c r="A672" s="151" t="s">
        <v>1875</v>
      </c>
      <c r="B672" s="151" t="s">
        <v>1876</v>
      </c>
    </row>
    <row r="673" spans="1:2">
      <c r="A673" s="151" t="s">
        <v>1877</v>
      </c>
      <c r="B673" s="151" t="s">
        <v>1878</v>
      </c>
    </row>
    <row r="674" spans="1:2">
      <c r="A674" s="151" t="s">
        <v>1879</v>
      </c>
      <c r="B674" s="151" t="s">
        <v>1880</v>
      </c>
    </row>
    <row r="675" spans="1:2">
      <c r="A675" s="151" t="s">
        <v>1881</v>
      </c>
      <c r="B675" s="151" t="s">
        <v>1882</v>
      </c>
    </row>
    <row r="676" spans="1:2">
      <c r="A676" s="151" t="s">
        <v>1883</v>
      </c>
      <c r="B676" s="151" t="s">
        <v>1884</v>
      </c>
    </row>
    <row r="677" spans="1:2">
      <c r="A677" s="151" t="s">
        <v>1885</v>
      </c>
      <c r="B677" s="151" t="s">
        <v>1886</v>
      </c>
    </row>
    <row r="678" spans="1:2">
      <c r="A678" s="151" t="s">
        <v>1887</v>
      </c>
      <c r="B678" s="151" t="s">
        <v>1888</v>
      </c>
    </row>
    <row r="679" spans="1:2">
      <c r="A679" s="151" t="s">
        <v>1889</v>
      </c>
      <c r="B679" s="151" t="s">
        <v>1890</v>
      </c>
    </row>
    <row r="680" spans="1:2">
      <c r="A680" s="151" t="s">
        <v>1891</v>
      </c>
      <c r="B680" s="151" t="s">
        <v>1892</v>
      </c>
    </row>
    <row r="681" spans="1:2">
      <c r="A681" s="151" t="s">
        <v>1893</v>
      </c>
      <c r="B681" s="151" t="s">
        <v>1894</v>
      </c>
    </row>
    <row r="682" spans="1:2">
      <c r="A682" s="151" t="s">
        <v>1895</v>
      </c>
      <c r="B682" s="151" t="s">
        <v>1896</v>
      </c>
    </row>
    <row r="683" spans="1:2">
      <c r="A683" s="151" t="s">
        <v>1897</v>
      </c>
      <c r="B683" s="151" t="s">
        <v>1898</v>
      </c>
    </row>
    <row r="684" spans="1:2">
      <c r="A684" s="151" t="s">
        <v>1899</v>
      </c>
      <c r="B684" s="151" t="s">
        <v>1900</v>
      </c>
    </row>
    <row r="685" spans="1:2">
      <c r="A685" s="151" t="s">
        <v>1901</v>
      </c>
      <c r="B685" s="151" t="s">
        <v>1902</v>
      </c>
    </row>
    <row r="686" spans="1:2">
      <c r="A686" s="151" t="s">
        <v>1903</v>
      </c>
      <c r="B686" s="151" t="s">
        <v>1904</v>
      </c>
    </row>
    <row r="687" spans="1:2">
      <c r="A687" s="151" t="s">
        <v>1905</v>
      </c>
      <c r="B687" s="151" t="s">
        <v>1906</v>
      </c>
    </row>
    <row r="688" spans="1:2">
      <c r="A688" s="151" t="s">
        <v>1907</v>
      </c>
      <c r="B688" s="151" t="s">
        <v>1908</v>
      </c>
    </row>
    <row r="689" spans="1:2">
      <c r="A689" s="151" t="s">
        <v>1909</v>
      </c>
      <c r="B689" s="151" t="s">
        <v>1910</v>
      </c>
    </row>
    <row r="690" spans="1:2">
      <c r="A690" s="151" t="s">
        <v>1911</v>
      </c>
      <c r="B690" s="151" t="s">
        <v>1912</v>
      </c>
    </row>
    <row r="691" spans="1:2">
      <c r="A691" s="151" t="s">
        <v>1913</v>
      </c>
      <c r="B691" s="151" t="s">
        <v>1914</v>
      </c>
    </row>
    <row r="692" spans="1:2">
      <c r="A692" s="151" t="s">
        <v>1915</v>
      </c>
      <c r="B692" s="151" t="s">
        <v>1916</v>
      </c>
    </row>
    <row r="693" spans="1:2">
      <c r="A693" s="151" t="s">
        <v>1917</v>
      </c>
      <c r="B693" s="151" t="s">
        <v>1918</v>
      </c>
    </row>
    <row r="694" spans="1:2">
      <c r="A694" s="151" t="s">
        <v>1919</v>
      </c>
      <c r="B694" s="151" t="s">
        <v>1920</v>
      </c>
    </row>
    <row r="695" spans="1:2">
      <c r="A695" s="151" t="s">
        <v>1921</v>
      </c>
      <c r="B695" s="151" t="s">
        <v>1922</v>
      </c>
    </row>
    <row r="696" spans="1:2">
      <c r="A696" s="151" t="s">
        <v>1923</v>
      </c>
      <c r="B696" s="151" t="s">
        <v>1924</v>
      </c>
    </row>
    <row r="697" spans="1:2">
      <c r="A697" s="151" t="s">
        <v>1925</v>
      </c>
      <c r="B697" s="151" t="s">
        <v>1926</v>
      </c>
    </row>
    <row r="698" spans="1:2">
      <c r="A698" s="151" t="s">
        <v>1927</v>
      </c>
      <c r="B698" s="151" t="s">
        <v>1928</v>
      </c>
    </row>
    <row r="699" spans="1:2">
      <c r="A699" s="151" t="s">
        <v>1929</v>
      </c>
      <c r="B699" s="151" t="s">
        <v>1930</v>
      </c>
    </row>
    <row r="700" spans="1:2">
      <c r="A700" s="151" t="s">
        <v>1931</v>
      </c>
      <c r="B700" s="151" t="s">
        <v>1932</v>
      </c>
    </row>
    <row r="701" spans="1:2">
      <c r="A701" s="151" t="s">
        <v>1933</v>
      </c>
      <c r="B701" s="151" t="s">
        <v>1934</v>
      </c>
    </row>
    <row r="702" spans="1:2">
      <c r="A702" s="151" t="s">
        <v>1935</v>
      </c>
      <c r="B702" s="151" t="s">
        <v>1936</v>
      </c>
    </row>
    <row r="703" spans="1:2">
      <c r="A703" s="151" t="s">
        <v>1937</v>
      </c>
      <c r="B703" s="151" t="s">
        <v>1938</v>
      </c>
    </row>
    <row r="704" spans="1:2">
      <c r="A704" s="151" t="s">
        <v>1939</v>
      </c>
      <c r="B704" s="151" t="s">
        <v>1940</v>
      </c>
    </row>
    <row r="705" spans="1:2">
      <c r="A705" s="151" t="s">
        <v>1941</v>
      </c>
      <c r="B705" s="151" t="s">
        <v>1942</v>
      </c>
    </row>
    <row r="706" spans="1:2">
      <c r="A706" s="151" t="s">
        <v>1943</v>
      </c>
      <c r="B706" s="151" t="s">
        <v>1944</v>
      </c>
    </row>
    <row r="707" spans="1:2">
      <c r="A707" s="151" t="s">
        <v>1945</v>
      </c>
      <c r="B707" s="151" t="s">
        <v>1946</v>
      </c>
    </row>
    <row r="708" spans="1:2">
      <c r="A708" s="151" t="s">
        <v>1947</v>
      </c>
      <c r="B708" s="151" t="s">
        <v>1948</v>
      </c>
    </row>
    <row r="709" spans="1:2">
      <c r="A709" s="151" t="s">
        <v>1949</v>
      </c>
      <c r="B709" s="151" t="s">
        <v>1950</v>
      </c>
    </row>
    <row r="710" spans="1:2">
      <c r="A710" s="151" t="s">
        <v>1951</v>
      </c>
      <c r="B710" s="151" t="s">
        <v>1952</v>
      </c>
    </row>
    <row r="711" spans="1:2">
      <c r="A711" s="151" t="s">
        <v>1953</v>
      </c>
      <c r="B711" s="151" t="s">
        <v>1954</v>
      </c>
    </row>
    <row r="712" spans="1:2">
      <c r="A712" s="151" t="s">
        <v>1955</v>
      </c>
      <c r="B712" s="151" t="s">
        <v>1956</v>
      </c>
    </row>
    <row r="713" spans="1:2">
      <c r="A713" s="151" t="s">
        <v>1957</v>
      </c>
      <c r="B713" s="151" t="s">
        <v>1958</v>
      </c>
    </row>
    <row r="714" spans="1:2">
      <c r="A714" s="151" t="s">
        <v>1959</v>
      </c>
      <c r="B714" s="151" t="s">
        <v>1960</v>
      </c>
    </row>
    <row r="715" spans="1:2">
      <c r="A715" s="151" t="s">
        <v>1961</v>
      </c>
      <c r="B715" s="151" t="s">
        <v>1962</v>
      </c>
    </row>
    <row r="716" spans="1:2">
      <c r="A716" s="151" t="s">
        <v>1963</v>
      </c>
      <c r="B716" s="151" t="s">
        <v>1964</v>
      </c>
    </row>
    <row r="717" spans="1:2">
      <c r="A717" s="151" t="s">
        <v>1965</v>
      </c>
      <c r="B717" s="151" t="s">
        <v>1966</v>
      </c>
    </row>
    <row r="718" spans="1:2">
      <c r="A718" s="151" t="s">
        <v>1967</v>
      </c>
      <c r="B718" s="151" t="s">
        <v>1968</v>
      </c>
    </row>
    <row r="719" spans="1:2">
      <c r="A719" s="151" t="s">
        <v>1969</v>
      </c>
      <c r="B719" s="151" t="s">
        <v>1970</v>
      </c>
    </row>
    <row r="720" spans="1:2">
      <c r="A720" s="151" t="s">
        <v>1971</v>
      </c>
      <c r="B720" s="151" t="s">
        <v>1972</v>
      </c>
    </row>
    <row r="721" spans="1:2">
      <c r="A721" s="151" t="s">
        <v>1973</v>
      </c>
      <c r="B721" s="151" t="s">
        <v>1974</v>
      </c>
    </row>
    <row r="722" spans="1:2">
      <c r="A722" s="151" t="s">
        <v>1975</v>
      </c>
      <c r="B722" s="151" t="s">
        <v>1976</v>
      </c>
    </row>
    <row r="723" spans="1:2">
      <c r="A723" s="151" t="s">
        <v>1977</v>
      </c>
      <c r="B723" s="151" t="s">
        <v>1978</v>
      </c>
    </row>
    <row r="724" spans="1:2">
      <c r="A724" s="151" t="s">
        <v>1979</v>
      </c>
      <c r="B724" s="151" t="s">
        <v>1980</v>
      </c>
    </row>
    <row r="725" spans="1:2">
      <c r="A725" s="151" t="s">
        <v>1981</v>
      </c>
      <c r="B725" s="151" t="s">
        <v>1982</v>
      </c>
    </row>
    <row r="726" spans="1:2">
      <c r="A726" s="151" t="s">
        <v>1983</v>
      </c>
      <c r="B726" s="151" t="s">
        <v>1984</v>
      </c>
    </row>
    <row r="727" spans="1:2">
      <c r="A727" s="151" t="s">
        <v>1985</v>
      </c>
      <c r="B727" s="151" t="s">
        <v>1986</v>
      </c>
    </row>
    <row r="728" spans="1:2">
      <c r="A728" s="151" t="s">
        <v>1987</v>
      </c>
      <c r="B728" s="151" t="s">
        <v>1988</v>
      </c>
    </row>
    <row r="729" spans="1:2">
      <c r="A729" s="151" t="s">
        <v>1989</v>
      </c>
      <c r="B729" s="151" t="s">
        <v>1990</v>
      </c>
    </row>
    <row r="730" spans="1:2">
      <c r="A730" s="151" t="s">
        <v>1991</v>
      </c>
      <c r="B730" s="151" t="s">
        <v>1992</v>
      </c>
    </row>
    <row r="731" spans="1:2">
      <c r="A731" s="151" t="s">
        <v>1993</v>
      </c>
      <c r="B731" s="151" t="s">
        <v>1994</v>
      </c>
    </row>
    <row r="732" spans="1:2">
      <c r="A732" s="151" t="s">
        <v>1995</v>
      </c>
      <c r="B732" s="151" t="s">
        <v>1996</v>
      </c>
    </row>
    <row r="733" spans="1:2">
      <c r="A733" s="151" t="s">
        <v>1997</v>
      </c>
      <c r="B733" s="151" t="s">
        <v>1998</v>
      </c>
    </row>
    <row r="734" spans="1:2">
      <c r="A734" s="151" t="s">
        <v>1999</v>
      </c>
      <c r="B734" s="151" t="s">
        <v>2000</v>
      </c>
    </row>
    <row r="735" spans="1:2">
      <c r="A735" s="151" t="s">
        <v>2001</v>
      </c>
      <c r="B735" s="151" t="s">
        <v>2002</v>
      </c>
    </row>
    <row r="736" spans="1:2">
      <c r="A736" s="151" t="s">
        <v>2003</v>
      </c>
      <c r="B736" s="151" t="s">
        <v>2004</v>
      </c>
    </row>
    <row r="737" spans="1:2">
      <c r="A737" s="151" t="s">
        <v>2005</v>
      </c>
      <c r="B737" s="151" t="s">
        <v>2006</v>
      </c>
    </row>
    <row r="738" spans="1:2">
      <c r="A738" s="151" t="s">
        <v>2007</v>
      </c>
      <c r="B738" s="151" t="s">
        <v>2008</v>
      </c>
    </row>
    <row r="739" spans="1:2">
      <c r="A739" s="151" t="s">
        <v>2009</v>
      </c>
      <c r="B739" s="151" t="s">
        <v>2010</v>
      </c>
    </row>
    <row r="740" spans="1:2">
      <c r="A740" s="151" t="s">
        <v>2011</v>
      </c>
      <c r="B740" s="151" t="s">
        <v>2012</v>
      </c>
    </row>
    <row r="741" spans="1:2">
      <c r="A741" s="151" t="s">
        <v>2013</v>
      </c>
      <c r="B741" s="151" t="s">
        <v>2014</v>
      </c>
    </row>
    <row r="742" spans="1:2">
      <c r="A742" s="151" t="s">
        <v>2015</v>
      </c>
      <c r="B742" s="151" t="s">
        <v>2016</v>
      </c>
    </row>
    <row r="743" spans="1:2">
      <c r="A743" s="151" t="s">
        <v>2017</v>
      </c>
      <c r="B743" s="151" t="s">
        <v>2018</v>
      </c>
    </row>
    <row r="744" spans="1:2">
      <c r="A744" s="151" t="s">
        <v>2019</v>
      </c>
      <c r="B744" s="151" t="s">
        <v>2020</v>
      </c>
    </row>
    <row r="745" spans="1:2">
      <c r="A745" s="151" t="s">
        <v>2021</v>
      </c>
      <c r="B745" s="151" t="s">
        <v>2022</v>
      </c>
    </row>
    <row r="746" spans="1:2">
      <c r="A746" s="151" t="s">
        <v>2023</v>
      </c>
      <c r="B746" s="151" t="s">
        <v>2024</v>
      </c>
    </row>
    <row r="747" spans="1:2">
      <c r="A747" s="151" t="s">
        <v>2025</v>
      </c>
      <c r="B747" s="151" t="s">
        <v>2026</v>
      </c>
    </row>
    <row r="748" spans="1:2">
      <c r="A748" s="151" t="s">
        <v>2027</v>
      </c>
      <c r="B748" s="151" t="s">
        <v>2028</v>
      </c>
    </row>
    <row r="749" spans="1:2">
      <c r="A749" s="151" t="s">
        <v>2029</v>
      </c>
      <c r="B749" s="151" t="s">
        <v>2030</v>
      </c>
    </row>
    <row r="750" spans="1:2">
      <c r="A750" s="151" t="s">
        <v>2031</v>
      </c>
      <c r="B750" s="151" t="s">
        <v>2032</v>
      </c>
    </row>
    <row r="751" spans="1:2">
      <c r="A751" s="151" t="s">
        <v>2033</v>
      </c>
      <c r="B751" s="151" t="s">
        <v>2034</v>
      </c>
    </row>
    <row r="752" spans="1:2">
      <c r="A752" s="151" t="s">
        <v>2035</v>
      </c>
      <c r="B752" s="151" t="s">
        <v>2036</v>
      </c>
    </row>
    <row r="753" spans="1:2">
      <c r="A753" s="151" t="s">
        <v>2037</v>
      </c>
      <c r="B753" s="151" t="s">
        <v>2038</v>
      </c>
    </row>
    <row r="754" spans="1:2">
      <c r="A754" s="151" t="s">
        <v>2039</v>
      </c>
      <c r="B754" s="151" t="s">
        <v>2040</v>
      </c>
    </row>
    <row r="755" spans="1:2">
      <c r="A755" s="151" t="s">
        <v>2041</v>
      </c>
      <c r="B755" s="151" t="s">
        <v>2042</v>
      </c>
    </row>
    <row r="756" spans="1:2">
      <c r="A756" s="151" t="s">
        <v>2043</v>
      </c>
      <c r="B756" s="151" t="s">
        <v>2044</v>
      </c>
    </row>
    <row r="757" spans="1:2">
      <c r="A757" s="151" t="s">
        <v>2045</v>
      </c>
      <c r="B757" s="151" t="s">
        <v>2046</v>
      </c>
    </row>
    <row r="758" spans="1:2">
      <c r="A758" s="151" t="s">
        <v>2047</v>
      </c>
      <c r="B758" s="151" t="s">
        <v>2048</v>
      </c>
    </row>
    <row r="759" spans="1:2">
      <c r="A759" s="151" t="s">
        <v>2049</v>
      </c>
      <c r="B759" s="151" t="s">
        <v>2050</v>
      </c>
    </row>
    <row r="760" spans="1:2">
      <c r="A760" s="151" t="s">
        <v>2051</v>
      </c>
      <c r="B760" s="151" t="s">
        <v>2052</v>
      </c>
    </row>
    <row r="761" spans="1:2">
      <c r="A761" s="151" t="s">
        <v>2053</v>
      </c>
      <c r="B761" s="151" t="s">
        <v>2054</v>
      </c>
    </row>
    <row r="762" spans="1:2">
      <c r="A762" s="151" t="s">
        <v>2055</v>
      </c>
      <c r="B762" s="151" t="s">
        <v>2056</v>
      </c>
    </row>
    <row r="763" spans="1:2">
      <c r="A763" s="151" t="s">
        <v>2057</v>
      </c>
      <c r="B763" s="151" t="s">
        <v>2058</v>
      </c>
    </row>
    <row r="764" spans="1:2">
      <c r="A764" s="151" t="s">
        <v>2059</v>
      </c>
      <c r="B764" s="151" t="s">
        <v>2060</v>
      </c>
    </row>
    <row r="765" spans="1:2">
      <c r="A765" s="151" t="s">
        <v>2061</v>
      </c>
      <c r="B765" s="151" t="s">
        <v>2062</v>
      </c>
    </row>
    <row r="766" spans="1:2">
      <c r="A766" s="151" t="s">
        <v>2063</v>
      </c>
      <c r="B766" s="151" t="s">
        <v>2064</v>
      </c>
    </row>
    <row r="767" spans="1:2">
      <c r="A767" s="151" t="s">
        <v>2065</v>
      </c>
      <c r="B767" s="151" t="s">
        <v>2066</v>
      </c>
    </row>
    <row r="768" spans="1:2">
      <c r="A768" s="151" t="s">
        <v>2067</v>
      </c>
      <c r="B768" s="151" t="s">
        <v>2068</v>
      </c>
    </row>
    <row r="769" spans="1:2">
      <c r="A769" s="151" t="s">
        <v>2069</v>
      </c>
      <c r="B769" s="151" t="s">
        <v>2070</v>
      </c>
    </row>
    <row r="770" spans="1:2">
      <c r="A770" s="151" t="s">
        <v>2071</v>
      </c>
      <c r="B770" s="151" t="s">
        <v>2072</v>
      </c>
    </row>
    <row r="771" spans="1:2">
      <c r="A771" s="151" t="s">
        <v>2073</v>
      </c>
      <c r="B771" s="151" t="s">
        <v>2074</v>
      </c>
    </row>
    <row r="772" spans="1:2">
      <c r="A772" s="151" t="s">
        <v>2075</v>
      </c>
      <c r="B772" s="151" t="s">
        <v>2076</v>
      </c>
    </row>
    <row r="773" spans="1:2">
      <c r="A773" s="151" t="s">
        <v>2077</v>
      </c>
      <c r="B773" s="151" t="s">
        <v>2078</v>
      </c>
    </row>
    <row r="774" spans="1:2">
      <c r="A774" s="151" t="s">
        <v>2079</v>
      </c>
      <c r="B774" s="151" t="s">
        <v>2080</v>
      </c>
    </row>
    <row r="775" spans="1:2">
      <c r="A775" s="151" t="s">
        <v>2081</v>
      </c>
      <c r="B775" s="151" t="s">
        <v>2082</v>
      </c>
    </row>
    <row r="776" spans="1:2">
      <c r="A776" s="151" t="s">
        <v>2083</v>
      </c>
      <c r="B776" s="151" t="s">
        <v>2084</v>
      </c>
    </row>
    <row r="777" spans="1:2">
      <c r="A777" s="151" t="s">
        <v>2085</v>
      </c>
      <c r="B777" s="151" t="s">
        <v>2086</v>
      </c>
    </row>
    <row r="778" spans="1:2">
      <c r="A778" s="151" t="s">
        <v>2087</v>
      </c>
      <c r="B778" s="151" t="s">
        <v>2088</v>
      </c>
    </row>
    <row r="779" spans="1:2">
      <c r="A779" s="151" t="s">
        <v>2089</v>
      </c>
      <c r="B779" s="151" t="s">
        <v>2090</v>
      </c>
    </row>
    <row r="780" spans="1:2">
      <c r="A780" s="151" t="s">
        <v>2091</v>
      </c>
      <c r="B780" s="151" t="s">
        <v>2092</v>
      </c>
    </row>
    <row r="781" spans="1:2">
      <c r="A781" s="151" t="s">
        <v>2093</v>
      </c>
      <c r="B781" s="151" t="s">
        <v>2094</v>
      </c>
    </row>
    <row r="782" spans="1:2">
      <c r="A782" s="151" t="s">
        <v>2095</v>
      </c>
      <c r="B782" s="151" t="s">
        <v>2096</v>
      </c>
    </row>
    <row r="783" spans="1:2">
      <c r="A783" s="151" t="s">
        <v>2097</v>
      </c>
      <c r="B783" s="151" t="s">
        <v>2098</v>
      </c>
    </row>
    <row r="784" spans="1:2">
      <c r="A784" s="151" t="s">
        <v>2099</v>
      </c>
      <c r="B784" s="151" t="s">
        <v>2100</v>
      </c>
    </row>
    <row r="785" spans="1:2">
      <c r="A785" s="151" t="s">
        <v>2101</v>
      </c>
      <c r="B785" s="151" t="s">
        <v>2102</v>
      </c>
    </row>
    <row r="786" spans="1:2">
      <c r="A786" s="151" t="s">
        <v>2103</v>
      </c>
      <c r="B786" s="151" t="s">
        <v>2104</v>
      </c>
    </row>
    <row r="787" spans="1:2">
      <c r="A787" s="151" t="s">
        <v>2105</v>
      </c>
      <c r="B787" s="151" t="s">
        <v>2106</v>
      </c>
    </row>
    <row r="788" spans="1:2">
      <c r="A788" s="151" t="s">
        <v>2107</v>
      </c>
      <c r="B788" s="151" t="s">
        <v>2108</v>
      </c>
    </row>
    <row r="789" spans="1:2">
      <c r="A789" s="151" t="s">
        <v>2109</v>
      </c>
      <c r="B789" s="151" t="s">
        <v>2110</v>
      </c>
    </row>
    <row r="790" spans="1:2">
      <c r="A790" s="151" t="s">
        <v>2111</v>
      </c>
      <c r="B790" s="151" t="s">
        <v>2112</v>
      </c>
    </row>
    <row r="791" spans="1:2">
      <c r="A791" s="151" t="s">
        <v>2113</v>
      </c>
      <c r="B791" s="151" t="s">
        <v>2114</v>
      </c>
    </row>
    <row r="792" spans="1:2">
      <c r="A792" s="151" t="s">
        <v>2115</v>
      </c>
      <c r="B792" s="151" t="s">
        <v>2116</v>
      </c>
    </row>
    <row r="793" spans="1:2">
      <c r="A793" s="151" t="s">
        <v>2117</v>
      </c>
      <c r="B793" s="151" t="s">
        <v>2118</v>
      </c>
    </row>
    <row r="794" spans="1:2">
      <c r="A794" s="151" t="s">
        <v>2119</v>
      </c>
      <c r="B794" s="151" t="s">
        <v>2120</v>
      </c>
    </row>
    <row r="795" spans="1:2">
      <c r="A795" s="151" t="s">
        <v>2121</v>
      </c>
      <c r="B795" s="151" t="s">
        <v>2122</v>
      </c>
    </row>
    <row r="796" spans="1:2">
      <c r="A796" s="151" t="s">
        <v>2123</v>
      </c>
      <c r="B796" s="151" t="s">
        <v>2124</v>
      </c>
    </row>
    <row r="797" spans="1:2">
      <c r="A797" s="151" t="s">
        <v>2125</v>
      </c>
      <c r="B797" s="151" t="s">
        <v>2126</v>
      </c>
    </row>
    <row r="798" spans="1:2">
      <c r="A798" s="151" t="s">
        <v>2127</v>
      </c>
      <c r="B798" s="151" t="s">
        <v>2128</v>
      </c>
    </row>
    <row r="799" spans="1:2">
      <c r="A799" s="151" t="s">
        <v>2129</v>
      </c>
      <c r="B799" s="151" t="s">
        <v>2130</v>
      </c>
    </row>
    <row r="800" spans="1:2">
      <c r="A800" s="151" t="s">
        <v>2131</v>
      </c>
      <c r="B800" s="151" t="s">
        <v>2132</v>
      </c>
    </row>
    <row r="801" spans="1:2">
      <c r="A801" s="151" t="s">
        <v>2133</v>
      </c>
      <c r="B801" s="151" t="s">
        <v>2134</v>
      </c>
    </row>
    <row r="802" spans="1:2">
      <c r="A802" s="151" t="s">
        <v>2135</v>
      </c>
      <c r="B802" s="151" t="s">
        <v>2136</v>
      </c>
    </row>
    <row r="803" spans="1:2">
      <c r="A803" s="151" t="s">
        <v>2137</v>
      </c>
      <c r="B803" s="151" t="s">
        <v>2138</v>
      </c>
    </row>
    <row r="804" spans="1:2">
      <c r="A804" s="151" t="s">
        <v>2139</v>
      </c>
      <c r="B804" s="151" t="s">
        <v>2140</v>
      </c>
    </row>
    <row r="805" spans="1:2">
      <c r="A805" s="151" t="s">
        <v>2141</v>
      </c>
      <c r="B805" s="151" t="s">
        <v>2142</v>
      </c>
    </row>
    <row r="806" spans="1:2">
      <c r="A806" s="151" t="s">
        <v>2143</v>
      </c>
      <c r="B806" s="151" t="s">
        <v>2144</v>
      </c>
    </row>
    <row r="807" spans="1:2">
      <c r="A807" s="151" t="s">
        <v>2145</v>
      </c>
      <c r="B807" s="151" t="s">
        <v>2146</v>
      </c>
    </row>
    <row r="808" spans="1:2">
      <c r="A808" s="151" t="s">
        <v>2147</v>
      </c>
      <c r="B808" s="151" t="s">
        <v>2148</v>
      </c>
    </row>
    <row r="809" spans="1:2">
      <c r="A809" s="151" t="s">
        <v>2149</v>
      </c>
      <c r="B809" s="151" t="s">
        <v>2150</v>
      </c>
    </row>
    <row r="810" spans="1:2">
      <c r="A810" s="151" t="s">
        <v>2151</v>
      </c>
      <c r="B810" s="151" t="s">
        <v>2152</v>
      </c>
    </row>
    <row r="811" spans="1:2">
      <c r="A811" s="151" t="s">
        <v>2153</v>
      </c>
      <c r="B811" s="151" t="s">
        <v>2154</v>
      </c>
    </row>
    <row r="812" spans="1:2">
      <c r="A812" s="151" t="s">
        <v>2155</v>
      </c>
      <c r="B812" s="151" t="s">
        <v>2156</v>
      </c>
    </row>
    <row r="813" spans="1:2">
      <c r="A813" s="151" t="s">
        <v>2157</v>
      </c>
      <c r="B813" s="151" t="s">
        <v>2158</v>
      </c>
    </row>
    <row r="814" spans="1:2">
      <c r="A814" s="151" t="s">
        <v>2159</v>
      </c>
      <c r="B814" s="151" t="s">
        <v>2160</v>
      </c>
    </row>
    <row r="815" spans="1:2">
      <c r="A815" s="151" t="s">
        <v>2161</v>
      </c>
      <c r="B815" s="151" t="s">
        <v>2162</v>
      </c>
    </row>
    <row r="816" spans="1:2">
      <c r="A816" s="151" t="s">
        <v>2163</v>
      </c>
      <c r="B816" s="151" t="s">
        <v>2164</v>
      </c>
    </row>
    <row r="817" spans="1:2">
      <c r="A817" s="151" t="s">
        <v>2165</v>
      </c>
      <c r="B817" s="151" t="s">
        <v>2166</v>
      </c>
    </row>
    <row r="818" spans="1:2">
      <c r="A818" s="151" t="s">
        <v>2167</v>
      </c>
      <c r="B818" s="151" t="s">
        <v>2168</v>
      </c>
    </row>
    <row r="819" spans="1:2">
      <c r="A819" s="151" t="s">
        <v>2169</v>
      </c>
      <c r="B819" s="151" t="s">
        <v>2170</v>
      </c>
    </row>
    <row r="820" spans="1:2">
      <c r="A820" s="151" t="s">
        <v>2171</v>
      </c>
      <c r="B820" s="151" t="s">
        <v>2172</v>
      </c>
    </row>
    <row r="821" spans="1:2">
      <c r="A821" s="151" t="s">
        <v>2173</v>
      </c>
      <c r="B821" s="151" t="s">
        <v>2174</v>
      </c>
    </row>
    <row r="822" spans="1:2">
      <c r="A822" s="151" t="s">
        <v>2175</v>
      </c>
      <c r="B822" s="151" t="s">
        <v>2176</v>
      </c>
    </row>
    <row r="823" spans="1:2">
      <c r="A823" s="151" t="s">
        <v>2177</v>
      </c>
      <c r="B823" s="151" t="s">
        <v>2178</v>
      </c>
    </row>
    <row r="824" spans="1:2">
      <c r="A824" s="151" t="s">
        <v>2179</v>
      </c>
      <c r="B824" s="151" t="s">
        <v>2180</v>
      </c>
    </row>
    <row r="825" spans="1:2">
      <c r="A825" s="151" t="s">
        <v>2181</v>
      </c>
      <c r="B825" s="151" t="s">
        <v>2182</v>
      </c>
    </row>
    <row r="826" spans="1:2">
      <c r="A826" s="151" t="s">
        <v>2183</v>
      </c>
      <c r="B826" s="151" t="s">
        <v>2184</v>
      </c>
    </row>
    <row r="827" spans="1:2">
      <c r="A827" s="151" t="s">
        <v>2185</v>
      </c>
      <c r="B827" s="151" t="s">
        <v>2186</v>
      </c>
    </row>
    <row r="828" spans="1:2">
      <c r="A828" s="151" t="s">
        <v>2187</v>
      </c>
      <c r="B828" s="151" t="s">
        <v>2188</v>
      </c>
    </row>
    <row r="829" spans="1:2">
      <c r="A829" s="151" t="s">
        <v>2189</v>
      </c>
      <c r="B829" s="151" t="s">
        <v>2190</v>
      </c>
    </row>
    <row r="830" spans="1:2">
      <c r="A830" s="151" t="s">
        <v>2191</v>
      </c>
      <c r="B830" s="151" t="s">
        <v>2192</v>
      </c>
    </row>
    <row r="831" spans="1:2">
      <c r="A831" s="151" t="s">
        <v>2193</v>
      </c>
      <c r="B831" s="151" t="s">
        <v>2194</v>
      </c>
    </row>
    <row r="832" spans="1:2">
      <c r="A832" s="151" t="s">
        <v>2195</v>
      </c>
      <c r="B832" s="151" t="s">
        <v>2196</v>
      </c>
    </row>
    <row r="833" spans="1:2">
      <c r="A833" s="151" t="s">
        <v>2197</v>
      </c>
      <c r="B833" s="151" t="s">
        <v>2198</v>
      </c>
    </row>
    <row r="834" spans="1:2">
      <c r="A834" s="151" t="s">
        <v>2199</v>
      </c>
      <c r="B834" s="151" t="s">
        <v>2200</v>
      </c>
    </row>
    <row r="835" spans="1:2">
      <c r="A835" s="151" t="s">
        <v>2201</v>
      </c>
      <c r="B835" s="151" t="s">
        <v>2202</v>
      </c>
    </row>
    <row r="836" spans="1:2">
      <c r="A836" s="151" t="s">
        <v>2203</v>
      </c>
      <c r="B836" s="151" t="s">
        <v>2204</v>
      </c>
    </row>
    <row r="837" spans="1:2">
      <c r="A837" s="151" t="s">
        <v>2205</v>
      </c>
      <c r="B837" s="151" t="s">
        <v>2206</v>
      </c>
    </row>
    <row r="838" spans="1:2">
      <c r="A838" s="151" t="s">
        <v>2207</v>
      </c>
      <c r="B838" s="151" t="s">
        <v>2208</v>
      </c>
    </row>
    <row r="839" spans="1:2">
      <c r="A839" s="151" t="s">
        <v>2209</v>
      </c>
      <c r="B839" s="151" t="s">
        <v>2210</v>
      </c>
    </row>
    <row r="840" spans="1:2">
      <c r="A840" s="151" t="s">
        <v>2211</v>
      </c>
      <c r="B840" s="151" t="s">
        <v>2212</v>
      </c>
    </row>
    <row r="841" spans="1:2">
      <c r="A841" s="151" t="s">
        <v>2213</v>
      </c>
      <c r="B841" s="151" t="s">
        <v>2214</v>
      </c>
    </row>
    <row r="842" spans="1:2">
      <c r="A842" s="151" t="s">
        <v>2215</v>
      </c>
      <c r="B842" s="151" t="s">
        <v>2216</v>
      </c>
    </row>
    <row r="843" spans="1:2">
      <c r="A843" s="151" t="s">
        <v>156</v>
      </c>
      <c r="B843" s="151" t="s">
        <v>2217</v>
      </c>
    </row>
    <row r="844" spans="1:2">
      <c r="A844" s="151" t="s">
        <v>2218</v>
      </c>
      <c r="B844" s="151" t="s">
        <v>2219</v>
      </c>
    </row>
    <row r="845" spans="1:2">
      <c r="A845" s="151" t="s">
        <v>2220</v>
      </c>
      <c r="B845" s="151" t="s">
        <v>2221</v>
      </c>
    </row>
    <row r="846" spans="1:2">
      <c r="A846" s="151" t="s">
        <v>2222</v>
      </c>
      <c r="B846" s="151" t="s">
        <v>2223</v>
      </c>
    </row>
    <row r="847" spans="1:2">
      <c r="A847" s="151" t="s">
        <v>2224</v>
      </c>
      <c r="B847" s="151" t="s">
        <v>2225</v>
      </c>
    </row>
    <row r="848" spans="1:2">
      <c r="A848" s="151" t="s">
        <v>2226</v>
      </c>
      <c r="B848" s="151" t="s">
        <v>2227</v>
      </c>
    </row>
    <row r="849" spans="1:2">
      <c r="A849" s="151" t="s">
        <v>2228</v>
      </c>
      <c r="B849" s="151" t="s">
        <v>2229</v>
      </c>
    </row>
    <row r="850" spans="1:2">
      <c r="A850" s="151" t="s">
        <v>2230</v>
      </c>
      <c r="B850" s="151" t="s">
        <v>2231</v>
      </c>
    </row>
    <row r="851" spans="1:2">
      <c r="A851" s="151" t="s">
        <v>2232</v>
      </c>
      <c r="B851" s="151" t="s">
        <v>2233</v>
      </c>
    </row>
    <row r="852" spans="1:2">
      <c r="A852" s="151" t="s">
        <v>2234</v>
      </c>
      <c r="B852" s="151" t="s">
        <v>2235</v>
      </c>
    </row>
    <row r="853" spans="1:2">
      <c r="A853" s="151" t="s">
        <v>2236</v>
      </c>
      <c r="B853" s="151" t="s">
        <v>2237</v>
      </c>
    </row>
    <row r="854" spans="1:2">
      <c r="A854" s="151" t="s">
        <v>2238</v>
      </c>
      <c r="B854" s="151" t="s">
        <v>2239</v>
      </c>
    </row>
    <row r="855" spans="1:2">
      <c r="A855" s="151" t="s">
        <v>2240</v>
      </c>
      <c r="B855" s="151" t="s">
        <v>2241</v>
      </c>
    </row>
    <row r="856" spans="1:2">
      <c r="A856" s="151" t="s">
        <v>2242</v>
      </c>
      <c r="B856" s="151" t="s">
        <v>2243</v>
      </c>
    </row>
    <row r="857" spans="1:2">
      <c r="A857" s="151" t="s">
        <v>2244</v>
      </c>
      <c r="B857" s="151" t="s">
        <v>2245</v>
      </c>
    </row>
    <row r="858" spans="1:2">
      <c r="A858" s="151" t="s">
        <v>2246</v>
      </c>
      <c r="B858" s="151" t="s">
        <v>2247</v>
      </c>
    </row>
    <row r="859" spans="1:2">
      <c r="A859" s="151" t="s">
        <v>2248</v>
      </c>
      <c r="B859" s="151" t="s">
        <v>2249</v>
      </c>
    </row>
    <row r="860" spans="1:2">
      <c r="A860" s="151" t="s">
        <v>2250</v>
      </c>
      <c r="B860" s="151" t="s">
        <v>2251</v>
      </c>
    </row>
    <row r="861" spans="1:2">
      <c r="A861" s="151" t="s">
        <v>2252</v>
      </c>
      <c r="B861" s="151" t="s">
        <v>2253</v>
      </c>
    </row>
    <row r="862" spans="1:2">
      <c r="A862" s="151" t="s">
        <v>2254</v>
      </c>
      <c r="B862" s="151" t="s">
        <v>2255</v>
      </c>
    </row>
    <row r="863" spans="1:2">
      <c r="A863" s="151" t="s">
        <v>2256</v>
      </c>
      <c r="B863" s="151" t="s">
        <v>2257</v>
      </c>
    </row>
    <row r="864" spans="1:2">
      <c r="A864" s="151" t="s">
        <v>2258</v>
      </c>
      <c r="B864" s="151" t="s">
        <v>2259</v>
      </c>
    </row>
    <row r="865" spans="1:2">
      <c r="A865" s="151" t="s">
        <v>2260</v>
      </c>
      <c r="B865" s="151" t="s">
        <v>2261</v>
      </c>
    </row>
    <row r="866" spans="1:2">
      <c r="A866" s="151" t="s">
        <v>2262</v>
      </c>
      <c r="B866" s="151" t="s">
        <v>2263</v>
      </c>
    </row>
    <row r="867" spans="1:2">
      <c r="A867" s="151" t="s">
        <v>2264</v>
      </c>
      <c r="B867" s="151" t="s">
        <v>2265</v>
      </c>
    </row>
    <row r="868" spans="1:2">
      <c r="A868" s="151" t="s">
        <v>2266</v>
      </c>
      <c r="B868" s="151" t="s">
        <v>2267</v>
      </c>
    </row>
    <row r="869" spans="1:2">
      <c r="A869" s="151" t="s">
        <v>2268</v>
      </c>
      <c r="B869" s="151" t="s">
        <v>2269</v>
      </c>
    </row>
    <row r="870" spans="1:2">
      <c r="A870" s="151" t="s">
        <v>2270</v>
      </c>
      <c r="B870" s="151" t="s">
        <v>2271</v>
      </c>
    </row>
    <row r="871" spans="1:2">
      <c r="A871" s="151" t="s">
        <v>2272</v>
      </c>
      <c r="B871" s="151" t="s">
        <v>2273</v>
      </c>
    </row>
    <row r="872" spans="1:2">
      <c r="A872" s="151" t="s">
        <v>2274</v>
      </c>
      <c r="B872" s="151" t="s">
        <v>365</v>
      </c>
    </row>
    <row r="873" spans="1:2">
      <c r="A873" s="151" t="s">
        <v>2275</v>
      </c>
      <c r="B873" s="151" t="s">
        <v>2276</v>
      </c>
    </row>
    <row r="874" spans="1:2">
      <c r="A874" s="151" t="s">
        <v>2277</v>
      </c>
      <c r="B874" s="151" t="s">
        <v>2278</v>
      </c>
    </row>
    <row r="875" spans="1:2">
      <c r="A875" s="151" t="s">
        <v>2279</v>
      </c>
      <c r="B875" s="151" t="s">
        <v>2280</v>
      </c>
    </row>
    <row r="876" spans="1:2">
      <c r="A876" s="151" t="s">
        <v>2281</v>
      </c>
      <c r="B876" s="151" t="s">
        <v>2282</v>
      </c>
    </row>
    <row r="877" spans="1:2">
      <c r="A877" s="151" t="s">
        <v>2283</v>
      </c>
      <c r="B877" s="151" t="s">
        <v>2284</v>
      </c>
    </row>
    <row r="878" spans="1:2">
      <c r="A878" s="151" t="s">
        <v>2285</v>
      </c>
      <c r="B878" s="151" t="s">
        <v>2286</v>
      </c>
    </row>
    <row r="879" spans="1:2">
      <c r="A879" s="151" t="s">
        <v>2287</v>
      </c>
      <c r="B879" s="151" t="s">
        <v>2288</v>
      </c>
    </row>
    <row r="880" spans="1:2">
      <c r="A880" s="151" t="s">
        <v>2289</v>
      </c>
      <c r="B880" s="151" t="s">
        <v>2290</v>
      </c>
    </row>
    <row r="881" spans="1:2">
      <c r="A881" s="151" t="s">
        <v>2291</v>
      </c>
      <c r="B881" s="151" t="s">
        <v>2292</v>
      </c>
    </row>
    <row r="882" spans="1:2">
      <c r="A882" s="151" t="s">
        <v>2293</v>
      </c>
      <c r="B882" s="151" t="s">
        <v>2294</v>
      </c>
    </row>
    <row r="883" spans="1:2">
      <c r="A883" s="151" t="s">
        <v>2295</v>
      </c>
      <c r="B883" s="151" t="s">
        <v>2296</v>
      </c>
    </row>
    <row r="884" spans="1:2">
      <c r="A884" s="151" t="s">
        <v>2297</v>
      </c>
      <c r="B884" s="151" t="s">
        <v>2298</v>
      </c>
    </row>
    <row r="885" spans="1:2">
      <c r="A885" s="151" t="s">
        <v>2299</v>
      </c>
      <c r="B885" s="151" t="s">
        <v>2300</v>
      </c>
    </row>
    <row r="886" spans="1:2">
      <c r="A886" s="151" t="s">
        <v>2301</v>
      </c>
      <c r="B886" s="151" t="s">
        <v>2302</v>
      </c>
    </row>
    <row r="887" spans="1:2">
      <c r="A887" s="151" t="s">
        <v>2303</v>
      </c>
      <c r="B887" s="151" t="s">
        <v>2304</v>
      </c>
    </row>
    <row r="888" spans="1:2">
      <c r="A888" s="151" t="s">
        <v>2305</v>
      </c>
      <c r="B888" s="151" t="s">
        <v>2306</v>
      </c>
    </row>
    <row r="889" spans="1:2">
      <c r="A889" s="151" t="s">
        <v>2307</v>
      </c>
      <c r="B889" s="151" t="s">
        <v>2308</v>
      </c>
    </row>
    <row r="890" spans="1:2">
      <c r="A890" s="151" t="s">
        <v>2309</v>
      </c>
      <c r="B890" s="151" t="s">
        <v>2310</v>
      </c>
    </row>
    <row r="891" spans="1:2">
      <c r="A891" s="151" t="s">
        <v>2311</v>
      </c>
      <c r="B891" s="151" t="s">
        <v>2312</v>
      </c>
    </row>
    <row r="892" spans="1:2">
      <c r="A892" s="151" t="s">
        <v>2313</v>
      </c>
      <c r="B892" s="151" t="s">
        <v>2314</v>
      </c>
    </row>
    <row r="893" spans="1:2">
      <c r="A893" s="151" t="s">
        <v>2315</v>
      </c>
      <c r="B893" s="151" t="s">
        <v>2316</v>
      </c>
    </row>
    <row r="894" spans="1:2">
      <c r="A894" s="151" t="s">
        <v>2317</v>
      </c>
      <c r="B894" s="151" t="s">
        <v>2318</v>
      </c>
    </row>
    <row r="895" spans="1:2">
      <c r="A895" s="151" t="s">
        <v>2319</v>
      </c>
      <c r="B895" s="151" t="s">
        <v>2320</v>
      </c>
    </row>
    <row r="896" spans="1:2">
      <c r="A896" s="151" t="s">
        <v>2321</v>
      </c>
      <c r="B896" s="151" t="s">
        <v>2322</v>
      </c>
    </row>
    <row r="897" spans="1:2">
      <c r="A897" s="151" t="s">
        <v>2323</v>
      </c>
      <c r="B897" s="151" t="s">
        <v>2324</v>
      </c>
    </row>
    <row r="898" spans="1:2">
      <c r="A898" s="151" t="s">
        <v>2325</v>
      </c>
      <c r="B898" s="151" t="s">
        <v>2326</v>
      </c>
    </row>
    <row r="899" spans="1:2">
      <c r="A899" s="151" t="s">
        <v>2327</v>
      </c>
      <c r="B899" s="151" t="s">
        <v>2328</v>
      </c>
    </row>
    <row r="900" spans="1:2">
      <c r="A900" s="151" t="s">
        <v>2329</v>
      </c>
      <c r="B900" s="151" t="s">
        <v>2330</v>
      </c>
    </row>
    <row r="901" spans="1:2">
      <c r="A901" s="151" t="s">
        <v>2331</v>
      </c>
      <c r="B901" s="151" t="s">
        <v>2332</v>
      </c>
    </row>
    <row r="902" spans="1:2">
      <c r="A902" s="151" t="s">
        <v>2333</v>
      </c>
      <c r="B902" s="151" t="s">
        <v>2334</v>
      </c>
    </row>
    <row r="903" spans="1:2">
      <c r="A903" s="151" t="s">
        <v>2335</v>
      </c>
      <c r="B903" s="151" t="s">
        <v>2336</v>
      </c>
    </row>
    <row r="904" spans="1:2">
      <c r="A904" s="151" t="s">
        <v>2337</v>
      </c>
      <c r="B904" s="151" t="s">
        <v>2338</v>
      </c>
    </row>
    <row r="905" spans="1:2">
      <c r="A905" s="151" t="s">
        <v>2339</v>
      </c>
      <c r="B905" s="151" t="s">
        <v>2340</v>
      </c>
    </row>
    <row r="906" spans="1:2">
      <c r="A906" s="151" t="s">
        <v>2341</v>
      </c>
      <c r="B906" s="151" t="s">
        <v>2342</v>
      </c>
    </row>
    <row r="907" spans="1:2">
      <c r="A907" s="151" t="s">
        <v>2343</v>
      </c>
      <c r="B907" s="151" t="s">
        <v>2344</v>
      </c>
    </row>
    <row r="908" spans="1:2">
      <c r="A908" s="151" t="s">
        <v>2345</v>
      </c>
      <c r="B908" s="151" t="s">
        <v>2346</v>
      </c>
    </row>
    <row r="909" spans="1:2">
      <c r="A909" s="151" t="s">
        <v>2347</v>
      </c>
      <c r="B909" s="151" t="s">
        <v>2348</v>
      </c>
    </row>
    <row r="910" spans="1:2">
      <c r="A910" s="151" t="s">
        <v>2349</v>
      </c>
      <c r="B910" s="151" t="s">
        <v>2350</v>
      </c>
    </row>
    <row r="911" spans="1:2">
      <c r="A911" s="151" t="s">
        <v>2351</v>
      </c>
      <c r="B911" s="151" t="s">
        <v>2352</v>
      </c>
    </row>
    <row r="912" spans="1:2">
      <c r="A912" s="151" t="s">
        <v>2353</v>
      </c>
      <c r="B912" s="151" t="s">
        <v>2354</v>
      </c>
    </row>
    <row r="913" spans="1:2">
      <c r="A913" s="151" t="s">
        <v>2355</v>
      </c>
      <c r="B913" s="151" t="s">
        <v>2356</v>
      </c>
    </row>
    <row r="914" spans="1:2">
      <c r="A914" s="151" t="s">
        <v>2357</v>
      </c>
      <c r="B914" s="151" t="s">
        <v>2358</v>
      </c>
    </row>
    <row r="915" spans="1:2">
      <c r="A915" s="151" t="s">
        <v>2359</v>
      </c>
      <c r="B915" s="151" t="s">
        <v>2360</v>
      </c>
    </row>
    <row r="916" spans="1:2">
      <c r="A916" s="151" t="s">
        <v>2361</v>
      </c>
      <c r="B916" s="151" t="s">
        <v>2362</v>
      </c>
    </row>
    <row r="917" spans="1:2">
      <c r="A917" s="151" t="s">
        <v>2363</v>
      </c>
      <c r="B917" s="151" t="s">
        <v>2364</v>
      </c>
    </row>
    <row r="918" spans="1:2">
      <c r="A918" s="151" t="s">
        <v>2365</v>
      </c>
      <c r="B918" s="151" t="s">
        <v>2366</v>
      </c>
    </row>
    <row r="919" spans="1:2">
      <c r="A919" s="151" t="s">
        <v>2367</v>
      </c>
      <c r="B919" s="151" t="s">
        <v>2368</v>
      </c>
    </row>
    <row r="920" spans="1:2">
      <c r="A920" s="151" t="s">
        <v>2369</v>
      </c>
      <c r="B920" s="151" t="s">
        <v>2370</v>
      </c>
    </row>
    <row r="921" spans="1:2">
      <c r="A921" s="151" t="s">
        <v>2371</v>
      </c>
      <c r="B921" s="151" t="s">
        <v>2372</v>
      </c>
    </row>
    <row r="922" spans="1:2">
      <c r="A922" s="151" t="s">
        <v>2373</v>
      </c>
      <c r="B922" s="151" t="s">
        <v>2374</v>
      </c>
    </row>
    <row r="923" spans="1:2">
      <c r="A923" s="151" t="s">
        <v>2375</v>
      </c>
      <c r="B923" s="151" t="s">
        <v>2376</v>
      </c>
    </row>
    <row r="924" spans="1:2">
      <c r="A924" s="151" t="s">
        <v>2377</v>
      </c>
      <c r="B924" s="151" t="s">
        <v>2378</v>
      </c>
    </row>
    <row r="925" spans="1:2">
      <c r="A925" s="151" t="s">
        <v>2379</v>
      </c>
      <c r="B925" s="151" t="s">
        <v>2380</v>
      </c>
    </row>
    <row r="926" spans="1:2">
      <c r="A926" s="151" t="s">
        <v>2381</v>
      </c>
      <c r="B926" s="151" t="s">
        <v>2382</v>
      </c>
    </row>
    <row r="927" spans="1:2">
      <c r="A927" s="151" t="s">
        <v>2383</v>
      </c>
      <c r="B927" s="151" t="s">
        <v>2384</v>
      </c>
    </row>
    <row r="928" spans="1:2">
      <c r="A928" s="151" t="s">
        <v>2385</v>
      </c>
      <c r="B928" s="151" t="s">
        <v>2386</v>
      </c>
    </row>
    <row r="929" spans="1:2">
      <c r="A929" s="151" t="s">
        <v>2387</v>
      </c>
      <c r="B929" s="151" t="s">
        <v>2388</v>
      </c>
    </row>
    <row r="930" spans="1:2">
      <c r="A930" s="151" t="s">
        <v>2389</v>
      </c>
      <c r="B930" s="151" t="s">
        <v>2390</v>
      </c>
    </row>
    <row r="931" spans="1:2">
      <c r="A931" s="151" t="s">
        <v>2391</v>
      </c>
      <c r="B931" s="151" t="s">
        <v>2392</v>
      </c>
    </row>
    <row r="932" spans="1:2">
      <c r="A932" s="151" t="s">
        <v>2393</v>
      </c>
      <c r="B932" s="151" t="s">
        <v>2394</v>
      </c>
    </row>
    <row r="933" spans="1:2">
      <c r="A933" s="151" t="s">
        <v>2395</v>
      </c>
      <c r="B933" s="151" t="s">
        <v>2396</v>
      </c>
    </row>
    <row r="934" spans="1:2">
      <c r="A934" s="151" t="s">
        <v>2397</v>
      </c>
      <c r="B934" s="151" t="s">
        <v>2398</v>
      </c>
    </row>
    <row r="935" spans="1:2">
      <c r="A935" s="151" t="s">
        <v>2399</v>
      </c>
      <c r="B935" s="151" t="s">
        <v>2400</v>
      </c>
    </row>
    <row r="936" spans="1:2">
      <c r="A936" s="151" t="s">
        <v>2401</v>
      </c>
      <c r="B936" s="151" t="s">
        <v>2402</v>
      </c>
    </row>
    <row r="937" spans="1:2">
      <c r="A937" s="151" t="s">
        <v>2403</v>
      </c>
      <c r="B937" s="151" t="s">
        <v>2404</v>
      </c>
    </row>
    <row r="938" spans="1:2">
      <c r="A938" s="151" t="s">
        <v>2405</v>
      </c>
      <c r="B938" s="151" t="s">
        <v>2406</v>
      </c>
    </row>
    <row r="939" spans="1:2">
      <c r="A939" s="151" t="s">
        <v>2407</v>
      </c>
      <c r="B939" s="151" t="s">
        <v>2408</v>
      </c>
    </row>
    <row r="940" spans="1:2">
      <c r="A940" s="151" t="s">
        <v>2409</v>
      </c>
      <c r="B940" s="151" t="s">
        <v>2410</v>
      </c>
    </row>
    <row r="941" spans="1:2">
      <c r="A941" s="151" t="s">
        <v>2411</v>
      </c>
      <c r="B941" s="151" t="s">
        <v>2412</v>
      </c>
    </row>
    <row r="942" spans="1:2">
      <c r="A942" s="151" t="s">
        <v>2413</v>
      </c>
      <c r="B942" s="151" t="s">
        <v>2414</v>
      </c>
    </row>
    <row r="943" spans="1:2">
      <c r="A943" s="151" t="s">
        <v>2415</v>
      </c>
      <c r="B943" s="151" t="s">
        <v>2416</v>
      </c>
    </row>
    <row r="944" spans="1:2">
      <c r="A944" s="151" t="s">
        <v>2417</v>
      </c>
      <c r="B944" s="151" t="s">
        <v>2418</v>
      </c>
    </row>
    <row r="945" spans="1:2">
      <c r="A945" s="151" t="s">
        <v>2419</v>
      </c>
      <c r="B945" s="151" t="s">
        <v>2420</v>
      </c>
    </row>
    <row r="946" spans="1:2">
      <c r="A946" s="151" t="s">
        <v>2421</v>
      </c>
      <c r="B946" s="151" t="s">
        <v>2422</v>
      </c>
    </row>
    <row r="947" spans="1:2">
      <c r="A947" s="151" t="s">
        <v>2423</v>
      </c>
      <c r="B947" s="151" t="s">
        <v>2424</v>
      </c>
    </row>
    <row r="948" spans="1:2">
      <c r="A948" s="151" t="s">
        <v>2425</v>
      </c>
      <c r="B948" s="151" t="s">
        <v>2426</v>
      </c>
    </row>
    <row r="949" spans="1:2">
      <c r="A949" s="151" t="s">
        <v>2427</v>
      </c>
      <c r="B949" s="151" t="s">
        <v>2428</v>
      </c>
    </row>
    <row r="950" spans="1:2">
      <c r="A950" s="151" t="s">
        <v>2429</v>
      </c>
      <c r="B950" s="151" t="s">
        <v>2430</v>
      </c>
    </row>
    <row r="951" spans="1:2">
      <c r="A951" s="151" t="s">
        <v>2431</v>
      </c>
      <c r="B951" s="151" t="s">
        <v>2432</v>
      </c>
    </row>
    <row r="952" spans="1:2">
      <c r="A952" s="151" t="s">
        <v>2433</v>
      </c>
      <c r="B952" s="151" t="s">
        <v>2434</v>
      </c>
    </row>
    <row r="953" spans="1:2">
      <c r="A953" s="151" t="s">
        <v>2435</v>
      </c>
      <c r="B953" s="151" t="s">
        <v>2436</v>
      </c>
    </row>
    <row r="954" spans="1:2">
      <c r="A954" s="151" t="s">
        <v>2437</v>
      </c>
      <c r="B954" s="151" t="s">
        <v>2438</v>
      </c>
    </row>
    <row r="955" spans="1:2">
      <c r="A955" s="151" t="s">
        <v>2439</v>
      </c>
      <c r="B955" s="151" t="s">
        <v>2440</v>
      </c>
    </row>
    <row r="956" spans="1:2">
      <c r="A956" s="151" t="s">
        <v>2441</v>
      </c>
      <c r="B956" s="151" t="s">
        <v>2442</v>
      </c>
    </row>
    <row r="957" spans="1:2">
      <c r="A957" s="151" t="s">
        <v>2443</v>
      </c>
      <c r="B957" s="151" t="s">
        <v>2444</v>
      </c>
    </row>
    <row r="958" spans="1:2">
      <c r="A958" s="151" t="s">
        <v>2445</v>
      </c>
      <c r="B958" s="151" t="s">
        <v>2446</v>
      </c>
    </row>
    <row r="959" spans="1:2">
      <c r="A959" s="151" t="s">
        <v>2447</v>
      </c>
      <c r="B959" s="151" t="s">
        <v>2448</v>
      </c>
    </row>
    <row r="960" spans="1:2">
      <c r="A960" s="151" t="s">
        <v>2449</v>
      </c>
      <c r="B960" s="151" t="s">
        <v>2450</v>
      </c>
    </row>
    <row r="961" spans="1:2">
      <c r="A961" s="151" t="s">
        <v>2451</v>
      </c>
      <c r="B961" s="151" t="s">
        <v>2452</v>
      </c>
    </row>
    <row r="962" spans="1:2">
      <c r="A962" s="151" t="s">
        <v>2453</v>
      </c>
      <c r="B962" s="151" t="s">
        <v>2454</v>
      </c>
    </row>
    <row r="963" spans="1:2">
      <c r="A963" s="151" t="s">
        <v>2455</v>
      </c>
      <c r="B963" s="151" t="s">
        <v>2456</v>
      </c>
    </row>
    <row r="964" spans="1:2">
      <c r="A964" s="151" t="s">
        <v>2457</v>
      </c>
      <c r="B964" s="151" t="s">
        <v>2458</v>
      </c>
    </row>
    <row r="965" spans="1:2">
      <c r="A965" s="151" t="s">
        <v>2459</v>
      </c>
      <c r="B965" s="151" t="s">
        <v>2460</v>
      </c>
    </row>
    <row r="966" spans="1:2">
      <c r="A966" s="151" t="s">
        <v>2461</v>
      </c>
      <c r="B966" s="151" t="s">
        <v>294</v>
      </c>
    </row>
    <row r="967" spans="1:2">
      <c r="A967" s="151" t="s">
        <v>2462</v>
      </c>
      <c r="B967" s="151" t="s">
        <v>2463</v>
      </c>
    </row>
    <row r="968" spans="1:2">
      <c r="A968" s="151" t="s">
        <v>2464</v>
      </c>
      <c r="B968" s="151" t="s">
        <v>2465</v>
      </c>
    </row>
    <row r="969" spans="1:2">
      <c r="A969" s="151" t="s">
        <v>2466</v>
      </c>
      <c r="B969" s="151" t="s">
        <v>2467</v>
      </c>
    </row>
    <row r="970" spans="1:2">
      <c r="A970" s="151" t="s">
        <v>2468</v>
      </c>
      <c r="B970" s="151" t="s">
        <v>2469</v>
      </c>
    </row>
    <row r="971" spans="1:2">
      <c r="A971" s="151" t="s">
        <v>2470</v>
      </c>
      <c r="B971" s="151" t="s">
        <v>2471</v>
      </c>
    </row>
    <row r="972" spans="1:2">
      <c r="A972" s="151" t="s">
        <v>2472</v>
      </c>
      <c r="B972" s="151" t="s">
        <v>2473</v>
      </c>
    </row>
    <row r="973" spans="1:2">
      <c r="A973" s="151" t="s">
        <v>2474</v>
      </c>
      <c r="B973" s="151" t="s">
        <v>2475</v>
      </c>
    </row>
    <row r="974" spans="1:2">
      <c r="A974" s="151" t="s">
        <v>2476</v>
      </c>
      <c r="B974" s="151" t="s">
        <v>2477</v>
      </c>
    </row>
    <row r="975" spans="1:2">
      <c r="A975" s="151" t="s">
        <v>2478</v>
      </c>
      <c r="B975" s="151" t="s">
        <v>2479</v>
      </c>
    </row>
    <row r="976" spans="1:2">
      <c r="A976" s="151" t="s">
        <v>2480</v>
      </c>
      <c r="B976" s="151" t="s">
        <v>2481</v>
      </c>
    </row>
    <row r="977" spans="1:2">
      <c r="A977" s="151" t="s">
        <v>2482</v>
      </c>
      <c r="B977" s="151" t="s">
        <v>2483</v>
      </c>
    </row>
    <row r="978" spans="1:2">
      <c r="A978" s="151" t="s">
        <v>2484</v>
      </c>
      <c r="B978" s="151" t="s">
        <v>2485</v>
      </c>
    </row>
    <row r="979" spans="1:2">
      <c r="A979" s="151" t="s">
        <v>2486</v>
      </c>
      <c r="B979" s="151" t="s">
        <v>2487</v>
      </c>
    </row>
    <row r="980" spans="1:2">
      <c r="A980" s="151" t="s">
        <v>2488</v>
      </c>
      <c r="B980" s="151" t="s">
        <v>2489</v>
      </c>
    </row>
    <row r="981" spans="1:2">
      <c r="A981" s="151" t="s">
        <v>2490</v>
      </c>
      <c r="B981" s="151" t="s">
        <v>2491</v>
      </c>
    </row>
    <row r="982" spans="1:2">
      <c r="A982" s="151" t="s">
        <v>2492</v>
      </c>
      <c r="B982" s="151" t="s">
        <v>2493</v>
      </c>
    </row>
    <row r="983" spans="1:2">
      <c r="A983" s="151" t="s">
        <v>2494</v>
      </c>
      <c r="B983" s="151" t="s">
        <v>2495</v>
      </c>
    </row>
    <row r="984" spans="1:2">
      <c r="A984" s="151" t="s">
        <v>2496</v>
      </c>
      <c r="B984" s="151" t="s">
        <v>2497</v>
      </c>
    </row>
    <row r="985" spans="1:2">
      <c r="A985" s="151" t="s">
        <v>2498</v>
      </c>
      <c r="B985" s="151" t="s">
        <v>2499</v>
      </c>
    </row>
    <row r="986" spans="1:2">
      <c r="A986" s="151" t="s">
        <v>2500</v>
      </c>
      <c r="B986" s="151" t="s">
        <v>2501</v>
      </c>
    </row>
    <row r="987" spans="1:2">
      <c r="A987" s="151" t="s">
        <v>2502</v>
      </c>
      <c r="B987" s="151" t="s">
        <v>2503</v>
      </c>
    </row>
    <row r="988" spans="1:2">
      <c r="A988" s="151" t="s">
        <v>2504</v>
      </c>
      <c r="B988" s="151" t="s">
        <v>2505</v>
      </c>
    </row>
    <row r="989" spans="1:2">
      <c r="A989" s="151" t="s">
        <v>2506</v>
      </c>
      <c r="B989" s="151" t="s">
        <v>2507</v>
      </c>
    </row>
    <row r="990" spans="1:2">
      <c r="A990" s="151" t="s">
        <v>2508</v>
      </c>
      <c r="B990" s="151" t="s">
        <v>2509</v>
      </c>
    </row>
    <row r="991" spans="1:2">
      <c r="A991" s="151" t="s">
        <v>2510</v>
      </c>
      <c r="B991" s="151" t="s">
        <v>299</v>
      </c>
    </row>
    <row r="992" spans="1:2">
      <c r="A992" s="151" t="s">
        <v>2511</v>
      </c>
      <c r="B992" s="151" t="s">
        <v>2512</v>
      </c>
    </row>
    <row r="993" spans="1:2">
      <c r="A993" s="151" t="s">
        <v>2513</v>
      </c>
      <c r="B993" s="151" t="s">
        <v>2514</v>
      </c>
    </row>
    <row r="994" spans="1:2">
      <c r="A994" s="151" t="s">
        <v>2515</v>
      </c>
      <c r="B994" s="151" t="s">
        <v>2516</v>
      </c>
    </row>
    <row r="995" spans="1:2">
      <c r="A995" s="151" t="s">
        <v>2517</v>
      </c>
      <c r="B995" s="151" t="s">
        <v>2518</v>
      </c>
    </row>
    <row r="996" spans="1:2">
      <c r="A996" s="151" t="s">
        <v>2519</v>
      </c>
      <c r="B996" s="151" t="s">
        <v>2520</v>
      </c>
    </row>
    <row r="997" spans="1:2">
      <c r="A997" s="151" t="s">
        <v>2521</v>
      </c>
      <c r="B997" s="151" t="s">
        <v>2522</v>
      </c>
    </row>
    <row r="998" spans="1:2">
      <c r="A998" s="151" t="s">
        <v>2523</v>
      </c>
      <c r="B998" s="151" t="s">
        <v>2524</v>
      </c>
    </row>
    <row r="999" spans="1:2">
      <c r="A999" s="151" t="s">
        <v>2525</v>
      </c>
      <c r="B999" s="151" t="s">
        <v>2526</v>
      </c>
    </row>
    <row r="1000" spans="1:2">
      <c r="A1000" s="151" t="s">
        <v>2527</v>
      </c>
      <c r="B1000" s="151" t="s">
        <v>2528</v>
      </c>
    </row>
    <row r="1001" spans="1:2">
      <c r="A1001" s="151" t="s">
        <v>2529</v>
      </c>
      <c r="B1001" s="151" t="s">
        <v>2530</v>
      </c>
    </row>
    <row r="1002" spans="1:2">
      <c r="A1002" s="151" t="s">
        <v>2531</v>
      </c>
      <c r="B1002" s="151" t="s">
        <v>2532</v>
      </c>
    </row>
    <row r="1003" spans="1:2">
      <c r="A1003" s="151" t="s">
        <v>2533</v>
      </c>
      <c r="B1003" s="151" t="s">
        <v>2534</v>
      </c>
    </row>
    <row r="1004" spans="1:2">
      <c r="A1004" s="151" t="s">
        <v>2535</v>
      </c>
      <c r="B1004" s="151" t="s">
        <v>2536</v>
      </c>
    </row>
    <row r="1005" spans="1:2">
      <c r="A1005" s="151" t="s">
        <v>2537</v>
      </c>
      <c r="B1005" s="151" t="s">
        <v>2538</v>
      </c>
    </row>
    <row r="1006" spans="1:2">
      <c r="A1006" s="151" t="s">
        <v>2539</v>
      </c>
      <c r="B1006" s="151" t="s">
        <v>2540</v>
      </c>
    </row>
    <row r="1007" spans="1:2">
      <c r="A1007" s="151" t="s">
        <v>2541</v>
      </c>
      <c r="B1007" s="151" t="s">
        <v>2542</v>
      </c>
    </row>
    <row r="1008" spans="1:2">
      <c r="A1008" s="151" t="s">
        <v>2543</v>
      </c>
      <c r="B1008" s="151" t="s">
        <v>2544</v>
      </c>
    </row>
    <row r="1009" spans="1:2">
      <c r="A1009" s="151" t="s">
        <v>2545</v>
      </c>
      <c r="B1009" s="151" t="s">
        <v>2546</v>
      </c>
    </row>
    <row r="1010" spans="1:2">
      <c r="A1010" s="151" t="s">
        <v>2547</v>
      </c>
      <c r="B1010" s="151" t="s">
        <v>2548</v>
      </c>
    </row>
    <row r="1011" spans="1:2">
      <c r="A1011" s="151" t="s">
        <v>2549</v>
      </c>
      <c r="B1011" s="151" t="s">
        <v>2550</v>
      </c>
    </row>
    <row r="1012" spans="1:2">
      <c r="A1012" s="151" t="s">
        <v>2551</v>
      </c>
      <c r="B1012" s="151" t="s">
        <v>2552</v>
      </c>
    </row>
    <row r="1013" spans="1:2">
      <c r="A1013" s="151" t="s">
        <v>2553</v>
      </c>
      <c r="B1013" s="151" t="s">
        <v>2554</v>
      </c>
    </row>
    <row r="1014" spans="1:2">
      <c r="A1014" s="151" t="s">
        <v>2555</v>
      </c>
      <c r="B1014" s="151" t="s">
        <v>2556</v>
      </c>
    </row>
    <row r="1015" spans="1:2">
      <c r="A1015" s="151" t="s">
        <v>2557</v>
      </c>
      <c r="B1015" s="151" t="s">
        <v>2558</v>
      </c>
    </row>
    <row r="1016" spans="1:2">
      <c r="A1016" s="151" t="s">
        <v>2559</v>
      </c>
      <c r="B1016" s="151" t="s">
        <v>2560</v>
      </c>
    </row>
    <row r="1017" spans="1:2">
      <c r="A1017" s="151" t="s">
        <v>2561</v>
      </c>
      <c r="B1017" s="151" t="s">
        <v>2562</v>
      </c>
    </row>
    <row r="1018" spans="1:2">
      <c r="A1018" s="151" t="s">
        <v>2563</v>
      </c>
      <c r="B1018" s="151" t="s">
        <v>2564</v>
      </c>
    </row>
    <row r="1019" spans="1:2">
      <c r="A1019" s="151" t="s">
        <v>2565</v>
      </c>
      <c r="B1019" s="151" t="s">
        <v>2566</v>
      </c>
    </row>
    <row r="1020" spans="1:2">
      <c r="A1020" s="151" t="s">
        <v>2567</v>
      </c>
      <c r="B1020" s="151" t="s">
        <v>2568</v>
      </c>
    </row>
    <row r="1021" spans="1:2">
      <c r="A1021" s="151" t="s">
        <v>2569</v>
      </c>
      <c r="B1021" s="151" t="s">
        <v>2570</v>
      </c>
    </row>
    <row r="1022" spans="1:2">
      <c r="A1022" s="151" t="s">
        <v>2571</v>
      </c>
      <c r="B1022" s="151" t="s">
        <v>2572</v>
      </c>
    </row>
    <row r="1023" spans="1:2">
      <c r="A1023" s="151" t="s">
        <v>2573</v>
      </c>
      <c r="B1023" s="151" t="s">
        <v>2574</v>
      </c>
    </row>
    <row r="1024" spans="1:2">
      <c r="A1024" s="151" t="s">
        <v>2575</v>
      </c>
      <c r="B1024" s="151" t="s">
        <v>2576</v>
      </c>
    </row>
    <row r="1025" spans="1:2">
      <c r="A1025" s="151" t="s">
        <v>2577</v>
      </c>
      <c r="B1025" s="151" t="s">
        <v>2578</v>
      </c>
    </row>
    <row r="1026" spans="1:2">
      <c r="A1026" s="151" t="s">
        <v>2579</v>
      </c>
      <c r="B1026" s="151" t="s">
        <v>2580</v>
      </c>
    </row>
    <row r="1027" spans="1:2">
      <c r="A1027" s="151" t="s">
        <v>2581</v>
      </c>
      <c r="B1027" s="151" t="s">
        <v>2582</v>
      </c>
    </row>
    <row r="1028" spans="1:2">
      <c r="A1028" s="151" t="s">
        <v>2583</v>
      </c>
      <c r="B1028" s="151" t="s">
        <v>2584</v>
      </c>
    </row>
    <row r="1029" spans="1:2">
      <c r="A1029" s="151" t="s">
        <v>2585</v>
      </c>
      <c r="B1029" s="151" t="s">
        <v>2586</v>
      </c>
    </row>
    <row r="1030" spans="1:2">
      <c r="A1030" s="151" t="s">
        <v>2587</v>
      </c>
      <c r="B1030" s="151" t="s">
        <v>2588</v>
      </c>
    </row>
    <row r="1031" spans="1:2">
      <c r="A1031" s="151" t="s">
        <v>2589</v>
      </c>
      <c r="B1031" s="151" t="s">
        <v>2590</v>
      </c>
    </row>
    <row r="1032" spans="1:2">
      <c r="A1032" s="151" t="s">
        <v>2591</v>
      </c>
      <c r="B1032" s="151" t="s">
        <v>2592</v>
      </c>
    </row>
    <row r="1033" spans="1:2">
      <c r="A1033" s="151" t="s">
        <v>2593</v>
      </c>
      <c r="B1033" s="151" t="s">
        <v>2594</v>
      </c>
    </row>
    <row r="1034" spans="1:2">
      <c r="A1034" s="151" t="s">
        <v>2595</v>
      </c>
      <c r="B1034" s="151" t="s">
        <v>2596</v>
      </c>
    </row>
    <row r="1035" spans="1:2">
      <c r="A1035" s="151" t="s">
        <v>2597</v>
      </c>
      <c r="B1035" s="151" t="s">
        <v>2598</v>
      </c>
    </row>
    <row r="1036" spans="1:2">
      <c r="A1036" s="151" t="s">
        <v>2599</v>
      </c>
      <c r="B1036" s="151" t="s">
        <v>2600</v>
      </c>
    </row>
    <row r="1037" spans="1:2">
      <c r="A1037" s="151" t="s">
        <v>2601</v>
      </c>
      <c r="B1037" s="151" t="s">
        <v>2602</v>
      </c>
    </row>
    <row r="1038" spans="1:2">
      <c r="A1038" s="151" t="s">
        <v>2603</v>
      </c>
      <c r="B1038" s="151" t="s">
        <v>2604</v>
      </c>
    </row>
    <row r="1039" spans="1:2">
      <c r="A1039" s="151" t="s">
        <v>2605</v>
      </c>
      <c r="B1039" s="151" t="s">
        <v>2606</v>
      </c>
    </row>
    <row r="1040" spans="1:2">
      <c r="A1040" s="151" t="s">
        <v>2607</v>
      </c>
      <c r="B1040" s="151" t="s">
        <v>2608</v>
      </c>
    </row>
    <row r="1041" spans="1:2">
      <c r="A1041" s="151" t="s">
        <v>2609</v>
      </c>
      <c r="B1041" s="151" t="s">
        <v>2610</v>
      </c>
    </row>
    <row r="1042" spans="1:2">
      <c r="A1042" s="151" t="s">
        <v>2611</v>
      </c>
      <c r="B1042" s="151" t="s">
        <v>2612</v>
      </c>
    </row>
    <row r="1043" spans="1:2">
      <c r="A1043" s="151" t="s">
        <v>2613</v>
      </c>
      <c r="B1043" s="151" t="s">
        <v>2614</v>
      </c>
    </row>
    <row r="1044" spans="1:2">
      <c r="A1044" s="151" t="s">
        <v>2615</v>
      </c>
      <c r="B1044" s="151" t="s">
        <v>2616</v>
      </c>
    </row>
    <row r="1045" spans="1:2">
      <c r="A1045" s="151" t="s">
        <v>2617</v>
      </c>
      <c r="B1045" s="151" t="s">
        <v>2618</v>
      </c>
    </row>
    <row r="1046" spans="1:2">
      <c r="A1046" s="151" t="s">
        <v>2619</v>
      </c>
      <c r="B1046" s="151" t="s">
        <v>2620</v>
      </c>
    </row>
    <row r="1047" spans="1:2">
      <c r="A1047" s="151" t="s">
        <v>2621</v>
      </c>
      <c r="B1047" s="151" t="s">
        <v>2622</v>
      </c>
    </row>
    <row r="1048" spans="1:2">
      <c r="A1048" s="151" t="s">
        <v>2623</v>
      </c>
      <c r="B1048" s="151" t="s">
        <v>2624</v>
      </c>
    </row>
    <row r="1049" spans="1:2">
      <c r="A1049" s="151" t="s">
        <v>2625</v>
      </c>
      <c r="B1049" s="151" t="s">
        <v>2626</v>
      </c>
    </row>
    <row r="1050" spans="1:2">
      <c r="A1050" s="151" t="s">
        <v>2627</v>
      </c>
      <c r="B1050" s="151" t="s">
        <v>2628</v>
      </c>
    </row>
    <row r="1051" spans="1:2">
      <c r="A1051" s="151" t="s">
        <v>2629</v>
      </c>
      <c r="B1051" s="151" t="s">
        <v>2630</v>
      </c>
    </row>
    <row r="1052" spans="1:2">
      <c r="A1052" s="151" t="s">
        <v>2631</v>
      </c>
      <c r="B1052" s="151" t="s">
        <v>2632</v>
      </c>
    </row>
    <row r="1053" spans="1:2">
      <c r="A1053" s="151" t="s">
        <v>2633</v>
      </c>
      <c r="B1053" s="151" t="s">
        <v>2634</v>
      </c>
    </row>
    <row r="1054" spans="1:2">
      <c r="A1054" s="151" t="s">
        <v>2635</v>
      </c>
      <c r="B1054" s="151" t="s">
        <v>2636</v>
      </c>
    </row>
    <row r="1055" spans="1:2">
      <c r="A1055" s="151" t="s">
        <v>2637</v>
      </c>
      <c r="B1055" s="151" t="s">
        <v>2638</v>
      </c>
    </row>
    <row r="1056" spans="1:2">
      <c r="A1056" s="151" t="s">
        <v>2639</v>
      </c>
      <c r="B1056" s="151" t="s">
        <v>2640</v>
      </c>
    </row>
    <row r="1057" spans="1:2">
      <c r="A1057" s="151" t="s">
        <v>2641</v>
      </c>
      <c r="B1057" s="151" t="s">
        <v>2642</v>
      </c>
    </row>
    <row r="1058" spans="1:2">
      <c r="A1058" s="151" t="s">
        <v>2643</v>
      </c>
      <c r="B1058" s="151" t="s">
        <v>2644</v>
      </c>
    </row>
    <row r="1059" spans="1:2">
      <c r="A1059" s="151" t="s">
        <v>2645</v>
      </c>
      <c r="B1059" s="151" t="s">
        <v>2646</v>
      </c>
    </row>
    <row r="1060" spans="1:2">
      <c r="A1060" s="151" t="s">
        <v>2647</v>
      </c>
      <c r="B1060" s="151" t="s">
        <v>2648</v>
      </c>
    </row>
    <row r="1061" spans="1:2">
      <c r="A1061" s="151" t="s">
        <v>2649</v>
      </c>
      <c r="B1061" s="151" t="s">
        <v>2650</v>
      </c>
    </row>
    <row r="1062" spans="1:2">
      <c r="A1062" s="151" t="s">
        <v>2651</v>
      </c>
      <c r="B1062" s="151" t="s">
        <v>2652</v>
      </c>
    </row>
    <row r="1063" spans="1:2">
      <c r="A1063" s="151" t="s">
        <v>2653</v>
      </c>
      <c r="B1063" s="151" t="s">
        <v>2654</v>
      </c>
    </row>
    <row r="1064" spans="1:2">
      <c r="A1064" s="151" t="s">
        <v>2655</v>
      </c>
      <c r="B1064" s="151" t="s">
        <v>2656</v>
      </c>
    </row>
    <row r="1065" spans="1:2">
      <c r="A1065" s="151" t="s">
        <v>2657</v>
      </c>
      <c r="B1065" s="151" t="s">
        <v>2658</v>
      </c>
    </row>
    <row r="1066" spans="1:2">
      <c r="A1066" s="151" t="s">
        <v>2659</v>
      </c>
      <c r="B1066" s="151" t="s">
        <v>2660</v>
      </c>
    </row>
    <row r="1067" spans="1:2">
      <c r="A1067" s="151" t="s">
        <v>2661</v>
      </c>
      <c r="B1067" s="151" t="s">
        <v>2662</v>
      </c>
    </row>
    <row r="1068" spans="1:2">
      <c r="A1068" s="151" t="s">
        <v>2663</v>
      </c>
      <c r="B1068" s="151" t="s">
        <v>2664</v>
      </c>
    </row>
    <row r="1069" spans="1:2">
      <c r="A1069" s="151" t="s">
        <v>2665</v>
      </c>
      <c r="B1069" s="151" t="s">
        <v>2666</v>
      </c>
    </row>
    <row r="1070" spans="1:2">
      <c r="A1070" s="151" t="s">
        <v>2667</v>
      </c>
      <c r="B1070" s="151" t="s">
        <v>2668</v>
      </c>
    </row>
    <row r="1071" spans="1:2">
      <c r="A1071" s="151" t="s">
        <v>2669</v>
      </c>
      <c r="B1071" s="151" t="s">
        <v>2670</v>
      </c>
    </row>
    <row r="1072" spans="1:2">
      <c r="A1072" s="151" t="s">
        <v>2671</v>
      </c>
      <c r="B1072" s="151" t="s">
        <v>2672</v>
      </c>
    </row>
    <row r="1073" spans="1:2">
      <c r="A1073" s="151" t="s">
        <v>2673</v>
      </c>
      <c r="B1073" s="151" t="s">
        <v>2674</v>
      </c>
    </row>
    <row r="1074" spans="1:2">
      <c r="A1074" s="151" t="s">
        <v>2675</v>
      </c>
      <c r="B1074" s="151" t="s">
        <v>2676</v>
      </c>
    </row>
    <row r="1075" spans="1:2">
      <c r="A1075" s="151" t="s">
        <v>2677</v>
      </c>
      <c r="B1075" s="151" t="s">
        <v>2678</v>
      </c>
    </row>
    <row r="1076" spans="1:2">
      <c r="A1076" s="151" t="s">
        <v>2679</v>
      </c>
      <c r="B1076" s="151" t="s">
        <v>2680</v>
      </c>
    </row>
    <row r="1077" spans="1:2">
      <c r="A1077" s="151" t="s">
        <v>2681</v>
      </c>
      <c r="B1077" s="151" t="s">
        <v>2682</v>
      </c>
    </row>
    <row r="1078" spans="1:2">
      <c r="A1078" s="151" t="s">
        <v>2683</v>
      </c>
      <c r="B1078" s="151" t="s">
        <v>2684</v>
      </c>
    </row>
    <row r="1079" spans="1:2">
      <c r="A1079" s="151" t="s">
        <v>2685</v>
      </c>
      <c r="B1079" s="151" t="s">
        <v>2686</v>
      </c>
    </row>
    <row r="1080" spans="1:2">
      <c r="A1080" s="151" t="s">
        <v>2687</v>
      </c>
      <c r="B1080" s="151" t="s">
        <v>2688</v>
      </c>
    </row>
    <row r="1081" spans="1:2">
      <c r="A1081" s="151" t="s">
        <v>2689</v>
      </c>
      <c r="B1081" s="151" t="s">
        <v>2690</v>
      </c>
    </row>
    <row r="1082" spans="1:2">
      <c r="A1082" s="151" t="s">
        <v>2691</v>
      </c>
      <c r="B1082" s="151" t="s">
        <v>2692</v>
      </c>
    </row>
    <row r="1083" spans="1:2">
      <c r="A1083" s="151" t="s">
        <v>2693</v>
      </c>
      <c r="B1083" s="151" t="s">
        <v>2694</v>
      </c>
    </row>
    <row r="1084" spans="1:2">
      <c r="A1084" s="151" t="s">
        <v>2695</v>
      </c>
      <c r="B1084" s="151" t="s">
        <v>2696</v>
      </c>
    </row>
    <row r="1085" spans="1:2">
      <c r="A1085" s="151" t="s">
        <v>2697</v>
      </c>
      <c r="B1085" s="151" t="s">
        <v>2698</v>
      </c>
    </row>
    <row r="1086" spans="1:2">
      <c r="A1086" s="151" t="s">
        <v>2699</v>
      </c>
      <c r="B1086" s="151" t="s">
        <v>2700</v>
      </c>
    </row>
    <row r="1087" spans="1:2">
      <c r="A1087" s="151" t="s">
        <v>2701</v>
      </c>
      <c r="B1087" s="151" t="s">
        <v>2702</v>
      </c>
    </row>
    <row r="1088" spans="1:2">
      <c r="A1088" s="151" t="s">
        <v>2703</v>
      </c>
      <c r="B1088" s="151" t="s">
        <v>2704</v>
      </c>
    </row>
    <row r="1089" spans="1:2">
      <c r="A1089" s="151" t="s">
        <v>2705</v>
      </c>
      <c r="B1089" s="151" t="s">
        <v>2706</v>
      </c>
    </row>
    <row r="1090" spans="1:2">
      <c r="A1090" s="151" t="s">
        <v>2707</v>
      </c>
      <c r="B1090" s="151" t="s">
        <v>2708</v>
      </c>
    </row>
    <row r="1091" spans="1:2">
      <c r="A1091" s="151" t="s">
        <v>2709</v>
      </c>
      <c r="B1091" s="151" t="s">
        <v>2710</v>
      </c>
    </row>
    <row r="1092" spans="1:2">
      <c r="A1092" s="151" t="s">
        <v>2711</v>
      </c>
      <c r="B1092" s="151" t="s">
        <v>2712</v>
      </c>
    </row>
    <row r="1093" spans="1:2">
      <c r="A1093" s="151" t="s">
        <v>2713</v>
      </c>
      <c r="B1093" s="151" t="s">
        <v>2714</v>
      </c>
    </row>
    <row r="1094" spans="1:2">
      <c r="A1094" s="151" t="s">
        <v>2715</v>
      </c>
      <c r="B1094" s="151" t="s">
        <v>2716</v>
      </c>
    </row>
    <row r="1095" spans="1:2">
      <c r="A1095" s="151" t="s">
        <v>2717</v>
      </c>
      <c r="B1095" s="151" t="s">
        <v>2718</v>
      </c>
    </row>
    <row r="1096" spans="1:2">
      <c r="A1096" s="151" t="s">
        <v>2719</v>
      </c>
      <c r="B1096" s="151" t="s">
        <v>2720</v>
      </c>
    </row>
    <row r="1097" spans="1:2">
      <c r="A1097" s="151" t="s">
        <v>2721</v>
      </c>
      <c r="B1097" s="151" t="s">
        <v>2722</v>
      </c>
    </row>
    <row r="1098" spans="1:2">
      <c r="A1098" s="151" t="s">
        <v>2723</v>
      </c>
      <c r="B1098" s="151" t="s">
        <v>2724</v>
      </c>
    </row>
    <row r="1099" spans="1:2">
      <c r="A1099" s="151" t="s">
        <v>2725</v>
      </c>
      <c r="B1099" s="151" t="s">
        <v>2726</v>
      </c>
    </row>
    <row r="1100" spans="1:2">
      <c r="A1100" s="151" t="s">
        <v>2727</v>
      </c>
      <c r="B1100" s="151" t="s">
        <v>2728</v>
      </c>
    </row>
    <row r="1101" spans="1:2">
      <c r="A1101" s="151" t="s">
        <v>2729</v>
      </c>
      <c r="B1101" s="151" t="s">
        <v>2730</v>
      </c>
    </row>
    <row r="1102" spans="1:2">
      <c r="A1102" s="151" t="s">
        <v>2731</v>
      </c>
      <c r="B1102" s="151" t="s">
        <v>2732</v>
      </c>
    </row>
    <row r="1103" spans="1:2">
      <c r="A1103" s="151" t="s">
        <v>2733</v>
      </c>
      <c r="B1103" s="151" t="s">
        <v>2734</v>
      </c>
    </row>
    <row r="1104" spans="1:2">
      <c r="A1104" s="151" t="s">
        <v>2735</v>
      </c>
      <c r="B1104" s="151" t="s">
        <v>2736</v>
      </c>
    </row>
    <row r="1105" spans="1:2">
      <c r="A1105" s="151" t="s">
        <v>2737</v>
      </c>
      <c r="B1105" s="151" t="s">
        <v>2738</v>
      </c>
    </row>
    <row r="1106" spans="1:2">
      <c r="A1106" s="151" t="s">
        <v>2739</v>
      </c>
      <c r="B1106" s="151" t="s">
        <v>2740</v>
      </c>
    </row>
    <row r="1107" spans="1:2">
      <c r="A1107" s="151" t="s">
        <v>2741</v>
      </c>
      <c r="B1107" s="151" t="s">
        <v>2742</v>
      </c>
    </row>
    <row r="1108" spans="1:2">
      <c r="A1108" s="151" t="s">
        <v>2743</v>
      </c>
      <c r="B1108" s="151" t="s">
        <v>2744</v>
      </c>
    </row>
    <row r="1109" spans="1:2">
      <c r="A1109" s="151" t="s">
        <v>2745</v>
      </c>
      <c r="B1109" s="151" t="s">
        <v>2746</v>
      </c>
    </row>
    <row r="1110" spans="1:2">
      <c r="A1110" s="151" t="s">
        <v>2747</v>
      </c>
      <c r="B1110" s="151" t="s">
        <v>2748</v>
      </c>
    </row>
    <row r="1111" spans="1:2">
      <c r="A1111" s="151" t="s">
        <v>2749</v>
      </c>
      <c r="B1111" s="151" t="s">
        <v>2750</v>
      </c>
    </row>
    <row r="1112" spans="1:2">
      <c r="A1112" s="151" t="s">
        <v>2751</v>
      </c>
      <c r="B1112" s="151" t="s">
        <v>2752</v>
      </c>
    </row>
    <row r="1113" spans="1:2">
      <c r="A1113" s="151" t="s">
        <v>2753</v>
      </c>
      <c r="B1113" s="151" t="s">
        <v>2754</v>
      </c>
    </row>
    <row r="1114" spans="1:2">
      <c r="A1114" s="151" t="s">
        <v>2755</v>
      </c>
      <c r="B1114" s="151" t="s">
        <v>2756</v>
      </c>
    </row>
    <row r="1115" spans="1:2">
      <c r="A1115" s="151" t="s">
        <v>2757</v>
      </c>
      <c r="B1115" s="151" t="s">
        <v>2758</v>
      </c>
    </row>
    <row r="1116" spans="1:2">
      <c r="A1116" s="151" t="s">
        <v>2759</v>
      </c>
      <c r="B1116" s="151" t="s">
        <v>2760</v>
      </c>
    </row>
    <row r="1117" spans="1:2">
      <c r="A1117" s="151" t="s">
        <v>2761</v>
      </c>
      <c r="B1117" s="151" t="s">
        <v>2762</v>
      </c>
    </row>
    <row r="1118" spans="1:2">
      <c r="A1118" s="151" t="s">
        <v>2763</v>
      </c>
      <c r="B1118" s="151" t="s">
        <v>2764</v>
      </c>
    </row>
    <row r="1119" spans="1:2">
      <c r="A1119" s="151" t="s">
        <v>2765</v>
      </c>
      <c r="B1119" s="151" t="s">
        <v>2766</v>
      </c>
    </row>
    <row r="1120" spans="1:2">
      <c r="A1120" s="151" t="s">
        <v>2767</v>
      </c>
      <c r="B1120" s="151" t="s">
        <v>2768</v>
      </c>
    </row>
    <row r="1121" spans="1:2">
      <c r="A1121" s="151" t="s">
        <v>2769</v>
      </c>
      <c r="B1121" s="151" t="s">
        <v>2770</v>
      </c>
    </row>
    <row r="1122" spans="1:2">
      <c r="A1122" s="151" t="s">
        <v>2771</v>
      </c>
      <c r="B1122" s="151" t="s">
        <v>2772</v>
      </c>
    </row>
    <row r="1123" spans="1:2">
      <c r="A1123" s="151" t="s">
        <v>2773</v>
      </c>
      <c r="B1123" s="151" t="s">
        <v>2774</v>
      </c>
    </row>
    <row r="1124" spans="1:2">
      <c r="A1124" s="151" t="s">
        <v>2775</v>
      </c>
      <c r="B1124" s="151" t="s">
        <v>2776</v>
      </c>
    </row>
    <row r="1125" spans="1:2">
      <c r="A1125" s="151" t="s">
        <v>2777</v>
      </c>
      <c r="B1125" s="151" t="s">
        <v>2778</v>
      </c>
    </row>
    <row r="1126" spans="1:2">
      <c r="A1126" s="151" t="s">
        <v>2779</v>
      </c>
      <c r="B1126" s="151" t="s">
        <v>2780</v>
      </c>
    </row>
    <row r="1127" spans="1:2">
      <c r="A1127" s="151" t="s">
        <v>2781</v>
      </c>
      <c r="B1127" s="151" t="s">
        <v>2782</v>
      </c>
    </row>
    <row r="1128" spans="1:2">
      <c r="A1128" s="151" t="s">
        <v>2783</v>
      </c>
      <c r="B1128" s="151" t="s">
        <v>2784</v>
      </c>
    </row>
    <row r="1129" spans="1:2">
      <c r="A1129" s="151" t="s">
        <v>2785</v>
      </c>
      <c r="B1129" s="151" t="s">
        <v>2786</v>
      </c>
    </row>
    <row r="1130" spans="1:2">
      <c r="A1130" s="151" t="s">
        <v>2787</v>
      </c>
      <c r="B1130" s="151" t="s">
        <v>2788</v>
      </c>
    </row>
    <row r="1131" spans="1:2">
      <c r="A1131" s="151" t="s">
        <v>2789</v>
      </c>
      <c r="B1131" s="151" t="s">
        <v>2790</v>
      </c>
    </row>
    <row r="1132" spans="1:2">
      <c r="A1132" s="151" t="s">
        <v>2791</v>
      </c>
      <c r="B1132" s="151" t="s">
        <v>2792</v>
      </c>
    </row>
    <row r="1133" spans="1:2">
      <c r="A1133" s="151" t="s">
        <v>2793</v>
      </c>
      <c r="B1133" s="151" t="s">
        <v>2794</v>
      </c>
    </row>
    <row r="1134" spans="1:2">
      <c r="A1134" s="151" t="s">
        <v>2795</v>
      </c>
      <c r="B1134" s="151" t="s">
        <v>2796</v>
      </c>
    </row>
    <row r="1135" spans="1:2">
      <c r="A1135" s="151" t="s">
        <v>2797</v>
      </c>
      <c r="B1135" s="151" t="s">
        <v>2798</v>
      </c>
    </row>
    <row r="1136" spans="1:2">
      <c r="A1136" s="151" t="s">
        <v>2799</v>
      </c>
      <c r="B1136" s="151" t="s">
        <v>2800</v>
      </c>
    </row>
    <row r="1137" spans="1:2">
      <c r="A1137" s="151" t="s">
        <v>2801</v>
      </c>
      <c r="B1137" s="151" t="s">
        <v>2802</v>
      </c>
    </row>
    <row r="1138" spans="1:2">
      <c r="A1138" s="151" t="s">
        <v>2803</v>
      </c>
      <c r="B1138" s="151" t="s">
        <v>2804</v>
      </c>
    </row>
    <row r="1139" spans="1:2">
      <c r="A1139" s="151" t="s">
        <v>2805</v>
      </c>
      <c r="B1139" s="151" t="s">
        <v>2806</v>
      </c>
    </row>
    <row r="1140" spans="1:2">
      <c r="A1140" s="151" t="s">
        <v>2807</v>
      </c>
      <c r="B1140" s="151" t="s">
        <v>2808</v>
      </c>
    </row>
    <row r="1141" spans="1:2">
      <c r="A1141" s="151" t="s">
        <v>2809</v>
      </c>
      <c r="B1141" s="151" t="s">
        <v>2810</v>
      </c>
    </row>
    <row r="1142" spans="1:2">
      <c r="A1142" s="151" t="s">
        <v>2811</v>
      </c>
      <c r="B1142" s="151" t="s">
        <v>2812</v>
      </c>
    </row>
    <row r="1143" spans="1:2">
      <c r="A1143" s="151" t="s">
        <v>2813</v>
      </c>
      <c r="B1143" s="151" t="s">
        <v>2814</v>
      </c>
    </row>
    <row r="1144" spans="1:2">
      <c r="A1144" s="151" t="s">
        <v>2815</v>
      </c>
      <c r="B1144" s="151" t="s">
        <v>2816</v>
      </c>
    </row>
    <row r="1145" spans="1:2">
      <c r="A1145" s="151" t="s">
        <v>2817</v>
      </c>
      <c r="B1145" s="151" t="s">
        <v>2818</v>
      </c>
    </row>
    <row r="1146" spans="1:2">
      <c r="A1146" s="151" t="s">
        <v>2819</v>
      </c>
      <c r="B1146" s="151" t="s">
        <v>2820</v>
      </c>
    </row>
    <row r="1147" spans="1:2">
      <c r="A1147" s="151" t="s">
        <v>2821</v>
      </c>
      <c r="B1147" s="151" t="s">
        <v>2822</v>
      </c>
    </row>
    <row r="1148" spans="1:2">
      <c r="A1148" s="151" t="s">
        <v>2823</v>
      </c>
      <c r="B1148" s="151" t="s">
        <v>2824</v>
      </c>
    </row>
    <row r="1149" spans="1:2">
      <c r="A1149" s="151" t="s">
        <v>2825</v>
      </c>
      <c r="B1149" s="151" t="s">
        <v>2826</v>
      </c>
    </row>
    <row r="1150" spans="1:2">
      <c r="A1150" s="151" t="s">
        <v>2827</v>
      </c>
      <c r="B1150" s="151" t="s">
        <v>2828</v>
      </c>
    </row>
    <row r="1151" spans="1:2">
      <c r="A1151" s="151" t="s">
        <v>2829</v>
      </c>
      <c r="B1151" s="151" t="s">
        <v>2830</v>
      </c>
    </row>
    <row r="1152" spans="1:2">
      <c r="A1152" s="151" t="s">
        <v>2831</v>
      </c>
      <c r="B1152" s="151" t="s">
        <v>2832</v>
      </c>
    </row>
    <row r="1153" spans="1:2">
      <c r="A1153" s="151" t="s">
        <v>2833</v>
      </c>
      <c r="B1153" s="151" t="s">
        <v>2834</v>
      </c>
    </row>
    <row r="1154" spans="1:2">
      <c r="A1154" s="151" t="s">
        <v>2835</v>
      </c>
      <c r="B1154" s="151" t="s">
        <v>2836</v>
      </c>
    </row>
    <row r="1155" spans="1:2">
      <c r="A1155" s="151" t="s">
        <v>2837</v>
      </c>
      <c r="B1155" s="151" t="s">
        <v>2838</v>
      </c>
    </row>
    <row r="1156" spans="1:2">
      <c r="A1156" s="151" t="s">
        <v>2839</v>
      </c>
      <c r="B1156" s="151" t="s">
        <v>2840</v>
      </c>
    </row>
    <row r="1157" spans="1:2">
      <c r="A1157" s="151" t="s">
        <v>2841</v>
      </c>
      <c r="B1157" s="151" t="s">
        <v>2842</v>
      </c>
    </row>
    <row r="1158" spans="1:2">
      <c r="A1158" s="151" t="s">
        <v>2843</v>
      </c>
      <c r="B1158" s="151" t="s">
        <v>2844</v>
      </c>
    </row>
    <row r="1159" spans="1:2">
      <c r="A1159" s="151" t="s">
        <v>2845</v>
      </c>
      <c r="B1159" s="151" t="s">
        <v>2846</v>
      </c>
    </row>
    <row r="1160" spans="1:2">
      <c r="A1160" s="151" t="s">
        <v>2847</v>
      </c>
      <c r="B1160" s="151" t="s">
        <v>2848</v>
      </c>
    </row>
    <row r="1161" spans="1:2">
      <c r="A1161" s="151" t="s">
        <v>2849</v>
      </c>
      <c r="B1161" s="151" t="s">
        <v>2850</v>
      </c>
    </row>
    <row r="1162" spans="1:2">
      <c r="A1162" s="151" t="s">
        <v>2851</v>
      </c>
      <c r="B1162" s="151" t="s">
        <v>2852</v>
      </c>
    </row>
    <row r="1163" spans="1:2">
      <c r="A1163" s="151" t="s">
        <v>2853</v>
      </c>
      <c r="B1163" s="151" t="s">
        <v>2854</v>
      </c>
    </row>
    <row r="1164" spans="1:2">
      <c r="A1164" s="151" t="s">
        <v>2855</v>
      </c>
      <c r="B1164" s="151" t="s">
        <v>2856</v>
      </c>
    </row>
    <row r="1165" spans="1:2">
      <c r="A1165" s="151" t="s">
        <v>2857</v>
      </c>
      <c r="B1165" s="151" t="s">
        <v>2858</v>
      </c>
    </row>
    <row r="1166" spans="1:2">
      <c r="A1166" s="151" t="s">
        <v>2859</v>
      </c>
      <c r="B1166" s="151" t="s">
        <v>2860</v>
      </c>
    </row>
    <row r="1167" spans="1:2">
      <c r="A1167" s="151" t="s">
        <v>2861</v>
      </c>
      <c r="B1167" s="151" t="s">
        <v>2862</v>
      </c>
    </row>
    <row r="1168" spans="1:2">
      <c r="A1168" s="151" t="s">
        <v>2863</v>
      </c>
      <c r="B1168" s="151" t="s">
        <v>2864</v>
      </c>
    </row>
    <row r="1169" spans="1:2">
      <c r="A1169" s="151" t="s">
        <v>2865</v>
      </c>
      <c r="B1169" s="151" t="s">
        <v>2866</v>
      </c>
    </row>
    <row r="1170" spans="1:2">
      <c r="A1170" s="151" t="s">
        <v>2867</v>
      </c>
      <c r="B1170" s="151" t="s">
        <v>2868</v>
      </c>
    </row>
    <row r="1171" spans="1:2">
      <c r="A1171" s="151" t="s">
        <v>2869</v>
      </c>
      <c r="B1171" s="151" t="s">
        <v>2870</v>
      </c>
    </row>
    <row r="1172" spans="1:2">
      <c r="A1172" s="151" t="s">
        <v>2871</v>
      </c>
      <c r="B1172" s="151" t="s">
        <v>2872</v>
      </c>
    </row>
    <row r="1173" spans="1:2">
      <c r="A1173" s="151" t="s">
        <v>2873</v>
      </c>
      <c r="B1173" s="151" t="s">
        <v>2874</v>
      </c>
    </row>
    <row r="1174" spans="1:2">
      <c r="A1174" s="151" t="s">
        <v>2875</v>
      </c>
      <c r="B1174" s="151" t="s">
        <v>2876</v>
      </c>
    </row>
    <row r="1175" spans="1:2">
      <c r="A1175" s="151" t="s">
        <v>2877</v>
      </c>
      <c r="B1175" s="151" t="s">
        <v>2878</v>
      </c>
    </row>
    <row r="1176" spans="1:2">
      <c r="A1176" s="151" t="s">
        <v>2879</v>
      </c>
      <c r="B1176" s="151" t="s">
        <v>2880</v>
      </c>
    </row>
    <row r="1177" spans="1:2">
      <c r="A1177" s="151" t="s">
        <v>2881</v>
      </c>
      <c r="B1177" s="151" t="s">
        <v>2882</v>
      </c>
    </row>
    <row r="1178" spans="1:2">
      <c r="A1178" s="151" t="s">
        <v>2883</v>
      </c>
      <c r="B1178" s="151" t="s">
        <v>2884</v>
      </c>
    </row>
    <row r="1179" spans="1:2">
      <c r="A1179" s="151" t="s">
        <v>2885</v>
      </c>
      <c r="B1179" s="151" t="s">
        <v>2886</v>
      </c>
    </row>
    <row r="1180" spans="1:2">
      <c r="A1180" s="151" t="s">
        <v>2887</v>
      </c>
      <c r="B1180" s="151" t="s">
        <v>2888</v>
      </c>
    </row>
    <row r="1181" spans="1:2">
      <c r="A1181" s="151" t="s">
        <v>2889</v>
      </c>
      <c r="B1181" s="151" t="s">
        <v>2890</v>
      </c>
    </row>
    <row r="1182" spans="1:2">
      <c r="A1182" s="151" t="s">
        <v>2891</v>
      </c>
      <c r="B1182" s="151" t="s">
        <v>2892</v>
      </c>
    </row>
    <row r="1183" spans="1:2">
      <c r="A1183" s="151" t="s">
        <v>2893</v>
      </c>
      <c r="B1183" s="151" t="s">
        <v>2894</v>
      </c>
    </row>
    <row r="1184" spans="1:2">
      <c r="A1184" s="151" t="s">
        <v>2895</v>
      </c>
      <c r="B1184" s="151" t="s">
        <v>2896</v>
      </c>
    </row>
    <row r="1185" spans="1:2">
      <c r="A1185" s="151" t="s">
        <v>2897</v>
      </c>
      <c r="B1185" s="151" t="s">
        <v>2898</v>
      </c>
    </row>
    <row r="1186" spans="1:2">
      <c r="A1186" s="151" t="s">
        <v>2899</v>
      </c>
      <c r="B1186" s="151" t="s">
        <v>2900</v>
      </c>
    </row>
    <row r="1187" spans="1:2">
      <c r="A1187" s="151" t="s">
        <v>2901</v>
      </c>
      <c r="B1187" s="151" t="s">
        <v>2902</v>
      </c>
    </row>
    <row r="1188" spans="1:2">
      <c r="A1188" s="151" t="s">
        <v>2903</v>
      </c>
      <c r="B1188" s="151" t="s">
        <v>2904</v>
      </c>
    </row>
    <row r="1189" spans="1:2">
      <c r="A1189" s="151" t="s">
        <v>2905</v>
      </c>
      <c r="B1189" s="151" t="s">
        <v>2906</v>
      </c>
    </row>
    <row r="1190" spans="1:2">
      <c r="A1190" s="151" t="s">
        <v>2907</v>
      </c>
      <c r="B1190" s="151" t="s">
        <v>2908</v>
      </c>
    </row>
    <row r="1191" spans="1:2">
      <c r="A1191" s="151" t="s">
        <v>2909</v>
      </c>
      <c r="B1191" s="151" t="s">
        <v>2910</v>
      </c>
    </row>
    <row r="1192" spans="1:2">
      <c r="A1192" s="151" t="s">
        <v>2911</v>
      </c>
      <c r="B1192" s="151" t="s">
        <v>2912</v>
      </c>
    </row>
    <row r="1193" spans="1:2">
      <c r="A1193" s="151" t="s">
        <v>2913</v>
      </c>
      <c r="B1193" s="151" t="s">
        <v>2914</v>
      </c>
    </row>
    <row r="1194" spans="1:2">
      <c r="A1194" s="151" t="s">
        <v>2915</v>
      </c>
      <c r="B1194" s="151" t="s">
        <v>2916</v>
      </c>
    </row>
    <row r="1195" spans="1:2">
      <c r="A1195" s="151" t="s">
        <v>2917</v>
      </c>
      <c r="B1195" s="151" t="s">
        <v>2918</v>
      </c>
    </row>
    <row r="1196" spans="1:2">
      <c r="A1196" s="151" t="s">
        <v>2919</v>
      </c>
      <c r="B1196" s="151" t="s">
        <v>2920</v>
      </c>
    </row>
    <row r="1197" spans="1:2">
      <c r="A1197" s="151" t="s">
        <v>2921</v>
      </c>
      <c r="B1197" s="151" t="s">
        <v>2922</v>
      </c>
    </row>
    <row r="1198" spans="1:2">
      <c r="A1198" s="151" t="s">
        <v>2923</v>
      </c>
      <c r="B1198" s="151" t="s">
        <v>2924</v>
      </c>
    </row>
    <row r="1199" spans="1:2">
      <c r="A1199" s="151" t="s">
        <v>2925</v>
      </c>
      <c r="B1199" s="151" t="s">
        <v>2926</v>
      </c>
    </row>
    <row r="1200" spans="1:2">
      <c r="A1200" s="151" t="s">
        <v>2927</v>
      </c>
      <c r="B1200" s="151" t="s">
        <v>2928</v>
      </c>
    </row>
    <row r="1201" spans="1:2">
      <c r="A1201" s="151" t="s">
        <v>2929</v>
      </c>
      <c r="B1201" s="151" t="s">
        <v>2930</v>
      </c>
    </row>
    <row r="1202" spans="1:2">
      <c r="A1202" s="151" t="s">
        <v>2931</v>
      </c>
      <c r="B1202" s="151" t="s">
        <v>2932</v>
      </c>
    </row>
    <row r="1203" spans="1:2">
      <c r="A1203" s="151" t="s">
        <v>2933</v>
      </c>
      <c r="B1203" s="151" t="s">
        <v>2934</v>
      </c>
    </row>
    <row r="1204" spans="1:2">
      <c r="A1204" s="151" t="s">
        <v>2935</v>
      </c>
      <c r="B1204" s="151" t="s">
        <v>2936</v>
      </c>
    </row>
    <row r="1205" spans="1:2">
      <c r="A1205" s="151" t="s">
        <v>2937</v>
      </c>
      <c r="B1205" s="151" t="s">
        <v>2938</v>
      </c>
    </row>
    <row r="1206" spans="1:2">
      <c r="A1206" s="151" t="s">
        <v>2939</v>
      </c>
      <c r="B1206" s="151" t="s">
        <v>2940</v>
      </c>
    </row>
    <row r="1207" spans="1:2">
      <c r="A1207" s="151" t="s">
        <v>2941</v>
      </c>
      <c r="B1207" s="151" t="s">
        <v>2942</v>
      </c>
    </row>
    <row r="1208" spans="1:2">
      <c r="A1208" s="151" t="s">
        <v>2943</v>
      </c>
      <c r="B1208" s="151" t="s">
        <v>2944</v>
      </c>
    </row>
    <row r="1209" spans="1:2">
      <c r="A1209" s="151" t="s">
        <v>2945</v>
      </c>
      <c r="B1209" s="151" t="s">
        <v>2946</v>
      </c>
    </row>
    <row r="1210" spans="1:2">
      <c r="A1210" s="151" t="s">
        <v>2947</v>
      </c>
      <c r="B1210" s="151" t="s">
        <v>2948</v>
      </c>
    </row>
    <row r="1211" spans="1:2">
      <c r="A1211" s="151" t="s">
        <v>2949</v>
      </c>
      <c r="B1211" s="151" t="s">
        <v>2950</v>
      </c>
    </row>
    <row r="1212" spans="1:2">
      <c r="A1212" s="151" t="s">
        <v>2951</v>
      </c>
      <c r="B1212" s="151" t="s">
        <v>2952</v>
      </c>
    </row>
    <row r="1213" spans="1:2">
      <c r="A1213" s="151" t="s">
        <v>2953</v>
      </c>
      <c r="B1213" s="151" t="s">
        <v>2954</v>
      </c>
    </row>
    <row r="1214" spans="1:2">
      <c r="A1214" s="151" t="s">
        <v>2955</v>
      </c>
      <c r="B1214" s="151" t="s">
        <v>2956</v>
      </c>
    </row>
    <row r="1215" spans="1:2">
      <c r="A1215" s="151" t="s">
        <v>2957</v>
      </c>
      <c r="B1215" s="151" t="s">
        <v>2958</v>
      </c>
    </row>
    <row r="1216" spans="1:2">
      <c r="A1216" s="151" t="s">
        <v>2959</v>
      </c>
      <c r="B1216" s="151" t="s">
        <v>2960</v>
      </c>
    </row>
    <row r="1217" spans="1:2">
      <c r="A1217" s="151" t="s">
        <v>2961</v>
      </c>
      <c r="B1217" s="151" t="s">
        <v>2962</v>
      </c>
    </row>
    <row r="1218" spans="1:2">
      <c r="A1218" s="151" t="s">
        <v>2963</v>
      </c>
      <c r="B1218" s="151" t="s">
        <v>2964</v>
      </c>
    </row>
    <row r="1219" spans="1:2">
      <c r="A1219" s="151" t="s">
        <v>2965</v>
      </c>
      <c r="B1219" s="151" t="s">
        <v>2966</v>
      </c>
    </row>
    <row r="1220" spans="1:2">
      <c r="A1220" s="151" t="s">
        <v>2967</v>
      </c>
      <c r="B1220" s="151" t="s">
        <v>2968</v>
      </c>
    </row>
    <row r="1221" spans="1:2">
      <c r="A1221" s="151" t="s">
        <v>2969</v>
      </c>
      <c r="B1221" s="151" t="s">
        <v>2970</v>
      </c>
    </row>
    <row r="1222" spans="1:2">
      <c r="A1222" s="151" t="s">
        <v>2971</v>
      </c>
      <c r="B1222" s="151" t="s">
        <v>2972</v>
      </c>
    </row>
    <row r="1223" spans="1:2">
      <c r="A1223" s="151" t="s">
        <v>2973</v>
      </c>
      <c r="B1223" s="151" t="s">
        <v>2974</v>
      </c>
    </row>
    <row r="1224" spans="1:2">
      <c r="A1224" s="151" t="s">
        <v>2975</v>
      </c>
      <c r="B1224" s="151" t="s">
        <v>2976</v>
      </c>
    </row>
    <row r="1225" spans="1:2">
      <c r="A1225" s="151" t="s">
        <v>2977</v>
      </c>
      <c r="B1225" s="151" t="s">
        <v>2978</v>
      </c>
    </row>
    <row r="1226" spans="1:2">
      <c r="A1226" s="151" t="s">
        <v>2979</v>
      </c>
      <c r="B1226" s="151" t="s">
        <v>2980</v>
      </c>
    </row>
    <row r="1227" spans="1:2">
      <c r="A1227" s="151" t="s">
        <v>2981</v>
      </c>
      <c r="B1227" s="151" t="s">
        <v>2982</v>
      </c>
    </row>
    <row r="1228" spans="1:2">
      <c r="A1228" s="151" t="s">
        <v>2983</v>
      </c>
      <c r="B1228" s="151" t="s">
        <v>2984</v>
      </c>
    </row>
    <row r="1229" spans="1:2">
      <c r="A1229" s="151" t="s">
        <v>2985</v>
      </c>
      <c r="B1229" s="151" t="s">
        <v>2986</v>
      </c>
    </row>
    <row r="1230" spans="1:2">
      <c r="A1230" s="151" t="s">
        <v>2987</v>
      </c>
      <c r="B1230" s="151" t="s">
        <v>2988</v>
      </c>
    </row>
    <row r="1231" spans="1:2">
      <c r="A1231" s="151" t="s">
        <v>2989</v>
      </c>
      <c r="B1231" s="151" t="s">
        <v>2990</v>
      </c>
    </row>
    <row r="1232" spans="1:2">
      <c r="A1232" s="151" t="s">
        <v>2991</v>
      </c>
      <c r="B1232" s="151" t="s">
        <v>2992</v>
      </c>
    </row>
    <row r="1233" spans="1:2">
      <c r="A1233" s="151" t="s">
        <v>2993</v>
      </c>
      <c r="B1233" s="151" t="s">
        <v>2994</v>
      </c>
    </row>
    <row r="1234" spans="1:2">
      <c r="A1234" s="151" t="s">
        <v>2995</v>
      </c>
      <c r="B1234" s="151" t="s">
        <v>2996</v>
      </c>
    </row>
    <row r="1235" spans="1:2">
      <c r="A1235" s="151" t="s">
        <v>2997</v>
      </c>
      <c r="B1235" s="151" t="s">
        <v>2998</v>
      </c>
    </row>
    <row r="1236" spans="1:2">
      <c r="A1236" s="151" t="s">
        <v>2999</v>
      </c>
      <c r="B1236" s="151" t="s">
        <v>3000</v>
      </c>
    </row>
    <row r="1237" spans="1:2">
      <c r="A1237" s="151" t="s">
        <v>3001</v>
      </c>
      <c r="B1237" s="151" t="s">
        <v>3002</v>
      </c>
    </row>
    <row r="1238" spans="1:2">
      <c r="A1238" s="151" t="s">
        <v>3003</v>
      </c>
      <c r="B1238" s="151" t="s">
        <v>3004</v>
      </c>
    </row>
    <row r="1239" spans="1:2">
      <c r="A1239" s="151" t="s">
        <v>3005</v>
      </c>
      <c r="B1239" s="151" t="s">
        <v>3006</v>
      </c>
    </row>
    <row r="1240" spans="1:2">
      <c r="A1240" s="151" t="s">
        <v>3007</v>
      </c>
      <c r="B1240" s="151" t="s">
        <v>3008</v>
      </c>
    </row>
    <row r="1241" spans="1:2">
      <c r="A1241" s="151" t="s">
        <v>3009</v>
      </c>
      <c r="B1241" s="151" t="s">
        <v>3010</v>
      </c>
    </row>
    <row r="1242" spans="1:2">
      <c r="A1242" s="151" t="s">
        <v>3011</v>
      </c>
      <c r="B1242" s="151" t="s">
        <v>3012</v>
      </c>
    </row>
    <row r="1243" spans="1:2">
      <c r="A1243" s="151" t="s">
        <v>3013</v>
      </c>
      <c r="B1243" s="151" t="s">
        <v>3014</v>
      </c>
    </row>
    <row r="1244" spans="1:2">
      <c r="A1244" s="151" t="s">
        <v>3015</v>
      </c>
      <c r="B1244" s="151" t="s">
        <v>3016</v>
      </c>
    </row>
    <row r="1245" spans="1:2">
      <c r="A1245" s="151" t="s">
        <v>3017</v>
      </c>
      <c r="B1245" s="151" t="s">
        <v>3018</v>
      </c>
    </row>
    <row r="1246" spans="1:2">
      <c r="A1246" s="151" t="s">
        <v>3019</v>
      </c>
      <c r="B1246" s="151" t="s">
        <v>3020</v>
      </c>
    </row>
    <row r="1247" spans="1:2">
      <c r="A1247" s="151" t="s">
        <v>3021</v>
      </c>
      <c r="B1247" s="151" t="s">
        <v>3022</v>
      </c>
    </row>
    <row r="1248" spans="1:2">
      <c r="A1248" s="151" t="s">
        <v>3023</v>
      </c>
      <c r="B1248" s="151" t="s">
        <v>3024</v>
      </c>
    </row>
    <row r="1249" spans="1:2">
      <c r="A1249" s="151" t="s">
        <v>3025</v>
      </c>
      <c r="B1249" s="151" t="s">
        <v>3026</v>
      </c>
    </row>
    <row r="1250" spans="1:2">
      <c r="A1250" s="151" t="s">
        <v>3027</v>
      </c>
      <c r="B1250" s="151" t="s">
        <v>3028</v>
      </c>
    </row>
    <row r="1251" spans="1:2">
      <c r="A1251" s="151" t="s">
        <v>3029</v>
      </c>
      <c r="B1251" s="151" t="s">
        <v>3030</v>
      </c>
    </row>
    <row r="1252" spans="1:2">
      <c r="A1252" s="151" t="s">
        <v>3031</v>
      </c>
      <c r="B1252" s="151" t="s">
        <v>3032</v>
      </c>
    </row>
    <row r="1253" spans="1:2">
      <c r="A1253" s="151" t="s">
        <v>3033</v>
      </c>
      <c r="B1253" s="151" t="s">
        <v>3034</v>
      </c>
    </row>
    <row r="1254" spans="1:2">
      <c r="A1254" s="151" t="s">
        <v>3035</v>
      </c>
      <c r="B1254" s="151" t="s">
        <v>3036</v>
      </c>
    </row>
    <row r="1255" spans="1:2">
      <c r="A1255" s="151" t="s">
        <v>3037</v>
      </c>
      <c r="B1255" s="151" t="s">
        <v>3038</v>
      </c>
    </row>
    <row r="1256" spans="1:2">
      <c r="A1256" s="151" t="s">
        <v>3039</v>
      </c>
      <c r="B1256" s="151" t="s">
        <v>3040</v>
      </c>
    </row>
    <row r="1257" spans="1:2">
      <c r="A1257" s="151" t="s">
        <v>3041</v>
      </c>
      <c r="B1257" s="151" t="s">
        <v>3042</v>
      </c>
    </row>
    <row r="1258" spans="1:2">
      <c r="A1258" s="151" t="s">
        <v>3043</v>
      </c>
      <c r="B1258" s="151" t="s">
        <v>3044</v>
      </c>
    </row>
    <row r="1259" spans="1:2">
      <c r="A1259" s="151" t="s">
        <v>3045</v>
      </c>
      <c r="B1259" s="151" t="s">
        <v>3046</v>
      </c>
    </row>
    <row r="1260" spans="1:2">
      <c r="A1260" s="151" t="s">
        <v>3047</v>
      </c>
      <c r="B1260" s="151" t="s">
        <v>3048</v>
      </c>
    </row>
    <row r="1261" spans="1:2">
      <c r="A1261" s="151" t="s">
        <v>3049</v>
      </c>
      <c r="B1261" s="151" t="s">
        <v>3050</v>
      </c>
    </row>
    <row r="1262" spans="1:2">
      <c r="A1262" s="151" t="s">
        <v>3051</v>
      </c>
      <c r="B1262" s="151" t="s">
        <v>303</v>
      </c>
    </row>
    <row r="1263" spans="1:2">
      <c r="A1263" s="151" t="s">
        <v>3052</v>
      </c>
      <c r="B1263" s="151" t="s">
        <v>3053</v>
      </c>
    </row>
    <row r="1264" spans="1:2">
      <c r="A1264" s="151" t="s">
        <v>3054</v>
      </c>
      <c r="B1264" s="151" t="s">
        <v>3055</v>
      </c>
    </row>
    <row r="1265" spans="1:2">
      <c r="A1265" s="151" t="s">
        <v>3056</v>
      </c>
      <c r="B1265" s="151" t="s">
        <v>3057</v>
      </c>
    </row>
    <row r="1266" spans="1:2">
      <c r="A1266" s="151" t="s">
        <v>3058</v>
      </c>
      <c r="B1266" s="151" t="s">
        <v>3059</v>
      </c>
    </row>
    <row r="1267" spans="1:2">
      <c r="A1267" s="151" t="s">
        <v>3060</v>
      </c>
      <c r="B1267" s="151" t="s">
        <v>3061</v>
      </c>
    </row>
    <row r="1268" spans="1:2">
      <c r="A1268" s="151" t="s">
        <v>3062</v>
      </c>
      <c r="B1268" s="151" t="s">
        <v>3063</v>
      </c>
    </row>
    <row r="1269" spans="1:2">
      <c r="A1269" s="151" t="s">
        <v>3064</v>
      </c>
      <c r="B1269" s="151" t="s">
        <v>308</v>
      </c>
    </row>
    <row r="1270" spans="1:2">
      <c r="A1270" s="151" t="s">
        <v>3065</v>
      </c>
      <c r="B1270" s="151" t="s">
        <v>3066</v>
      </c>
    </row>
    <row r="1271" spans="1:2">
      <c r="A1271" s="151" t="s">
        <v>3067</v>
      </c>
      <c r="B1271" s="151" t="s">
        <v>3068</v>
      </c>
    </row>
    <row r="1272" spans="1:2">
      <c r="A1272" s="151" t="s">
        <v>3069</v>
      </c>
      <c r="B1272" s="151" t="s">
        <v>3070</v>
      </c>
    </row>
    <row r="1273" spans="1:2">
      <c r="A1273" s="151" t="s">
        <v>3071</v>
      </c>
      <c r="B1273" s="151" t="s">
        <v>3072</v>
      </c>
    </row>
    <row r="1274" spans="1:2">
      <c r="A1274" s="151" t="s">
        <v>3073</v>
      </c>
      <c r="B1274" s="151" t="s">
        <v>3074</v>
      </c>
    </row>
    <row r="1275" spans="1:2">
      <c r="A1275" s="151" t="s">
        <v>3075</v>
      </c>
      <c r="B1275" s="151" t="s">
        <v>3076</v>
      </c>
    </row>
    <row r="1276" spans="1:2">
      <c r="A1276" s="151" t="s">
        <v>3077</v>
      </c>
      <c r="B1276" s="151" t="s">
        <v>3078</v>
      </c>
    </row>
    <row r="1277" spans="1:2">
      <c r="A1277" s="151" t="s">
        <v>3079</v>
      </c>
      <c r="B1277" s="151" t="s">
        <v>3080</v>
      </c>
    </row>
    <row r="1278" spans="1:2">
      <c r="A1278" s="151" t="s">
        <v>3081</v>
      </c>
      <c r="B1278" s="151" t="s">
        <v>3082</v>
      </c>
    </row>
    <row r="1279" spans="1:2">
      <c r="A1279" s="151" t="s">
        <v>3083</v>
      </c>
      <c r="B1279" s="151" t="s">
        <v>313</v>
      </c>
    </row>
    <row r="1280" spans="1:2">
      <c r="A1280" s="151" t="s">
        <v>3084</v>
      </c>
      <c r="B1280" s="151" t="s">
        <v>3085</v>
      </c>
    </row>
    <row r="1281" spans="1:2">
      <c r="A1281" s="151" t="s">
        <v>3086</v>
      </c>
      <c r="B1281" s="151" t="s">
        <v>3087</v>
      </c>
    </row>
    <row r="1282" spans="1:2">
      <c r="A1282" s="151" t="s">
        <v>3088</v>
      </c>
      <c r="B1282" s="151" t="s">
        <v>3089</v>
      </c>
    </row>
    <row r="1283" spans="1:2">
      <c r="A1283" s="151" t="s">
        <v>3090</v>
      </c>
      <c r="B1283" s="151" t="s">
        <v>318</v>
      </c>
    </row>
    <row r="1284" spans="1:2">
      <c r="A1284" s="151" t="s">
        <v>3091</v>
      </c>
      <c r="B1284" s="151" t="s">
        <v>323</v>
      </c>
    </row>
    <row r="1285" spans="1:2">
      <c r="A1285" s="151" t="s">
        <v>3092</v>
      </c>
      <c r="B1285" s="151" t="s">
        <v>328</v>
      </c>
    </row>
    <row r="1286" spans="1:2">
      <c r="A1286" s="151" t="s">
        <v>3093</v>
      </c>
      <c r="B1286" s="151" t="s">
        <v>3094</v>
      </c>
    </row>
    <row r="1287" spans="1:2">
      <c r="A1287" s="151" t="s">
        <v>3095</v>
      </c>
      <c r="B1287" s="151" t="s">
        <v>3096</v>
      </c>
    </row>
    <row r="1288" spans="1:2">
      <c r="A1288" s="151" t="s">
        <v>3097</v>
      </c>
      <c r="B1288" s="151" t="s">
        <v>3098</v>
      </c>
    </row>
    <row r="1289" spans="1:2">
      <c r="A1289" s="151" t="s">
        <v>3099</v>
      </c>
      <c r="B1289" s="151" t="s">
        <v>3100</v>
      </c>
    </row>
    <row r="1290" spans="1:2">
      <c r="A1290" s="151" t="s">
        <v>3101</v>
      </c>
      <c r="B1290" s="151" t="s">
        <v>3102</v>
      </c>
    </row>
    <row r="1291" spans="1:2">
      <c r="A1291" s="151" t="s">
        <v>3103</v>
      </c>
      <c r="B1291" s="151" t="s">
        <v>3104</v>
      </c>
    </row>
    <row r="1292" spans="1:2">
      <c r="A1292" s="151" t="s">
        <v>3105</v>
      </c>
      <c r="B1292" s="151" t="s">
        <v>3106</v>
      </c>
    </row>
    <row r="1293" spans="1:2">
      <c r="A1293" s="151" t="s">
        <v>3107</v>
      </c>
      <c r="B1293" s="151" t="s">
        <v>3108</v>
      </c>
    </row>
    <row r="1294" spans="1:2">
      <c r="A1294" s="151" t="s">
        <v>3109</v>
      </c>
      <c r="B1294" s="151" t="s">
        <v>3110</v>
      </c>
    </row>
    <row r="1295" spans="1:2">
      <c r="A1295" s="151" t="s">
        <v>3111</v>
      </c>
      <c r="B1295" s="151" t="s">
        <v>3112</v>
      </c>
    </row>
    <row r="1296" spans="1:2">
      <c r="A1296" s="151" t="s">
        <v>3113</v>
      </c>
      <c r="B1296" s="151" t="s">
        <v>3114</v>
      </c>
    </row>
    <row r="1297" spans="1:2">
      <c r="A1297" s="151" t="s">
        <v>3115</v>
      </c>
      <c r="B1297" s="151" t="s">
        <v>3116</v>
      </c>
    </row>
    <row r="1298" spans="1:2">
      <c r="A1298" s="151" t="s">
        <v>3117</v>
      </c>
      <c r="B1298" s="151" t="s">
        <v>3118</v>
      </c>
    </row>
    <row r="1299" spans="1:2">
      <c r="A1299" s="151" t="s">
        <v>3119</v>
      </c>
      <c r="B1299" s="151" t="s">
        <v>3120</v>
      </c>
    </row>
    <row r="1300" spans="1:2">
      <c r="A1300" s="151" t="s">
        <v>3121</v>
      </c>
      <c r="B1300" s="151" t="s">
        <v>333</v>
      </c>
    </row>
    <row r="1301" spans="1:2">
      <c r="A1301" s="151" t="s">
        <v>3122</v>
      </c>
      <c r="B1301" s="151" t="s">
        <v>3123</v>
      </c>
    </row>
    <row r="1302" spans="1:2">
      <c r="A1302" s="151" t="s">
        <v>3124</v>
      </c>
      <c r="B1302" s="151" t="s">
        <v>3125</v>
      </c>
    </row>
    <row r="1303" spans="1:2">
      <c r="A1303" s="151" t="s">
        <v>3126</v>
      </c>
      <c r="B1303" s="151" t="s">
        <v>338</v>
      </c>
    </row>
    <row r="1304" spans="1:2">
      <c r="A1304" s="151" t="s">
        <v>3127</v>
      </c>
      <c r="B1304" s="151" t="s">
        <v>3128</v>
      </c>
    </row>
    <row r="1305" spans="1:2">
      <c r="A1305" s="151" t="s">
        <v>3129</v>
      </c>
      <c r="B1305" s="151" t="s">
        <v>3130</v>
      </c>
    </row>
    <row r="1306" spans="1:2">
      <c r="A1306" s="151" t="s">
        <v>3131</v>
      </c>
      <c r="B1306" s="151" t="s">
        <v>3132</v>
      </c>
    </row>
    <row r="1307" spans="1:2">
      <c r="A1307" s="151" t="s">
        <v>3133</v>
      </c>
      <c r="B1307" s="151" t="s">
        <v>3134</v>
      </c>
    </row>
    <row r="1308" spans="1:2">
      <c r="A1308" s="151" t="s">
        <v>3135</v>
      </c>
      <c r="B1308" s="151" t="s">
        <v>3136</v>
      </c>
    </row>
    <row r="1309" spans="1:2">
      <c r="A1309" s="151" t="s">
        <v>3137</v>
      </c>
      <c r="B1309" s="151" t="s">
        <v>3138</v>
      </c>
    </row>
    <row r="1310" spans="1:2">
      <c r="A1310" s="151" t="s">
        <v>3139</v>
      </c>
      <c r="B1310" s="151" t="s">
        <v>3140</v>
      </c>
    </row>
    <row r="1311" spans="1:2">
      <c r="A1311" s="151" t="s">
        <v>3141</v>
      </c>
      <c r="B1311" s="151" t="s">
        <v>3142</v>
      </c>
    </row>
    <row r="1312" spans="1:2">
      <c r="A1312" s="151" t="s">
        <v>3143</v>
      </c>
      <c r="B1312" s="151" t="s">
        <v>3144</v>
      </c>
    </row>
    <row r="1313" spans="1:2">
      <c r="A1313" s="151" t="s">
        <v>3145</v>
      </c>
      <c r="B1313" s="151" t="s">
        <v>3146</v>
      </c>
    </row>
    <row r="1314" spans="1:2">
      <c r="A1314" s="151" t="s">
        <v>3147</v>
      </c>
      <c r="B1314" s="151" t="s">
        <v>3148</v>
      </c>
    </row>
    <row r="1315" spans="1:2">
      <c r="A1315" s="151" t="s">
        <v>3149</v>
      </c>
      <c r="B1315" s="151" t="s">
        <v>3150</v>
      </c>
    </row>
    <row r="1316" spans="1:2">
      <c r="A1316" s="151" t="s">
        <v>3151</v>
      </c>
      <c r="B1316" s="151" t="s">
        <v>3152</v>
      </c>
    </row>
    <row r="1317" spans="1:2">
      <c r="A1317" s="151" t="s">
        <v>3153</v>
      </c>
      <c r="B1317" s="151" t="s">
        <v>3154</v>
      </c>
    </row>
    <row r="1318" spans="1:2">
      <c r="A1318" s="151" t="s">
        <v>3155</v>
      </c>
      <c r="B1318" s="151" t="s">
        <v>3156</v>
      </c>
    </row>
    <row r="1319" spans="1:2">
      <c r="A1319" s="151" t="s">
        <v>3157</v>
      </c>
      <c r="B1319" s="151" t="s">
        <v>3158</v>
      </c>
    </row>
    <row r="1320" spans="1:2">
      <c r="A1320" s="151" t="s">
        <v>3159</v>
      </c>
      <c r="B1320" s="151" t="s">
        <v>3160</v>
      </c>
    </row>
    <row r="1321" spans="1:2">
      <c r="A1321" s="151" t="s">
        <v>3161</v>
      </c>
      <c r="B1321" s="151" t="s">
        <v>3162</v>
      </c>
    </row>
    <row r="1322" spans="1:2">
      <c r="A1322" s="151" t="s">
        <v>3163</v>
      </c>
      <c r="B1322" s="151" t="s">
        <v>3164</v>
      </c>
    </row>
    <row r="1323" spans="1:2">
      <c r="A1323" s="151" t="s">
        <v>3165</v>
      </c>
      <c r="B1323" s="151" t="s">
        <v>3166</v>
      </c>
    </row>
    <row r="1324" spans="1:2">
      <c r="A1324" s="151" t="s">
        <v>3167</v>
      </c>
      <c r="B1324" s="151" t="s">
        <v>3168</v>
      </c>
    </row>
    <row r="1325" spans="1:2">
      <c r="A1325" s="151" t="s">
        <v>3169</v>
      </c>
      <c r="B1325" s="151" t="s">
        <v>3170</v>
      </c>
    </row>
    <row r="1326" spans="1:2">
      <c r="A1326" s="151" t="s">
        <v>3171</v>
      </c>
      <c r="B1326" s="151" t="s">
        <v>3172</v>
      </c>
    </row>
    <row r="1327" spans="1:2">
      <c r="A1327" s="151" t="s">
        <v>3173</v>
      </c>
      <c r="B1327" s="151" t="s">
        <v>3174</v>
      </c>
    </row>
    <row r="1328" spans="1:2">
      <c r="A1328" s="151" t="s">
        <v>3175</v>
      </c>
      <c r="B1328" s="151" t="s">
        <v>3176</v>
      </c>
    </row>
    <row r="1329" spans="1:2">
      <c r="A1329" s="151" t="s">
        <v>3177</v>
      </c>
      <c r="B1329" s="151" t="s">
        <v>3178</v>
      </c>
    </row>
    <row r="1330" spans="1:2">
      <c r="A1330" s="151" t="s">
        <v>3179</v>
      </c>
      <c r="B1330" s="151" t="s">
        <v>3180</v>
      </c>
    </row>
    <row r="1331" spans="1:2">
      <c r="A1331" s="151" t="s">
        <v>3181</v>
      </c>
      <c r="B1331" s="151" t="s">
        <v>3182</v>
      </c>
    </row>
    <row r="1332" spans="1:2">
      <c r="A1332" s="151" t="s">
        <v>3183</v>
      </c>
      <c r="B1332" s="151" t="s">
        <v>3184</v>
      </c>
    </row>
    <row r="1333" spans="1:2">
      <c r="A1333" s="151" t="s">
        <v>3185</v>
      </c>
      <c r="B1333" s="151" t="s">
        <v>3186</v>
      </c>
    </row>
    <row r="1334" spans="1:2">
      <c r="A1334" s="151" t="s">
        <v>3187</v>
      </c>
      <c r="B1334" s="151" t="s">
        <v>3188</v>
      </c>
    </row>
    <row r="1335" spans="1:2">
      <c r="A1335" s="151" t="s">
        <v>3189</v>
      </c>
      <c r="B1335" s="151" t="s">
        <v>3190</v>
      </c>
    </row>
    <row r="1336" spans="1:2">
      <c r="A1336" s="151" t="s">
        <v>3191</v>
      </c>
      <c r="B1336" s="151" t="s">
        <v>3192</v>
      </c>
    </row>
    <row r="1337" spans="1:2">
      <c r="A1337" s="151" t="s">
        <v>3193</v>
      </c>
      <c r="B1337" s="151" t="s">
        <v>3194</v>
      </c>
    </row>
    <row r="1338" spans="1:2">
      <c r="A1338" s="151" t="s">
        <v>3195</v>
      </c>
      <c r="B1338" s="151" t="s">
        <v>3196</v>
      </c>
    </row>
    <row r="1339" spans="1:2">
      <c r="A1339" s="151" t="s">
        <v>3197</v>
      </c>
      <c r="B1339" s="151" t="s">
        <v>3198</v>
      </c>
    </row>
    <row r="1340" spans="1:2">
      <c r="A1340" s="151" t="s">
        <v>3199</v>
      </c>
      <c r="B1340" s="151" t="s">
        <v>3200</v>
      </c>
    </row>
    <row r="1341" spans="1:2">
      <c r="A1341" s="151" t="s">
        <v>3201</v>
      </c>
      <c r="B1341" s="151" t="s">
        <v>3202</v>
      </c>
    </row>
    <row r="1342" spans="1:2">
      <c r="A1342" s="151" t="s">
        <v>3203</v>
      </c>
      <c r="B1342" s="151" t="s">
        <v>3204</v>
      </c>
    </row>
    <row r="1343" spans="1:2">
      <c r="A1343" s="151" t="s">
        <v>3205</v>
      </c>
      <c r="B1343" s="151" t="s">
        <v>3206</v>
      </c>
    </row>
    <row r="1344" spans="1:2">
      <c r="A1344" s="151" t="s">
        <v>3207</v>
      </c>
      <c r="B1344" s="151" t="s">
        <v>3208</v>
      </c>
    </row>
    <row r="1345" spans="1:2">
      <c r="A1345" s="151" t="s">
        <v>3209</v>
      </c>
      <c r="B1345" s="151" t="s">
        <v>3210</v>
      </c>
    </row>
    <row r="1346" spans="1:2">
      <c r="A1346" s="151" t="s">
        <v>3211</v>
      </c>
      <c r="B1346" s="151" t="s">
        <v>3212</v>
      </c>
    </row>
    <row r="1347" spans="1:2">
      <c r="A1347" s="151" t="s">
        <v>3213</v>
      </c>
      <c r="B1347" s="151" t="s">
        <v>3214</v>
      </c>
    </row>
    <row r="1348" spans="1:2">
      <c r="A1348" s="151" t="s">
        <v>3215</v>
      </c>
      <c r="B1348" s="151" t="s">
        <v>3216</v>
      </c>
    </row>
    <row r="1349" spans="1:2">
      <c r="A1349" s="151" t="s">
        <v>3217</v>
      </c>
      <c r="B1349" s="151" t="s">
        <v>3218</v>
      </c>
    </row>
    <row r="1350" spans="1:2">
      <c r="A1350" s="151" t="s">
        <v>3219</v>
      </c>
      <c r="B1350" s="151" t="s">
        <v>3220</v>
      </c>
    </row>
    <row r="1351" spans="1:2">
      <c r="A1351" s="151" t="s">
        <v>3221</v>
      </c>
      <c r="B1351" s="151" t="s">
        <v>3222</v>
      </c>
    </row>
    <row r="1352" spans="1:2">
      <c r="A1352" s="151" t="s">
        <v>3223</v>
      </c>
      <c r="B1352" s="151" t="s">
        <v>3224</v>
      </c>
    </row>
    <row r="1353" spans="1:2">
      <c r="A1353" s="151" t="s">
        <v>3225</v>
      </c>
      <c r="B1353" s="151" t="s">
        <v>3226</v>
      </c>
    </row>
    <row r="1354" spans="1:2">
      <c r="A1354" s="151" t="s">
        <v>3227</v>
      </c>
      <c r="B1354" s="151" t="s">
        <v>3228</v>
      </c>
    </row>
    <row r="1355" spans="1:2">
      <c r="A1355" s="151" t="s">
        <v>3229</v>
      </c>
      <c r="B1355" s="151" t="s">
        <v>343</v>
      </c>
    </row>
    <row r="1356" spans="1:2">
      <c r="A1356" s="151" t="s">
        <v>3230</v>
      </c>
      <c r="B1356" s="151" t="s">
        <v>3231</v>
      </c>
    </row>
    <row r="1357" spans="1:2">
      <c r="A1357" s="151" t="s">
        <v>3232</v>
      </c>
      <c r="B1357" s="151" t="s">
        <v>348</v>
      </c>
    </row>
    <row r="1358" spans="1:2">
      <c r="A1358" s="151" t="s">
        <v>3233</v>
      </c>
      <c r="B1358" s="151" t="s">
        <v>3234</v>
      </c>
    </row>
    <row r="1359" spans="1:2">
      <c r="A1359" s="151" t="s">
        <v>3235</v>
      </c>
      <c r="B1359" s="151" t="s">
        <v>3236</v>
      </c>
    </row>
    <row r="1360" spans="1:2">
      <c r="A1360" s="151" t="s">
        <v>3237</v>
      </c>
      <c r="B1360" s="151" t="s">
        <v>3238</v>
      </c>
    </row>
    <row r="1361" spans="1:2">
      <c r="A1361" s="151" t="s">
        <v>3239</v>
      </c>
      <c r="B1361" s="151" t="s">
        <v>3240</v>
      </c>
    </row>
    <row r="1362" spans="1:2">
      <c r="A1362" s="151" t="s">
        <v>3241</v>
      </c>
      <c r="B1362" s="151" t="s">
        <v>3242</v>
      </c>
    </row>
    <row r="1363" spans="1:2">
      <c r="A1363" s="151" t="s">
        <v>3243</v>
      </c>
      <c r="B1363" s="151" t="s">
        <v>3244</v>
      </c>
    </row>
    <row r="1364" spans="1:2">
      <c r="A1364" s="151" t="s">
        <v>3245</v>
      </c>
      <c r="B1364" s="151" t="s">
        <v>3246</v>
      </c>
    </row>
    <row r="1365" spans="1:2">
      <c r="A1365" s="151" t="s">
        <v>3247</v>
      </c>
      <c r="B1365" s="151" t="s">
        <v>3248</v>
      </c>
    </row>
    <row r="1366" spans="1:2">
      <c r="A1366" s="151" t="s">
        <v>3249</v>
      </c>
      <c r="B1366" s="151" t="s">
        <v>3250</v>
      </c>
    </row>
    <row r="1367" spans="1:2">
      <c r="A1367" s="151" t="s">
        <v>3251</v>
      </c>
      <c r="B1367" s="151" t="s">
        <v>3252</v>
      </c>
    </row>
    <row r="1368" spans="1:2">
      <c r="A1368" s="151" t="s">
        <v>3253</v>
      </c>
      <c r="B1368" s="151" t="s">
        <v>3254</v>
      </c>
    </row>
    <row r="1369" spans="1:2">
      <c r="A1369" s="151" t="s">
        <v>3255</v>
      </c>
      <c r="B1369" s="151" t="s">
        <v>3256</v>
      </c>
    </row>
    <row r="1370" spans="1:2">
      <c r="A1370" s="151" t="s">
        <v>3257</v>
      </c>
      <c r="B1370" s="151" t="s">
        <v>3258</v>
      </c>
    </row>
    <row r="1371" spans="1:2">
      <c r="A1371" s="151" t="s">
        <v>3259</v>
      </c>
      <c r="B1371" s="151" t="s">
        <v>3260</v>
      </c>
    </row>
    <row r="1372" spans="1:2">
      <c r="A1372" s="151" t="s">
        <v>3261</v>
      </c>
      <c r="B1372" s="151" t="s">
        <v>3262</v>
      </c>
    </row>
    <row r="1373" spans="1:2">
      <c r="A1373" s="151" t="s">
        <v>3263</v>
      </c>
      <c r="B1373" s="151" t="s">
        <v>3264</v>
      </c>
    </row>
    <row r="1374" spans="1:2">
      <c r="A1374" s="151" t="s">
        <v>3265</v>
      </c>
      <c r="B1374" s="151" t="s">
        <v>3266</v>
      </c>
    </row>
    <row r="1375" spans="1:2">
      <c r="A1375" s="151" t="s">
        <v>3267</v>
      </c>
      <c r="B1375" s="151" t="s">
        <v>3268</v>
      </c>
    </row>
    <row r="1376" spans="1:2">
      <c r="A1376" s="151" t="s">
        <v>3269</v>
      </c>
      <c r="B1376" s="151" t="s">
        <v>3270</v>
      </c>
    </row>
    <row r="1377" spans="1:2">
      <c r="A1377" s="151" t="s">
        <v>3271</v>
      </c>
      <c r="B1377" s="151" t="s">
        <v>3272</v>
      </c>
    </row>
    <row r="1378" spans="1:2">
      <c r="A1378" s="151" t="s">
        <v>3273</v>
      </c>
      <c r="B1378" s="151" t="s">
        <v>3274</v>
      </c>
    </row>
    <row r="1379" spans="1:2">
      <c r="A1379" s="151" t="s">
        <v>3275</v>
      </c>
      <c r="B1379" s="151" t="s">
        <v>3276</v>
      </c>
    </row>
    <row r="1380" spans="1:2">
      <c r="A1380" s="151" t="s">
        <v>3277</v>
      </c>
      <c r="B1380" s="151" t="s">
        <v>3278</v>
      </c>
    </row>
    <row r="1381" spans="1:2">
      <c r="A1381" s="151" t="s">
        <v>3279</v>
      </c>
      <c r="B1381" s="151" t="s">
        <v>3280</v>
      </c>
    </row>
    <row r="1382" spans="1:2">
      <c r="A1382" s="151" t="s">
        <v>3281</v>
      </c>
      <c r="B1382" s="151" t="s">
        <v>3282</v>
      </c>
    </row>
    <row r="1383" spans="1:2">
      <c r="A1383" s="151" t="s">
        <v>3283</v>
      </c>
      <c r="B1383" s="151" t="s">
        <v>3284</v>
      </c>
    </row>
    <row r="1384" spans="1:2">
      <c r="A1384" s="151" t="s">
        <v>3285</v>
      </c>
      <c r="B1384" s="151" t="s">
        <v>3286</v>
      </c>
    </row>
    <row r="1385" spans="1:2">
      <c r="A1385" s="151" t="s">
        <v>3287</v>
      </c>
      <c r="B1385" s="151" t="s">
        <v>910</v>
      </c>
    </row>
    <row r="1386" spans="1:2">
      <c r="A1386" s="151" t="s">
        <v>3288</v>
      </c>
      <c r="B1386" s="151" t="s">
        <v>3289</v>
      </c>
    </row>
    <row r="1387" spans="1:2">
      <c r="A1387" s="151" t="s">
        <v>3290</v>
      </c>
      <c r="B1387" s="151" t="s">
        <v>353</v>
      </c>
    </row>
    <row r="1388" spans="1:2">
      <c r="A1388" s="151" t="s">
        <v>3291</v>
      </c>
      <c r="B1388" s="151" t="s">
        <v>3292</v>
      </c>
    </row>
    <row r="1389" spans="1:2">
      <c r="A1389" s="151" t="s">
        <v>3293</v>
      </c>
      <c r="B1389" s="151" t="s">
        <v>358</v>
      </c>
    </row>
    <row r="1390" spans="1:2">
      <c r="A1390" s="151" t="s">
        <v>3294</v>
      </c>
      <c r="B1390" s="151" t="s">
        <v>3295</v>
      </c>
    </row>
    <row r="1391" spans="1:2">
      <c r="A1391" s="151" t="s">
        <v>3296</v>
      </c>
      <c r="B1391" s="151" t="s">
        <v>363</v>
      </c>
    </row>
    <row r="1392" spans="1:2">
      <c r="A1392" s="151" t="s">
        <v>3297</v>
      </c>
      <c r="B1392" s="151" t="s">
        <v>368</v>
      </c>
    </row>
    <row r="1393" spans="1:2">
      <c r="A1393" s="151" t="s">
        <v>3298</v>
      </c>
      <c r="B1393" s="151" t="s">
        <v>120</v>
      </c>
    </row>
    <row r="1394" spans="1:2">
      <c r="A1394" s="151" t="s">
        <v>3299</v>
      </c>
      <c r="B1394" s="151" t="s">
        <v>3300</v>
      </c>
    </row>
    <row r="1395" spans="1:2">
      <c r="A1395" s="151" t="s">
        <v>3301</v>
      </c>
      <c r="B1395" s="151" t="s">
        <v>3302</v>
      </c>
    </row>
    <row r="1396" spans="1:2">
      <c r="A1396" s="151" t="s">
        <v>3303</v>
      </c>
      <c r="B1396" s="151" t="s">
        <v>3304</v>
      </c>
    </row>
    <row r="1397" spans="1:2">
      <c r="A1397" s="151" t="s">
        <v>3305</v>
      </c>
      <c r="B1397" s="151" t="s">
        <v>373</v>
      </c>
    </row>
    <row r="1398" spans="1:2">
      <c r="A1398" s="151" t="s">
        <v>3306</v>
      </c>
      <c r="B1398" s="151" t="s">
        <v>3307</v>
      </c>
    </row>
    <row r="1399" spans="1:2">
      <c r="A1399" s="151" t="s">
        <v>3308</v>
      </c>
      <c r="B1399" s="151" t="s">
        <v>3309</v>
      </c>
    </row>
    <row r="1400" spans="1:2">
      <c r="A1400" s="151" t="s">
        <v>3310</v>
      </c>
      <c r="B1400" s="151" t="s">
        <v>3311</v>
      </c>
    </row>
    <row r="1401" spans="1:2">
      <c r="A1401" s="151" t="s">
        <v>3312</v>
      </c>
      <c r="B1401" s="151" t="s">
        <v>3313</v>
      </c>
    </row>
    <row r="1402" spans="1:2">
      <c r="A1402" s="151" t="s">
        <v>3314</v>
      </c>
      <c r="B1402" s="151" t="s">
        <v>3315</v>
      </c>
    </row>
    <row r="1403" spans="1:2">
      <c r="A1403" s="151" t="s">
        <v>3316</v>
      </c>
      <c r="B1403" s="151" t="s">
        <v>3317</v>
      </c>
    </row>
    <row r="1404" spans="1:2">
      <c r="A1404" s="151" t="s">
        <v>3318</v>
      </c>
      <c r="B1404" s="151" t="s">
        <v>3319</v>
      </c>
    </row>
    <row r="1405" spans="1:2">
      <c r="A1405" s="151" t="s">
        <v>3320</v>
      </c>
      <c r="B1405" s="151" t="s">
        <v>3321</v>
      </c>
    </row>
    <row r="1406" spans="1:2">
      <c r="A1406" s="151" t="s">
        <v>3322</v>
      </c>
      <c r="B1406" s="151" t="s">
        <v>3323</v>
      </c>
    </row>
    <row r="1407" spans="1:2">
      <c r="A1407" s="151" t="s">
        <v>3324</v>
      </c>
      <c r="B1407" s="151" t="s">
        <v>3325</v>
      </c>
    </row>
    <row r="1408" spans="1:2">
      <c r="A1408" s="151" t="s">
        <v>3326</v>
      </c>
      <c r="B1408" s="151" t="s">
        <v>3327</v>
      </c>
    </row>
    <row r="1409" spans="1:2">
      <c r="A1409" s="151" t="s">
        <v>3328</v>
      </c>
      <c r="B1409" s="151" t="s">
        <v>3329</v>
      </c>
    </row>
    <row r="1410" spans="1:2">
      <c r="A1410" s="151" t="s">
        <v>3330</v>
      </c>
      <c r="B1410" s="151" t="s">
        <v>3331</v>
      </c>
    </row>
    <row r="1411" spans="1:2">
      <c r="A1411" s="151" t="s">
        <v>3332</v>
      </c>
      <c r="B1411" s="151" t="s">
        <v>3333</v>
      </c>
    </row>
    <row r="1412" spans="1:2">
      <c r="A1412" s="151" t="s">
        <v>3334</v>
      </c>
      <c r="B1412" s="151" t="s">
        <v>3335</v>
      </c>
    </row>
    <row r="1413" spans="1:2">
      <c r="A1413" s="151" t="s">
        <v>3336</v>
      </c>
      <c r="B1413" s="151" t="s">
        <v>3337</v>
      </c>
    </row>
    <row r="1414" spans="1:2">
      <c r="A1414" s="151" t="s">
        <v>3338</v>
      </c>
      <c r="B1414" s="151" t="s">
        <v>3339</v>
      </c>
    </row>
    <row r="1415" spans="1:2">
      <c r="A1415" s="151" t="s">
        <v>3340</v>
      </c>
      <c r="B1415" s="151" t="s">
        <v>3341</v>
      </c>
    </row>
    <row r="1416" spans="1:2">
      <c r="A1416" s="151" t="s">
        <v>3342</v>
      </c>
      <c r="B1416" s="151" t="s">
        <v>3343</v>
      </c>
    </row>
    <row r="1417" spans="1:2">
      <c r="A1417" s="151" t="s">
        <v>3344</v>
      </c>
      <c r="B1417" s="151" t="s">
        <v>3345</v>
      </c>
    </row>
    <row r="1418" spans="1:2">
      <c r="A1418" s="151" t="s">
        <v>3346</v>
      </c>
      <c r="B1418" s="151" t="s">
        <v>3347</v>
      </c>
    </row>
    <row r="1419" spans="1:2">
      <c r="A1419" s="151" t="s">
        <v>3348</v>
      </c>
      <c r="B1419" s="151" t="s">
        <v>3349</v>
      </c>
    </row>
    <row r="1420" spans="1:2">
      <c r="A1420" s="151" t="s">
        <v>3350</v>
      </c>
      <c r="B1420" s="151" t="s">
        <v>3351</v>
      </c>
    </row>
    <row r="1421" spans="1:2">
      <c r="A1421" s="151" t="s">
        <v>3352</v>
      </c>
      <c r="B1421" s="151" t="s">
        <v>3353</v>
      </c>
    </row>
    <row r="1422" spans="1:2">
      <c r="A1422" s="151" t="s">
        <v>3354</v>
      </c>
      <c r="B1422" s="151" t="s">
        <v>3355</v>
      </c>
    </row>
    <row r="1423" spans="1:2">
      <c r="A1423" s="151" t="s">
        <v>3356</v>
      </c>
      <c r="B1423" s="151" t="s">
        <v>3357</v>
      </c>
    </row>
    <row r="1424" spans="1:2">
      <c r="A1424" s="151" t="s">
        <v>3358</v>
      </c>
      <c r="B1424" s="151" t="s">
        <v>3359</v>
      </c>
    </row>
    <row r="1425" spans="1:2">
      <c r="A1425" s="151" t="s">
        <v>3360</v>
      </c>
      <c r="B1425" s="151" t="s">
        <v>3361</v>
      </c>
    </row>
    <row r="1426" spans="1:2">
      <c r="A1426" s="151" t="s">
        <v>3362</v>
      </c>
      <c r="B1426" s="151" t="s">
        <v>3363</v>
      </c>
    </row>
    <row r="1427" spans="1:2">
      <c r="A1427" s="151" t="s">
        <v>3364</v>
      </c>
      <c r="B1427" s="151" t="s">
        <v>3365</v>
      </c>
    </row>
    <row r="1428" spans="1:2">
      <c r="A1428" s="151" t="s">
        <v>3366</v>
      </c>
      <c r="B1428" s="151" t="s">
        <v>3367</v>
      </c>
    </row>
    <row r="1429" spans="1:2">
      <c r="A1429" s="151" t="s">
        <v>3368</v>
      </c>
      <c r="B1429" s="151" t="s">
        <v>3369</v>
      </c>
    </row>
    <row r="1430" spans="1:2">
      <c r="A1430" s="151" t="s">
        <v>3370</v>
      </c>
      <c r="B1430" s="151" t="s">
        <v>3371</v>
      </c>
    </row>
    <row r="1431" spans="1:2">
      <c r="A1431" s="151" t="s">
        <v>3372</v>
      </c>
      <c r="B1431" s="151" t="s">
        <v>3373</v>
      </c>
    </row>
    <row r="1432" spans="1:2">
      <c r="A1432" s="151" t="s">
        <v>3374</v>
      </c>
      <c r="B1432" s="151" t="s">
        <v>3375</v>
      </c>
    </row>
    <row r="1433" spans="1:2">
      <c r="A1433" s="151" t="s">
        <v>3376</v>
      </c>
      <c r="B1433" s="151" t="s">
        <v>3377</v>
      </c>
    </row>
    <row r="1434" spans="1:2">
      <c r="A1434" s="151" t="s">
        <v>3378</v>
      </c>
      <c r="B1434" s="151" t="s">
        <v>3379</v>
      </c>
    </row>
    <row r="1435" spans="1:2">
      <c r="A1435" s="151" t="s">
        <v>3380</v>
      </c>
      <c r="B1435" s="151" t="s">
        <v>3381</v>
      </c>
    </row>
    <row r="1436" spans="1:2">
      <c r="A1436" s="151" t="s">
        <v>3382</v>
      </c>
      <c r="B1436" s="151" t="s">
        <v>3383</v>
      </c>
    </row>
    <row r="1437" spans="1:2">
      <c r="A1437" s="151" t="s">
        <v>3384</v>
      </c>
      <c r="B1437" s="151" t="s">
        <v>3385</v>
      </c>
    </row>
    <row r="1438" spans="1:2">
      <c r="A1438" s="151" t="s">
        <v>3386</v>
      </c>
      <c r="B1438" s="151" t="s">
        <v>3387</v>
      </c>
    </row>
    <row r="1439" spans="1:2">
      <c r="A1439" s="151" t="s">
        <v>3388</v>
      </c>
      <c r="B1439" s="151" t="s">
        <v>3389</v>
      </c>
    </row>
    <row r="1440" spans="1:2">
      <c r="A1440" s="151" t="s">
        <v>3390</v>
      </c>
      <c r="B1440" s="151" t="s">
        <v>3391</v>
      </c>
    </row>
    <row r="1441" spans="1:2">
      <c r="A1441" s="151" t="s">
        <v>3392</v>
      </c>
      <c r="B1441" s="151" t="s">
        <v>3393</v>
      </c>
    </row>
    <row r="1442" spans="1:2">
      <c r="A1442" s="151" t="s">
        <v>3394</v>
      </c>
      <c r="B1442" s="151" t="s">
        <v>3395</v>
      </c>
    </row>
    <row r="1443" spans="1:2">
      <c r="A1443" s="151" t="s">
        <v>3396</v>
      </c>
      <c r="B1443" s="151" t="s">
        <v>3397</v>
      </c>
    </row>
    <row r="1444" spans="1:2">
      <c r="A1444" s="151" t="s">
        <v>3398</v>
      </c>
      <c r="B1444" s="151" t="s">
        <v>3399</v>
      </c>
    </row>
    <row r="1445" spans="1:2">
      <c r="A1445" s="151" t="s">
        <v>3400</v>
      </c>
      <c r="B1445" s="151" t="s">
        <v>3401</v>
      </c>
    </row>
    <row r="1446" spans="1:2">
      <c r="A1446" s="151" t="s">
        <v>3402</v>
      </c>
      <c r="B1446" s="151" t="s">
        <v>3403</v>
      </c>
    </row>
    <row r="1447" spans="1:2">
      <c r="A1447" s="151" t="s">
        <v>3404</v>
      </c>
      <c r="B1447" s="151" t="s">
        <v>3405</v>
      </c>
    </row>
    <row r="1448" spans="1:2">
      <c r="A1448" s="151" t="s">
        <v>3406</v>
      </c>
      <c r="B1448" s="151" t="s">
        <v>3407</v>
      </c>
    </row>
    <row r="1449" spans="1:2">
      <c r="A1449" s="151" t="s">
        <v>3408</v>
      </c>
      <c r="B1449" s="151" t="s">
        <v>3409</v>
      </c>
    </row>
    <row r="1450" spans="1:2">
      <c r="A1450" s="151" t="s">
        <v>3410</v>
      </c>
      <c r="B1450" s="151" t="s">
        <v>3411</v>
      </c>
    </row>
    <row r="1451" spans="1:2">
      <c r="A1451" s="151" t="s">
        <v>3412</v>
      </c>
      <c r="B1451" s="151" t="s">
        <v>3413</v>
      </c>
    </row>
    <row r="1452" spans="1:2">
      <c r="A1452" s="151" t="s">
        <v>3414</v>
      </c>
      <c r="B1452" s="151" t="s">
        <v>3415</v>
      </c>
    </row>
    <row r="1453" spans="1:2">
      <c r="A1453" s="151" t="s">
        <v>3416</v>
      </c>
      <c r="B1453" s="151" t="s">
        <v>3417</v>
      </c>
    </row>
    <row r="1454" spans="1:2">
      <c r="A1454" s="151" t="s">
        <v>3418</v>
      </c>
      <c r="B1454" s="151" t="s">
        <v>3419</v>
      </c>
    </row>
    <row r="1455" spans="1:2">
      <c r="A1455" s="151" t="s">
        <v>3420</v>
      </c>
      <c r="B1455" s="151" t="s">
        <v>3421</v>
      </c>
    </row>
    <row r="1456" spans="1:2">
      <c r="A1456" s="151" t="s">
        <v>3422</v>
      </c>
      <c r="B1456" s="151" t="s">
        <v>3423</v>
      </c>
    </row>
    <row r="1457" spans="1:2">
      <c r="A1457" s="151" t="s">
        <v>3424</v>
      </c>
      <c r="B1457" s="151" t="s">
        <v>3425</v>
      </c>
    </row>
    <row r="1458" spans="1:2">
      <c r="A1458" s="151" t="s">
        <v>3426</v>
      </c>
    </row>
    <row r="1459" spans="1:2">
      <c r="A1459" s="151" t="s">
        <v>3427</v>
      </c>
    </row>
    <row r="1460" spans="1:2">
      <c r="A1460" s="151" t="s">
        <v>3428</v>
      </c>
    </row>
    <row r="1461" spans="1:2">
      <c r="A1461" s="151" t="s">
        <v>3429</v>
      </c>
    </row>
    <row r="1462" spans="1:2">
      <c r="A1462" s="151" t="s">
        <v>3430</v>
      </c>
    </row>
    <row r="1463" spans="1:2">
      <c r="A1463" s="151" t="s">
        <v>3431</v>
      </c>
    </row>
    <row r="1464" spans="1:2">
      <c r="A1464" s="151" t="s">
        <v>3432</v>
      </c>
    </row>
    <row r="1465" spans="1:2">
      <c r="A1465" s="151" t="s">
        <v>3433</v>
      </c>
    </row>
    <row r="1466" spans="1:2">
      <c r="A1466" s="151" t="s">
        <v>3434</v>
      </c>
    </row>
    <row r="1467" spans="1:2">
      <c r="A1467" s="151" t="s">
        <v>3435</v>
      </c>
    </row>
    <row r="1468" spans="1:2">
      <c r="A1468" s="151" t="s">
        <v>3436</v>
      </c>
    </row>
    <row r="1469" spans="1:2">
      <c r="A1469" s="151" t="s">
        <v>3437</v>
      </c>
    </row>
    <row r="1470" spans="1:2">
      <c r="A1470" s="151" t="s">
        <v>3438</v>
      </c>
    </row>
    <row r="1471" spans="1:2">
      <c r="A1471" s="151" t="s">
        <v>3439</v>
      </c>
    </row>
    <row r="1472" spans="1:2">
      <c r="A1472" s="151" t="s">
        <v>3440</v>
      </c>
    </row>
    <row r="1473" spans="1:1">
      <c r="A1473" s="151" t="s">
        <v>3441</v>
      </c>
    </row>
    <row r="1474" spans="1:1">
      <c r="A1474" s="151" t="s">
        <v>3442</v>
      </c>
    </row>
    <row r="1475" spans="1:1">
      <c r="A1475" s="151" t="s">
        <v>3443</v>
      </c>
    </row>
    <row r="1476" spans="1:1">
      <c r="A1476" s="151" t="s">
        <v>3444</v>
      </c>
    </row>
    <row r="1477" spans="1:1">
      <c r="A1477" s="151" t="s">
        <v>3445</v>
      </c>
    </row>
    <row r="1478" spans="1:1">
      <c r="A1478" s="151" t="s">
        <v>3446</v>
      </c>
    </row>
    <row r="1479" spans="1:1">
      <c r="A1479" s="151" t="s">
        <v>3447</v>
      </c>
    </row>
    <row r="1480" spans="1:1">
      <c r="A1480" s="151" t="s">
        <v>3448</v>
      </c>
    </row>
    <row r="1481" spans="1:1">
      <c r="A1481" s="151" t="s">
        <v>3449</v>
      </c>
    </row>
    <row r="1482" spans="1:1">
      <c r="A1482" s="151" t="s">
        <v>3450</v>
      </c>
    </row>
    <row r="1483" spans="1:1">
      <c r="A1483" s="151" t="s">
        <v>3451</v>
      </c>
    </row>
    <row r="1484" spans="1:1">
      <c r="A1484" s="151" t="s">
        <v>3452</v>
      </c>
    </row>
    <row r="1485" spans="1:1">
      <c r="A1485" s="151" t="s">
        <v>3453</v>
      </c>
    </row>
    <row r="1486" spans="1:1">
      <c r="A1486" s="151" t="s">
        <v>3454</v>
      </c>
    </row>
    <row r="1487" spans="1:1">
      <c r="A1487" s="151" t="s">
        <v>3455</v>
      </c>
    </row>
    <row r="1488" spans="1:1">
      <c r="A1488" s="151" t="s">
        <v>3456</v>
      </c>
    </row>
    <row r="1489" spans="1:1">
      <c r="A1489" s="151" t="s">
        <v>3457</v>
      </c>
    </row>
    <row r="1490" spans="1:1">
      <c r="A1490" s="151" t="s">
        <v>3458</v>
      </c>
    </row>
    <row r="1491" spans="1:1">
      <c r="A1491" s="151" t="s">
        <v>3459</v>
      </c>
    </row>
    <row r="1492" spans="1:1">
      <c r="A1492" s="151" t="s">
        <v>3460</v>
      </c>
    </row>
    <row r="1493" spans="1:1">
      <c r="A1493" s="151" t="s">
        <v>3461</v>
      </c>
    </row>
    <row r="1494" spans="1:1">
      <c r="A1494" s="151" t="s">
        <v>3462</v>
      </c>
    </row>
    <row r="1495" spans="1:1">
      <c r="A1495" s="151" t="s">
        <v>3463</v>
      </c>
    </row>
    <row r="1496" spans="1:1">
      <c r="A1496" s="151" t="s">
        <v>3464</v>
      </c>
    </row>
    <row r="1497" spans="1:1">
      <c r="A1497" s="151" t="s">
        <v>3465</v>
      </c>
    </row>
    <row r="1498" spans="1:1">
      <c r="A1498" s="151" t="s">
        <v>3466</v>
      </c>
    </row>
    <row r="1499" spans="1:1">
      <c r="A1499" s="151" t="s">
        <v>3467</v>
      </c>
    </row>
    <row r="1500" spans="1:1">
      <c r="A1500" s="151" t="s">
        <v>3468</v>
      </c>
    </row>
    <row r="1501" spans="1:1">
      <c r="A1501" s="151" t="s">
        <v>3469</v>
      </c>
    </row>
    <row r="1502" spans="1:1">
      <c r="A1502" s="151" t="s">
        <v>3470</v>
      </c>
    </row>
    <row r="1503" spans="1:1">
      <c r="A1503" s="151" t="s">
        <v>3471</v>
      </c>
    </row>
    <row r="1504" spans="1:1">
      <c r="A1504" s="151" t="s">
        <v>3472</v>
      </c>
    </row>
    <row r="1505" spans="1:1">
      <c r="A1505" s="151" t="s">
        <v>3473</v>
      </c>
    </row>
    <row r="1506" spans="1:1">
      <c r="A1506" s="151" t="s">
        <v>3474</v>
      </c>
    </row>
    <row r="1507" spans="1:1">
      <c r="A1507" s="151" t="s">
        <v>3475</v>
      </c>
    </row>
    <row r="1508" spans="1:1">
      <c r="A1508" s="151" t="s">
        <v>3476</v>
      </c>
    </row>
    <row r="1509" spans="1:1">
      <c r="A1509" s="151" t="s">
        <v>3477</v>
      </c>
    </row>
    <row r="1510" spans="1:1">
      <c r="A1510" s="151" t="s">
        <v>3478</v>
      </c>
    </row>
    <row r="1511" spans="1:1">
      <c r="A1511" s="151" t="s">
        <v>3479</v>
      </c>
    </row>
    <row r="1512" spans="1:1">
      <c r="A1512" s="151" t="s">
        <v>3480</v>
      </c>
    </row>
    <row r="1513" spans="1:1">
      <c r="A1513" s="151" t="s">
        <v>3481</v>
      </c>
    </row>
    <row r="1514" spans="1:1">
      <c r="A1514" s="151" t="s">
        <v>3482</v>
      </c>
    </row>
    <row r="1515" spans="1:1">
      <c r="A1515" s="151" t="s">
        <v>3483</v>
      </c>
    </row>
    <row r="1516" spans="1:1">
      <c r="A1516" s="151" t="s">
        <v>3484</v>
      </c>
    </row>
    <row r="1517" spans="1:1">
      <c r="A1517" s="151" t="s">
        <v>3485</v>
      </c>
    </row>
    <row r="1518" spans="1:1">
      <c r="A1518" s="151" t="s">
        <v>3486</v>
      </c>
    </row>
    <row r="1519" spans="1:1">
      <c r="A1519" s="151" t="s">
        <v>3487</v>
      </c>
    </row>
    <row r="1520" spans="1:1">
      <c r="A1520" s="151" t="s">
        <v>3488</v>
      </c>
    </row>
    <row r="1521" spans="1:1">
      <c r="A1521" s="151" t="s">
        <v>3489</v>
      </c>
    </row>
    <row r="1522" spans="1:1">
      <c r="A1522" s="151" t="s">
        <v>3490</v>
      </c>
    </row>
    <row r="1523" spans="1:1">
      <c r="A1523" s="151" t="s">
        <v>3491</v>
      </c>
    </row>
    <row r="1524" spans="1:1">
      <c r="A1524" s="151" t="s">
        <v>3492</v>
      </c>
    </row>
    <row r="1525" spans="1:1">
      <c r="A1525" s="151" t="s">
        <v>3493</v>
      </c>
    </row>
    <row r="1526" spans="1:1">
      <c r="A1526" s="151" t="s">
        <v>3494</v>
      </c>
    </row>
    <row r="1527" spans="1:1">
      <c r="A1527" s="151" t="s">
        <v>3495</v>
      </c>
    </row>
    <row r="1528" spans="1:1">
      <c r="A1528" s="151" t="s">
        <v>3496</v>
      </c>
    </row>
    <row r="1529" spans="1:1">
      <c r="A1529" s="151" t="s">
        <v>3497</v>
      </c>
    </row>
    <row r="1530" spans="1:1">
      <c r="A1530" s="151" t="s">
        <v>3498</v>
      </c>
    </row>
    <row r="1531" spans="1:1">
      <c r="A1531" s="151" t="s">
        <v>3499</v>
      </c>
    </row>
    <row r="1532" spans="1:1">
      <c r="A1532" s="151" t="s">
        <v>3500</v>
      </c>
    </row>
    <row r="1533" spans="1:1">
      <c r="A1533" s="151" t="s">
        <v>3501</v>
      </c>
    </row>
    <row r="1534" spans="1:1">
      <c r="A1534" s="151" t="s">
        <v>3502</v>
      </c>
    </row>
    <row r="1535" spans="1:1">
      <c r="A1535" s="151" t="s">
        <v>3503</v>
      </c>
    </row>
    <row r="1536" spans="1:1">
      <c r="A1536" s="151" t="s">
        <v>3504</v>
      </c>
    </row>
    <row r="1537" spans="1:1">
      <c r="A1537" s="151" t="s">
        <v>3505</v>
      </c>
    </row>
    <row r="1538" spans="1:1">
      <c r="A1538" s="151" t="s">
        <v>3506</v>
      </c>
    </row>
    <row r="1539" spans="1:1">
      <c r="A1539" s="151" t="s">
        <v>3507</v>
      </c>
    </row>
    <row r="1540" spans="1:1">
      <c r="A1540" s="151" t="s">
        <v>3508</v>
      </c>
    </row>
    <row r="1541" spans="1:1">
      <c r="A1541" s="151" t="s">
        <v>3509</v>
      </c>
    </row>
    <row r="1542" spans="1:1">
      <c r="A1542" s="151" t="s">
        <v>3510</v>
      </c>
    </row>
    <row r="1543" spans="1:1">
      <c r="A1543" s="151" t="s">
        <v>3511</v>
      </c>
    </row>
    <row r="1544" spans="1:1">
      <c r="A1544" s="151" t="s">
        <v>3512</v>
      </c>
    </row>
    <row r="1545" spans="1:1">
      <c r="A1545" s="151" t="s">
        <v>3513</v>
      </c>
    </row>
    <row r="1546" spans="1:1">
      <c r="A1546" s="151" t="s">
        <v>3514</v>
      </c>
    </row>
    <row r="1547" spans="1:1">
      <c r="A1547" s="151" t="s">
        <v>3515</v>
      </c>
    </row>
    <row r="1548" spans="1:1">
      <c r="A1548" s="151" t="s">
        <v>3516</v>
      </c>
    </row>
    <row r="1549" spans="1:1">
      <c r="A1549" s="151" t="s">
        <v>3517</v>
      </c>
    </row>
    <row r="1550" spans="1:1">
      <c r="A1550" s="151" t="s">
        <v>3518</v>
      </c>
    </row>
    <row r="1551" spans="1:1">
      <c r="A1551" s="151" t="s">
        <v>3519</v>
      </c>
    </row>
    <row r="1552" spans="1:1">
      <c r="A1552" s="151" t="s">
        <v>3520</v>
      </c>
    </row>
    <row r="1553" spans="1:1">
      <c r="A1553" s="151" t="s">
        <v>3521</v>
      </c>
    </row>
    <row r="1554" spans="1:1">
      <c r="A1554" s="151" t="s">
        <v>3522</v>
      </c>
    </row>
    <row r="1555" spans="1:1">
      <c r="A1555" s="151" t="s">
        <v>3523</v>
      </c>
    </row>
    <row r="1556" spans="1:1">
      <c r="A1556" s="151" t="s">
        <v>3524</v>
      </c>
    </row>
    <row r="1557" spans="1:1">
      <c r="A1557" s="151" t="s">
        <v>3525</v>
      </c>
    </row>
    <row r="1558" spans="1:1">
      <c r="A1558" s="151" t="s">
        <v>3526</v>
      </c>
    </row>
    <row r="1559" spans="1:1">
      <c r="A1559" s="151" t="s">
        <v>3527</v>
      </c>
    </row>
    <row r="1560" spans="1:1">
      <c r="A1560" s="151" t="s">
        <v>3528</v>
      </c>
    </row>
    <row r="1561" spans="1:1">
      <c r="A1561" s="151" t="s">
        <v>3529</v>
      </c>
    </row>
    <row r="1562" spans="1:1">
      <c r="A1562" s="151" t="s">
        <v>3530</v>
      </c>
    </row>
    <row r="1563" spans="1:1">
      <c r="A1563" s="151" t="s">
        <v>3531</v>
      </c>
    </row>
    <row r="1564" spans="1:1">
      <c r="A1564" s="151" t="s">
        <v>3532</v>
      </c>
    </row>
    <row r="1565" spans="1:1">
      <c r="A1565" s="151" t="s">
        <v>3533</v>
      </c>
    </row>
    <row r="1566" spans="1:1">
      <c r="A1566" s="151" t="s">
        <v>3534</v>
      </c>
    </row>
    <row r="1567" spans="1:1">
      <c r="A1567" s="151" t="s">
        <v>3535</v>
      </c>
    </row>
    <row r="1568" spans="1:1">
      <c r="A1568" s="151" t="s">
        <v>3536</v>
      </c>
    </row>
    <row r="1569" spans="1:1">
      <c r="A1569" s="151" t="s">
        <v>3537</v>
      </c>
    </row>
    <row r="1570" spans="1:1">
      <c r="A1570" s="151" t="s">
        <v>3538</v>
      </c>
    </row>
    <row r="1571" spans="1:1">
      <c r="A1571" s="151" t="s">
        <v>3539</v>
      </c>
    </row>
    <row r="1572" spans="1:1">
      <c r="A1572" s="151" t="s">
        <v>3540</v>
      </c>
    </row>
    <row r="1573" spans="1:1">
      <c r="A1573" s="151" t="s">
        <v>3541</v>
      </c>
    </row>
    <row r="1574" spans="1:1">
      <c r="A1574" s="151" t="s">
        <v>3542</v>
      </c>
    </row>
    <row r="1575" spans="1:1">
      <c r="A1575" s="151" t="s">
        <v>3543</v>
      </c>
    </row>
    <row r="1576" spans="1:1">
      <c r="A1576" s="151" t="s">
        <v>3544</v>
      </c>
    </row>
    <row r="1577" spans="1:1">
      <c r="A1577" s="151" t="s">
        <v>3545</v>
      </c>
    </row>
    <row r="1578" spans="1:1">
      <c r="A1578" s="151" t="s">
        <v>3546</v>
      </c>
    </row>
    <row r="1579" spans="1:1">
      <c r="A1579" s="151" t="s">
        <v>3547</v>
      </c>
    </row>
    <row r="1580" spans="1:1">
      <c r="A1580" s="151" t="s">
        <v>3548</v>
      </c>
    </row>
    <row r="1581" spans="1:1">
      <c r="A1581" s="151" t="s">
        <v>3549</v>
      </c>
    </row>
    <row r="1582" spans="1:1">
      <c r="A1582" s="151" t="s">
        <v>3550</v>
      </c>
    </row>
    <row r="1583" spans="1:1">
      <c r="A1583" s="151" t="s">
        <v>3551</v>
      </c>
    </row>
    <row r="1584" spans="1:1">
      <c r="A1584" s="151" t="s">
        <v>3552</v>
      </c>
    </row>
    <row r="1585" spans="1:1">
      <c r="A1585" s="151" t="s">
        <v>3553</v>
      </c>
    </row>
    <row r="1586" spans="1:1">
      <c r="A1586" s="151" t="s">
        <v>3554</v>
      </c>
    </row>
    <row r="1587" spans="1:1">
      <c r="A1587" s="151" t="s">
        <v>3555</v>
      </c>
    </row>
    <row r="1588" spans="1:1">
      <c r="A1588" s="151" t="s">
        <v>3556</v>
      </c>
    </row>
    <row r="1589" spans="1:1">
      <c r="A1589" s="151" t="s">
        <v>3557</v>
      </c>
    </row>
    <row r="1590" spans="1:1">
      <c r="A1590" s="151" t="s">
        <v>3558</v>
      </c>
    </row>
    <row r="1591" spans="1:1">
      <c r="A1591" s="151" t="s">
        <v>3559</v>
      </c>
    </row>
    <row r="1592" spans="1:1">
      <c r="A1592" s="151" t="s">
        <v>3560</v>
      </c>
    </row>
    <row r="1593" spans="1:1">
      <c r="A1593" s="151" t="s">
        <v>3561</v>
      </c>
    </row>
    <row r="1594" spans="1:1">
      <c r="A1594" s="151" t="s">
        <v>3562</v>
      </c>
    </row>
    <row r="1595" spans="1:1">
      <c r="A1595" s="151" t="s">
        <v>3563</v>
      </c>
    </row>
    <row r="1596" spans="1:1">
      <c r="A1596" s="151" t="s">
        <v>3564</v>
      </c>
    </row>
    <row r="1597" spans="1:1">
      <c r="A1597" s="151" t="s">
        <v>3565</v>
      </c>
    </row>
    <row r="1598" spans="1:1">
      <c r="A1598" s="151" t="s">
        <v>3566</v>
      </c>
    </row>
    <row r="1599" spans="1:1">
      <c r="A1599" s="151" t="s">
        <v>3567</v>
      </c>
    </row>
    <row r="1600" spans="1:1">
      <c r="A1600" s="151" t="s">
        <v>3568</v>
      </c>
    </row>
    <row r="1601" spans="1:1">
      <c r="A1601" s="151" t="s">
        <v>3569</v>
      </c>
    </row>
    <row r="1602" spans="1:1">
      <c r="A1602" s="151" t="s">
        <v>3570</v>
      </c>
    </row>
    <row r="1603" spans="1:1">
      <c r="A1603" s="151" t="s">
        <v>3571</v>
      </c>
    </row>
    <row r="1604" spans="1:1">
      <c r="A1604" s="151" t="s">
        <v>3572</v>
      </c>
    </row>
    <row r="1605" spans="1:1">
      <c r="A1605" s="151" t="s">
        <v>3573</v>
      </c>
    </row>
    <row r="1606" spans="1:1">
      <c r="A1606" s="151" t="s">
        <v>3574</v>
      </c>
    </row>
    <row r="1607" spans="1:1">
      <c r="A1607" s="151" t="s">
        <v>3575</v>
      </c>
    </row>
    <row r="1608" spans="1:1">
      <c r="A1608" s="151" t="s">
        <v>3576</v>
      </c>
    </row>
    <row r="1609" spans="1:1">
      <c r="A1609" s="151" t="s">
        <v>3577</v>
      </c>
    </row>
    <row r="1610" spans="1:1">
      <c r="A1610" s="151" t="s">
        <v>3578</v>
      </c>
    </row>
    <row r="1611" spans="1:1">
      <c r="A1611" s="151" t="s">
        <v>3579</v>
      </c>
    </row>
    <row r="1612" spans="1:1">
      <c r="A1612" s="151" t="s">
        <v>3580</v>
      </c>
    </row>
    <row r="1613" spans="1:1">
      <c r="A1613" s="151" t="s">
        <v>3581</v>
      </c>
    </row>
    <row r="1614" spans="1:1">
      <c r="A1614" s="151" t="s">
        <v>3582</v>
      </c>
    </row>
    <row r="1615" spans="1:1">
      <c r="A1615" s="151" t="s">
        <v>3583</v>
      </c>
    </row>
    <row r="1616" spans="1:1">
      <c r="A1616" s="151" t="s">
        <v>3584</v>
      </c>
    </row>
    <row r="1617" spans="1:1">
      <c r="A1617" s="151" t="s">
        <v>3585</v>
      </c>
    </row>
    <row r="1618" spans="1:1">
      <c r="A1618" s="151" t="s">
        <v>3586</v>
      </c>
    </row>
    <row r="1619" spans="1:1">
      <c r="A1619" s="151" t="s">
        <v>3587</v>
      </c>
    </row>
    <row r="1620" spans="1:1">
      <c r="A1620" s="151" t="s">
        <v>3588</v>
      </c>
    </row>
    <row r="1621" spans="1:1">
      <c r="A1621" s="151" t="s">
        <v>3589</v>
      </c>
    </row>
    <row r="1622" spans="1:1">
      <c r="A1622" s="151" t="s">
        <v>3590</v>
      </c>
    </row>
    <row r="1623" spans="1:1">
      <c r="A1623" s="151" t="s">
        <v>3591</v>
      </c>
    </row>
    <row r="1624" spans="1:1">
      <c r="A1624" s="151" t="s">
        <v>3592</v>
      </c>
    </row>
    <row r="1625" spans="1:1">
      <c r="A1625" s="151" t="s">
        <v>3593</v>
      </c>
    </row>
    <row r="1626" spans="1:1">
      <c r="A1626" s="151" t="s">
        <v>3594</v>
      </c>
    </row>
    <row r="1627" spans="1:1">
      <c r="A1627" s="151" t="s">
        <v>3595</v>
      </c>
    </row>
    <row r="1628" spans="1:1">
      <c r="A1628" s="151" t="s">
        <v>3596</v>
      </c>
    </row>
    <row r="1629" spans="1:1">
      <c r="A1629" s="151" t="s">
        <v>3597</v>
      </c>
    </row>
    <row r="1630" spans="1:1">
      <c r="A1630" s="151" t="s">
        <v>3598</v>
      </c>
    </row>
    <row r="1631" spans="1:1">
      <c r="A1631" s="151" t="s">
        <v>3599</v>
      </c>
    </row>
    <row r="1632" spans="1:1">
      <c r="A1632" s="151" t="s">
        <v>3600</v>
      </c>
    </row>
    <row r="1633" spans="1:1">
      <c r="A1633" s="151" t="s">
        <v>3601</v>
      </c>
    </row>
    <row r="1634" spans="1:1">
      <c r="A1634" s="151" t="s">
        <v>3602</v>
      </c>
    </row>
    <row r="1635" spans="1:1">
      <c r="A1635" s="151" t="s">
        <v>3603</v>
      </c>
    </row>
    <row r="1636" spans="1:1">
      <c r="A1636" s="151" t="s">
        <v>3604</v>
      </c>
    </row>
    <row r="1637" spans="1:1">
      <c r="A1637" s="151" t="s">
        <v>3605</v>
      </c>
    </row>
    <row r="1638" spans="1:1">
      <c r="A1638" s="151" t="s">
        <v>3606</v>
      </c>
    </row>
    <row r="1639" spans="1:1">
      <c r="A1639" s="151" t="s">
        <v>3607</v>
      </c>
    </row>
    <row r="1640" spans="1:1">
      <c r="A1640" s="151" t="s">
        <v>3608</v>
      </c>
    </row>
    <row r="1641" spans="1:1">
      <c r="A1641" s="151" t="s">
        <v>3609</v>
      </c>
    </row>
    <row r="1642" spans="1:1">
      <c r="A1642" s="151" t="s">
        <v>3610</v>
      </c>
    </row>
    <row r="1643" spans="1:1">
      <c r="A1643" s="151" t="s">
        <v>3611</v>
      </c>
    </row>
    <row r="1644" spans="1:1">
      <c r="A1644" s="151" t="s">
        <v>3612</v>
      </c>
    </row>
    <row r="1645" spans="1:1">
      <c r="A1645" s="151" t="s">
        <v>3613</v>
      </c>
    </row>
    <row r="1646" spans="1:1">
      <c r="A1646" s="151" t="s">
        <v>3614</v>
      </c>
    </row>
    <row r="1647" spans="1:1">
      <c r="A1647" s="151" t="s">
        <v>3615</v>
      </c>
    </row>
    <row r="1648" spans="1:1">
      <c r="A1648" s="151" t="s">
        <v>3616</v>
      </c>
    </row>
    <row r="1649" spans="1:1">
      <c r="A1649" s="151" t="s">
        <v>3617</v>
      </c>
    </row>
    <row r="1650" spans="1:1">
      <c r="A1650" s="151" t="s">
        <v>3618</v>
      </c>
    </row>
    <row r="1651" spans="1:1">
      <c r="A1651" s="151" t="s">
        <v>3619</v>
      </c>
    </row>
    <row r="1652" spans="1:1">
      <c r="A1652" s="151" t="s">
        <v>3620</v>
      </c>
    </row>
    <row r="1653" spans="1:1">
      <c r="A1653" s="151" t="s">
        <v>3621</v>
      </c>
    </row>
    <row r="1654" spans="1:1">
      <c r="A1654" s="151" t="s">
        <v>3622</v>
      </c>
    </row>
    <row r="1655" spans="1:1">
      <c r="A1655" s="151" t="s">
        <v>3623</v>
      </c>
    </row>
    <row r="1656" spans="1:1">
      <c r="A1656" s="151" t="s">
        <v>3624</v>
      </c>
    </row>
    <row r="1657" spans="1:1">
      <c r="A1657" s="151" t="s">
        <v>3625</v>
      </c>
    </row>
    <row r="1658" spans="1:1">
      <c r="A1658" s="151" t="s">
        <v>3626</v>
      </c>
    </row>
    <row r="1659" spans="1:1">
      <c r="A1659" s="151" t="s">
        <v>3627</v>
      </c>
    </row>
    <row r="1660" spans="1:1">
      <c r="A1660" s="151" t="s">
        <v>3628</v>
      </c>
    </row>
    <row r="1661" spans="1:1">
      <c r="A1661" s="151" t="s">
        <v>3629</v>
      </c>
    </row>
    <row r="1662" spans="1:1">
      <c r="A1662" s="151" t="s">
        <v>3630</v>
      </c>
    </row>
    <row r="1663" spans="1:1">
      <c r="A1663" s="151" t="s">
        <v>3631</v>
      </c>
    </row>
    <row r="1664" spans="1:1">
      <c r="A1664" s="151" t="s">
        <v>3632</v>
      </c>
    </row>
    <row r="1665" spans="1:1">
      <c r="A1665" s="151" t="s">
        <v>3633</v>
      </c>
    </row>
    <row r="1666" spans="1:1">
      <c r="A1666" s="151" t="s">
        <v>3634</v>
      </c>
    </row>
    <row r="1667" spans="1:1">
      <c r="A1667" s="151" t="s">
        <v>3635</v>
      </c>
    </row>
    <row r="1668" spans="1:1">
      <c r="A1668" s="151" t="s">
        <v>3636</v>
      </c>
    </row>
    <row r="1669" spans="1:1">
      <c r="A1669" s="151" t="s">
        <v>3637</v>
      </c>
    </row>
    <row r="1670" spans="1:1">
      <c r="A1670" s="151" t="s">
        <v>3638</v>
      </c>
    </row>
    <row r="1671" spans="1:1">
      <c r="A1671" s="151" t="s">
        <v>3639</v>
      </c>
    </row>
    <row r="1672" spans="1:1">
      <c r="A1672" s="151" t="s">
        <v>3640</v>
      </c>
    </row>
    <row r="1673" spans="1:1">
      <c r="A1673" s="151" t="s">
        <v>3641</v>
      </c>
    </row>
    <row r="1674" spans="1:1">
      <c r="A1674" s="151" t="s">
        <v>3642</v>
      </c>
    </row>
    <row r="1675" spans="1:1">
      <c r="A1675" s="151" t="s">
        <v>3643</v>
      </c>
    </row>
    <row r="1676" spans="1:1">
      <c r="A1676" s="151" t="s">
        <v>3644</v>
      </c>
    </row>
    <row r="1677" spans="1:1">
      <c r="A1677" s="151" t="s">
        <v>3645</v>
      </c>
    </row>
    <row r="1678" spans="1:1">
      <c r="A1678" s="151" t="s">
        <v>3646</v>
      </c>
    </row>
    <row r="1679" spans="1:1">
      <c r="A1679" s="151" t="s">
        <v>3647</v>
      </c>
    </row>
    <row r="1680" spans="1:1">
      <c r="A1680" s="151" t="s">
        <v>3648</v>
      </c>
    </row>
    <row r="1681" spans="1:1">
      <c r="A1681" s="151" t="s">
        <v>3649</v>
      </c>
    </row>
    <row r="1682" spans="1:1">
      <c r="A1682" s="151" t="s">
        <v>3650</v>
      </c>
    </row>
    <row r="1683" spans="1:1">
      <c r="A1683" s="151" t="s">
        <v>3651</v>
      </c>
    </row>
    <row r="1684" spans="1:1">
      <c r="A1684" s="151" t="s">
        <v>3652</v>
      </c>
    </row>
    <row r="1685" spans="1:1">
      <c r="A1685" s="151" t="s">
        <v>3653</v>
      </c>
    </row>
    <row r="1686" spans="1:1">
      <c r="A1686" s="151" t="s">
        <v>3654</v>
      </c>
    </row>
    <row r="1687" spans="1:1">
      <c r="A1687" s="151" t="s">
        <v>3655</v>
      </c>
    </row>
    <row r="1688" spans="1:1">
      <c r="A1688" s="151" t="s">
        <v>3656</v>
      </c>
    </row>
    <row r="1689" spans="1:1">
      <c r="A1689" s="151" t="s">
        <v>3657</v>
      </c>
    </row>
    <row r="1690" spans="1:1">
      <c r="A1690" s="151" t="s">
        <v>3658</v>
      </c>
    </row>
    <row r="1691" spans="1:1">
      <c r="A1691" s="151" t="s">
        <v>3659</v>
      </c>
    </row>
    <row r="1692" spans="1:1">
      <c r="A1692" s="151" t="s">
        <v>3660</v>
      </c>
    </row>
    <row r="1693" spans="1:1">
      <c r="A1693" s="151" t="s">
        <v>3661</v>
      </c>
    </row>
    <row r="1694" spans="1:1">
      <c r="A1694" s="151" t="s">
        <v>3662</v>
      </c>
    </row>
    <row r="1695" spans="1:1">
      <c r="A1695" s="151" t="s">
        <v>3663</v>
      </c>
    </row>
    <row r="1696" spans="1:1">
      <c r="A1696" s="151" t="s">
        <v>3664</v>
      </c>
    </row>
    <row r="1697" spans="1:1">
      <c r="A1697" s="151" t="s">
        <v>3665</v>
      </c>
    </row>
    <row r="1698" spans="1:1">
      <c r="A1698" s="151" t="s">
        <v>3666</v>
      </c>
    </row>
    <row r="1699" spans="1:1">
      <c r="A1699" s="151" t="s">
        <v>3667</v>
      </c>
    </row>
    <row r="1700" spans="1:1">
      <c r="A1700" s="151" t="s">
        <v>3668</v>
      </c>
    </row>
    <row r="1701" spans="1:1">
      <c r="A1701" s="151" t="s">
        <v>3669</v>
      </c>
    </row>
    <row r="1702" spans="1:1">
      <c r="A1702" s="151" t="s">
        <v>3670</v>
      </c>
    </row>
    <row r="1703" spans="1:1">
      <c r="A1703" s="151" t="s">
        <v>3671</v>
      </c>
    </row>
    <row r="1704" spans="1:1">
      <c r="A1704" s="151" t="s">
        <v>3672</v>
      </c>
    </row>
    <row r="1705" spans="1:1">
      <c r="A1705" s="151" t="s">
        <v>3673</v>
      </c>
    </row>
    <row r="1706" spans="1:1">
      <c r="A1706" s="151" t="s">
        <v>3674</v>
      </c>
    </row>
    <row r="1707" spans="1:1">
      <c r="A1707" s="151" t="s">
        <v>3675</v>
      </c>
    </row>
    <row r="1708" spans="1:1">
      <c r="A1708" s="151" t="s">
        <v>3676</v>
      </c>
    </row>
    <row r="1709" spans="1:1">
      <c r="A1709" s="151" t="s">
        <v>3677</v>
      </c>
    </row>
    <row r="1710" spans="1:1">
      <c r="A1710" s="151" t="s">
        <v>3678</v>
      </c>
    </row>
    <row r="1711" spans="1:1">
      <c r="A1711" s="151" t="s">
        <v>3679</v>
      </c>
    </row>
    <row r="1712" spans="1:1">
      <c r="A1712" s="151" t="s">
        <v>3680</v>
      </c>
    </row>
    <row r="1713" spans="1:1">
      <c r="A1713" s="151" t="s">
        <v>3681</v>
      </c>
    </row>
    <row r="1714" spans="1:1">
      <c r="A1714" s="151" t="s">
        <v>3682</v>
      </c>
    </row>
    <row r="1715" spans="1:1">
      <c r="A1715" s="151" t="s">
        <v>3683</v>
      </c>
    </row>
    <row r="1716" spans="1:1">
      <c r="A1716" s="151" t="s">
        <v>3684</v>
      </c>
    </row>
    <row r="1717" spans="1:1">
      <c r="A1717" s="151" t="s">
        <v>3685</v>
      </c>
    </row>
    <row r="1718" spans="1:1">
      <c r="A1718" s="151" t="s">
        <v>3686</v>
      </c>
    </row>
    <row r="1719" spans="1:1">
      <c r="A1719" s="151" t="s">
        <v>3687</v>
      </c>
    </row>
    <row r="1720" spans="1:1">
      <c r="A1720" s="151" t="s">
        <v>3688</v>
      </c>
    </row>
    <row r="1721" spans="1:1">
      <c r="A1721" s="151" t="s">
        <v>3689</v>
      </c>
    </row>
    <row r="1722" spans="1:1">
      <c r="A1722" s="151" t="s">
        <v>3690</v>
      </c>
    </row>
    <row r="1723" spans="1:1">
      <c r="A1723" s="151" t="s">
        <v>3691</v>
      </c>
    </row>
    <row r="1724" spans="1:1">
      <c r="A1724" s="151" t="s">
        <v>3692</v>
      </c>
    </row>
    <row r="1725" spans="1:1">
      <c r="A1725" s="151" t="s">
        <v>3693</v>
      </c>
    </row>
    <row r="1726" spans="1:1">
      <c r="A1726" s="151" t="s">
        <v>3694</v>
      </c>
    </row>
    <row r="1727" spans="1:1">
      <c r="A1727" s="151" t="s">
        <v>3695</v>
      </c>
    </row>
    <row r="1728" spans="1:1">
      <c r="A1728" s="151" t="s">
        <v>3696</v>
      </c>
    </row>
    <row r="1729" spans="1:1">
      <c r="A1729" s="151" t="s">
        <v>3697</v>
      </c>
    </row>
    <row r="1730" spans="1:1">
      <c r="A1730" s="151" t="s">
        <v>3698</v>
      </c>
    </row>
    <row r="1731" spans="1:1">
      <c r="A1731" s="151" t="s">
        <v>3699</v>
      </c>
    </row>
    <row r="1732" spans="1:1">
      <c r="A1732" s="151" t="s">
        <v>3700</v>
      </c>
    </row>
    <row r="1733" spans="1:1">
      <c r="A1733" s="151" t="s">
        <v>3701</v>
      </c>
    </row>
    <row r="1734" spans="1:1">
      <c r="A1734" s="151" t="s">
        <v>3702</v>
      </c>
    </row>
    <row r="1735" spans="1:1">
      <c r="A1735" s="151" t="s">
        <v>3703</v>
      </c>
    </row>
    <row r="1736" spans="1:1">
      <c r="A1736" s="151" t="s">
        <v>3704</v>
      </c>
    </row>
    <row r="1737" spans="1:1">
      <c r="A1737" s="151" t="s">
        <v>3705</v>
      </c>
    </row>
    <row r="1738" spans="1:1">
      <c r="A1738" s="151" t="s">
        <v>3706</v>
      </c>
    </row>
    <row r="1739" spans="1:1">
      <c r="A1739" s="151" t="s">
        <v>3707</v>
      </c>
    </row>
    <row r="1740" spans="1:1">
      <c r="A1740" s="151" t="s">
        <v>3708</v>
      </c>
    </row>
    <row r="1741" spans="1:1">
      <c r="A1741" s="151" t="s">
        <v>3709</v>
      </c>
    </row>
    <row r="1742" spans="1:1">
      <c r="A1742" s="151" t="s">
        <v>3710</v>
      </c>
    </row>
    <row r="1743" spans="1:1">
      <c r="A1743" s="151" t="s">
        <v>3711</v>
      </c>
    </row>
    <row r="1744" spans="1:1">
      <c r="A1744" s="151" t="s">
        <v>3712</v>
      </c>
    </row>
    <row r="1745" spans="1:1">
      <c r="A1745" s="151" t="s">
        <v>3713</v>
      </c>
    </row>
    <row r="1746" spans="1:1">
      <c r="A1746" s="151" t="s">
        <v>3714</v>
      </c>
    </row>
    <row r="1747" spans="1:1">
      <c r="A1747" s="151" t="s">
        <v>3715</v>
      </c>
    </row>
    <row r="1748" spans="1:1">
      <c r="A1748" s="151" t="s">
        <v>3716</v>
      </c>
    </row>
    <row r="1749" spans="1:1">
      <c r="A1749" s="151" t="s">
        <v>3717</v>
      </c>
    </row>
    <row r="1750" spans="1:1">
      <c r="A1750" s="151" t="s">
        <v>3718</v>
      </c>
    </row>
    <row r="1751" spans="1:1">
      <c r="A1751" s="151" t="s">
        <v>3719</v>
      </c>
    </row>
    <row r="1752" spans="1:1">
      <c r="A1752" s="151" t="s">
        <v>3720</v>
      </c>
    </row>
    <row r="1753" spans="1:1">
      <c r="A1753" s="151" t="s">
        <v>3721</v>
      </c>
    </row>
    <row r="1754" spans="1:1">
      <c r="A1754" s="151" t="s">
        <v>3722</v>
      </c>
    </row>
    <row r="1755" spans="1:1">
      <c r="A1755" s="151" t="s">
        <v>3723</v>
      </c>
    </row>
    <row r="1756" spans="1:1">
      <c r="A1756" s="151" t="s">
        <v>3724</v>
      </c>
    </row>
    <row r="1757" spans="1:1">
      <c r="A1757" s="151" t="s">
        <v>3725</v>
      </c>
    </row>
    <row r="1758" spans="1:1">
      <c r="A1758" s="151" t="s">
        <v>3726</v>
      </c>
    </row>
    <row r="1759" spans="1:1">
      <c r="A1759" s="151" t="s">
        <v>3727</v>
      </c>
    </row>
    <row r="1760" spans="1:1">
      <c r="A1760" s="151" t="s">
        <v>3728</v>
      </c>
    </row>
    <row r="1761" spans="1:1">
      <c r="A1761" s="151" t="s">
        <v>3729</v>
      </c>
    </row>
    <row r="1762" spans="1:1">
      <c r="A1762" s="151" t="s">
        <v>3730</v>
      </c>
    </row>
    <row r="1763" spans="1:1">
      <c r="A1763" s="151" t="s">
        <v>3731</v>
      </c>
    </row>
    <row r="1764" spans="1:1">
      <c r="A1764" s="151" t="s">
        <v>3732</v>
      </c>
    </row>
    <row r="1765" spans="1:1">
      <c r="A1765" s="151" t="s">
        <v>3733</v>
      </c>
    </row>
    <row r="1766" spans="1:1">
      <c r="A1766" s="151" t="s">
        <v>3734</v>
      </c>
    </row>
    <row r="1767" spans="1:1">
      <c r="A1767" s="151" t="s">
        <v>3735</v>
      </c>
    </row>
    <row r="1768" spans="1:1">
      <c r="A1768" s="151" t="s">
        <v>3736</v>
      </c>
    </row>
    <row r="1769" spans="1:1">
      <c r="A1769" s="151" t="s">
        <v>3737</v>
      </c>
    </row>
    <row r="1770" spans="1:1">
      <c r="A1770" s="151" t="s">
        <v>3738</v>
      </c>
    </row>
    <row r="1771" spans="1:1">
      <c r="A1771" s="151" t="s">
        <v>3739</v>
      </c>
    </row>
    <row r="1772" spans="1:1">
      <c r="A1772" s="151" t="s">
        <v>3740</v>
      </c>
    </row>
    <row r="1773" spans="1:1">
      <c r="A1773" s="151" t="s">
        <v>3741</v>
      </c>
    </row>
    <row r="1774" spans="1:1">
      <c r="A1774" s="151" t="s">
        <v>3742</v>
      </c>
    </row>
    <row r="1775" spans="1:1">
      <c r="A1775" s="151" t="s">
        <v>3743</v>
      </c>
    </row>
    <row r="1776" spans="1:1">
      <c r="A1776" s="151" t="s">
        <v>3744</v>
      </c>
    </row>
    <row r="1777" spans="1:1">
      <c r="A1777" s="151" t="s">
        <v>3745</v>
      </c>
    </row>
    <row r="1778" spans="1:1">
      <c r="A1778" s="151" t="s">
        <v>3746</v>
      </c>
    </row>
    <row r="1779" spans="1:1">
      <c r="A1779" s="151" t="s">
        <v>3747</v>
      </c>
    </row>
    <row r="1780" spans="1:1">
      <c r="A1780" s="151" t="s">
        <v>3748</v>
      </c>
    </row>
    <row r="1781" spans="1:1">
      <c r="A1781" s="151" t="s">
        <v>3749</v>
      </c>
    </row>
    <row r="1782" spans="1:1">
      <c r="A1782" s="151" t="s">
        <v>3750</v>
      </c>
    </row>
    <row r="1783" spans="1:1">
      <c r="A1783" s="151" t="s">
        <v>3751</v>
      </c>
    </row>
    <row r="1784" spans="1:1">
      <c r="A1784" s="151" t="s">
        <v>3752</v>
      </c>
    </row>
    <row r="1785" spans="1:1">
      <c r="A1785" s="151" t="s">
        <v>3753</v>
      </c>
    </row>
    <row r="1786" spans="1:1">
      <c r="A1786" s="151" t="s">
        <v>3754</v>
      </c>
    </row>
    <row r="1787" spans="1:1">
      <c r="A1787" s="151" t="s">
        <v>3755</v>
      </c>
    </row>
    <row r="1788" spans="1:1">
      <c r="A1788" s="151" t="s">
        <v>3756</v>
      </c>
    </row>
    <row r="1789" spans="1:1">
      <c r="A1789" s="151" t="s">
        <v>3757</v>
      </c>
    </row>
    <row r="1790" spans="1:1">
      <c r="A1790" s="151" t="s">
        <v>3758</v>
      </c>
    </row>
    <row r="1791" spans="1:1">
      <c r="A1791" s="151" t="s">
        <v>3759</v>
      </c>
    </row>
    <row r="1792" spans="1:1">
      <c r="A1792" s="151" t="s">
        <v>3760</v>
      </c>
    </row>
    <row r="1793" spans="1:1">
      <c r="A1793" s="151" t="s">
        <v>3761</v>
      </c>
    </row>
    <row r="1794" spans="1:1">
      <c r="A1794" s="151" t="s">
        <v>3762</v>
      </c>
    </row>
    <row r="1795" spans="1:1">
      <c r="A1795" s="151" t="s">
        <v>3763</v>
      </c>
    </row>
    <row r="1796" spans="1:1">
      <c r="A1796" s="151" t="s">
        <v>3764</v>
      </c>
    </row>
    <row r="1797" spans="1:1">
      <c r="A1797" s="151" t="s">
        <v>3765</v>
      </c>
    </row>
    <row r="1798" spans="1:1">
      <c r="A1798" s="151" t="s">
        <v>3766</v>
      </c>
    </row>
    <row r="1799" spans="1:1">
      <c r="A1799" s="151" t="s">
        <v>3767</v>
      </c>
    </row>
    <row r="1800" spans="1:1">
      <c r="A1800" s="151" t="s">
        <v>3768</v>
      </c>
    </row>
    <row r="1801" spans="1:1">
      <c r="A1801" s="151" t="s">
        <v>3769</v>
      </c>
    </row>
    <row r="1802" spans="1:1">
      <c r="A1802" s="151" t="s">
        <v>3770</v>
      </c>
    </row>
    <row r="1803" spans="1:1">
      <c r="A1803" s="151" t="s">
        <v>3771</v>
      </c>
    </row>
    <row r="1804" spans="1:1">
      <c r="A1804" s="151" t="s">
        <v>3772</v>
      </c>
    </row>
    <row r="1805" spans="1:1">
      <c r="A1805" s="151" t="s">
        <v>3773</v>
      </c>
    </row>
    <row r="1806" spans="1:1">
      <c r="A1806" s="151" t="s">
        <v>3774</v>
      </c>
    </row>
    <row r="1807" spans="1:1">
      <c r="A1807" s="151" t="s">
        <v>3775</v>
      </c>
    </row>
    <row r="1808" spans="1:1">
      <c r="A1808" s="151" t="s">
        <v>3776</v>
      </c>
    </row>
    <row r="1809" spans="1:1">
      <c r="A1809" s="151" t="s">
        <v>3777</v>
      </c>
    </row>
    <row r="1810" spans="1:1">
      <c r="A1810" s="151" t="s">
        <v>3778</v>
      </c>
    </row>
    <row r="1811" spans="1:1">
      <c r="A1811" s="151" t="s">
        <v>3779</v>
      </c>
    </row>
    <row r="1812" spans="1:1">
      <c r="A1812" s="151" t="s">
        <v>3780</v>
      </c>
    </row>
    <row r="1813" spans="1:1">
      <c r="A1813" s="151" t="s">
        <v>3781</v>
      </c>
    </row>
    <row r="1814" spans="1:1">
      <c r="A1814" s="151" t="s">
        <v>3782</v>
      </c>
    </row>
    <row r="1815" spans="1:1">
      <c r="A1815" s="151" t="s">
        <v>3783</v>
      </c>
    </row>
    <row r="1816" spans="1:1">
      <c r="A1816" s="151" t="s">
        <v>3784</v>
      </c>
    </row>
    <row r="1817" spans="1:1">
      <c r="A1817" s="151" t="s">
        <v>3785</v>
      </c>
    </row>
    <row r="1818" spans="1:1">
      <c r="A1818" s="151" t="s">
        <v>3786</v>
      </c>
    </row>
    <row r="1819" spans="1:1">
      <c r="A1819" s="151" t="s">
        <v>3787</v>
      </c>
    </row>
    <row r="1820" spans="1:1">
      <c r="A1820" s="151" t="s">
        <v>3788</v>
      </c>
    </row>
    <row r="1821" spans="1:1">
      <c r="A1821" s="151" t="s">
        <v>3789</v>
      </c>
    </row>
    <row r="1822" spans="1:1">
      <c r="A1822" s="151" t="s">
        <v>3790</v>
      </c>
    </row>
    <row r="1823" spans="1:1">
      <c r="A1823" s="151" t="s">
        <v>3791</v>
      </c>
    </row>
    <row r="1824" spans="1:1">
      <c r="A1824" s="151" t="s">
        <v>3792</v>
      </c>
    </row>
    <row r="1825" spans="1:1">
      <c r="A1825" s="151" t="s">
        <v>3793</v>
      </c>
    </row>
    <row r="1826" spans="1:1">
      <c r="A1826" s="151" t="s">
        <v>3794</v>
      </c>
    </row>
    <row r="1827" spans="1:1">
      <c r="A1827" s="151" t="s">
        <v>3795</v>
      </c>
    </row>
    <row r="1828" spans="1:1">
      <c r="A1828" s="151" t="s">
        <v>3796</v>
      </c>
    </row>
    <row r="1829" spans="1:1">
      <c r="A1829" s="151" t="s">
        <v>3797</v>
      </c>
    </row>
    <row r="1830" spans="1:1">
      <c r="A1830" s="151" t="s">
        <v>3798</v>
      </c>
    </row>
    <row r="1831" spans="1:1">
      <c r="A1831" s="151" t="s">
        <v>3799</v>
      </c>
    </row>
    <row r="1832" spans="1:1">
      <c r="A1832" s="151" t="s">
        <v>3800</v>
      </c>
    </row>
    <row r="1833" spans="1:1">
      <c r="A1833" s="151" t="s">
        <v>3801</v>
      </c>
    </row>
    <row r="1834" spans="1:1">
      <c r="A1834" s="151" t="s">
        <v>3802</v>
      </c>
    </row>
    <row r="1835" spans="1:1">
      <c r="A1835" s="151" t="s">
        <v>3803</v>
      </c>
    </row>
    <row r="1836" spans="1:1">
      <c r="A1836" s="151" t="s">
        <v>3804</v>
      </c>
    </row>
    <row r="1837" spans="1:1">
      <c r="A1837" s="151" t="s">
        <v>3805</v>
      </c>
    </row>
    <row r="1838" spans="1:1">
      <c r="A1838" s="151" t="s">
        <v>3806</v>
      </c>
    </row>
    <row r="1839" spans="1:1">
      <c r="A1839" s="151" t="s">
        <v>3807</v>
      </c>
    </row>
    <row r="1840" spans="1:1">
      <c r="A1840" s="151" t="s">
        <v>3808</v>
      </c>
    </row>
    <row r="1841" spans="1:1">
      <c r="A1841" s="151" t="s">
        <v>3809</v>
      </c>
    </row>
    <row r="1842" spans="1:1">
      <c r="A1842" s="151" t="s">
        <v>3810</v>
      </c>
    </row>
    <row r="1843" spans="1:1">
      <c r="A1843" s="151" t="s">
        <v>3811</v>
      </c>
    </row>
    <row r="1844" spans="1:1">
      <c r="A1844" s="151" t="s">
        <v>3812</v>
      </c>
    </row>
    <row r="1845" spans="1:1">
      <c r="A1845" s="151" t="s">
        <v>3813</v>
      </c>
    </row>
    <row r="1846" spans="1:1">
      <c r="A1846" s="151" t="s">
        <v>3814</v>
      </c>
    </row>
    <row r="1847" spans="1:1">
      <c r="A1847" s="151" t="s">
        <v>3815</v>
      </c>
    </row>
    <row r="1848" spans="1:1">
      <c r="A1848" s="151" t="s">
        <v>3816</v>
      </c>
    </row>
    <row r="1849" spans="1:1">
      <c r="A1849" s="151" t="s">
        <v>3817</v>
      </c>
    </row>
    <row r="1850" spans="1:1">
      <c r="A1850" s="151" t="s">
        <v>3818</v>
      </c>
    </row>
    <row r="1851" spans="1:1">
      <c r="A1851" s="151" t="s">
        <v>3819</v>
      </c>
    </row>
    <row r="1852" spans="1:1">
      <c r="A1852" s="151" t="s">
        <v>3820</v>
      </c>
    </row>
    <row r="1853" spans="1:1">
      <c r="A1853" s="151" t="s">
        <v>3821</v>
      </c>
    </row>
    <row r="1854" spans="1:1">
      <c r="A1854" s="151" t="s">
        <v>3822</v>
      </c>
    </row>
    <row r="1855" spans="1:1">
      <c r="A1855" s="151" t="s">
        <v>3823</v>
      </c>
    </row>
    <row r="1856" spans="1:1">
      <c r="A1856" s="151" t="s">
        <v>3824</v>
      </c>
    </row>
    <row r="1857" spans="1:1">
      <c r="A1857" s="151" t="s">
        <v>3825</v>
      </c>
    </row>
    <row r="1858" spans="1:1">
      <c r="A1858" s="151" t="s">
        <v>3826</v>
      </c>
    </row>
    <row r="1859" spans="1:1">
      <c r="A1859" s="151" t="s">
        <v>3827</v>
      </c>
    </row>
    <row r="1860" spans="1:1">
      <c r="A1860" s="151" t="s">
        <v>3828</v>
      </c>
    </row>
    <row r="1861" spans="1:1">
      <c r="A1861" s="151" t="s">
        <v>3829</v>
      </c>
    </row>
    <row r="1862" spans="1:1">
      <c r="A1862" s="151" t="s">
        <v>3830</v>
      </c>
    </row>
    <row r="1863" spans="1:1">
      <c r="A1863" s="151" t="s">
        <v>3831</v>
      </c>
    </row>
    <row r="1864" spans="1:1">
      <c r="A1864" s="151" t="s">
        <v>3832</v>
      </c>
    </row>
    <row r="1865" spans="1:1">
      <c r="A1865" s="151" t="s">
        <v>3833</v>
      </c>
    </row>
    <row r="1866" spans="1:1">
      <c r="A1866" s="151" t="s">
        <v>3834</v>
      </c>
    </row>
    <row r="1867" spans="1:1">
      <c r="A1867" s="151" t="s">
        <v>3835</v>
      </c>
    </row>
    <row r="1868" spans="1:1">
      <c r="A1868" s="151" t="s">
        <v>3836</v>
      </c>
    </row>
    <row r="1869" spans="1:1">
      <c r="A1869" s="151" t="s">
        <v>3837</v>
      </c>
    </row>
    <row r="1870" spans="1:1">
      <c r="A1870" s="151" t="s">
        <v>3838</v>
      </c>
    </row>
    <row r="1871" spans="1:1">
      <c r="A1871" s="151" t="s">
        <v>3839</v>
      </c>
    </row>
    <row r="1872" spans="1:1">
      <c r="A1872" s="151" t="s">
        <v>3840</v>
      </c>
    </row>
    <row r="1873" spans="1:1">
      <c r="A1873" s="151" t="s">
        <v>3841</v>
      </c>
    </row>
    <row r="1874" spans="1:1">
      <c r="A1874" s="151" t="s">
        <v>3842</v>
      </c>
    </row>
    <row r="1875" spans="1:1">
      <c r="A1875" s="151" t="s">
        <v>3843</v>
      </c>
    </row>
    <row r="1876" spans="1:1">
      <c r="A1876" s="151" t="s">
        <v>3844</v>
      </c>
    </row>
    <row r="1877" spans="1:1">
      <c r="A1877" s="151" t="s">
        <v>3845</v>
      </c>
    </row>
    <row r="1878" spans="1:1">
      <c r="A1878" s="151" t="s">
        <v>3846</v>
      </c>
    </row>
    <row r="1879" spans="1:1">
      <c r="A1879" s="151" t="s">
        <v>3847</v>
      </c>
    </row>
    <row r="1880" spans="1:1">
      <c r="A1880" s="151" t="s">
        <v>3848</v>
      </c>
    </row>
    <row r="1881" spans="1:1">
      <c r="A1881" s="151" t="s">
        <v>3849</v>
      </c>
    </row>
    <row r="1882" spans="1:1">
      <c r="A1882" s="151" t="s">
        <v>3850</v>
      </c>
    </row>
    <row r="1883" spans="1:1">
      <c r="A1883" s="151" t="s">
        <v>3851</v>
      </c>
    </row>
    <row r="1884" spans="1:1">
      <c r="A1884" s="151" t="s">
        <v>3852</v>
      </c>
    </row>
    <row r="1885" spans="1:1">
      <c r="A1885" s="151" t="s">
        <v>3853</v>
      </c>
    </row>
    <row r="1886" spans="1:1">
      <c r="A1886" s="151" t="s">
        <v>3854</v>
      </c>
    </row>
    <row r="1887" spans="1:1">
      <c r="A1887" s="151" t="s">
        <v>3855</v>
      </c>
    </row>
    <row r="1888" spans="1:1">
      <c r="A1888" s="151" t="s">
        <v>3856</v>
      </c>
    </row>
    <row r="1889" spans="1:1">
      <c r="A1889" s="151" t="s">
        <v>3857</v>
      </c>
    </row>
    <row r="1890" spans="1:1">
      <c r="A1890" s="151" t="s">
        <v>3858</v>
      </c>
    </row>
    <row r="1891" spans="1:1">
      <c r="A1891" s="151" t="s">
        <v>3859</v>
      </c>
    </row>
    <row r="1892" spans="1:1">
      <c r="A1892" s="151" t="s">
        <v>3860</v>
      </c>
    </row>
    <row r="1893" spans="1:1">
      <c r="A1893" s="151" t="s">
        <v>3861</v>
      </c>
    </row>
    <row r="1894" spans="1:1">
      <c r="A1894" s="151" t="s">
        <v>3862</v>
      </c>
    </row>
    <row r="1895" spans="1:1">
      <c r="A1895" s="151" t="s">
        <v>3863</v>
      </c>
    </row>
    <row r="1896" spans="1:1">
      <c r="A1896" s="151" t="s">
        <v>3864</v>
      </c>
    </row>
    <row r="1897" spans="1:1">
      <c r="A1897" s="151" t="s">
        <v>3865</v>
      </c>
    </row>
    <row r="1898" spans="1:1">
      <c r="A1898" s="151" t="s">
        <v>3866</v>
      </c>
    </row>
    <row r="1899" spans="1:1">
      <c r="A1899" s="151" t="s">
        <v>3867</v>
      </c>
    </row>
    <row r="1900" spans="1:1">
      <c r="A1900" s="151" t="s">
        <v>3868</v>
      </c>
    </row>
    <row r="1901" spans="1:1">
      <c r="A1901" s="151" t="s">
        <v>3869</v>
      </c>
    </row>
    <row r="1902" spans="1:1">
      <c r="A1902" s="151" t="s">
        <v>3870</v>
      </c>
    </row>
    <row r="1903" spans="1:1">
      <c r="A1903" s="151" t="s">
        <v>3871</v>
      </c>
    </row>
    <row r="1904" spans="1:1">
      <c r="A1904" s="151" t="s">
        <v>3872</v>
      </c>
    </row>
    <row r="1905" spans="1:1">
      <c r="A1905" s="151" t="s">
        <v>3873</v>
      </c>
    </row>
    <row r="1906" spans="1:1">
      <c r="A1906" s="151" t="s">
        <v>3874</v>
      </c>
    </row>
    <row r="1907" spans="1:1">
      <c r="A1907" s="151" t="s">
        <v>3875</v>
      </c>
    </row>
    <row r="1908" spans="1:1">
      <c r="A1908" s="151" t="s">
        <v>3876</v>
      </c>
    </row>
    <row r="1909" spans="1:1">
      <c r="A1909" s="151" t="s">
        <v>3877</v>
      </c>
    </row>
    <row r="1910" spans="1:1">
      <c r="A1910" s="151" t="s">
        <v>3878</v>
      </c>
    </row>
    <row r="1911" spans="1:1">
      <c r="A1911" s="151" t="s">
        <v>3879</v>
      </c>
    </row>
    <row r="1912" spans="1:1">
      <c r="A1912" s="151" t="s">
        <v>3880</v>
      </c>
    </row>
    <row r="1913" spans="1:1">
      <c r="A1913" s="151" t="s">
        <v>3881</v>
      </c>
    </row>
    <row r="1914" spans="1:1">
      <c r="A1914" s="151" t="s">
        <v>3882</v>
      </c>
    </row>
    <row r="1915" spans="1:1">
      <c r="A1915" s="151" t="s">
        <v>3883</v>
      </c>
    </row>
    <row r="1916" spans="1:1">
      <c r="A1916" s="151" t="s">
        <v>3884</v>
      </c>
    </row>
    <row r="1917" spans="1:1">
      <c r="A1917" s="151" t="s">
        <v>3885</v>
      </c>
    </row>
    <row r="1918" spans="1:1">
      <c r="A1918" s="151" t="s">
        <v>3886</v>
      </c>
    </row>
    <row r="1919" spans="1:1">
      <c r="A1919" s="151" t="s">
        <v>3887</v>
      </c>
    </row>
    <row r="1920" spans="1:1">
      <c r="A1920" s="151" t="s">
        <v>3888</v>
      </c>
    </row>
    <row r="1921" spans="1:1">
      <c r="A1921" s="151" t="s">
        <v>3889</v>
      </c>
    </row>
    <row r="1922" spans="1:1">
      <c r="A1922" s="151" t="s">
        <v>3890</v>
      </c>
    </row>
    <row r="1923" spans="1:1">
      <c r="A1923" s="151" t="s">
        <v>3891</v>
      </c>
    </row>
    <row r="1924" spans="1:1">
      <c r="A1924" s="151" t="s">
        <v>3892</v>
      </c>
    </row>
    <row r="1925" spans="1:1">
      <c r="A1925" s="151" t="s">
        <v>3893</v>
      </c>
    </row>
    <row r="1926" spans="1:1">
      <c r="A1926" s="151" t="s">
        <v>3894</v>
      </c>
    </row>
    <row r="1927" spans="1:1">
      <c r="A1927" s="151" t="s">
        <v>3895</v>
      </c>
    </row>
    <row r="1928" spans="1:1">
      <c r="A1928" s="151" t="s">
        <v>3896</v>
      </c>
    </row>
    <row r="1929" spans="1:1">
      <c r="A1929" s="151" t="s">
        <v>3897</v>
      </c>
    </row>
    <row r="1930" spans="1:1">
      <c r="A1930" s="151" t="s">
        <v>3898</v>
      </c>
    </row>
    <row r="1931" spans="1:1">
      <c r="A1931" s="151" t="s">
        <v>3899</v>
      </c>
    </row>
    <row r="1932" spans="1:1">
      <c r="A1932" s="151" t="s">
        <v>3900</v>
      </c>
    </row>
    <row r="1933" spans="1:1">
      <c r="A1933" s="151" t="s">
        <v>3901</v>
      </c>
    </row>
    <row r="1934" spans="1:1">
      <c r="A1934" s="151" t="s">
        <v>3902</v>
      </c>
    </row>
    <row r="1935" spans="1:1">
      <c r="A1935" s="151" t="s">
        <v>3903</v>
      </c>
    </row>
    <row r="1936" spans="1:1">
      <c r="A1936" s="151" t="s">
        <v>3904</v>
      </c>
    </row>
    <row r="1937" spans="1:1">
      <c r="A1937" s="151" t="s">
        <v>3905</v>
      </c>
    </row>
    <row r="1938" spans="1:1">
      <c r="A1938" s="151" t="s">
        <v>3906</v>
      </c>
    </row>
    <row r="1939" spans="1:1">
      <c r="A1939" s="151" t="s">
        <v>3907</v>
      </c>
    </row>
    <row r="1940" spans="1:1">
      <c r="A1940" s="151" t="s">
        <v>3908</v>
      </c>
    </row>
    <row r="1941" spans="1:1">
      <c r="A1941" s="151" t="s">
        <v>3909</v>
      </c>
    </row>
    <row r="1942" spans="1:1">
      <c r="A1942" s="151" t="s">
        <v>3910</v>
      </c>
    </row>
    <row r="1943" spans="1:1">
      <c r="A1943" s="151" t="s">
        <v>3911</v>
      </c>
    </row>
    <row r="1944" spans="1:1">
      <c r="A1944" s="151" t="s">
        <v>3912</v>
      </c>
    </row>
    <row r="1945" spans="1:1">
      <c r="A1945" s="151" t="s">
        <v>3913</v>
      </c>
    </row>
    <row r="1946" spans="1:1">
      <c r="A1946" s="151" t="s">
        <v>3914</v>
      </c>
    </row>
    <row r="1947" spans="1:1">
      <c r="A1947" s="151" t="s">
        <v>3915</v>
      </c>
    </row>
    <row r="1948" spans="1:1">
      <c r="A1948" s="151" t="s">
        <v>3916</v>
      </c>
    </row>
    <row r="1949" spans="1:1">
      <c r="A1949" s="151" t="s">
        <v>3917</v>
      </c>
    </row>
    <row r="1950" spans="1:1">
      <c r="A1950" s="151" t="s">
        <v>3918</v>
      </c>
    </row>
    <row r="1951" spans="1:1">
      <c r="A1951" s="151" t="s">
        <v>3919</v>
      </c>
    </row>
    <row r="1952" spans="1:1">
      <c r="A1952" s="151" t="s">
        <v>3920</v>
      </c>
    </row>
    <row r="1953" spans="1:1">
      <c r="A1953" s="151" t="s">
        <v>3921</v>
      </c>
    </row>
    <row r="1954" spans="1:1">
      <c r="A1954" s="151" t="s">
        <v>3922</v>
      </c>
    </row>
    <row r="1955" spans="1:1">
      <c r="A1955" s="151" t="s">
        <v>3923</v>
      </c>
    </row>
    <row r="1956" spans="1:1">
      <c r="A1956" s="151" t="s">
        <v>3924</v>
      </c>
    </row>
    <row r="1957" spans="1:1">
      <c r="A1957" s="151" t="s">
        <v>3925</v>
      </c>
    </row>
    <row r="1958" spans="1:1">
      <c r="A1958" s="151" t="s">
        <v>3926</v>
      </c>
    </row>
    <row r="1959" spans="1:1">
      <c r="A1959" s="151" t="s">
        <v>3927</v>
      </c>
    </row>
    <row r="1960" spans="1:1">
      <c r="A1960" s="151" t="s">
        <v>3928</v>
      </c>
    </row>
    <row r="1961" spans="1:1">
      <c r="A1961" s="151" t="s">
        <v>3929</v>
      </c>
    </row>
    <row r="1962" spans="1:1">
      <c r="A1962" s="151" t="s">
        <v>3930</v>
      </c>
    </row>
    <row r="1963" spans="1:1">
      <c r="A1963" s="151" t="s">
        <v>3931</v>
      </c>
    </row>
    <row r="1964" spans="1:1">
      <c r="A1964" s="151" t="s">
        <v>3932</v>
      </c>
    </row>
    <row r="1965" spans="1:1">
      <c r="A1965" s="151" t="s">
        <v>3933</v>
      </c>
    </row>
    <row r="1966" spans="1:1">
      <c r="A1966" s="151" t="s">
        <v>3934</v>
      </c>
    </row>
    <row r="1967" spans="1:1">
      <c r="A1967" s="151" t="s">
        <v>3935</v>
      </c>
    </row>
    <row r="1968" spans="1:1">
      <c r="A1968" s="151" t="s">
        <v>3936</v>
      </c>
    </row>
    <row r="1969" spans="1:1">
      <c r="A1969" s="151" t="s">
        <v>3937</v>
      </c>
    </row>
    <row r="1970" spans="1:1">
      <c r="A1970" s="151" t="s">
        <v>3938</v>
      </c>
    </row>
    <row r="1971" spans="1:1">
      <c r="A1971" s="151" t="s">
        <v>3939</v>
      </c>
    </row>
    <row r="1972" spans="1:1">
      <c r="A1972" s="151" t="s">
        <v>3940</v>
      </c>
    </row>
    <row r="1973" spans="1:1">
      <c r="A1973" s="151" t="s">
        <v>3941</v>
      </c>
    </row>
    <row r="1974" spans="1:1">
      <c r="A1974" s="151" t="s">
        <v>3942</v>
      </c>
    </row>
    <row r="1975" spans="1:1">
      <c r="A1975" s="151" t="s">
        <v>3943</v>
      </c>
    </row>
    <row r="1976" spans="1:1">
      <c r="A1976" s="151" t="s">
        <v>3944</v>
      </c>
    </row>
    <row r="1977" spans="1:1">
      <c r="A1977" s="151" t="s">
        <v>3945</v>
      </c>
    </row>
    <row r="1978" spans="1:1">
      <c r="A1978" s="151" t="s">
        <v>3946</v>
      </c>
    </row>
    <row r="1979" spans="1:1">
      <c r="A1979" s="151" t="s">
        <v>3947</v>
      </c>
    </row>
    <row r="1980" spans="1:1">
      <c r="A1980" s="151" t="s">
        <v>3948</v>
      </c>
    </row>
    <row r="1981" spans="1:1">
      <c r="A1981" s="151" t="s">
        <v>3949</v>
      </c>
    </row>
    <row r="1982" spans="1:1">
      <c r="A1982" s="151" t="s">
        <v>3950</v>
      </c>
    </row>
    <row r="1983" spans="1:1">
      <c r="A1983" s="151" t="s">
        <v>3951</v>
      </c>
    </row>
    <row r="1984" spans="1:1">
      <c r="A1984" s="151" t="s">
        <v>3952</v>
      </c>
    </row>
    <row r="1985" spans="1:1">
      <c r="A1985" s="151" t="s">
        <v>3953</v>
      </c>
    </row>
    <row r="1986" spans="1:1">
      <c r="A1986" s="151" t="s">
        <v>3954</v>
      </c>
    </row>
    <row r="1987" spans="1:1">
      <c r="A1987" s="151" t="s">
        <v>3955</v>
      </c>
    </row>
    <row r="1988" spans="1:1">
      <c r="A1988" s="151" t="s">
        <v>3956</v>
      </c>
    </row>
    <row r="1989" spans="1:1">
      <c r="A1989" s="151" t="s">
        <v>3957</v>
      </c>
    </row>
    <row r="1990" spans="1:1">
      <c r="A1990" s="151" t="s">
        <v>3958</v>
      </c>
    </row>
    <row r="1991" spans="1:1">
      <c r="A1991" s="151" t="s">
        <v>3959</v>
      </c>
    </row>
    <row r="1992" spans="1:1">
      <c r="A1992" s="151" t="s">
        <v>3960</v>
      </c>
    </row>
    <row r="1993" spans="1:1">
      <c r="A1993" s="151" t="s">
        <v>3961</v>
      </c>
    </row>
    <row r="1994" spans="1:1">
      <c r="A1994" s="151" t="s">
        <v>3962</v>
      </c>
    </row>
    <row r="1995" spans="1:1">
      <c r="A1995" s="151" t="s">
        <v>3963</v>
      </c>
    </row>
    <row r="1996" spans="1:1">
      <c r="A1996" s="151" t="s">
        <v>3964</v>
      </c>
    </row>
    <row r="1997" spans="1:1">
      <c r="A1997" s="151" t="s">
        <v>3965</v>
      </c>
    </row>
    <row r="1998" spans="1:1">
      <c r="A1998" s="151" t="s">
        <v>3966</v>
      </c>
    </row>
    <row r="1999" spans="1:1">
      <c r="A1999" s="151" t="s">
        <v>3967</v>
      </c>
    </row>
    <row r="2000" spans="1:1">
      <c r="A2000" s="151" t="s">
        <v>3968</v>
      </c>
    </row>
    <row r="2001" spans="1:1">
      <c r="A2001" s="151" t="s">
        <v>3969</v>
      </c>
    </row>
    <row r="2002" spans="1:1">
      <c r="A2002" s="151" t="s">
        <v>3970</v>
      </c>
    </row>
    <row r="2003" spans="1:1">
      <c r="A2003" s="151" t="s">
        <v>3971</v>
      </c>
    </row>
    <row r="2004" spans="1:1">
      <c r="A2004" s="151" t="s">
        <v>3972</v>
      </c>
    </row>
    <row r="2005" spans="1:1">
      <c r="A2005" s="151" t="s">
        <v>3973</v>
      </c>
    </row>
    <row r="2006" spans="1:1">
      <c r="A2006" s="151" t="s">
        <v>3974</v>
      </c>
    </row>
    <row r="2007" spans="1:1">
      <c r="A2007" s="151" t="s">
        <v>3975</v>
      </c>
    </row>
    <row r="2008" spans="1:1">
      <c r="A2008" s="151" t="s">
        <v>3976</v>
      </c>
    </row>
    <row r="2009" spans="1:1">
      <c r="A2009" s="151" t="s">
        <v>3977</v>
      </c>
    </row>
    <row r="2010" spans="1:1">
      <c r="A2010" s="151" t="s">
        <v>3978</v>
      </c>
    </row>
    <row r="2011" spans="1:1">
      <c r="A2011" s="151" t="s">
        <v>3979</v>
      </c>
    </row>
    <row r="2012" spans="1:1">
      <c r="A2012" s="151" t="s">
        <v>3980</v>
      </c>
    </row>
    <row r="2013" spans="1:1">
      <c r="A2013" s="151" t="s">
        <v>3981</v>
      </c>
    </row>
    <row r="2014" spans="1:1">
      <c r="A2014" s="151" t="s">
        <v>3982</v>
      </c>
    </row>
    <row r="2015" spans="1:1">
      <c r="A2015" s="151" t="s">
        <v>3983</v>
      </c>
    </row>
    <row r="2016" spans="1:1">
      <c r="A2016" s="151" t="s">
        <v>3984</v>
      </c>
    </row>
    <row r="2017" spans="1:1">
      <c r="A2017" s="151" t="s">
        <v>3985</v>
      </c>
    </row>
    <row r="2018" spans="1:1">
      <c r="A2018" s="151" t="s">
        <v>3986</v>
      </c>
    </row>
    <row r="2019" spans="1:1">
      <c r="A2019" s="151" t="s">
        <v>3987</v>
      </c>
    </row>
    <row r="2020" spans="1:1">
      <c r="A2020" s="151" t="s">
        <v>3988</v>
      </c>
    </row>
    <row r="2021" spans="1:1">
      <c r="A2021" s="151" t="s">
        <v>3989</v>
      </c>
    </row>
    <row r="2022" spans="1:1">
      <c r="A2022" s="151" t="s">
        <v>3990</v>
      </c>
    </row>
    <row r="2023" spans="1:1">
      <c r="A2023" s="151" t="s">
        <v>3991</v>
      </c>
    </row>
    <row r="2024" spans="1:1">
      <c r="A2024" s="151" t="s">
        <v>3992</v>
      </c>
    </row>
    <row r="2025" spans="1:1">
      <c r="A2025" s="151" t="s">
        <v>3993</v>
      </c>
    </row>
    <row r="2026" spans="1:1">
      <c r="A2026" s="151" t="s">
        <v>3994</v>
      </c>
    </row>
    <row r="2027" spans="1:1">
      <c r="A2027" s="151" t="s">
        <v>3995</v>
      </c>
    </row>
    <row r="2028" spans="1:1">
      <c r="A2028" s="151" t="s">
        <v>3996</v>
      </c>
    </row>
    <row r="2029" spans="1:1">
      <c r="A2029" s="151" t="s">
        <v>3997</v>
      </c>
    </row>
    <row r="2030" spans="1:1">
      <c r="A2030" s="151" t="s">
        <v>3998</v>
      </c>
    </row>
    <row r="2031" spans="1:1">
      <c r="A2031" s="151" t="s">
        <v>3999</v>
      </c>
    </row>
    <row r="2032" spans="1:1">
      <c r="A2032" s="151" t="s">
        <v>4000</v>
      </c>
    </row>
    <row r="2033" spans="1:1">
      <c r="A2033" s="151" t="s">
        <v>4001</v>
      </c>
    </row>
    <row r="2034" spans="1:1">
      <c r="A2034" s="151" t="s">
        <v>4002</v>
      </c>
    </row>
    <row r="2035" spans="1:1">
      <c r="A2035" s="151" t="s">
        <v>4003</v>
      </c>
    </row>
    <row r="2036" spans="1:1">
      <c r="A2036" s="151" t="s">
        <v>4004</v>
      </c>
    </row>
    <row r="2037" spans="1:1">
      <c r="A2037" s="151" t="s">
        <v>4005</v>
      </c>
    </row>
    <row r="2038" spans="1:1">
      <c r="A2038" s="151" t="s">
        <v>4006</v>
      </c>
    </row>
    <row r="2039" spans="1:1">
      <c r="A2039" s="151" t="s">
        <v>4007</v>
      </c>
    </row>
    <row r="2040" spans="1:1">
      <c r="A2040" s="151" t="s">
        <v>4008</v>
      </c>
    </row>
    <row r="2041" spans="1:1">
      <c r="A2041" s="151" t="s">
        <v>4009</v>
      </c>
    </row>
    <row r="2042" spans="1:1">
      <c r="A2042" s="151" t="s">
        <v>4010</v>
      </c>
    </row>
    <row r="2043" spans="1:1">
      <c r="A2043" s="151" t="s">
        <v>4011</v>
      </c>
    </row>
    <row r="2044" spans="1:1">
      <c r="A2044" s="151" t="s">
        <v>4012</v>
      </c>
    </row>
    <row r="2045" spans="1:1">
      <c r="A2045" s="151" t="s">
        <v>4013</v>
      </c>
    </row>
    <row r="2046" spans="1:1">
      <c r="A2046" s="151" t="s">
        <v>4014</v>
      </c>
    </row>
    <row r="2047" spans="1:1">
      <c r="A2047" s="151" t="s">
        <v>4015</v>
      </c>
    </row>
    <row r="2048" spans="1:1">
      <c r="A2048" s="151" t="s">
        <v>4016</v>
      </c>
    </row>
    <row r="2049" spans="1:1">
      <c r="A2049" s="151" t="s">
        <v>4017</v>
      </c>
    </row>
    <row r="2050" spans="1:1">
      <c r="A2050" s="151" t="s">
        <v>4018</v>
      </c>
    </row>
    <row r="2051" spans="1:1">
      <c r="A2051" s="151" t="s">
        <v>4019</v>
      </c>
    </row>
    <row r="2052" spans="1:1">
      <c r="A2052" s="151" t="s">
        <v>4020</v>
      </c>
    </row>
    <row r="2053" spans="1:1">
      <c r="A2053" s="151" t="s">
        <v>4021</v>
      </c>
    </row>
    <row r="2054" spans="1:1">
      <c r="A2054" s="151" t="s">
        <v>4022</v>
      </c>
    </row>
    <row r="2055" spans="1:1">
      <c r="A2055" s="151" t="s">
        <v>4023</v>
      </c>
    </row>
    <row r="2056" spans="1:1">
      <c r="A2056" s="151" t="s">
        <v>4024</v>
      </c>
    </row>
    <row r="2057" spans="1:1">
      <c r="A2057" s="151" t="s">
        <v>4025</v>
      </c>
    </row>
    <row r="2058" spans="1:1">
      <c r="A2058" s="151" t="s">
        <v>4026</v>
      </c>
    </row>
    <row r="2059" spans="1:1">
      <c r="A2059" s="151" t="s">
        <v>4027</v>
      </c>
    </row>
    <row r="2060" spans="1:1">
      <c r="A2060" s="151" t="s">
        <v>4028</v>
      </c>
    </row>
    <row r="2061" spans="1:1">
      <c r="A2061" s="151" t="s">
        <v>4029</v>
      </c>
    </row>
    <row r="2062" spans="1:1">
      <c r="A2062" s="151" t="s">
        <v>4030</v>
      </c>
    </row>
    <row r="2063" spans="1:1">
      <c r="A2063" s="151" t="s">
        <v>4031</v>
      </c>
    </row>
    <row r="2064" spans="1:1">
      <c r="A2064" s="151" t="s">
        <v>4032</v>
      </c>
    </row>
    <row r="2065" spans="1:1">
      <c r="A2065" s="151" t="s">
        <v>4033</v>
      </c>
    </row>
    <row r="2066" spans="1:1">
      <c r="A2066" s="151" t="s">
        <v>4034</v>
      </c>
    </row>
    <row r="2067" spans="1:1">
      <c r="A2067" s="151" t="s">
        <v>4035</v>
      </c>
    </row>
    <row r="2068" spans="1:1">
      <c r="A2068" s="151" t="s">
        <v>4036</v>
      </c>
    </row>
    <row r="2069" spans="1:1">
      <c r="A2069" s="151" t="s">
        <v>4037</v>
      </c>
    </row>
    <row r="2070" spans="1:1">
      <c r="A2070" s="151" t="s">
        <v>4038</v>
      </c>
    </row>
    <row r="2071" spans="1:1">
      <c r="A2071" s="151" t="s">
        <v>4039</v>
      </c>
    </row>
    <row r="2072" spans="1:1">
      <c r="A2072" s="151" t="s">
        <v>4040</v>
      </c>
    </row>
    <row r="2073" spans="1:1">
      <c r="A2073" s="151" t="s">
        <v>4041</v>
      </c>
    </row>
    <row r="2074" spans="1:1">
      <c r="A2074" s="151" t="s">
        <v>4042</v>
      </c>
    </row>
    <row r="2075" spans="1:1">
      <c r="A2075" s="151" t="s">
        <v>4043</v>
      </c>
    </row>
    <row r="2076" spans="1:1">
      <c r="A2076" s="151" t="s">
        <v>4044</v>
      </c>
    </row>
    <row r="2077" spans="1:1">
      <c r="A2077" s="151" t="s">
        <v>4045</v>
      </c>
    </row>
    <row r="2078" spans="1:1">
      <c r="A2078" s="151" t="s">
        <v>4046</v>
      </c>
    </row>
    <row r="2079" spans="1:1">
      <c r="A2079" s="151" t="s">
        <v>4047</v>
      </c>
    </row>
    <row r="2080" spans="1:1">
      <c r="A2080" s="151" t="s">
        <v>4048</v>
      </c>
    </row>
    <row r="2081" spans="1:1">
      <c r="A2081" s="151" t="s">
        <v>4049</v>
      </c>
    </row>
    <row r="2082" spans="1:1">
      <c r="A2082" s="151" t="s">
        <v>4050</v>
      </c>
    </row>
    <row r="2083" spans="1:1">
      <c r="A2083" s="151" t="s">
        <v>4051</v>
      </c>
    </row>
    <row r="2084" spans="1:1">
      <c r="A2084" s="151" t="s">
        <v>4052</v>
      </c>
    </row>
    <row r="2085" spans="1:1">
      <c r="A2085" s="151" t="s">
        <v>4053</v>
      </c>
    </row>
    <row r="2086" spans="1:1">
      <c r="A2086" s="151" t="s">
        <v>4054</v>
      </c>
    </row>
    <row r="2087" spans="1:1">
      <c r="A2087" s="151" t="s">
        <v>4055</v>
      </c>
    </row>
    <row r="2088" spans="1:1">
      <c r="A2088" s="151" t="s">
        <v>4056</v>
      </c>
    </row>
    <row r="2089" spans="1:1">
      <c r="A2089" s="151" t="s">
        <v>4057</v>
      </c>
    </row>
    <row r="2090" spans="1:1">
      <c r="A2090" s="151" t="s">
        <v>4058</v>
      </c>
    </row>
    <row r="2091" spans="1:1">
      <c r="A2091" s="151" t="s">
        <v>4059</v>
      </c>
    </row>
    <row r="2092" spans="1:1">
      <c r="A2092" s="151" t="s">
        <v>4060</v>
      </c>
    </row>
    <row r="2093" spans="1:1">
      <c r="A2093" s="151" t="s">
        <v>4061</v>
      </c>
    </row>
    <row r="2094" spans="1:1">
      <c r="A2094" s="151" t="s">
        <v>4062</v>
      </c>
    </row>
    <row r="2095" spans="1:1">
      <c r="A2095" s="151" t="s">
        <v>4063</v>
      </c>
    </row>
    <row r="2096" spans="1:1">
      <c r="A2096" s="151" t="s">
        <v>4064</v>
      </c>
    </row>
    <row r="2097" spans="1:1">
      <c r="A2097" s="151" t="s">
        <v>4065</v>
      </c>
    </row>
    <row r="2098" spans="1:1">
      <c r="A2098" s="151" t="s">
        <v>4066</v>
      </c>
    </row>
    <row r="2099" spans="1:1">
      <c r="A2099" s="151" t="s">
        <v>4067</v>
      </c>
    </row>
    <row r="2100" spans="1:1">
      <c r="A2100" s="151" t="s">
        <v>4068</v>
      </c>
    </row>
    <row r="2101" spans="1:1">
      <c r="A2101" s="151" t="s">
        <v>4069</v>
      </c>
    </row>
    <row r="2102" spans="1:1">
      <c r="A2102" s="151" t="s">
        <v>4070</v>
      </c>
    </row>
    <row r="2103" spans="1:1">
      <c r="A2103" s="151" t="s">
        <v>4071</v>
      </c>
    </row>
    <row r="2104" spans="1:1">
      <c r="A2104" s="151" t="s">
        <v>4072</v>
      </c>
    </row>
    <row r="2105" spans="1:1">
      <c r="A2105" s="151" t="s">
        <v>4073</v>
      </c>
    </row>
    <row r="2106" spans="1:1">
      <c r="A2106" s="151" t="s">
        <v>4074</v>
      </c>
    </row>
    <row r="2107" spans="1:1">
      <c r="A2107" s="151" t="s">
        <v>4075</v>
      </c>
    </row>
    <row r="2108" spans="1:1">
      <c r="A2108" s="151" t="s">
        <v>4076</v>
      </c>
    </row>
    <row r="2109" spans="1:1">
      <c r="A2109" s="151" t="s">
        <v>4077</v>
      </c>
    </row>
    <row r="2110" spans="1:1">
      <c r="A2110" s="151" t="s">
        <v>4078</v>
      </c>
    </row>
    <row r="2111" spans="1:1">
      <c r="A2111" s="151" t="s">
        <v>4079</v>
      </c>
    </row>
    <row r="2112" spans="1:1">
      <c r="A2112" s="151" t="s">
        <v>4080</v>
      </c>
    </row>
    <row r="2113" spans="1:1">
      <c r="A2113" s="151" t="s">
        <v>4081</v>
      </c>
    </row>
    <row r="2114" spans="1:1">
      <c r="A2114" s="151" t="s">
        <v>4082</v>
      </c>
    </row>
    <row r="2115" spans="1:1">
      <c r="A2115" s="151" t="s">
        <v>4083</v>
      </c>
    </row>
    <row r="2116" spans="1:1">
      <c r="A2116" s="151" t="s">
        <v>4084</v>
      </c>
    </row>
    <row r="2117" spans="1:1">
      <c r="A2117" s="151" t="s">
        <v>4085</v>
      </c>
    </row>
    <row r="2118" spans="1:1">
      <c r="A2118" s="151" t="s">
        <v>4086</v>
      </c>
    </row>
    <row r="2119" spans="1:1">
      <c r="A2119" s="151" t="s">
        <v>4087</v>
      </c>
    </row>
    <row r="2120" spans="1:1">
      <c r="A2120" s="151" t="s">
        <v>4088</v>
      </c>
    </row>
    <row r="2121" spans="1:1">
      <c r="A2121" s="151" t="s">
        <v>4089</v>
      </c>
    </row>
    <row r="2122" spans="1:1">
      <c r="A2122" s="151" t="s">
        <v>4090</v>
      </c>
    </row>
    <row r="2123" spans="1:1">
      <c r="A2123" s="151" t="s">
        <v>4091</v>
      </c>
    </row>
    <row r="2124" spans="1:1">
      <c r="A2124" s="151" t="s">
        <v>4092</v>
      </c>
    </row>
    <row r="2125" spans="1:1">
      <c r="A2125" s="151" t="s">
        <v>4093</v>
      </c>
    </row>
    <row r="2126" spans="1:1">
      <c r="A2126" s="151" t="s">
        <v>4094</v>
      </c>
    </row>
    <row r="2127" spans="1:1">
      <c r="A2127" s="151" t="s">
        <v>4095</v>
      </c>
    </row>
    <row r="2128" spans="1:1">
      <c r="A2128" s="151" t="s">
        <v>4096</v>
      </c>
    </row>
    <row r="2129" spans="1:1">
      <c r="A2129" s="151" t="s">
        <v>4097</v>
      </c>
    </row>
    <row r="2130" spans="1:1">
      <c r="A2130" s="151" t="s">
        <v>4098</v>
      </c>
    </row>
    <row r="2131" spans="1:1">
      <c r="A2131" s="151" t="s">
        <v>4099</v>
      </c>
    </row>
    <row r="2132" spans="1:1">
      <c r="A2132" s="151" t="s">
        <v>4100</v>
      </c>
    </row>
    <row r="2133" spans="1:1">
      <c r="A2133" s="151" t="s">
        <v>4101</v>
      </c>
    </row>
    <row r="2134" spans="1:1">
      <c r="A2134" s="151" t="s">
        <v>4102</v>
      </c>
    </row>
    <row r="2135" spans="1:1">
      <c r="A2135" s="151" t="s">
        <v>4103</v>
      </c>
    </row>
    <row r="2136" spans="1:1">
      <c r="A2136" s="151" t="s">
        <v>4104</v>
      </c>
    </row>
    <row r="2137" spans="1:1">
      <c r="A2137" s="151" t="s">
        <v>4105</v>
      </c>
    </row>
    <row r="2138" spans="1:1">
      <c r="A2138" s="151" t="s">
        <v>4106</v>
      </c>
    </row>
    <row r="2139" spans="1:1">
      <c r="A2139" s="151" t="s">
        <v>4107</v>
      </c>
    </row>
    <row r="2140" spans="1:1">
      <c r="A2140" s="151" t="s">
        <v>4108</v>
      </c>
    </row>
    <row r="2141" spans="1:1">
      <c r="A2141" s="151" t="s">
        <v>4109</v>
      </c>
    </row>
    <row r="2142" spans="1:1">
      <c r="A2142" s="151" t="s">
        <v>4110</v>
      </c>
    </row>
    <row r="2143" spans="1:1">
      <c r="A2143" s="151" t="s">
        <v>4111</v>
      </c>
    </row>
    <row r="2144" spans="1:1">
      <c r="A2144" s="151" t="s">
        <v>4112</v>
      </c>
    </row>
    <row r="2145" spans="1:1">
      <c r="A2145" s="151" t="s">
        <v>4113</v>
      </c>
    </row>
    <row r="2146" spans="1:1">
      <c r="A2146" s="151" t="s">
        <v>4114</v>
      </c>
    </row>
    <row r="2147" spans="1:1">
      <c r="A2147" s="151" t="s">
        <v>4115</v>
      </c>
    </row>
    <row r="2148" spans="1:1">
      <c r="A2148" s="151" t="s">
        <v>4116</v>
      </c>
    </row>
    <row r="2149" spans="1:1">
      <c r="A2149" s="151" t="s">
        <v>4117</v>
      </c>
    </row>
    <row r="2150" spans="1:1">
      <c r="A2150" s="151" t="s">
        <v>4118</v>
      </c>
    </row>
    <row r="2151" spans="1:1">
      <c r="A2151" s="151" t="s">
        <v>4119</v>
      </c>
    </row>
    <row r="2152" spans="1:1">
      <c r="A2152" s="151" t="s">
        <v>4120</v>
      </c>
    </row>
    <row r="2153" spans="1:1">
      <c r="A2153" s="151" t="s">
        <v>4121</v>
      </c>
    </row>
    <row r="2154" spans="1:1">
      <c r="A2154" s="151" t="s">
        <v>4122</v>
      </c>
    </row>
    <row r="2155" spans="1:1">
      <c r="A2155" s="151" t="s">
        <v>4123</v>
      </c>
    </row>
    <row r="2156" spans="1:1">
      <c r="A2156" s="151" t="s">
        <v>4124</v>
      </c>
    </row>
    <row r="2157" spans="1:1">
      <c r="A2157" s="151" t="s">
        <v>4125</v>
      </c>
    </row>
    <row r="2158" spans="1:1">
      <c r="A2158" s="151" t="s">
        <v>4126</v>
      </c>
    </row>
    <row r="2159" spans="1:1">
      <c r="A2159" s="151" t="s">
        <v>4127</v>
      </c>
    </row>
    <row r="2160" spans="1:1">
      <c r="A2160" s="151" t="s">
        <v>4128</v>
      </c>
    </row>
    <row r="2161" spans="1:1">
      <c r="A2161" s="151" t="s">
        <v>4129</v>
      </c>
    </row>
    <row r="2162" spans="1:1">
      <c r="A2162" s="151" t="s">
        <v>4130</v>
      </c>
    </row>
    <row r="2163" spans="1:1">
      <c r="A2163" s="151" t="s">
        <v>4131</v>
      </c>
    </row>
    <row r="2164" spans="1:1">
      <c r="A2164" s="151" t="s">
        <v>4132</v>
      </c>
    </row>
    <row r="2165" spans="1:1">
      <c r="A2165" s="151" t="s">
        <v>4133</v>
      </c>
    </row>
    <row r="2166" spans="1:1">
      <c r="A2166" s="151" t="s">
        <v>4134</v>
      </c>
    </row>
    <row r="2167" spans="1:1">
      <c r="A2167" s="151" t="s">
        <v>4135</v>
      </c>
    </row>
    <row r="2168" spans="1:1">
      <c r="A2168" s="151" t="s">
        <v>4136</v>
      </c>
    </row>
    <row r="2169" spans="1:1">
      <c r="A2169" s="151" t="s">
        <v>4137</v>
      </c>
    </row>
    <row r="2170" spans="1:1">
      <c r="A2170" s="151" t="s">
        <v>4138</v>
      </c>
    </row>
    <row r="2171" spans="1:1">
      <c r="A2171" s="151" t="s">
        <v>4139</v>
      </c>
    </row>
    <row r="2172" spans="1:1">
      <c r="A2172" s="151" t="s">
        <v>4140</v>
      </c>
    </row>
    <row r="2173" spans="1:1">
      <c r="A2173" s="151" t="s">
        <v>4141</v>
      </c>
    </row>
    <row r="2174" spans="1:1">
      <c r="A2174" s="151" t="s">
        <v>4142</v>
      </c>
    </row>
    <row r="2175" spans="1:1">
      <c r="A2175" s="151" t="s">
        <v>4143</v>
      </c>
    </row>
    <row r="2176" spans="1:1">
      <c r="A2176" s="151" t="s">
        <v>4144</v>
      </c>
    </row>
    <row r="2177" spans="1:1">
      <c r="A2177" s="151" t="s">
        <v>4145</v>
      </c>
    </row>
    <row r="2178" spans="1:1">
      <c r="A2178" s="151" t="s">
        <v>4146</v>
      </c>
    </row>
    <row r="2179" spans="1:1">
      <c r="A2179" s="151" t="s">
        <v>4147</v>
      </c>
    </row>
    <row r="2180" spans="1:1">
      <c r="A2180" s="151" t="s">
        <v>4148</v>
      </c>
    </row>
    <row r="2181" spans="1:1">
      <c r="A2181" s="151" t="s">
        <v>4149</v>
      </c>
    </row>
    <row r="2182" spans="1:1">
      <c r="A2182" s="151" t="s">
        <v>4150</v>
      </c>
    </row>
    <row r="2183" spans="1:1">
      <c r="A2183" s="151" t="s">
        <v>4151</v>
      </c>
    </row>
    <row r="2184" spans="1:1">
      <c r="A2184" s="151" t="s">
        <v>4152</v>
      </c>
    </row>
    <row r="2185" spans="1:1">
      <c r="A2185" s="151" t="s">
        <v>4153</v>
      </c>
    </row>
    <row r="2186" spans="1:1">
      <c r="A2186" s="151" t="s">
        <v>4154</v>
      </c>
    </row>
    <row r="2187" spans="1:1">
      <c r="A2187" s="151" t="s">
        <v>4155</v>
      </c>
    </row>
    <row r="2188" spans="1:1">
      <c r="A2188" s="151" t="s">
        <v>4156</v>
      </c>
    </row>
    <row r="2189" spans="1:1">
      <c r="A2189" s="151" t="s">
        <v>4157</v>
      </c>
    </row>
    <row r="2190" spans="1:1">
      <c r="A2190" s="151" t="s">
        <v>4158</v>
      </c>
    </row>
    <row r="2191" spans="1:1">
      <c r="A2191" s="151" t="s">
        <v>4159</v>
      </c>
    </row>
    <row r="2192" spans="1:1">
      <c r="A2192" s="151" t="s">
        <v>4160</v>
      </c>
    </row>
    <row r="2193" spans="1:1">
      <c r="A2193" s="151" t="s">
        <v>4161</v>
      </c>
    </row>
    <row r="2194" spans="1:1">
      <c r="A2194" s="151" t="s">
        <v>4162</v>
      </c>
    </row>
    <row r="2195" spans="1:1">
      <c r="A2195" s="151" t="s">
        <v>4163</v>
      </c>
    </row>
    <row r="2196" spans="1:1">
      <c r="A2196" s="151" t="s">
        <v>4164</v>
      </c>
    </row>
    <row r="2197" spans="1:1">
      <c r="A2197" s="151" t="s">
        <v>4165</v>
      </c>
    </row>
    <row r="2198" spans="1:1">
      <c r="A2198" s="151" t="s">
        <v>4166</v>
      </c>
    </row>
    <row r="2199" spans="1:1">
      <c r="A2199" s="151" t="s">
        <v>4167</v>
      </c>
    </row>
    <row r="2200" spans="1:1">
      <c r="A2200" s="151" t="s">
        <v>4168</v>
      </c>
    </row>
    <row r="2201" spans="1:1">
      <c r="A2201" s="151" t="s">
        <v>4169</v>
      </c>
    </row>
    <row r="2202" spans="1:1">
      <c r="A2202" s="151" t="s">
        <v>4170</v>
      </c>
    </row>
    <row r="2203" spans="1:1">
      <c r="A2203" s="151" t="s">
        <v>4171</v>
      </c>
    </row>
    <row r="2204" spans="1:1">
      <c r="A2204" s="151" t="s">
        <v>4172</v>
      </c>
    </row>
    <row r="2205" spans="1:1">
      <c r="A2205" s="151" t="s">
        <v>4173</v>
      </c>
    </row>
    <row r="2206" spans="1:1">
      <c r="A2206" s="151" t="s">
        <v>4174</v>
      </c>
    </row>
    <row r="2207" spans="1:1">
      <c r="A2207" s="151" t="s">
        <v>4175</v>
      </c>
    </row>
    <row r="2208" spans="1:1">
      <c r="A2208" s="151" t="s">
        <v>4176</v>
      </c>
    </row>
    <row r="2209" spans="1:1">
      <c r="A2209" s="151" t="s">
        <v>4177</v>
      </c>
    </row>
    <row r="2210" spans="1:1">
      <c r="A2210" s="151" t="s">
        <v>4178</v>
      </c>
    </row>
    <row r="2211" spans="1:1">
      <c r="A2211" s="151" t="s">
        <v>4179</v>
      </c>
    </row>
    <row r="2212" spans="1:1">
      <c r="A2212" s="151" t="s">
        <v>4180</v>
      </c>
    </row>
    <row r="2213" spans="1:1">
      <c r="A2213" s="151" t="s">
        <v>4181</v>
      </c>
    </row>
    <row r="2214" spans="1:1">
      <c r="A2214" s="151" t="s">
        <v>4182</v>
      </c>
    </row>
    <row r="2215" spans="1:1">
      <c r="A2215" s="151" t="s">
        <v>4183</v>
      </c>
    </row>
    <row r="2216" spans="1:1">
      <c r="A2216" s="151" t="s">
        <v>4184</v>
      </c>
    </row>
    <row r="2217" spans="1:1">
      <c r="A2217" s="151" t="s">
        <v>4185</v>
      </c>
    </row>
    <row r="2218" spans="1:1">
      <c r="A2218" s="151" t="s">
        <v>4186</v>
      </c>
    </row>
    <row r="2219" spans="1:1">
      <c r="A2219" s="151" t="s">
        <v>4187</v>
      </c>
    </row>
    <row r="2220" spans="1:1">
      <c r="A2220" s="151" t="s">
        <v>4188</v>
      </c>
    </row>
    <row r="2221" spans="1:1">
      <c r="A2221" s="151" t="s">
        <v>4189</v>
      </c>
    </row>
    <row r="2222" spans="1:1">
      <c r="A2222" s="151" t="s">
        <v>4190</v>
      </c>
    </row>
    <row r="2223" spans="1:1">
      <c r="A2223" s="151" t="s">
        <v>4191</v>
      </c>
    </row>
    <row r="2224" spans="1:1">
      <c r="A2224" s="151" t="s">
        <v>4192</v>
      </c>
    </row>
    <row r="2225" spans="1:1">
      <c r="A2225" s="151" t="s">
        <v>4193</v>
      </c>
    </row>
    <row r="2226" spans="1:1">
      <c r="A2226" s="151" t="s">
        <v>4194</v>
      </c>
    </row>
    <row r="2227" spans="1:1">
      <c r="A2227" s="151" t="s">
        <v>4195</v>
      </c>
    </row>
    <row r="2228" spans="1:1">
      <c r="A2228" s="151" t="s">
        <v>4196</v>
      </c>
    </row>
    <row r="2229" spans="1:1">
      <c r="A2229" s="151" t="s">
        <v>4197</v>
      </c>
    </row>
    <row r="2230" spans="1:1">
      <c r="A2230" s="151" t="s">
        <v>4198</v>
      </c>
    </row>
    <row r="2231" spans="1:1">
      <c r="A2231" s="151" t="s">
        <v>4199</v>
      </c>
    </row>
    <row r="2232" spans="1:1">
      <c r="A2232" s="151" t="s">
        <v>4200</v>
      </c>
    </row>
    <row r="2233" spans="1:1">
      <c r="A2233" s="151" t="s">
        <v>4201</v>
      </c>
    </row>
    <row r="2234" spans="1:1">
      <c r="A2234" s="151" t="s">
        <v>4202</v>
      </c>
    </row>
    <row r="2235" spans="1:1">
      <c r="A2235" s="151" t="s">
        <v>4203</v>
      </c>
    </row>
    <row r="2236" spans="1:1">
      <c r="A2236" s="151" t="s">
        <v>4204</v>
      </c>
    </row>
    <row r="2237" spans="1:1">
      <c r="A2237" s="151" t="s">
        <v>4205</v>
      </c>
    </row>
    <row r="2238" spans="1:1">
      <c r="A2238" s="151" t="s">
        <v>4206</v>
      </c>
    </row>
    <row r="2239" spans="1:1">
      <c r="A2239" s="151" t="s">
        <v>4207</v>
      </c>
    </row>
    <row r="2240" spans="1:1">
      <c r="A2240" s="151" t="s">
        <v>4208</v>
      </c>
    </row>
    <row r="2241" spans="1:1">
      <c r="A2241" s="151" t="s">
        <v>4209</v>
      </c>
    </row>
    <row r="2242" spans="1:1">
      <c r="A2242" s="151" t="s">
        <v>4210</v>
      </c>
    </row>
    <row r="2243" spans="1:1">
      <c r="A2243" s="151" t="s">
        <v>4211</v>
      </c>
    </row>
    <row r="2244" spans="1:1">
      <c r="A2244" s="151" t="s">
        <v>4212</v>
      </c>
    </row>
    <row r="2245" spans="1:1">
      <c r="A2245" s="151" t="s">
        <v>4213</v>
      </c>
    </row>
    <row r="2246" spans="1:1">
      <c r="A2246" s="151" t="s">
        <v>4214</v>
      </c>
    </row>
    <row r="2247" spans="1:1">
      <c r="A2247" s="151" t="s">
        <v>4215</v>
      </c>
    </row>
    <row r="2248" spans="1:1">
      <c r="A2248" s="151" t="s">
        <v>4216</v>
      </c>
    </row>
    <row r="2249" spans="1:1">
      <c r="A2249" s="151" t="s">
        <v>4217</v>
      </c>
    </row>
    <row r="2250" spans="1:1">
      <c r="A2250" s="151" t="s">
        <v>4218</v>
      </c>
    </row>
    <row r="2251" spans="1:1">
      <c r="A2251" s="151" t="s">
        <v>4219</v>
      </c>
    </row>
    <row r="2252" spans="1:1">
      <c r="A2252" s="151" t="s">
        <v>4220</v>
      </c>
    </row>
    <row r="2253" spans="1:1">
      <c r="A2253" s="151" t="s">
        <v>4221</v>
      </c>
    </row>
    <row r="2254" spans="1:1">
      <c r="A2254" s="151" t="s">
        <v>4222</v>
      </c>
    </row>
    <row r="2255" spans="1:1">
      <c r="A2255" s="151" t="s">
        <v>4223</v>
      </c>
    </row>
    <row r="2256" spans="1:1">
      <c r="A2256" s="151" t="s">
        <v>4224</v>
      </c>
    </row>
    <row r="2257" spans="1:1">
      <c r="A2257" s="151" t="s">
        <v>4225</v>
      </c>
    </row>
    <row r="2258" spans="1:1">
      <c r="A2258" s="151" t="s">
        <v>4226</v>
      </c>
    </row>
    <row r="2259" spans="1:1">
      <c r="A2259" s="151" t="s">
        <v>4227</v>
      </c>
    </row>
    <row r="2260" spans="1:1">
      <c r="A2260" s="151" t="s">
        <v>4228</v>
      </c>
    </row>
    <row r="2261" spans="1:1">
      <c r="A2261" s="151" t="s">
        <v>4229</v>
      </c>
    </row>
    <row r="2262" spans="1:1">
      <c r="A2262" s="151" t="s">
        <v>4230</v>
      </c>
    </row>
    <row r="2263" spans="1:1">
      <c r="A2263" s="151" t="s">
        <v>4231</v>
      </c>
    </row>
    <row r="2264" spans="1:1">
      <c r="A2264" s="151" t="s">
        <v>4232</v>
      </c>
    </row>
    <row r="2265" spans="1:1">
      <c r="A2265" s="151" t="s">
        <v>4233</v>
      </c>
    </row>
    <row r="2266" spans="1:1">
      <c r="A2266" s="151" t="s">
        <v>4234</v>
      </c>
    </row>
    <row r="2267" spans="1:1">
      <c r="A2267" s="151" t="s">
        <v>4235</v>
      </c>
    </row>
    <row r="2268" spans="1:1">
      <c r="A2268" s="151" t="s">
        <v>4236</v>
      </c>
    </row>
    <row r="2269" spans="1:1">
      <c r="A2269" s="151" t="s">
        <v>4237</v>
      </c>
    </row>
    <row r="2270" spans="1:1">
      <c r="A2270" s="151" t="s">
        <v>4238</v>
      </c>
    </row>
    <row r="2271" spans="1:1">
      <c r="A2271" s="151" t="s">
        <v>4239</v>
      </c>
    </row>
    <row r="2272" spans="1:1">
      <c r="A2272" s="151" t="s">
        <v>4240</v>
      </c>
    </row>
    <row r="2273" spans="1:1">
      <c r="A2273" s="151" t="s">
        <v>4241</v>
      </c>
    </row>
    <row r="2274" spans="1:1">
      <c r="A2274" s="151" t="s">
        <v>4242</v>
      </c>
    </row>
    <row r="2275" spans="1:1">
      <c r="A2275" s="151" t="s">
        <v>4243</v>
      </c>
    </row>
    <row r="2276" spans="1:1">
      <c r="A2276" s="151" t="s">
        <v>4244</v>
      </c>
    </row>
    <row r="2277" spans="1:1">
      <c r="A2277" s="151" t="s">
        <v>4245</v>
      </c>
    </row>
    <row r="2278" spans="1:1">
      <c r="A2278" s="151" t="s">
        <v>4246</v>
      </c>
    </row>
    <row r="2279" spans="1:1">
      <c r="A2279" s="151" t="s">
        <v>4247</v>
      </c>
    </row>
    <row r="2280" spans="1:1">
      <c r="A2280" s="151" t="s">
        <v>4248</v>
      </c>
    </row>
    <row r="2281" spans="1:1">
      <c r="A2281" s="151" t="s">
        <v>4249</v>
      </c>
    </row>
    <row r="2282" spans="1:1">
      <c r="A2282" s="151" t="s">
        <v>4250</v>
      </c>
    </row>
    <row r="2283" spans="1:1">
      <c r="A2283" s="151" t="s">
        <v>4251</v>
      </c>
    </row>
    <row r="2284" spans="1:1">
      <c r="A2284" s="151" t="s">
        <v>4252</v>
      </c>
    </row>
    <row r="2285" spans="1:1">
      <c r="A2285" s="151" t="s">
        <v>4253</v>
      </c>
    </row>
    <row r="2286" spans="1:1">
      <c r="A2286" s="151" t="s">
        <v>4254</v>
      </c>
    </row>
    <row r="2287" spans="1:1">
      <c r="A2287" s="151" t="s">
        <v>4255</v>
      </c>
    </row>
    <row r="2288" spans="1:1">
      <c r="A2288" s="151" t="s">
        <v>4256</v>
      </c>
    </row>
    <row r="2289" spans="1:1">
      <c r="A2289" s="151" t="s">
        <v>4257</v>
      </c>
    </row>
    <row r="2290" spans="1:1">
      <c r="A2290" s="151" t="s">
        <v>4258</v>
      </c>
    </row>
    <row r="2291" spans="1:1">
      <c r="A2291" s="151" t="s">
        <v>4259</v>
      </c>
    </row>
    <row r="2292" spans="1:1">
      <c r="A2292" s="151" t="s">
        <v>4260</v>
      </c>
    </row>
    <row r="2293" spans="1:1">
      <c r="A2293" s="151" t="s">
        <v>4261</v>
      </c>
    </row>
    <row r="2294" spans="1:1">
      <c r="A2294" s="151" t="s">
        <v>4262</v>
      </c>
    </row>
    <row r="2295" spans="1:1">
      <c r="A2295" s="151" t="s">
        <v>4263</v>
      </c>
    </row>
    <row r="2296" spans="1:1">
      <c r="A2296" s="151" t="s">
        <v>4264</v>
      </c>
    </row>
    <row r="2297" spans="1:1">
      <c r="A2297" s="151" t="s">
        <v>4265</v>
      </c>
    </row>
    <row r="2298" spans="1:1">
      <c r="A2298" s="151" t="s">
        <v>4266</v>
      </c>
    </row>
    <row r="2299" spans="1:1">
      <c r="A2299" s="151" t="s">
        <v>4267</v>
      </c>
    </row>
    <row r="2300" spans="1:1">
      <c r="A2300" s="151" t="s">
        <v>4268</v>
      </c>
    </row>
    <row r="2301" spans="1:1">
      <c r="A2301" s="151" t="s">
        <v>4269</v>
      </c>
    </row>
    <row r="2302" spans="1:1">
      <c r="A2302" s="151" t="s">
        <v>4270</v>
      </c>
    </row>
    <row r="2303" spans="1:1">
      <c r="A2303" s="151" t="s">
        <v>4271</v>
      </c>
    </row>
    <row r="2304" spans="1:1">
      <c r="A2304" s="151" t="s">
        <v>4272</v>
      </c>
    </row>
    <row r="2305" spans="1:1">
      <c r="A2305" s="151" t="s">
        <v>4273</v>
      </c>
    </row>
    <row r="2306" spans="1:1">
      <c r="A2306" s="151" t="s">
        <v>4274</v>
      </c>
    </row>
    <row r="2307" spans="1:1">
      <c r="A2307" s="151" t="s">
        <v>4275</v>
      </c>
    </row>
    <row r="2308" spans="1:1">
      <c r="A2308" s="151" t="s">
        <v>4276</v>
      </c>
    </row>
    <row r="2309" spans="1:1">
      <c r="A2309" s="151" t="s">
        <v>4277</v>
      </c>
    </row>
    <row r="2310" spans="1:1">
      <c r="A2310" s="151" t="s">
        <v>4278</v>
      </c>
    </row>
    <row r="2311" spans="1:1">
      <c r="A2311" s="151" t="s">
        <v>4279</v>
      </c>
    </row>
    <row r="2312" spans="1:1">
      <c r="A2312" s="151" t="s">
        <v>4280</v>
      </c>
    </row>
    <row r="2313" spans="1:1">
      <c r="A2313" s="151" t="s">
        <v>4281</v>
      </c>
    </row>
    <row r="2314" spans="1:1">
      <c r="A2314" s="151" t="s">
        <v>4282</v>
      </c>
    </row>
    <row r="2315" spans="1:1">
      <c r="A2315" s="151" t="s">
        <v>4283</v>
      </c>
    </row>
    <row r="2316" spans="1:1">
      <c r="A2316" s="151" t="s">
        <v>4284</v>
      </c>
    </row>
    <row r="2317" spans="1:1">
      <c r="A2317" s="151" t="s">
        <v>4285</v>
      </c>
    </row>
    <row r="2318" spans="1:1">
      <c r="A2318" s="151" t="s">
        <v>4286</v>
      </c>
    </row>
    <row r="2319" spans="1:1">
      <c r="A2319" s="151" t="s">
        <v>4287</v>
      </c>
    </row>
    <row r="2320" spans="1:1">
      <c r="A2320" s="151" t="s">
        <v>4288</v>
      </c>
    </row>
    <row r="2321" spans="1:1">
      <c r="A2321" s="151" t="s">
        <v>4289</v>
      </c>
    </row>
    <row r="2322" spans="1:1">
      <c r="A2322" s="151" t="s">
        <v>4290</v>
      </c>
    </row>
    <row r="2323" spans="1:1">
      <c r="A2323" s="151" t="s">
        <v>4291</v>
      </c>
    </row>
    <row r="2324" spans="1:1">
      <c r="A2324" s="151" t="s">
        <v>4292</v>
      </c>
    </row>
    <row r="2325" spans="1:1">
      <c r="A2325" s="151" t="s">
        <v>4293</v>
      </c>
    </row>
    <row r="2326" spans="1:1">
      <c r="A2326" s="151" t="s">
        <v>4294</v>
      </c>
    </row>
    <row r="2327" spans="1:1">
      <c r="A2327" s="151" t="s">
        <v>4295</v>
      </c>
    </row>
    <row r="2328" spans="1:1">
      <c r="A2328" s="151" t="s">
        <v>4296</v>
      </c>
    </row>
    <row r="2329" spans="1:1">
      <c r="A2329" s="151" t="s">
        <v>4297</v>
      </c>
    </row>
    <row r="2330" spans="1:1">
      <c r="A2330" s="151" t="s">
        <v>4298</v>
      </c>
    </row>
    <row r="2331" spans="1:1">
      <c r="A2331" s="151" t="s">
        <v>4299</v>
      </c>
    </row>
    <row r="2332" spans="1:1">
      <c r="A2332" s="151" t="s">
        <v>4300</v>
      </c>
    </row>
    <row r="2333" spans="1:1">
      <c r="A2333" s="151" t="s">
        <v>4301</v>
      </c>
    </row>
    <row r="2334" spans="1:1">
      <c r="A2334" s="151" t="s">
        <v>4302</v>
      </c>
    </row>
    <row r="2335" spans="1:1">
      <c r="A2335" s="151" t="s">
        <v>4303</v>
      </c>
    </row>
    <row r="2336" spans="1:1">
      <c r="A2336" s="151" t="s">
        <v>4304</v>
      </c>
    </row>
    <row r="2337" spans="1:1">
      <c r="A2337" s="151" t="s">
        <v>4305</v>
      </c>
    </row>
    <row r="2338" spans="1:1">
      <c r="A2338" s="151" t="s">
        <v>4306</v>
      </c>
    </row>
    <row r="2339" spans="1:1">
      <c r="A2339" s="151" t="s">
        <v>4307</v>
      </c>
    </row>
    <row r="2340" spans="1:1">
      <c r="A2340" s="151" t="s">
        <v>4308</v>
      </c>
    </row>
    <row r="2341" spans="1:1">
      <c r="A2341" s="151" t="s">
        <v>4309</v>
      </c>
    </row>
    <row r="2342" spans="1:1">
      <c r="A2342" s="151" t="s">
        <v>4310</v>
      </c>
    </row>
    <row r="2343" spans="1:1">
      <c r="A2343" s="151" t="s">
        <v>4311</v>
      </c>
    </row>
    <row r="2344" spans="1:1">
      <c r="A2344" s="151" t="s">
        <v>4312</v>
      </c>
    </row>
    <row r="2345" spans="1:1">
      <c r="A2345" s="151" t="s">
        <v>4313</v>
      </c>
    </row>
    <row r="2346" spans="1:1">
      <c r="A2346" s="151" t="s">
        <v>4314</v>
      </c>
    </row>
    <row r="2347" spans="1:1">
      <c r="A2347" s="151" t="s">
        <v>4315</v>
      </c>
    </row>
    <row r="2348" spans="1:1">
      <c r="A2348" s="151" t="s">
        <v>4316</v>
      </c>
    </row>
    <row r="2349" spans="1:1">
      <c r="A2349" s="151" t="s">
        <v>4317</v>
      </c>
    </row>
    <row r="2350" spans="1:1">
      <c r="A2350" s="151" t="s">
        <v>4318</v>
      </c>
    </row>
    <row r="2351" spans="1:1">
      <c r="A2351" s="151" t="s">
        <v>4319</v>
      </c>
    </row>
    <row r="2352" spans="1:1">
      <c r="A2352" s="151" t="s">
        <v>4320</v>
      </c>
    </row>
    <row r="2353" spans="1:1">
      <c r="A2353" s="151" t="s">
        <v>4321</v>
      </c>
    </row>
    <row r="2354" spans="1:1">
      <c r="A2354" s="151" t="s">
        <v>4322</v>
      </c>
    </row>
    <row r="2355" spans="1:1">
      <c r="A2355" s="151" t="s">
        <v>4323</v>
      </c>
    </row>
    <row r="2356" spans="1:1">
      <c r="A2356" s="151" t="s">
        <v>4324</v>
      </c>
    </row>
    <row r="2357" spans="1:1">
      <c r="A2357" s="151" t="s">
        <v>4325</v>
      </c>
    </row>
    <row r="2358" spans="1:1">
      <c r="A2358" s="151" t="s">
        <v>4326</v>
      </c>
    </row>
    <row r="2359" spans="1:1">
      <c r="A2359" s="151" t="s">
        <v>4327</v>
      </c>
    </row>
    <row r="2360" spans="1:1">
      <c r="A2360" s="151" t="s">
        <v>4328</v>
      </c>
    </row>
    <row r="2361" spans="1:1">
      <c r="A2361" s="151" t="s">
        <v>4329</v>
      </c>
    </row>
    <row r="2362" spans="1:1">
      <c r="A2362" s="151" t="s">
        <v>4330</v>
      </c>
    </row>
    <row r="2363" spans="1:1">
      <c r="A2363" s="151" t="s">
        <v>4331</v>
      </c>
    </row>
    <row r="2364" spans="1:1">
      <c r="A2364" s="151" t="s">
        <v>4332</v>
      </c>
    </row>
    <row r="2365" spans="1:1">
      <c r="A2365" s="151" t="s">
        <v>4333</v>
      </c>
    </row>
    <row r="2366" spans="1:1">
      <c r="A2366" s="151" t="s">
        <v>4334</v>
      </c>
    </row>
    <row r="2367" spans="1:1">
      <c r="A2367" s="151" t="s">
        <v>4335</v>
      </c>
    </row>
    <row r="2368" spans="1:1">
      <c r="A2368" s="151" t="s">
        <v>4336</v>
      </c>
    </row>
    <row r="2369" spans="1:1">
      <c r="A2369" s="151" t="s">
        <v>4337</v>
      </c>
    </row>
    <row r="2370" spans="1:1">
      <c r="A2370" s="151" t="s">
        <v>4338</v>
      </c>
    </row>
    <row r="2371" spans="1:1">
      <c r="A2371" s="151" t="s">
        <v>4339</v>
      </c>
    </row>
    <row r="2372" spans="1:1">
      <c r="A2372" s="151" t="s">
        <v>4340</v>
      </c>
    </row>
    <row r="2373" spans="1:1">
      <c r="A2373" s="151" t="s">
        <v>4341</v>
      </c>
    </row>
    <row r="2374" spans="1:1">
      <c r="A2374" s="151" t="s">
        <v>4342</v>
      </c>
    </row>
    <row r="2375" spans="1:1">
      <c r="A2375" s="151" t="s">
        <v>4343</v>
      </c>
    </row>
    <row r="2376" spans="1:1">
      <c r="A2376" s="151" t="s">
        <v>4344</v>
      </c>
    </row>
    <row r="2377" spans="1:1">
      <c r="A2377" s="151" t="s">
        <v>4345</v>
      </c>
    </row>
    <row r="2378" spans="1:1">
      <c r="A2378" s="151" t="s">
        <v>4346</v>
      </c>
    </row>
    <row r="2379" spans="1:1">
      <c r="A2379" s="151" t="s">
        <v>4347</v>
      </c>
    </row>
    <row r="2380" spans="1:1">
      <c r="A2380" s="151" t="s">
        <v>4348</v>
      </c>
    </row>
    <row r="2381" spans="1:1">
      <c r="A2381" s="151" t="s">
        <v>4349</v>
      </c>
    </row>
    <row r="2382" spans="1:1">
      <c r="A2382" s="151" t="s">
        <v>4350</v>
      </c>
    </row>
    <row r="2383" spans="1:1">
      <c r="A2383" s="151" t="s">
        <v>4351</v>
      </c>
    </row>
    <row r="2384" spans="1:1">
      <c r="A2384" s="151" t="s">
        <v>4352</v>
      </c>
    </row>
    <row r="2385" spans="1:1">
      <c r="A2385" s="151" t="s">
        <v>4353</v>
      </c>
    </row>
    <row r="2386" spans="1:1">
      <c r="A2386" s="151" t="s">
        <v>4354</v>
      </c>
    </row>
    <row r="2387" spans="1:1">
      <c r="A2387" s="151" t="s">
        <v>4355</v>
      </c>
    </row>
    <row r="2388" spans="1:1">
      <c r="A2388" s="151" t="s">
        <v>4356</v>
      </c>
    </row>
    <row r="2389" spans="1:1">
      <c r="A2389" s="151" t="s">
        <v>4357</v>
      </c>
    </row>
    <row r="2390" spans="1:1">
      <c r="A2390" s="151" t="s">
        <v>4358</v>
      </c>
    </row>
    <row r="2391" spans="1:1">
      <c r="A2391" s="151" t="s">
        <v>4359</v>
      </c>
    </row>
    <row r="2392" spans="1:1">
      <c r="A2392" s="151" t="s">
        <v>4360</v>
      </c>
    </row>
    <row r="2393" spans="1:1">
      <c r="A2393" s="151" t="s">
        <v>4361</v>
      </c>
    </row>
    <row r="2394" spans="1:1">
      <c r="A2394" s="151" t="s">
        <v>4362</v>
      </c>
    </row>
    <row r="2395" spans="1:1">
      <c r="A2395" s="151" t="s">
        <v>4363</v>
      </c>
    </row>
    <row r="2396" spans="1:1">
      <c r="A2396" s="151" t="s">
        <v>4364</v>
      </c>
    </row>
    <row r="2397" spans="1:1">
      <c r="A2397" s="151" t="s">
        <v>4365</v>
      </c>
    </row>
    <row r="2398" spans="1:1">
      <c r="A2398" s="151" t="s">
        <v>4366</v>
      </c>
    </row>
    <row r="2399" spans="1:1">
      <c r="A2399" s="151" t="s">
        <v>4367</v>
      </c>
    </row>
    <row r="2400" spans="1:1">
      <c r="A2400" s="151" t="s">
        <v>4368</v>
      </c>
    </row>
    <row r="2401" spans="1:1">
      <c r="A2401" s="151" t="s">
        <v>4369</v>
      </c>
    </row>
    <row r="2402" spans="1:1">
      <c r="A2402" s="151" t="s">
        <v>4370</v>
      </c>
    </row>
    <row r="2403" spans="1:1">
      <c r="A2403" s="151" t="s">
        <v>4371</v>
      </c>
    </row>
    <row r="2404" spans="1:1">
      <c r="A2404" s="151" t="s">
        <v>4372</v>
      </c>
    </row>
    <row r="2405" spans="1:1">
      <c r="A2405" s="151" t="s">
        <v>4373</v>
      </c>
    </row>
    <row r="2406" spans="1:1">
      <c r="A2406" s="151" t="s">
        <v>4374</v>
      </c>
    </row>
    <row r="2407" spans="1:1">
      <c r="A2407" s="151" t="s">
        <v>4375</v>
      </c>
    </row>
    <row r="2408" spans="1:1">
      <c r="A2408" s="151" t="s">
        <v>4376</v>
      </c>
    </row>
    <row r="2409" spans="1:1">
      <c r="A2409" s="151" t="s">
        <v>4377</v>
      </c>
    </row>
    <row r="2410" spans="1:1">
      <c r="A2410" s="151" t="s">
        <v>4378</v>
      </c>
    </row>
    <row r="2411" spans="1:1">
      <c r="A2411" s="151" t="s">
        <v>4379</v>
      </c>
    </row>
    <row r="2412" spans="1:1">
      <c r="A2412" s="151" t="s">
        <v>4380</v>
      </c>
    </row>
    <row r="2413" spans="1:1">
      <c r="A2413" s="151" t="s">
        <v>4381</v>
      </c>
    </row>
    <row r="2414" spans="1:1">
      <c r="A2414" s="151" t="s">
        <v>4382</v>
      </c>
    </row>
    <row r="2415" spans="1:1">
      <c r="A2415" s="151" t="s">
        <v>4383</v>
      </c>
    </row>
    <row r="2416" spans="1:1">
      <c r="A2416" s="151" t="s">
        <v>4384</v>
      </c>
    </row>
    <row r="2417" spans="1:1">
      <c r="A2417" s="151" t="s">
        <v>4385</v>
      </c>
    </row>
    <row r="2418" spans="1:1">
      <c r="A2418" s="151" t="s">
        <v>4386</v>
      </c>
    </row>
    <row r="2419" spans="1:1">
      <c r="A2419" s="151" t="s">
        <v>4387</v>
      </c>
    </row>
    <row r="2420" spans="1:1">
      <c r="A2420" s="151" t="s">
        <v>4388</v>
      </c>
    </row>
    <row r="2421" spans="1:1">
      <c r="A2421" s="151" t="s">
        <v>4389</v>
      </c>
    </row>
    <row r="2422" spans="1:1">
      <c r="A2422" s="151" t="s">
        <v>4390</v>
      </c>
    </row>
    <row r="2423" spans="1:1">
      <c r="A2423" s="151" t="s">
        <v>4391</v>
      </c>
    </row>
    <row r="2424" spans="1:1">
      <c r="A2424" s="151" t="s">
        <v>4392</v>
      </c>
    </row>
    <row r="2425" spans="1:1">
      <c r="A2425" s="151" t="s">
        <v>4393</v>
      </c>
    </row>
    <row r="2426" spans="1:1">
      <c r="A2426" s="151" t="s">
        <v>4394</v>
      </c>
    </row>
    <row r="2427" spans="1:1">
      <c r="A2427" s="151" t="s">
        <v>4395</v>
      </c>
    </row>
    <row r="2428" spans="1:1">
      <c r="A2428" s="151" t="s">
        <v>4396</v>
      </c>
    </row>
    <row r="2429" spans="1:1">
      <c r="A2429" s="151" t="s">
        <v>4397</v>
      </c>
    </row>
    <row r="2430" spans="1:1">
      <c r="A2430" s="151" t="s">
        <v>4398</v>
      </c>
    </row>
    <row r="2431" spans="1:1">
      <c r="A2431" s="151" t="s">
        <v>4399</v>
      </c>
    </row>
    <row r="2432" spans="1:1">
      <c r="A2432" s="151" t="s">
        <v>4400</v>
      </c>
    </row>
    <row r="2433" spans="1:1">
      <c r="A2433" s="151" t="s">
        <v>4401</v>
      </c>
    </row>
    <row r="2434" spans="1:1">
      <c r="A2434" s="151" t="s">
        <v>4402</v>
      </c>
    </row>
    <row r="2435" spans="1:1">
      <c r="A2435" s="151" t="s">
        <v>4403</v>
      </c>
    </row>
    <row r="2436" spans="1:1">
      <c r="A2436" s="151" t="s">
        <v>4404</v>
      </c>
    </row>
    <row r="2437" spans="1:1">
      <c r="A2437" s="151" t="s">
        <v>4405</v>
      </c>
    </row>
    <row r="2438" spans="1:1">
      <c r="A2438" s="151" t="s">
        <v>4406</v>
      </c>
    </row>
    <row r="2439" spans="1:1">
      <c r="A2439" s="151" t="s">
        <v>4407</v>
      </c>
    </row>
    <row r="2440" spans="1:1">
      <c r="A2440" s="151" t="s">
        <v>4408</v>
      </c>
    </row>
    <row r="2441" spans="1:1">
      <c r="A2441" s="151" t="s">
        <v>4409</v>
      </c>
    </row>
    <row r="2442" spans="1:1">
      <c r="A2442" s="151" t="s">
        <v>4410</v>
      </c>
    </row>
    <row r="2443" spans="1:1">
      <c r="A2443" s="151" t="s">
        <v>4411</v>
      </c>
    </row>
    <row r="2444" spans="1:1">
      <c r="A2444" s="151" t="s">
        <v>4412</v>
      </c>
    </row>
    <row r="2445" spans="1:1">
      <c r="A2445" s="151" t="s">
        <v>4413</v>
      </c>
    </row>
    <row r="2446" spans="1:1">
      <c r="A2446" s="151" t="s">
        <v>4414</v>
      </c>
    </row>
    <row r="2447" spans="1:1">
      <c r="A2447" s="151" t="s">
        <v>4415</v>
      </c>
    </row>
    <row r="2448" spans="1:1">
      <c r="A2448" s="151" t="s">
        <v>4416</v>
      </c>
    </row>
    <row r="2449" spans="1:1">
      <c r="A2449" s="151" t="s">
        <v>4417</v>
      </c>
    </row>
    <row r="2450" spans="1:1">
      <c r="A2450" s="151" t="s">
        <v>4418</v>
      </c>
    </row>
    <row r="2451" spans="1:1">
      <c r="A2451" s="151" t="s">
        <v>4419</v>
      </c>
    </row>
    <row r="2452" spans="1:1">
      <c r="A2452" s="151" t="s">
        <v>4420</v>
      </c>
    </row>
    <row r="2453" spans="1:1">
      <c r="A2453" s="151" t="s">
        <v>4421</v>
      </c>
    </row>
    <row r="2454" spans="1:1">
      <c r="A2454" s="151" t="s">
        <v>4422</v>
      </c>
    </row>
    <row r="2455" spans="1:1">
      <c r="A2455" s="151" t="s">
        <v>4423</v>
      </c>
    </row>
    <row r="2456" spans="1:1">
      <c r="A2456" s="151" t="s">
        <v>4424</v>
      </c>
    </row>
    <row r="2457" spans="1:1">
      <c r="A2457" s="151" t="s">
        <v>4425</v>
      </c>
    </row>
    <row r="2458" spans="1:1">
      <c r="A2458" s="151" t="s">
        <v>4426</v>
      </c>
    </row>
    <row r="2459" spans="1:1">
      <c r="A2459" s="151" t="s">
        <v>4427</v>
      </c>
    </row>
    <row r="2460" spans="1:1">
      <c r="A2460" s="151" t="s">
        <v>4428</v>
      </c>
    </row>
    <row r="2461" spans="1:1">
      <c r="A2461" s="151" t="s">
        <v>4429</v>
      </c>
    </row>
    <row r="2462" spans="1:1">
      <c r="A2462" s="151" t="s">
        <v>4430</v>
      </c>
    </row>
    <row r="2463" spans="1:1">
      <c r="A2463" s="151" t="s">
        <v>4431</v>
      </c>
    </row>
    <row r="2464" spans="1:1">
      <c r="A2464" s="151" t="s">
        <v>4432</v>
      </c>
    </row>
    <row r="2465" spans="1:1">
      <c r="A2465" s="151" t="s">
        <v>4433</v>
      </c>
    </row>
    <row r="2466" spans="1:1">
      <c r="A2466" s="151" t="s">
        <v>4434</v>
      </c>
    </row>
    <row r="2467" spans="1:1">
      <c r="A2467" s="151" t="s">
        <v>4435</v>
      </c>
    </row>
    <row r="2468" spans="1:1">
      <c r="A2468" s="151" t="s">
        <v>4436</v>
      </c>
    </row>
    <row r="2469" spans="1:1">
      <c r="A2469" s="151" t="s">
        <v>4437</v>
      </c>
    </row>
    <row r="2470" spans="1:1">
      <c r="A2470" s="151" t="s">
        <v>4438</v>
      </c>
    </row>
    <row r="2471" spans="1:1">
      <c r="A2471" s="151" t="s">
        <v>4439</v>
      </c>
    </row>
    <row r="2472" spans="1:1">
      <c r="A2472" s="151" t="s">
        <v>4440</v>
      </c>
    </row>
    <row r="2473" spans="1:1">
      <c r="A2473" s="151" t="s">
        <v>4441</v>
      </c>
    </row>
    <row r="2474" spans="1:1">
      <c r="A2474" s="151" t="s">
        <v>4442</v>
      </c>
    </row>
    <row r="2475" spans="1:1">
      <c r="A2475" s="151" t="s">
        <v>4443</v>
      </c>
    </row>
    <row r="2476" spans="1:1">
      <c r="A2476" s="151" t="s">
        <v>4444</v>
      </c>
    </row>
    <row r="2477" spans="1:1">
      <c r="A2477" s="151" t="s">
        <v>4445</v>
      </c>
    </row>
    <row r="2478" spans="1:1">
      <c r="A2478" s="151" t="s">
        <v>4446</v>
      </c>
    </row>
    <row r="2479" spans="1:1">
      <c r="A2479" s="151" t="s">
        <v>4447</v>
      </c>
    </row>
    <row r="2480" spans="1:1">
      <c r="A2480" s="151" t="s">
        <v>4448</v>
      </c>
    </row>
    <row r="2481" spans="1:1">
      <c r="A2481" s="151" t="s">
        <v>4449</v>
      </c>
    </row>
    <row r="2482" spans="1:1">
      <c r="A2482" s="151" t="s">
        <v>4450</v>
      </c>
    </row>
    <row r="2483" spans="1:1">
      <c r="A2483" s="151" t="s">
        <v>4451</v>
      </c>
    </row>
    <row r="2484" spans="1:1">
      <c r="A2484" s="151" t="s">
        <v>4452</v>
      </c>
    </row>
    <row r="2485" spans="1:1">
      <c r="A2485" s="151" t="s">
        <v>4453</v>
      </c>
    </row>
    <row r="2486" spans="1:1">
      <c r="A2486" s="151" t="s">
        <v>4454</v>
      </c>
    </row>
    <row r="2487" spans="1:1">
      <c r="A2487" s="151" t="s">
        <v>4455</v>
      </c>
    </row>
    <row r="2488" spans="1:1">
      <c r="A2488" s="151" t="s">
        <v>4456</v>
      </c>
    </row>
    <row r="2489" spans="1:1">
      <c r="A2489" s="151" t="s">
        <v>4457</v>
      </c>
    </row>
    <row r="2490" spans="1:1">
      <c r="A2490" s="151" t="s">
        <v>4458</v>
      </c>
    </row>
    <row r="2491" spans="1:1">
      <c r="A2491" s="151" t="s">
        <v>4459</v>
      </c>
    </row>
    <row r="2492" spans="1:1">
      <c r="A2492" s="151" t="s">
        <v>4460</v>
      </c>
    </row>
    <row r="2493" spans="1:1">
      <c r="A2493" s="151" t="s">
        <v>4461</v>
      </c>
    </row>
    <row r="2494" spans="1:1">
      <c r="A2494" s="151" t="s">
        <v>4462</v>
      </c>
    </row>
    <row r="2495" spans="1:1">
      <c r="A2495" s="151" t="s">
        <v>4463</v>
      </c>
    </row>
    <row r="2496" spans="1:1">
      <c r="A2496" s="151" t="s">
        <v>4464</v>
      </c>
    </row>
    <row r="2497" spans="1:1">
      <c r="A2497" s="151" t="s">
        <v>4465</v>
      </c>
    </row>
    <row r="2498" spans="1:1">
      <c r="A2498" s="151" t="s">
        <v>4466</v>
      </c>
    </row>
    <row r="2499" spans="1:1">
      <c r="A2499" s="151" t="s">
        <v>4467</v>
      </c>
    </row>
    <row r="2500" spans="1:1">
      <c r="A2500" s="151" t="s">
        <v>4468</v>
      </c>
    </row>
    <row r="2501" spans="1:1">
      <c r="A2501" s="151" t="s">
        <v>4469</v>
      </c>
    </row>
    <row r="2502" spans="1:1">
      <c r="A2502" s="151" t="s">
        <v>4470</v>
      </c>
    </row>
    <row r="2503" spans="1:1">
      <c r="A2503" s="151" t="s">
        <v>4471</v>
      </c>
    </row>
    <row r="2504" spans="1:1">
      <c r="A2504" s="151" t="s">
        <v>4472</v>
      </c>
    </row>
    <row r="2505" spans="1:1">
      <c r="A2505" s="151" t="s">
        <v>4473</v>
      </c>
    </row>
    <row r="2506" spans="1:1">
      <c r="A2506" s="151" t="s">
        <v>4474</v>
      </c>
    </row>
    <row r="2507" spans="1:1">
      <c r="A2507" s="151" t="s">
        <v>4475</v>
      </c>
    </row>
    <row r="2508" spans="1:1">
      <c r="A2508" s="151" t="s">
        <v>4476</v>
      </c>
    </row>
    <row r="2509" spans="1:1">
      <c r="A2509" s="151" t="s">
        <v>4477</v>
      </c>
    </row>
    <row r="2510" spans="1:1">
      <c r="A2510" s="151" t="s">
        <v>4478</v>
      </c>
    </row>
    <row r="2511" spans="1:1">
      <c r="A2511" s="151" t="s">
        <v>4479</v>
      </c>
    </row>
    <row r="2512" spans="1:1">
      <c r="A2512" s="151" t="s">
        <v>4480</v>
      </c>
    </row>
    <row r="2513" spans="1:1">
      <c r="A2513" s="151" t="s">
        <v>4481</v>
      </c>
    </row>
    <row r="2514" spans="1:1">
      <c r="A2514" s="151" t="s">
        <v>4482</v>
      </c>
    </row>
    <row r="2515" spans="1:1">
      <c r="A2515" s="151" t="s">
        <v>4483</v>
      </c>
    </row>
    <row r="2516" spans="1:1">
      <c r="A2516" s="151" t="s">
        <v>4484</v>
      </c>
    </row>
    <row r="2517" spans="1:1">
      <c r="A2517" s="151" t="s">
        <v>4485</v>
      </c>
    </row>
    <row r="2518" spans="1:1">
      <c r="A2518" s="151" t="s">
        <v>4486</v>
      </c>
    </row>
    <row r="2519" spans="1:1">
      <c r="A2519" s="151" t="s">
        <v>4487</v>
      </c>
    </row>
    <row r="2520" spans="1:1">
      <c r="A2520" s="151" t="s">
        <v>4488</v>
      </c>
    </row>
    <row r="2521" spans="1:1">
      <c r="A2521" s="151" t="s">
        <v>4489</v>
      </c>
    </row>
    <row r="2522" spans="1:1">
      <c r="A2522" s="151" t="s">
        <v>4490</v>
      </c>
    </row>
    <row r="2523" spans="1:1">
      <c r="A2523" s="151" t="s">
        <v>4491</v>
      </c>
    </row>
    <row r="2524" spans="1:1">
      <c r="A2524" s="151" t="s">
        <v>4492</v>
      </c>
    </row>
    <row r="2525" spans="1:1">
      <c r="A2525" s="151" t="s">
        <v>4493</v>
      </c>
    </row>
    <row r="2526" spans="1:1">
      <c r="A2526" s="151" t="s">
        <v>4494</v>
      </c>
    </row>
    <row r="2527" spans="1:1">
      <c r="A2527" s="151" t="s">
        <v>4495</v>
      </c>
    </row>
    <row r="2528" spans="1:1">
      <c r="A2528" s="151" t="s">
        <v>4496</v>
      </c>
    </row>
    <row r="2529" spans="1:1">
      <c r="A2529" s="151" t="s">
        <v>4497</v>
      </c>
    </row>
    <row r="2530" spans="1:1">
      <c r="A2530" s="151" t="s">
        <v>4498</v>
      </c>
    </row>
    <row r="2531" spans="1:1">
      <c r="A2531" s="151" t="s">
        <v>4499</v>
      </c>
    </row>
    <row r="2532" spans="1:1">
      <c r="A2532" s="151" t="s">
        <v>4500</v>
      </c>
    </row>
    <row r="2533" spans="1:1">
      <c r="A2533" s="151" t="s">
        <v>4501</v>
      </c>
    </row>
    <row r="2534" spans="1:1">
      <c r="A2534" s="151" t="s">
        <v>4502</v>
      </c>
    </row>
    <row r="2535" spans="1:1">
      <c r="A2535" s="151" t="s">
        <v>4503</v>
      </c>
    </row>
    <row r="2536" spans="1:1">
      <c r="A2536" s="151" t="s">
        <v>4504</v>
      </c>
    </row>
    <row r="2537" spans="1:1">
      <c r="A2537" s="151" t="s">
        <v>4505</v>
      </c>
    </row>
    <row r="2538" spans="1:1">
      <c r="A2538" s="151" t="s">
        <v>4506</v>
      </c>
    </row>
    <row r="2539" spans="1:1">
      <c r="A2539" s="151" t="s">
        <v>4507</v>
      </c>
    </row>
    <row r="2540" spans="1:1">
      <c r="A2540" s="151" t="s">
        <v>4508</v>
      </c>
    </row>
    <row r="2541" spans="1:1">
      <c r="A2541" s="151" t="s">
        <v>4509</v>
      </c>
    </row>
    <row r="2542" spans="1:1">
      <c r="A2542" s="151" t="s">
        <v>4510</v>
      </c>
    </row>
    <row r="2543" spans="1:1">
      <c r="A2543" s="151" t="s">
        <v>4511</v>
      </c>
    </row>
    <row r="2544" spans="1:1">
      <c r="A2544" s="151" t="s">
        <v>4512</v>
      </c>
    </row>
    <row r="2545" spans="1:1">
      <c r="A2545" s="151" t="s">
        <v>4513</v>
      </c>
    </row>
    <row r="2546" spans="1:1">
      <c r="A2546" s="151" t="s">
        <v>4514</v>
      </c>
    </row>
    <row r="2547" spans="1:1">
      <c r="A2547" s="151" t="s">
        <v>4515</v>
      </c>
    </row>
    <row r="2548" spans="1:1">
      <c r="A2548" s="151" t="s">
        <v>4516</v>
      </c>
    </row>
    <row r="2549" spans="1:1">
      <c r="A2549" s="151" t="s">
        <v>4517</v>
      </c>
    </row>
    <row r="2550" spans="1:1">
      <c r="A2550" s="151" t="s">
        <v>4518</v>
      </c>
    </row>
    <row r="2551" spans="1:1">
      <c r="A2551" s="151" t="s">
        <v>4519</v>
      </c>
    </row>
    <row r="2552" spans="1:1">
      <c r="A2552" s="151" t="s">
        <v>4520</v>
      </c>
    </row>
    <row r="2553" spans="1:1">
      <c r="A2553" s="151" t="s">
        <v>4521</v>
      </c>
    </row>
    <row r="2554" spans="1:1">
      <c r="A2554" s="151" t="s">
        <v>4522</v>
      </c>
    </row>
    <row r="2555" spans="1:1">
      <c r="A2555" s="151" t="s">
        <v>4523</v>
      </c>
    </row>
    <row r="2556" spans="1:1">
      <c r="A2556" s="151" t="s">
        <v>4524</v>
      </c>
    </row>
    <row r="2557" spans="1:1">
      <c r="A2557" s="151" t="s">
        <v>4525</v>
      </c>
    </row>
    <row r="2558" spans="1:1">
      <c r="A2558" s="151" t="s">
        <v>4526</v>
      </c>
    </row>
    <row r="2559" spans="1:1">
      <c r="A2559" s="151" t="s">
        <v>4527</v>
      </c>
    </row>
    <row r="2560" spans="1:1">
      <c r="A2560" s="151" t="s">
        <v>4528</v>
      </c>
    </row>
    <row r="2561" spans="1:1">
      <c r="A2561" s="151" t="s">
        <v>4529</v>
      </c>
    </row>
    <row r="2562" spans="1:1">
      <c r="A2562" s="151" t="s">
        <v>4530</v>
      </c>
    </row>
    <row r="2563" spans="1:1">
      <c r="A2563" s="151" t="s">
        <v>4531</v>
      </c>
    </row>
    <row r="2564" spans="1:1">
      <c r="A2564" s="151" t="s">
        <v>4532</v>
      </c>
    </row>
    <row r="2565" spans="1:1">
      <c r="A2565" s="151" t="s">
        <v>4533</v>
      </c>
    </row>
    <row r="2566" spans="1:1">
      <c r="A2566" s="151" t="s">
        <v>4534</v>
      </c>
    </row>
    <row r="2567" spans="1:1">
      <c r="A2567" s="151" t="s">
        <v>4535</v>
      </c>
    </row>
    <row r="2568" spans="1:1">
      <c r="A2568" s="151" t="s">
        <v>4536</v>
      </c>
    </row>
    <row r="2569" spans="1:1">
      <c r="A2569" s="151" t="s">
        <v>4537</v>
      </c>
    </row>
    <row r="2570" spans="1:1">
      <c r="A2570" s="151" t="s">
        <v>4538</v>
      </c>
    </row>
    <row r="2571" spans="1:1">
      <c r="A2571" s="151" t="s">
        <v>4539</v>
      </c>
    </row>
    <row r="2572" spans="1:1">
      <c r="A2572" s="151" t="s">
        <v>4540</v>
      </c>
    </row>
    <row r="2573" spans="1:1">
      <c r="A2573" s="151" t="s">
        <v>4541</v>
      </c>
    </row>
    <row r="2574" spans="1:1">
      <c r="A2574" s="151" t="s">
        <v>4542</v>
      </c>
    </row>
    <row r="2575" spans="1:1">
      <c r="A2575" s="151" t="s">
        <v>4543</v>
      </c>
    </row>
    <row r="2576" spans="1:1">
      <c r="A2576" s="151" t="s">
        <v>4544</v>
      </c>
    </row>
    <row r="2577" spans="1:1">
      <c r="A2577" s="151" t="s">
        <v>4545</v>
      </c>
    </row>
    <row r="2578" spans="1:1">
      <c r="A2578" s="151" t="s">
        <v>4546</v>
      </c>
    </row>
    <row r="2579" spans="1:1">
      <c r="A2579" s="151" t="s">
        <v>4547</v>
      </c>
    </row>
    <row r="2580" spans="1:1">
      <c r="A2580" s="151" t="s">
        <v>4548</v>
      </c>
    </row>
    <row r="2581" spans="1:1">
      <c r="A2581" s="151" t="s">
        <v>4549</v>
      </c>
    </row>
    <row r="2582" spans="1:1">
      <c r="A2582" s="151" t="s">
        <v>4550</v>
      </c>
    </row>
    <row r="2583" spans="1:1">
      <c r="A2583" s="151" t="s">
        <v>4551</v>
      </c>
    </row>
    <row r="2584" spans="1:1">
      <c r="A2584" s="151" t="s">
        <v>4552</v>
      </c>
    </row>
    <row r="2585" spans="1:1">
      <c r="A2585" s="151" t="s">
        <v>4553</v>
      </c>
    </row>
    <row r="2586" spans="1:1">
      <c r="A2586" s="151" t="s">
        <v>4554</v>
      </c>
    </row>
    <row r="2587" spans="1:1">
      <c r="A2587" s="151" t="s">
        <v>4555</v>
      </c>
    </row>
    <row r="2588" spans="1:1">
      <c r="A2588" s="151" t="s">
        <v>4556</v>
      </c>
    </row>
    <row r="2589" spans="1:1">
      <c r="A2589" s="151" t="s">
        <v>4557</v>
      </c>
    </row>
    <row r="2590" spans="1:1">
      <c r="A2590" s="151" t="s">
        <v>4558</v>
      </c>
    </row>
    <row r="2591" spans="1:1">
      <c r="A2591" s="151" t="s">
        <v>4559</v>
      </c>
    </row>
    <row r="2592" spans="1:1">
      <c r="A2592" s="151" t="s">
        <v>4560</v>
      </c>
    </row>
    <row r="2593" spans="1:1">
      <c r="A2593" s="151" t="s">
        <v>4561</v>
      </c>
    </row>
    <row r="2594" spans="1:1">
      <c r="A2594" s="151" t="s">
        <v>4562</v>
      </c>
    </row>
    <row r="2595" spans="1:1">
      <c r="A2595" s="151" t="s">
        <v>4563</v>
      </c>
    </row>
    <row r="2596" spans="1:1">
      <c r="A2596" s="151" t="s">
        <v>4564</v>
      </c>
    </row>
    <row r="2597" spans="1:1">
      <c r="A2597" s="151" t="s">
        <v>4565</v>
      </c>
    </row>
    <row r="2598" spans="1:1">
      <c r="A2598" s="151" t="s">
        <v>4566</v>
      </c>
    </row>
    <row r="2599" spans="1:1">
      <c r="A2599" s="151" t="s">
        <v>4567</v>
      </c>
    </row>
    <row r="2600" spans="1:1">
      <c r="A2600" s="151" t="s">
        <v>4568</v>
      </c>
    </row>
    <row r="2601" spans="1:1">
      <c r="A2601" s="151" t="s">
        <v>4569</v>
      </c>
    </row>
    <row r="2602" spans="1:1">
      <c r="A2602" s="151" t="s">
        <v>4570</v>
      </c>
    </row>
    <row r="2603" spans="1:1">
      <c r="A2603" s="151" t="s">
        <v>4571</v>
      </c>
    </row>
    <row r="2604" spans="1:1">
      <c r="A2604" s="151" t="s">
        <v>4572</v>
      </c>
    </row>
    <row r="2605" spans="1:1">
      <c r="A2605" s="151" t="s">
        <v>4573</v>
      </c>
    </row>
    <row r="2606" spans="1:1">
      <c r="A2606" s="151" t="s">
        <v>4574</v>
      </c>
    </row>
    <row r="2607" spans="1:1">
      <c r="A2607" s="151" t="s">
        <v>4575</v>
      </c>
    </row>
    <row r="2608" spans="1:1">
      <c r="A2608" s="151" t="s">
        <v>4576</v>
      </c>
    </row>
    <row r="2609" spans="1:1">
      <c r="A2609" s="151" t="s">
        <v>4577</v>
      </c>
    </row>
    <row r="2610" spans="1:1">
      <c r="A2610" s="151" t="s">
        <v>4578</v>
      </c>
    </row>
    <row r="2611" spans="1:1">
      <c r="A2611" s="151" t="s">
        <v>4579</v>
      </c>
    </row>
    <row r="2612" spans="1:1">
      <c r="A2612" s="151" t="s">
        <v>4580</v>
      </c>
    </row>
    <row r="2613" spans="1:1">
      <c r="A2613" s="151" t="s">
        <v>4581</v>
      </c>
    </row>
    <row r="2614" spans="1:1">
      <c r="A2614" s="151" t="s">
        <v>4582</v>
      </c>
    </row>
    <row r="2615" spans="1:1">
      <c r="A2615" s="151" t="s">
        <v>4583</v>
      </c>
    </row>
    <row r="2616" spans="1:1">
      <c r="A2616" s="151" t="s">
        <v>4584</v>
      </c>
    </row>
    <row r="2617" spans="1:1">
      <c r="A2617" s="151" t="s">
        <v>4585</v>
      </c>
    </row>
    <row r="2618" spans="1:1">
      <c r="A2618" s="151" t="s">
        <v>4586</v>
      </c>
    </row>
    <row r="2619" spans="1:1">
      <c r="A2619" s="151" t="s">
        <v>4587</v>
      </c>
    </row>
    <row r="2620" spans="1:1">
      <c r="A2620" s="151" t="s">
        <v>4588</v>
      </c>
    </row>
    <row r="2621" spans="1:1">
      <c r="A2621" s="151" t="s">
        <v>4589</v>
      </c>
    </row>
    <row r="2622" spans="1:1">
      <c r="A2622" s="151" t="s">
        <v>4590</v>
      </c>
    </row>
    <row r="2623" spans="1:1">
      <c r="A2623" s="151" t="s">
        <v>4591</v>
      </c>
    </row>
    <row r="2624" spans="1:1">
      <c r="A2624" s="151" t="s">
        <v>4592</v>
      </c>
    </row>
    <row r="2625" spans="1:1">
      <c r="A2625" s="151" t="s">
        <v>4593</v>
      </c>
    </row>
    <row r="2626" spans="1:1">
      <c r="A2626" s="151" t="s">
        <v>4594</v>
      </c>
    </row>
    <row r="2627" spans="1:1">
      <c r="A2627" s="151" t="s">
        <v>4595</v>
      </c>
    </row>
    <row r="2628" spans="1:1">
      <c r="A2628" s="151" t="s">
        <v>4596</v>
      </c>
    </row>
    <row r="2629" spans="1:1">
      <c r="A2629" s="151" t="s">
        <v>4597</v>
      </c>
    </row>
    <row r="2630" spans="1:1">
      <c r="A2630" s="151" t="s">
        <v>4598</v>
      </c>
    </row>
    <row r="2631" spans="1:1">
      <c r="A2631" s="151" t="s">
        <v>4599</v>
      </c>
    </row>
    <row r="2632" spans="1:1">
      <c r="A2632" s="151" t="s">
        <v>4600</v>
      </c>
    </row>
    <row r="2633" spans="1:1">
      <c r="A2633" s="151" t="s">
        <v>4601</v>
      </c>
    </row>
    <row r="2634" spans="1:1">
      <c r="A2634" s="151" t="s">
        <v>4602</v>
      </c>
    </row>
    <row r="2635" spans="1:1">
      <c r="A2635" s="151" t="s">
        <v>4603</v>
      </c>
    </row>
    <row r="2636" spans="1:1">
      <c r="A2636" s="151" t="s">
        <v>4604</v>
      </c>
    </row>
    <row r="2637" spans="1:1">
      <c r="A2637" s="151" t="s">
        <v>4605</v>
      </c>
    </row>
    <row r="2638" spans="1:1">
      <c r="A2638" s="151" t="s">
        <v>4606</v>
      </c>
    </row>
    <row r="2639" spans="1:1">
      <c r="A2639" s="151" t="s">
        <v>4607</v>
      </c>
    </row>
    <row r="2640" spans="1:1">
      <c r="A2640" s="151" t="s">
        <v>4608</v>
      </c>
    </row>
    <row r="2641" spans="1:1">
      <c r="A2641" s="151" t="s">
        <v>4609</v>
      </c>
    </row>
    <row r="2642" spans="1:1">
      <c r="A2642" s="151" t="s">
        <v>4610</v>
      </c>
    </row>
    <row r="2643" spans="1:1">
      <c r="A2643" s="151" t="s">
        <v>4611</v>
      </c>
    </row>
    <row r="2644" spans="1:1">
      <c r="A2644" s="151" t="s">
        <v>4612</v>
      </c>
    </row>
    <row r="2645" spans="1:1">
      <c r="A2645" s="151" t="s">
        <v>4613</v>
      </c>
    </row>
    <row r="2646" spans="1:1">
      <c r="A2646" s="151" t="s">
        <v>4614</v>
      </c>
    </row>
    <row r="2647" spans="1:1">
      <c r="A2647" s="151" t="s">
        <v>4615</v>
      </c>
    </row>
    <row r="2648" spans="1:1">
      <c r="A2648" s="151" t="s">
        <v>4616</v>
      </c>
    </row>
    <row r="2649" spans="1:1">
      <c r="A2649" s="151" t="s">
        <v>4617</v>
      </c>
    </row>
    <row r="2650" spans="1:1">
      <c r="A2650" s="151" t="s">
        <v>4618</v>
      </c>
    </row>
    <row r="2651" spans="1:1">
      <c r="A2651" s="151" t="s">
        <v>4619</v>
      </c>
    </row>
    <row r="2652" spans="1:1">
      <c r="A2652" s="151" t="s">
        <v>4620</v>
      </c>
    </row>
    <row r="2653" spans="1:1">
      <c r="A2653" s="151" t="s">
        <v>4621</v>
      </c>
    </row>
    <row r="2654" spans="1:1">
      <c r="A2654" s="151" t="s">
        <v>4622</v>
      </c>
    </row>
    <row r="2655" spans="1:1">
      <c r="A2655" s="151" t="s">
        <v>4623</v>
      </c>
    </row>
    <row r="2656" spans="1:1">
      <c r="A2656" s="151" t="s">
        <v>4624</v>
      </c>
    </row>
    <row r="2657" spans="1:1">
      <c r="A2657" s="151" t="s">
        <v>4625</v>
      </c>
    </row>
    <row r="2658" spans="1:1">
      <c r="A2658" s="151" t="s">
        <v>4626</v>
      </c>
    </row>
    <row r="2659" spans="1:1">
      <c r="A2659" s="151" t="s">
        <v>4627</v>
      </c>
    </row>
    <row r="2660" spans="1:1">
      <c r="A2660" s="151" t="s">
        <v>4628</v>
      </c>
    </row>
    <row r="2661" spans="1:1">
      <c r="A2661" s="151" t="s">
        <v>4629</v>
      </c>
    </row>
    <row r="2662" spans="1:1">
      <c r="A2662" s="151" t="s">
        <v>4630</v>
      </c>
    </row>
    <row r="2663" spans="1:1">
      <c r="A2663" s="151" t="s">
        <v>4631</v>
      </c>
    </row>
    <row r="2664" spans="1:1">
      <c r="A2664" s="151" t="s">
        <v>4632</v>
      </c>
    </row>
    <row r="2665" spans="1:1">
      <c r="A2665" s="151" t="s">
        <v>4633</v>
      </c>
    </row>
    <row r="2666" spans="1:1">
      <c r="A2666" s="151" t="s">
        <v>4634</v>
      </c>
    </row>
    <row r="2667" spans="1:1">
      <c r="A2667" s="151" t="s">
        <v>4635</v>
      </c>
    </row>
    <row r="2668" spans="1:1">
      <c r="A2668" s="151" t="s">
        <v>4636</v>
      </c>
    </row>
    <row r="2669" spans="1:1">
      <c r="A2669" s="151" t="s">
        <v>4637</v>
      </c>
    </row>
    <row r="2670" spans="1:1">
      <c r="A2670" s="151" t="s">
        <v>4638</v>
      </c>
    </row>
    <row r="2671" spans="1:1">
      <c r="A2671" s="151" t="s">
        <v>4639</v>
      </c>
    </row>
    <row r="2672" spans="1:1">
      <c r="A2672" s="151" t="s">
        <v>4640</v>
      </c>
    </row>
    <row r="2673" spans="1:1">
      <c r="A2673" s="151" t="s">
        <v>4641</v>
      </c>
    </row>
    <row r="2674" spans="1:1">
      <c r="A2674" s="151" t="s">
        <v>4642</v>
      </c>
    </row>
    <row r="2675" spans="1:1">
      <c r="A2675" s="151" t="s">
        <v>4643</v>
      </c>
    </row>
    <row r="2676" spans="1:1">
      <c r="A2676" s="151" t="s">
        <v>4644</v>
      </c>
    </row>
    <row r="2677" spans="1:1">
      <c r="A2677" s="151" t="s">
        <v>4645</v>
      </c>
    </row>
    <row r="2678" spans="1:1">
      <c r="A2678" s="151" t="s">
        <v>4646</v>
      </c>
    </row>
    <row r="2679" spans="1:1">
      <c r="A2679" s="151" t="s">
        <v>4647</v>
      </c>
    </row>
    <row r="2680" spans="1:1">
      <c r="A2680" s="151" t="s">
        <v>4648</v>
      </c>
    </row>
    <row r="2681" spans="1:1">
      <c r="A2681" s="151" t="s">
        <v>4649</v>
      </c>
    </row>
    <row r="2682" spans="1:1">
      <c r="A2682" s="151" t="s">
        <v>4650</v>
      </c>
    </row>
    <row r="2683" spans="1:1">
      <c r="A2683" s="151" t="s">
        <v>4651</v>
      </c>
    </row>
    <row r="2684" spans="1:1">
      <c r="A2684" s="151" t="s">
        <v>4652</v>
      </c>
    </row>
    <row r="2685" spans="1:1">
      <c r="A2685" s="151" t="s">
        <v>4653</v>
      </c>
    </row>
    <row r="2686" spans="1:1">
      <c r="A2686" s="151" t="s">
        <v>4654</v>
      </c>
    </row>
    <row r="2687" spans="1:1">
      <c r="A2687" s="151" t="s">
        <v>4655</v>
      </c>
    </row>
    <row r="2688" spans="1:1">
      <c r="A2688" s="151" t="s">
        <v>4656</v>
      </c>
    </row>
    <row r="2689" spans="1:1">
      <c r="A2689" s="151" t="s">
        <v>4657</v>
      </c>
    </row>
    <row r="2690" spans="1:1">
      <c r="A2690" s="151" t="s">
        <v>4658</v>
      </c>
    </row>
    <row r="2691" spans="1:1">
      <c r="A2691" s="151" t="s">
        <v>4659</v>
      </c>
    </row>
    <row r="2692" spans="1:1">
      <c r="A2692" s="151" t="s">
        <v>4660</v>
      </c>
    </row>
    <row r="2693" spans="1:1">
      <c r="A2693" s="151" t="s">
        <v>4661</v>
      </c>
    </row>
    <row r="2694" spans="1:1">
      <c r="A2694" s="151" t="s">
        <v>4662</v>
      </c>
    </row>
    <row r="2695" spans="1:1">
      <c r="A2695" s="151" t="s">
        <v>4663</v>
      </c>
    </row>
    <row r="2696" spans="1:1">
      <c r="A2696" s="151" t="s">
        <v>4664</v>
      </c>
    </row>
    <row r="2697" spans="1:1">
      <c r="A2697" s="151" t="s">
        <v>4665</v>
      </c>
    </row>
    <row r="2698" spans="1:1">
      <c r="A2698" s="151" t="s">
        <v>4666</v>
      </c>
    </row>
    <row r="2699" spans="1:1">
      <c r="A2699" s="151" t="s">
        <v>4667</v>
      </c>
    </row>
    <row r="2700" spans="1:1">
      <c r="A2700" s="151" t="s">
        <v>4668</v>
      </c>
    </row>
    <row r="2701" spans="1:1">
      <c r="A2701" s="151" t="s">
        <v>4669</v>
      </c>
    </row>
    <row r="2702" spans="1:1">
      <c r="A2702" s="151" t="s">
        <v>4670</v>
      </c>
    </row>
    <row r="2703" spans="1:1">
      <c r="A2703" s="151" t="s">
        <v>4671</v>
      </c>
    </row>
    <row r="2704" spans="1:1">
      <c r="A2704" s="151" t="s">
        <v>4672</v>
      </c>
    </row>
    <row r="2705" spans="1:1">
      <c r="A2705" s="151" t="s">
        <v>4673</v>
      </c>
    </row>
    <row r="2706" spans="1:1">
      <c r="A2706" s="151" t="s">
        <v>4674</v>
      </c>
    </row>
    <row r="2707" spans="1:1">
      <c r="A2707" s="151" t="s">
        <v>4675</v>
      </c>
    </row>
    <row r="2708" spans="1:1">
      <c r="A2708" s="151" t="s">
        <v>4676</v>
      </c>
    </row>
    <row r="2709" spans="1:1">
      <c r="A2709" s="151" t="s">
        <v>4677</v>
      </c>
    </row>
    <row r="2710" spans="1:1">
      <c r="A2710" s="151" t="s">
        <v>4678</v>
      </c>
    </row>
    <row r="2711" spans="1:1">
      <c r="A2711" s="151" t="s">
        <v>4679</v>
      </c>
    </row>
    <row r="2712" spans="1:1">
      <c r="A2712" s="151" t="s">
        <v>4680</v>
      </c>
    </row>
    <row r="2713" spans="1:1">
      <c r="A2713" s="151" t="s">
        <v>4681</v>
      </c>
    </row>
    <row r="2714" spans="1:1">
      <c r="A2714" s="151" t="s">
        <v>4682</v>
      </c>
    </row>
    <row r="2715" spans="1:1">
      <c r="A2715" s="151" t="s">
        <v>4683</v>
      </c>
    </row>
    <row r="2716" spans="1:1">
      <c r="A2716" s="151" t="s">
        <v>4684</v>
      </c>
    </row>
    <row r="2717" spans="1:1">
      <c r="A2717" s="151" t="s">
        <v>4685</v>
      </c>
    </row>
    <row r="2718" spans="1:1">
      <c r="A2718" s="151" t="s">
        <v>4686</v>
      </c>
    </row>
    <row r="2719" spans="1:1">
      <c r="A2719" s="151" t="s">
        <v>4687</v>
      </c>
    </row>
    <row r="2720" spans="1:1">
      <c r="A2720" s="151" t="s">
        <v>4688</v>
      </c>
    </row>
    <row r="2721" spans="1:1">
      <c r="A2721" s="151" t="s">
        <v>4689</v>
      </c>
    </row>
    <row r="2722" spans="1:1">
      <c r="A2722" s="151" t="s">
        <v>4690</v>
      </c>
    </row>
    <row r="2723" spans="1:1">
      <c r="A2723" s="151" t="s">
        <v>4691</v>
      </c>
    </row>
    <row r="2724" spans="1:1">
      <c r="A2724" s="151" t="s">
        <v>4692</v>
      </c>
    </row>
    <row r="2725" spans="1:1">
      <c r="A2725" s="151" t="s">
        <v>4693</v>
      </c>
    </row>
    <row r="2726" spans="1:1">
      <c r="A2726" s="151" t="s">
        <v>4694</v>
      </c>
    </row>
    <row r="2727" spans="1:1">
      <c r="A2727" s="151" t="s">
        <v>4695</v>
      </c>
    </row>
    <row r="2728" spans="1:1">
      <c r="A2728" s="151" t="s">
        <v>4696</v>
      </c>
    </row>
    <row r="2729" spans="1:1">
      <c r="A2729" s="151" t="s">
        <v>4697</v>
      </c>
    </row>
    <row r="2730" spans="1:1">
      <c r="A2730" s="151" t="s">
        <v>4698</v>
      </c>
    </row>
    <row r="2731" spans="1:1">
      <c r="A2731" s="151" t="s">
        <v>4699</v>
      </c>
    </row>
    <row r="2732" spans="1:1">
      <c r="A2732" s="151" t="s">
        <v>4700</v>
      </c>
    </row>
    <row r="2733" spans="1:1">
      <c r="A2733" s="151" t="s">
        <v>4701</v>
      </c>
    </row>
    <row r="2734" spans="1:1">
      <c r="A2734" s="151" t="s">
        <v>4702</v>
      </c>
    </row>
    <row r="2735" spans="1:1">
      <c r="A2735" s="151" t="s">
        <v>4703</v>
      </c>
    </row>
    <row r="2736" spans="1:1">
      <c r="A2736" s="151" t="s">
        <v>4704</v>
      </c>
    </row>
    <row r="2737" spans="1:1">
      <c r="A2737" s="151" t="s">
        <v>4705</v>
      </c>
    </row>
    <row r="2738" spans="1:1">
      <c r="A2738" s="151" t="s">
        <v>4706</v>
      </c>
    </row>
    <row r="2739" spans="1:1">
      <c r="A2739" s="151" t="s">
        <v>4707</v>
      </c>
    </row>
    <row r="2740" spans="1:1">
      <c r="A2740" s="151" t="s">
        <v>4708</v>
      </c>
    </row>
    <row r="2741" spans="1:1">
      <c r="A2741" s="151" t="s">
        <v>4709</v>
      </c>
    </row>
    <row r="2742" spans="1:1">
      <c r="A2742" s="151" t="s">
        <v>4710</v>
      </c>
    </row>
    <row r="2743" spans="1:1">
      <c r="A2743" s="151" t="s">
        <v>4711</v>
      </c>
    </row>
    <row r="2744" spans="1:1">
      <c r="A2744" s="151" t="s">
        <v>4712</v>
      </c>
    </row>
    <row r="2745" spans="1:1">
      <c r="A2745" s="151" t="s">
        <v>4713</v>
      </c>
    </row>
    <row r="2746" spans="1:1">
      <c r="A2746" s="151" t="s">
        <v>4714</v>
      </c>
    </row>
    <row r="2747" spans="1:1">
      <c r="A2747" s="151" t="s">
        <v>4715</v>
      </c>
    </row>
    <row r="2748" spans="1:1">
      <c r="A2748" s="151" t="s">
        <v>4716</v>
      </c>
    </row>
    <row r="2749" spans="1:1">
      <c r="A2749" s="151" t="s">
        <v>4717</v>
      </c>
    </row>
    <row r="2750" spans="1:1">
      <c r="A2750" s="151" t="s">
        <v>4718</v>
      </c>
    </row>
    <row r="2751" spans="1:1">
      <c r="A2751" s="151" t="s">
        <v>4719</v>
      </c>
    </row>
    <row r="2752" spans="1:1">
      <c r="A2752" s="151" t="s">
        <v>4720</v>
      </c>
    </row>
    <row r="2753" spans="1:1">
      <c r="A2753" s="151" t="s">
        <v>4721</v>
      </c>
    </row>
    <row r="2754" spans="1:1">
      <c r="A2754" s="151" t="s">
        <v>4722</v>
      </c>
    </row>
    <row r="2755" spans="1:1">
      <c r="A2755" s="151" t="s">
        <v>4723</v>
      </c>
    </row>
    <row r="2756" spans="1:1">
      <c r="A2756" s="151" t="s">
        <v>4724</v>
      </c>
    </row>
    <row r="2757" spans="1:1">
      <c r="A2757" s="151" t="s">
        <v>4725</v>
      </c>
    </row>
    <row r="2758" spans="1:1">
      <c r="A2758" s="151" t="s">
        <v>4726</v>
      </c>
    </row>
    <row r="2759" spans="1:1">
      <c r="A2759" s="151" t="s">
        <v>4727</v>
      </c>
    </row>
    <row r="2760" spans="1:1">
      <c r="A2760" s="151" t="s">
        <v>4728</v>
      </c>
    </row>
    <row r="2761" spans="1:1">
      <c r="A2761" s="151" t="s">
        <v>4729</v>
      </c>
    </row>
    <row r="2762" spans="1:1">
      <c r="A2762" s="151" t="s">
        <v>4730</v>
      </c>
    </row>
    <row r="2763" spans="1:1">
      <c r="A2763" s="151" t="s">
        <v>4731</v>
      </c>
    </row>
    <row r="2764" spans="1:1">
      <c r="A2764" s="151" t="s">
        <v>4732</v>
      </c>
    </row>
    <row r="2765" spans="1:1">
      <c r="A2765" s="151" t="s">
        <v>4733</v>
      </c>
    </row>
    <row r="2766" spans="1:1">
      <c r="A2766" s="151" t="s">
        <v>4734</v>
      </c>
    </row>
    <row r="2767" spans="1:1">
      <c r="A2767" s="151" t="s">
        <v>4735</v>
      </c>
    </row>
    <row r="2768" spans="1:1">
      <c r="A2768" s="151" t="s">
        <v>4736</v>
      </c>
    </row>
    <row r="2769" spans="1:1">
      <c r="A2769" s="151" t="s">
        <v>4737</v>
      </c>
    </row>
    <row r="2770" spans="1:1">
      <c r="A2770" s="151" t="s">
        <v>4738</v>
      </c>
    </row>
    <row r="2771" spans="1:1">
      <c r="A2771" s="151" t="s">
        <v>4739</v>
      </c>
    </row>
    <row r="2772" spans="1:1">
      <c r="A2772" s="151" t="s">
        <v>4740</v>
      </c>
    </row>
    <row r="2773" spans="1:1">
      <c r="A2773" s="151" t="s">
        <v>4741</v>
      </c>
    </row>
    <row r="2774" spans="1:1">
      <c r="A2774" s="151" t="s">
        <v>4742</v>
      </c>
    </row>
    <row r="2775" spans="1:1">
      <c r="A2775" s="151" t="s">
        <v>4743</v>
      </c>
    </row>
    <row r="2776" spans="1:1">
      <c r="A2776" s="151" t="s">
        <v>4744</v>
      </c>
    </row>
    <row r="2777" spans="1:1">
      <c r="A2777" s="151" t="s">
        <v>4745</v>
      </c>
    </row>
    <row r="2778" spans="1:1">
      <c r="A2778" s="151" t="s">
        <v>4746</v>
      </c>
    </row>
    <row r="2779" spans="1:1">
      <c r="A2779" s="151" t="s">
        <v>4747</v>
      </c>
    </row>
    <row r="2780" spans="1:1">
      <c r="A2780" s="151" t="s">
        <v>4748</v>
      </c>
    </row>
    <row r="2781" spans="1:1">
      <c r="A2781" s="151" t="s">
        <v>4749</v>
      </c>
    </row>
    <row r="2782" spans="1:1">
      <c r="A2782" s="151" t="s">
        <v>4750</v>
      </c>
    </row>
    <row r="2783" spans="1:1">
      <c r="A2783" s="151" t="s">
        <v>4751</v>
      </c>
    </row>
    <row r="2784" spans="1:1">
      <c r="A2784" s="151" t="s">
        <v>4752</v>
      </c>
    </row>
    <row r="2785" spans="1:1">
      <c r="A2785" s="151" t="s">
        <v>4753</v>
      </c>
    </row>
    <row r="2786" spans="1:1">
      <c r="A2786" s="151" t="s">
        <v>4754</v>
      </c>
    </row>
    <row r="2787" spans="1:1">
      <c r="A2787" s="151" t="s">
        <v>4755</v>
      </c>
    </row>
    <row r="2788" spans="1:1">
      <c r="A2788" s="151" t="s">
        <v>4756</v>
      </c>
    </row>
    <row r="2789" spans="1:1">
      <c r="A2789" s="151" t="s">
        <v>4757</v>
      </c>
    </row>
    <row r="2790" spans="1:1">
      <c r="A2790" s="151" t="s">
        <v>4758</v>
      </c>
    </row>
    <row r="2791" spans="1:1">
      <c r="A2791" s="151" t="s">
        <v>4759</v>
      </c>
    </row>
    <row r="2792" spans="1:1">
      <c r="A2792" s="151" t="s">
        <v>4760</v>
      </c>
    </row>
    <row r="2793" spans="1:1">
      <c r="A2793" s="151" t="s">
        <v>4761</v>
      </c>
    </row>
    <row r="2794" spans="1:1">
      <c r="A2794" s="151" t="s">
        <v>4762</v>
      </c>
    </row>
    <row r="2795" spans="1:1">
      <c r="A2795" s="151" t="s">
        <v>4763</v>
      </c>
    </row>
    <row r="2796" spans="1:1">
      <c r="A2796" s="151" t="s">
        <v>4764</v>
      </c>
    </row>
    <row r="2797" spans="1:1">
      <c r="A2797" s="151" t="s">
        <v>4765</v>
      </c>
    </row>
    <row r="2798" spans="1:1">
      <c r="A2798" s="151" t="s">
        <v>4766</v>
      </c>
    </row>
    <row r="2799" spans="1:1">
      <c r="A2799" s="151" t="s">
        <v>4767</v>
      </c>
    </row>
    <row r="2800" spans="1:1">
      <c r="A2800" s="151" t="s">
        <v>4768</v>
      </c>
    </row>
    <row r="2801" spans="1:1">
      <c r="A2801" s="151" t="s">
        <v>4769</v>
      </c>
    </row>
    <row r="2802" spans="1:1">
      <c r="A2802" s="151" t="s">
        <v>4770</v>
      </c>
    </row>
    <row r="2803" spans="1:1">
      <c r="A2803" s="151" t="s">
        <v>4771</v>
      </c>
    </row>
    <row r="2804" spans="1:1">
      <c r="A2804" s="151" t="s">
        <v>4772</v>
      </c>
    </row>
    <row r="2805" spans="1:1">
      <c r="A2805" s="151" t="s">
        <v>4773</v>
      </c>
    </row>
    <row r="2806" spans="1:1">
      <c r="A2806" s="151" t="s">
        <v>4774</v>
      </c>
    </row>
    <row r="2807" spans="1:1">
      <c r="A2807" s="151" t="s">
        <v>4775</v>
      </c>
    </row>
    <row r="2808" spans="1:1">
      <c r="A2808" s="151" t="s">
        <v>4776</v>
      </c>
    </row>
    <row r="2809" spans="1:1">
      <c r="A2809" s="151" t="s">
        <v>4777</v>
      </c>
    </row>
    <row r="2810" spans="1:1">
      <c r="A2810" s="151" t="s">
        <v>4778</v>
      </c>
    </row>
    <row r="2811" spans="1:1">
      <c r="A2811" s="151" t="s">
        <v>4779</v>
      </c>
    </row>
    <row r="2812" spans="1:1">
      <c r="A2812" s="151" t="s">
        <v>4780</v>
      </c>
    </row>
    <row r="2813" spans="1:1">
      <c r="A2813" s="151" t="s">
        <v>4781</v>
      </c>
    </row>
    <row r="2814" spans="1:1">
      <c r="A2814" s="151" t="s">
        <v>4782</v>
      </c>
    </row>
    <row r="2815" spans="1:1">
      <c r="A2815" s="151" t="s">
        <v>4783</v>
      </c>
    </row>
    <row r="2816" spans="1:1">
      <c r="A2816" s="151" t="s">
        <v>4784</v>
      </c>
    </row>
    <row r="2817" spans="1:1">
      <c r="A2817" s="151" t="s">
        <v>4785</v>
      </c>
    </row>
    <row r="2818" spans="1:1">
      <c r="A2818" s="151" t="s">
        <v>4786</v>
      </c>
    </row>
    <row r="2819" spans="1:1">
      <c r="A2819" s="151" t="s">
        <v>4787</v>
      </c>
    </row>
    <row r="2820" spans="1:1">
      <c r="A2820" s="151" t="s">
        <v>4788</v>
      </c>
    </row>
    <row r="2821" spans="1:1">
      <c r="A2821" s="151" t="s">
        <v>4789</v>
      </c>
    </row>
    <row r="2822" spans="1:1">
      <c r="A2822" s="151" t="s">
        <v>4790</v>
      </c>
    </row>
    <row r="2823" spans="1:1">
      <c r="A2823" s="151" t="s">
        <v>4791</v>
      </c>
    </row>
    <row r="2824" spans="1:1">
      <c r="A2824" s="151" t="s">
        <v>4792</v>
      </c>
    </row>
    <row r="2825" spans="1:1">
      <c r="A2825" s="151" t="s">
        <v>4793</v>
      </c>
    </row>
    <row r="2826" spans="1:1">
      <c r="A2826" s="151" t="s">
        <v>4794</v>
      </c>
    </row>
    <row r="2827" spans="1:1">
      <c r="A2827" s="151" t="s">
        <v>4795</v>
      </c>
    </row>
    <row r="2828" spans="1:1">
      <c r="A2828" s="151" t="s">
        <v>4796</v>
      </c>
    </row>
    <row r="2829" spans="1:1">
      <c r="A2829" s="151" t="s">
        <v>4797</v>
      </c>
    </row>
    <row r="2830" spans="1:1">
      <c r="A2830" s="151" t="s">
        <v>4798</v>
      </c>
    </row>
    <row r="2831" spans="1:1">
      <c r="A2831" s="151" t="s">
        <v>4799</v>
      </c>
    </row>
    <row r="2832" spans="1:1">
      <c r="A2832" s="151" t="s">
        <v>4800</v>
      </c>
    </row>
    <row r="2833" spans="1:1">
      <c r="A2833" s="151" t="s">
        <v>4801</v>
      </c>
    </row>
    <row r="2834" spans="1:1">
      <c r="A2834" s="151" t="s">
        <v>4802</v>
      </c>
    </row>
    <row r="2835" spans="1:1">
      <c r="A2835" s="151" t="s">
        <v>4803</v>
      </c>
    </row>
    <row r="2836" spans="1:1">
      <c r="A2836" s="151" t="s">
        <v>4804</v>
      </c>
    </row>
    <row r="2837" spans="1:1">
      <c r="A2837" s="151" t="s">
        <v>4805</v>
      </c>
    </row>
    <row r="2838" spans="1:1">
      <c r="A2838" s="151" t="s">
        <v>4806</v>
      </c>
    </row>
    <row r="2839" spans="1:1">
      <c r="A2839" s="151" t="s">
        <v>4807</v>
      </c>
    </row>
    <row r="2840" spans="1:1">
      <c r="A2840" s="151" t="s">
        <v>4808</v>
      </c>
    </row>
    <row r="2841" spans="1:1">
      <c r="A2841" s="151" t="s">
        <v>4809</v>
      </c>
    </row>
    <row r="2842" spans="1:1">
      <c r="A2842" s="151" t="s">
        <v>4810</v>
      </c>
    </row>
    <row r="2843" spans="1:1">
      <c r="A2843" s="151" t="s">
        <v>4811</v>
      </c>
    </row>
    <row r="2844" spans="1:1">
      <c r="A2844" s="151" t="s">
        <v>4812</v>
      </c>
    </row>
    <row r="2845" spans="1:1">
      <c r="A2845" s="151" t="s">
        <v>4813</v>
      </c>
    </row>
    <row r="2846" spans="1:1">
      <c r="A2846" s="151" t="s">
        <v>4814</v>
      </c>
    </row>
    <row r="2847" spans="1:1">
      <c r="A2847" s="151" t="s">
        <v>4815</v>
      </c>
    </row>
    <row r="2848" spans="1:1">
      <c r="A2848" s="151" t="s">
        <v>4816</v>
      </c>
    </row>
    <row r="2849" spans="1:1">
      <c r="A2849" s="151" t="s">
        <v>4817</v>
      </c>
    </row>
    <row r="2850" spans="1:1">
      <c r="A2850" s="151" t="s">
        <v>4818</v>
      </c>
    </row>
    <row r="2851" spans="1:1">
      <c r="A2851" s="151" t="s">
        <v>4819</v>
      </c>
    </row>
    <row r="2852" spans="1:1">
      <c r="A2852" s="151" t="s">
        <v>4820</v>
      </c>
    </row>
    <row r="2853" spans="1:1">
      <c r="A2853" s="151" t="s">
        <v>4821</v>
      </c>
    </row>
    <row r="2854" spans="1:1">
      <c r="A2854" s="151" t="s">
        <v>4822</v>
      </c>
    </row>
    <row r="2855" spans="1:1">
      <c r="A2855" s="151" t="s">
        <v>4823</v>
      </c>
    </row>
    <row r="2856" spans="1:1">
      <c r="A2856" s="151" t="s">
        <v>4824</v>
      </c>
    </row>
    <row r="2857" spans="1:1">
      <c r="A2857" s="151" t="s">
        <v>4825</v>
      </c>
    </row>
    <row r="2858" spans="1:1">
      <c r="A2858" s="151" t="s">
        <v>4826</v>
      </c>
    </row>
    <row r="2859" spans="1:1">
      <c r="A2859" s="151" t="s">
        <v>4827</v>
      </c>
    </row>
    <row r="2860" spans="1:1">
      <c r="A2860" s="151" t="s">
        <v>4828</v>
      </c>
    </row>
    <row r="2861" spans="1:1">
      <c r="A2861" s="151" t="s">
        <v>4829</v>
      </c>
    </row>
    <row r="2862" spans="1:1">
      <c r="A2862" s="151" t="s">
        <v>4830</v>
      </c>
    </row>
    <row r="2863" spans="1:1">
      <c r="A2863" s="151" t="s">
        <v>4831</v>
      </c>
    </row>
    <row r="2864" spans="1:1">
      <c r="A2864" s="151" t="s">
        <v>4832</v>
      </c>
    </row>
    <row r="2865" spans="1:1">
      <c r="A2865" s="151" t="s">
        <v>4833</v>
      </c>
    </row>
    <row r="2866" spans="1:1">
      <c r="A2866" s="151" t="s">
        <v>4834</v>
      </c>
    </row>
    <row r="2867" spans="1:1">
      <c r="A2867" s="151" t="s">
        <v>4835</v>
      </c>
    </row>
    <row r="2868" spans="1:1">
      <c r="A2868" s="151" t="s">
        <v>4836</v>
      </c>
    </row>
    <row r="2869" spans="1:1">
      <c r="A2869" s="151" t="s">
        <v>4837</v>
      </c>
    </row>
    <row r="2870" spans="1:1">
      <c r="A2870" s="151" t="s">
        <v>4838</v>
      </c>
    </row>
    <row r="2871" spans="1:1">
      <c r="A2871" s="151" t="s">
        <v>4839</v>
      </c>
    </row>
    <row r="2872" spans="1:1">
      <c r="A2872" s="151" t="s">
        <v>4840</v>
      </c>
    </row>
    <row r="2873" spans="1:1">
      <c r="A2873" s="151" t="s">
        <v>4841</v>
      </c>
    </row>
    <row r="2874" spans="1:1">
      <c r="A2874" s="151" t="s">
        <v>4842</v>
      </c>
    </row>
    <row r="2875" spans="1:1">
      <c r="A2875" s="151" t="s">
        <v>4843</v>
      </c>
    </row>
    <row r="2876" spans="1:1">
      <c r="A2876" s="151" t="s">
        <v>4844</v>
      </c>
    </row>
    <row r="2877" spans="1:1">
      <c r="A2877" s="151" t="s">
        <v>4845</v>
      </c>
    </row>
    <row r="2878" spans="1:1">
      <c r="A2878" s="151" t="s">
        <v>4846</v>
      </c>
    </row>
    <row r="2879" spans="1:1">
      <c r="A2879" s="151" t="s">
        <v>4847</v>
      </c>
    </row>
    <row r="2880" spans="1:1">
      <c r="A2880" s="151" t="s">
        <v>4848</v>
      </c>
    </row>
    <row r="2881" spans="1:1">
      <c r="A2881" s="151" t="s">
        <v>4849</v>
      </c>
    </row>
    <row r="2882" spans="1:1">
      <c r="A2882" s="151" t="s">
        <v>4850</v>
      </c>
    </row>
    <row r="2883" spans="1:1">
      <c r="A2883" s="151" t="s">
        <v>4851</v>
      </c>
    </row>
    <row r="2884" spans="1:1">
      <c r="A2884" s="151" t="s">
        <v>4852</v>
      </c>
    </row>
    <row r="2885" spans="1:1">
      <c r="A2885" s="151" t="s">
        <v>4853</v>
      </c>
    </row>
    <row r="2886" spans="1:1">
      <c r="A2886" s="151" t="s">
        <v>4854</v>
      </c>
    </row>
    <row r="2887" spans="1:1">
      <c r="A2887" s="151" t="s">
        <v>4855</v>
      </c>
    </row>
    <row r="2888" spans="1:1">
      <c r="A2888" s="151" t="s">
        <v>4856</v>
      </c>
    </row>
    <row r="2889" spans="1:1">
      <c r="A2889" s="151" t="s">
        <v>4857</v>
      </c>
    </row>
    <row r="2890" spans="1:1">
      <c r="A2890" s="151" t="s">
        <v>4858</v>
      </c>
    </row>
    <row r="2891" spans="1:1">
      <c r="A2891" s="151" t="s">
        <v>4859</v>
      </c>
    </row>
    <row r="2892" spans="1:1">
      <c r="A2892" s="151" t="s">
        <v>4860</v>
      </c>
    </row>
    <row r="2893" spans="1:1">
      <c r="A2893" s="151" t="s">
        <v>4861</v>
      </c>
    </row>
    <row r="2894" spans="1:1">
      <c r="A2894" s="151" t="s">
        <v>4862</v>
      </c>
    </row>
    <row r="2895" spans="1:1">
      <c r="A2895" s="151" t="s">
        <v>4863</v>
      </c>
    </row>
    <row r="2896" spans="1:1">
      <c r="A2896" s="151" t="s">
        <v>4864</v>
      </c>
    </row>
    <row r="2897" spans="1:1">
      <c r="A2897" s="151" t="s">
        <v>4865</v>
      </c>
    </row>
    <row r="2898" spans="1:1">
      <c r="A2898" s="151" t="s">
        <v>4866</v>
      </c>
    </row>
    <row r="2899" spans="1:1">
      <c r="A2899" s="151" t="s">
        <v>4867</v>
      </c>
    </row>
    <row r="2900" spans="1:1">
      <c r="A2900" s="151" t="s">
        <v>4868</v>
      </c>
    </row>
    <row r="2901" spans="1:1">
      <c r="A2901" s="151" t="s">
        <v>4869</v>
      </c>
    </row>
    <row r="2902" spans="1:1">
      <c r="A2902" s="151" t="s">
        <v>4870</v>
      </c>
    </row>
    <row r="2903" spans="1:1">
      <c r="A2903" s="151" t="s">
        <v>4871</v>
      </c>
    </row>
    <row r="2904" spans="1:1">
      <c r="A2904" s="151" t="s">
        <v>4872</v>
      </c>
    </row>
    <row r="2905" spans="1:1">
      <c r="A2905" s="151" t="s">
        <v>4873</v>
      </c>
    </row>
    <row r="2906" spans="1:1">
      <c r="A2906" s="151" t="s">
        <v>4874</v>
      </c>
    </row>
    <row r="2907" spans="1:1">
      <c r="A2907" s="151" t="s">
        <v>4875</v>
      </c>
    </row>
    <row r="2908" spans="1:1">
      <c r="A2908" s="151" t="s">
        <v>4876</v>
      </c>
    </row>
    <row r="2909" spans="1:1">
      <c r="A2909" s="151" t="s">
        <v>4877</v>
      </c>
    </row>
    <row r="2910" spans="1:1">
      <c r="A2910" s="151" t="s">
        <v>4878</v>
      </c>
    </row>
    <row r="2911" spans="1:1">
      <c r="A2911" s="151" t="s">
        <v>4879</v>
      </c>
    </row>
    <row r="2912" spans="1:1">
      <c r="A2912" s="151" t="s">
        <v>4880</v>
      </c>
    </row>
    <row r="2913" spans="1:1">
      <c r="A2913" s="151" t="s">
        <v>4881</v>
      </c>
    </row>
    <row r="2914" spans="1:1">
      <c r="A2914" s="151" t="s">
        <v>4882</v>
      </c>
    </row>
    <row r="2915" spans="1:1">
      <c r="A2915" s="151" t="s">
        <v>4883</v>
      </c>
    </row>
    <row r="2916" spans="1:1">
      <c r="A2916" s="151" t="s">
        <v>4884</v>
      </c>
    </row>
    <row r="2917" spans="1:1">
      <c r="A2917" s="151" t="s">
        <v>4885</v>
      </c>
    </row>
    <row r="2918" spans="1:1">
      <c r="A2918" s="151" t="s">
        <v>4886</v>
      </c>
    </row>
    <row r="2919" spans="1:1">
      <c r="A2919" s="151" t="s">
        <v>4887</v>
      </c>
    </row>
    <row r="2920" spans="1:1">
      <c r="A2920" s="151" t="s">
        <v>4888</v>
      </c>
    </row>
    <row r="2921" spans="1:1">
      <c r="A2921" s="151" t="s">
        <v>4889</v>
      </c>
    </row>
    <row r="2922" spans="1:1">
      <c r="A2922" s="151" t="s">
        <v>4890</v>
      </c>
    </row>
    <row r="2923" spans="1:1">
      <c r="A2923" s="151" t="s">
        <v>4891</v>
      </c>
    </row>
    <row r="2924" spans="1:1">
      <c r="A2924" s="151" t="s">
        <v>4892</v>
      </c>
    </row>
    <row r="2925" spans="1:1">
      <c r="A2925" s="151" t="s">
        <v>4893</v>
      </c>
    </row>
    <row r="2926" spans="1:1">
      <c r="A2926" s="151" t="s">
        <v>4894</v>
      </c>
    </row>
    <row r="2927" spans="1:1">
      <c r="A2927" s="151" t="s">
        <v>4895</v>
      </c>
    </row>
    <row r="2928" spans="1:1">
      <c r="A2928" s="151" t="s">
        <v>4896</v>
      </c>
    </row>
    <row r="2929" spans="1:1">
      <c r="A2929" s="151" t="s">
        <v>4897</v>
      </c>
    </row>
    <row r="2930" spans="1:1">
      <c r="A2930" s="151" t="s">
        <v>4898</v>
      </c>
    </row>
    <row r="2931" spans="1:1">
      <c r="A2931" s="151" t="s">
        <v>4899</v>
      </c>
    </row>
    <row r="2932" spans="1:1">
      <c r="A2932" s="151" t="s">
        <v>4900</v>
      </c>
    </row>
    <row r="2933" spans="1:1">
      <c r="A2933" s="151" t="s">
        <v>4901</v>
      </c>
    </row>
    <row r="2934" spans="1:1">
      <c r="A2934" s="151" t="s">
        <v>4902</v>
      </c>
    </row>
    <row r="2935" spans="1:1">
      <c r="A2935" s="151" t="s">
        <v>4903</v>
      </c>
    </row>
    <row r="2936" spans="1:1">
      <c r="A2936" s="151" t="s">
        <v>4904</v>
      </c>
    </row>
    <row r="2937" spans="1:1">
      <c r="A2937" s="151" t="s">
        <v>4905</v>
      </c>
    </row>
    <row r="2938" spans="1:1">
      <c r="A2938" s="151" t="s">
        <v>4906</v>
      </c>
    </row>
    <row r="2939" spans="1:1">
      <c r="A2939" s="151" t="s">
        <v>4907</v>
      </c>
    </row>
    <row r="2940" spans="1:1">
      <c r="A2940" s="151" t="s">
        <v>4908</v>
      </c>
    </row>
    <row r="2941" spans="1:1">
      <c r="A2941" s="151" t="s">
        <v>4909</v>
      </c>
    </row>
    <row r="2942" spans="1:1">
      <c r="A2942" s="151" t="s">
        <v>4910</v>
      </c>
    </row>
    <row r="2943" spans="1:1">
      <c r="A2943" s="151" t="s">
        <v>4911</v>
      </c>
    </row>
    <row r="2944" spans="1:1">
      <c r="A2944" s="151" t="s">
        <v>4912</v>
      </c>
    </row>
    <row r="2945" spans="1:1">
      <c r="A2945" s="151" t="s">
        <v>4913</v>
      </c>
    </row>
    <row r="2946" spans="1:1">
      <c r="A2946" s="151" t="s">
        <v>4914</v>
      </c>
    </row>
    <row r="2947" spans="1:1">
      <c r="A2947" s="151" t="s">
        <v>4915</v>
      </c>
    </row>
    <row r="2948" spans="1:1">
      <c r="A2948" s="151" t="s">
        <v>4916</v>
      </c>
    </row>
    <row r="2949" spans="1:1">
      <c r="A2949" s="151" t="s">
        <v>4917</v>
      </c>
    </row>
    <row r="2950" spans="1:1">
      <c r="A2950" s="151" t="s">
        <v>4918</v>
      </c>
    </row>
    <row r="2951" spans="1:1">
      <c r="A2951" s="151" t="s">
        <v>4919</v>
      </c>
    </row>
    <row r="2952" spans="1:1">
      <c r="A2952" s="151" t="s">
        <v>4920</v>
      </c>
    </row>
    <row r="2953" spans="1:1">
      <c r="A2953" s="151" t="s">
        <v>4921</v>
      </c>
    </row>
    <row r="2954" spans="1:1">
      <c r="A2954" s="151" t="s">
        <v>4922</v>
      </c>
    </row>
    <row r="2955" spans="1:1">
      <c r="A2955" s="151" t="s">
        <v>4923</v>
      </c>
    </row>
    <row r="2956" spans="1:1">
      <c r="A2956" s="151" t="s">
        <v>4924</v>
      </c>
    </row>
    <row r="2957" spans="1:1">
      <c r="A2957" s="151" t="s">
        <v>4925</v>
      </c>
    </row>
    <row r="2958" spans="1:1">
      <c r="A2958" s="151" t="s">
        <v>4926</v>
      </c>
    </row>
    <row r="2959" spans="1:1">
      <c r="A2959" s="151" t="s">
        <v>4927</v>
      </c>
    </row>
    <row r="2960" spans="1:1">
      <c r="A2960" s="151" t="s">
        <v>4928</v>
      </c>
    </row>
    <row r="2961" spans="1:1">
      <c r="A2961" s="151" t="s">
        <v>4929</v>
      </c>
    </row>
    <row r="2962" spans="1:1">
      <c r="A2962" s="151" t="s">
        <v>4930</v>
      </c>
    </row>
    <row r="2963" spans="1:1">
      <c r="A2963" s="151" t="s">
        <v>4931</v>
      </c>
    </row>
    <row r="2964" spans="1:1">
      <c r="A2964" s="151" t="s">
        <v>4932</v>
      </c>
    </row>
    <row r="2965" spans="1:1">
      <c r="A2965" s="151" t="s">
        <v>4933</v>
      </c>
    </row>
    <row r="2966" spans="1:1">
      <c r="A2966" s="151" t="s">
        <v>4934</v>
      </c>
    </row>
    <row r="2967" spans="1:1">
      <c r="A2967" s="151" t="s">
        <v>4935</v>
      </c>
    </row>
    <row r="2968" spans="1:1">
      <c r="A2968" s="151" t="s">
        <v>4936</v>
      </c>
    </row>
    <row r="2969" spans="1:1">
      <c r="A2969" s="151" t="s">
        <v>4937</v>
      </c>
    </row>
    <row r="2970" spans="1:1">
      <c r="A2970" s="151" t="s">
        <v>4938</v>
      </c>
    </row>
    <row r="2971" spans="1:1">
      <c r="A2971" s="151" t="s">
        <v>4939</v>
      </c>
    </row>
    <row r="2972" spans="1:1">
      <c r="A2972" s="151" t="s">
        <v>4940</v>
      </c>
    </row>
    <row r="2973" spans="1:1">
      <c r="A2973" s="151" t="s">
        <v>4941</v>
      </c>
    </row>
    <row r="2974" spans="1:1">
      <c r="A2974" s="151" t="s">
        <v>4942</v>
      </c>
    </row>
    <row r="2975" spans="1:1">
      <c r="A2975" s="151" t="s">
        <v>4943</v>
      </c>
    </row>
    <row r="2976" spans="1:1">
      <c r="A2976" s="151" t="s">
        <v>4944</v>
      </c>
    </row>
    <row r="2977" spans="1:1">
      <c r="A2977" s="151" t="s">
        <v>4945</v>
      </c>
    </row>
    <row r="2978" spans="1:1">
      <c r="A2978" s="151" t="s">
        <v>4946</v>
      </c>
    </row>
    <row r="2979" spans="1:1">
      <c r="A2979" s="151" t="s">
        <v>4947</v>
      </c>
    </row>
    <row r="2980" spans="1:1">
      <c r="A2980" s="151" t="s">
        <v>4948</v>
      </c>
    </row>
    <row r="2981" spans="1:1">
      <c r="A2981" s="151" t="s">
        <v>4949</v>
      </c>
    </row>
    <row r="2982" spans="1:1">
      <c r="A2982" s="151" t="s">
        <v>4950</v>
      </c>
    </row>
    <row r="2983" spans="1:1">
      <c r="A2983" s="151" t="s">
        <v>4951</v>
      </c>
    </row>
    <row r="2984" spans="1:1">
      <c r="A2984" s="151" t="s">
        <v>4952</v>
      </c>
    </row>
    <row r="2985" spans="1:1">
      <c r="A2985" s="151" t="s">
        <v>4953</v>
      </c>
    </row>
    <row r="2986" spans="1:1">
      <c r="A2986" s="151" t="s">
        <v>4954</v>
      </c>
    </row>
    <row r="2987" spans="1:1">
      <c r="A2987" s="151" t="s">
        <v>4955</v>
      </c>
    </row>
    <row r="2988" spans="1:1">
      <c r="A2988" s="151" t="s">
        <v>4956</v>
      </c>
    </row>
    <row r="2989" spans="1:1">
      <c r="A2989" s="151" t="s">
        <v>4957</v>
      </c>
    </row>
    <row r="2990" spans="1:1">
      <c r="A2990" s="151" t="s">
        <v>4958</v>
      </c>
    </row>
    <row r="2991" spans="1:1">
      <c r="A2991" s="151" t="s">
        <v>4959</v>
      </c>
    </row>
    <row r="2992" spans="1:1">
      <c r="A2992" s="151" t="s">
        <v>4960</v>
      </c>
    </row>
    <row r="2993" spans="1:1">
      <c r="A2993" s="151" t="s">
        <v>4961</v>
      </c>
    </row>
    <row r="2994" spans="1:1">
      <c r="A2994" s="151" t="s">
        <v>4962</v>
      </c>
    </row>
    <row r="2995" spans="1:1">
      <c r="A2995" s="151" t="s">
        <v>4963</v>
      </c>
    </row>
    <row r="2996" spans="1:1">
      <c r="A2996" s="151" t="s">
        <v>4964</v>
      </c>
    </row>
    <row r="2997" spans="1:1">
      <c r="A2997" s="151" t="s">
        <v>4965</v>
      </c>
    </row>
    <row r="2998" spans="1:1">
      <c r="A2998" s="151" t="s">
        <v>4966</v>
      </c>
    </row>
    <row r="2999" spans="1:1">
      <c r="A2999" s="151" t="s">
        <v>4967</v>
      </c>
    </row>
    <row r="3000" spans="1:1">
      <c r="A3000" s="151" t="s">
        <v>4968</v>
      </c>
    </row>
    <row r="3001" spans="1:1">
      <c r="A3001" s="151" t="s">
        <v>4969</v>
      </c>
    </row>
    <row r="3002" spans="1:1">
      <c r="A3002" s="151" t="s">
        <v>4970</v>
      </c>
    </row>
    <row r="3003" spans="1:1">
      <c r="A3003" s="151" t="s">
        <v>4971</v>
      </c>
    </row>
    <row r="3004" spans="1:1">
      <c r="A3004" s="151" t="s">
        <v>4972</v>
      </c>
    </row>
    <row r="3005" spans="1:1">
      <c r="A3005" s="151" t="s">
        <v>4973</v>
      </c>
    </row>
    <row r="3006" spans="1:1">
      <c r="A3006" s="151" t="s">
        <v>4974</v>
      </c>
    </row>
    <row r="3007" spans="1:1">
      <c r="A3007" s="151" t="s">
        <v>4975</v>
      </c>
    </row>
    <row r="3008" spans="1:1">
      <c r="A3008" s="151" t="s">
        <v>4976</v>
      </c>
    </row>
    <row r="3009" spans="1:1">
      <c r="A3009" s="151" t="s">
        <v>4977</v>
      </c>
    </row>
    <row r="3010" spans="1:1">
      <c r="A3010" s="151" t="s">
        <v>4978</v>
      </c>
    </row>
    <row r="3011" spans="1:1">
      <c r="A3011" s="151" t="s">
        <v>4979</v>
      </c>
    </row>
    <row r="3012" spans="1:1">
      <c r="A3012" s="151" t="s">
        <v>4980</v>
      </c>
    </row>
    <row r="3013" spans="1:1">
      <c r="A3013" s="151" t="s">
        <v>4981</v>
      </c>
    </row>
    <row r="3014" spans="1:1">
      <c r="A3014" s="151" t="s">
        <v>4982</v>
      </c>
    </row>
    <row r="3015" spans="1:1">
      <c r="A3015" s="151" t="s">
        <v>4983</v>
      </c>
    </row>
    <row r="3016" spans="1:1">
      <c r="A3016" s="151" t="s">
        <v>4984</v>
      </c>
    </row>
    <row r="3017" spans="1:1">
      <c r="A3017" s="151" t="s">
        <v>4985</v>
      </c>
    </row>
    <row r="3018" spans="1:1">
      <c r="A3018" s="151" t="s">
        <v>4986</v>
      </c>
    </row>
    <row r="3019" spans="1:1">
      <c r="A3019" s="151" t="s">
        <v>4987</v>
      </c>
    </row>
    <row r="3020" spans="1:1">
      <c r="A3020" s="151" t="s">
        <v>4988</v>
      </c>
    </row>
    <row r="3021" spans="1:1">
      <c r="A3021" s="151" t="s">
        <v>4989</v>
      </c>
    </row>
    <row r="3022" spans="1:1">
      <c r="A3022" s="151" t="s">
        <v>4990</v>
      </c>
    </row>
    <row r="3023" spans="1:1">
      <c r="A3023" s="151" t="s">
        <v>4991</v>
      </c>
    </row>
    <row r="3024" spans="1:1">
      <c r="A3024" s="151" t="s">
        <v>4992</v>
      </c>
    </row>
    <row r="3025" spans="1:1">
      <c r="A3025" s="151" t="s">
        <v>4993</v>
      </c>
    </row>
    <row r="3026" spans="1:1">
      <c r="A3026" s="151" t="s">
        <v>4994</v>
      </c>
    </row>
    <row r="3027" spans="1:1">
      <c r="A3027" s="151" t="s">
        <v>4995</v>
      </c>
    </row>
    <row r="3028" spans="1:1">
      <c r="A3028" s="151" t="s">
        <v>4996</v>
      </c>
    </row>
    <row r="3029" spans="1:1">
      <c r="A3029" s="151" t="s">
        <v>4997</v>
      </c>
    </row>
    <row r="3030" spans="1:1">
      <c r="A3030" s="151" t="s">
        <v>4998</v>
      </c>
    </row>
    <row r="3031" spans="1:1">
      <c r="A3031" s="151" t="s">
        <v>4999</v>
      </c>
    </row>
    <row r="3032" spans="1:1">
      <c r="A3032" s="151" t="s">
        <v>5000</v>
      </c>
    </row>
    <row r="3033" spans="1:1">
      <c r="A3033" s="151" t="s">
        <v>5001</v>
      </c>
    </row>
    <row r="3034" spans="1:1">
      <c r="A3034" s="151" t="s">
        <v>5002</v>
      </c>
    </row>
    <row r="3035" spans="1:1">
      <c r="A3035" s="151" t="s">
        <v>5003</v>
      </c>
    </row>
    <row r="3036" spans="1:1">
      <c r="A3036" s="151" t="s">
        <v>5004</v>
      </c>
    </row>
    <row r="3037" spans="1:1">
      <c r="A3037" s="151" t="s">
        <v>5005</v>
      </c>
    </row>
    <row r="3038" spans="1:1">
      <c r="A3038" s="151" t="s">
        <v>5006</v>
      </c>
    </row>
    <row r="3039" spans="1:1">
      <c r="A3039" s="151" t="s">
        <v>5007</v>
      </c>
    </row>
    <row r="3040" spans="1:1">
      <c r="A3040" s="151" t="s">
        <v>5008</v>
      </c>
    </row>
    <row r="3041" spans="1:1">
      <c r="A3041" s="151" t="s">
        <v>5009</v>
      </c>
    </row>
    <row r="3042" spans="1:1">
      <c r="A3042" s="151" t="s">
        <v>5010</v>
      </c>
    </row>
    <row r="3043" spans="1:1">
      <c r="A3043" s="151" t="s">
        <v>5011</v>
      </c>
    </row>
    <row r="3044" spans="1:1">
      <c r="A3044" s="151" t="s">
        <v>5012</v>
      </c>
    </row>
    <row r="3045" spans="1:1">
      <c r="A3045" s="151" t="s">
        <v>5013</v>
      </c>
    </row>
    <row r="3046" spans="1:1">
      <c r="A3046" s="151" t="s">
        <v>5014</v>
      </c>
    </row>
    <row r="3047" spans="1:1">
      <c r="A3047" s="151" t="s">
        <v>5015</v>
      </c>
    </row>
    <row r="3048" spans="1:1">
      <c r="A3048" s="151" t="s">
        <v>5016</v>
      </c>
    </row>
    <row r="3049" spans="1:1">
      <c r="A3049" s="151" t="s">
        <v>5017</v>
      </c>
    </row>
    <row r="3050" spans="1:1">
      <c r="A3050" s="151" t="s">
        <v>5018</v>
      </c>
    </row>
    <row r="3051" spans="1:1">
      <c r="A3051" s="151" t="s">
        <v>5019</v>
      </c>
    </row>
    <row r="3052" spans="1:1">
      <c r="A3052" s="151" t="s">
        <v>5020</v>
      </c>
    </row>
    <row r="3053" spans="1:1">
      <c r="A3053" s="151" t="s">
        <v>5021</v>
      </c>
    </row>
    <row r="3054" spans="1:1">
      <c r="A3054" s="151" t="s">
        <v>5022</v>
      </c>
    </row>
    <row r="3055" spans="1:1">
      <c r="A3055" s="151" t="s">
        <v>5023</v>
      </c>
    </row>
    <row r="3056" spans="1:1">
      <c r="A3056" s="151" t="s">
        <v>5024</v>
      </c>
    </row>
    <row r="3057" spans="1:1">
      <c r="A3057" s="151" t="s">
        <v>5025</v>
      </c>
    </row>
    <row r="3058" spans="1:1">
      <c r="A3058" s="151" t="s">
        <v>5026</v>
      </c>
    </row>
    <row r="3059" spans="1:1">
      <c r="A3059" s="151" t="s">
        <v>5027</v>
      </c>
    </row>
    <row r="3060" spans="1:1">
      <c r="A3060" s="151" t="s">
        <v>5028</v>
      </c>
    </row>
    <row r="3061" spans="1:1">
      <c r="A3061" s="151" t="s">
        <v>5029</v>
      </c>
    </row>
    <row r="3062" spans="1:1">
      <c r="A3062" s="151" t="s">
        <v>5030</v>
      </c>
    </row>
    <row r="3063" spans="1:1">
      <c r="A3063" s="151" t="s">
        <v>5031</v>
      </c>
    </row>
    <row r="3064" spans="1:1">
      <c r="A3064" s="151" t="s">
        <v>5032</v>
      </c>
    </row>
    <row r="3065" spans="1:1">
      <c r="A3065" s="151" t="s">
        <v>5033</v>
      </c>
    </row>
    <row r="3066" spans="1:1">
      <c r="A3066" s="151" t="s">
        <v>5034</v>
      </c>
    </row>
    <row r="3067" spans="1:1">
      <c r="A3067" s="151" t="s">
        <v>5035</v>
      </c>
    </row>
    <row r="3068" spans="1:1">
      <c r="A3068" s="151" t="s">
        <v>5036</v>
      </c>
    </row>
    <row r="3069" spans="1:1">
      <c r="A3069" s="151" t="s">
        <v>5037</v>
      </c>
    </row>
    <row r="3070" spans="1:1">
      <c r="A3070" s="151" t="s">
        <v>5038</v>
      </c>
    </row>
    <row r="3071" spans="1:1">
      <c r="A3071" s="151" t="s">
        <v>5039</v>
      </c>
    </row>
    <row r="3072" spans="1:1">
      <c r="A3072" s="151" t="s">
        <v>5040</v>
      </c>
    </row>
    <row r="3073" spans="1:1">
      <c r="A3073" s="151" t="s">
        <v>5041</v>
      </c>
    </row>
    <row r="3074" spans="1:1">
      <c r="A3074" s="151" t="s">
        <v>5042</v>
      </c>
    </row>
    <row r="3075" spans="1:1">
      <c r="A3075" s="151" t="s">
        <v>5043</v>
      </c>
    </row>
    <row r="3076" spans="1:1">
      <c r="A3076" s="151" t="s">
        <v>5044</v>
      </c>
    </row>
    <row r="3077" spans="1:1">
      <c r="A3077" s="151" t="s">
        <v>5045</v>
      </c>
    </row>
    <row r="3078" spans="1:1">
      <c r="A3078" s="151" t="s">
        <v>5046</v>
      </c>
    </row>
    <row r="3079" spans="1:1">
      <c r="A3079" s="151" t="s">
        <v>5047</v>
      </c>
    </row>
    <row r="3080" spans="1:1">
      <c r="A3080" s="151" t="s">
        <v>5048</v>
      </c>
    </row>
    <row r="3081" spans="1:1">
      <c r="A3081" s="151" t="s">
        <v>5049</v>
      </c>
    </row>
    <row r="3082" spans="1:1">
      <c r="A3082" s="151" t="s">
        <v>5050</v>
      </c>
    </row>
    <row r="3083" spans="1:1">
      <c r="A3083" s="151" t="s">
        <v>5051</v>
      </c>
    </row>
    <row r="3084" spans="1:1">
      <c r="A3084" s="151" t="s">
        <v>5052</v>
      </c>
    </row>
    <row r="3085" spans="1:1">
      <c r="A3085" s="151" t="s">
        <v>5053</v>
      </c>
    </row>
    <row r="3086" spans="1:1">
      <c r="A3086" s="151" t="s">
        <v>5054</v>
      </c>
    </row>
    <row r="3087" spans="1:1">
      <c r="A3087" s="151" t="s">
        <v>5055</v>
      </c>
    </row>
    <row r="3088" spans="1:1">
      <c r="A3088" s="151" t="s">
        <v>5056</v>
      </c>
    </row>
    <row r="3089" spans="1:1">
      <c r="A3089" s="151" t="s">
        <v>5057</v>
      </c>
    </row>
    <row r="3090" spans="1:1">
      <c r="A3090" s="151" t="s">
        <v>5058</v>
      </c>
    </row>
    <row r="3091" spans="1:1">
      <c r="A3091" s="151" t="s">
        <v>5059</v>
      </c>
    </row>
    <row r="3092" spans="1:1">
      <c r="A3092" s="151" t="s">
        <v>5060</v>
      </c>
    </row>
    <row r="3093" spans="1:1">
      <c r="A3093" s="151" t="s">
        <v>5061</v>
      </c>
    </row>
    <row r="3094" spans="1:1">
      <c r="A3094" s="151" t="s">
        <v>5062</v>
      </c>
    </row>
    <row r="3095" spans="1:1">
      <c r="A3095" s="151" t="s">
        <v>5063</v>
      </c>
    </row>
    <row r="3096" spans="1:1">
      <c r="A3096" s="151" t="s">
        <v>5064</v>
      </c>
    </row>
    <row r="3097" spans="1:1">
      <c r="A3097" s="151" t="s">
        <v>5065</v>
      </c>
    </row>
    <row r="3098" spans="1:1">
      <c r="A3098" s="151" t="s">
        <v>5066</v>
      </c>
    </row>
    <row r="3099" spans="1:1">
      <c r="A3099" s="151" t="s">
        <v>5067</v>
      </c>
    </row>
    <row r="3100" spans="1:1">
      <c r="A3100" s="151" t="s">
        <v>5068</v>
      </c>
    </row>
    <row r="3101" spans="1:1">
      <c r="A3101" s="151" t="s">
        <v>5069</v>
      </c>
    </row>
    <row r="3102" spans="1:1">
      <c r="A3102" s="151" t="s">
        <v>5070</v>
      </c>
    </row>
    <row r="3103" spans="1:1">
      <c r="A3103" s="151" t="s">
        <v>5071</v>
      </c>
    </row>
    <row r="3104" spans="1:1">
      <c r="A3104" s="151" t="s">
        <v>5072</v>
      </c>
    </row>
    <row r="3105" spans="1:1">
      <c r="A3105" s="151" t="s">
        <v>5073</v>
      </c>
    </row>
    <row r="3106" spans="1:1">
      <c r="A3106" s="151" t="s">
        <v>5074</v>
      </c>
    </row>
    <row r="3107" spans="1:1">
      <c r="A3107" s="151" t="s">
        <v>5075</v>
      </c>
    </row>
    <row r="3108" spans="1:1">
      <c r="A3108" s="151" t="s">
        <v>5076</v>
      </c>
    </row>
    <row r="3109" spans="1:1">
      <c r="A3109" s="151" t="s">
        <v>5077</v>
      </c>
    </row>
    <row r="3110" spans="1:1">
      <c r="A3110" s="151" t="s">
        <v>5078</v>
      </c>
    </row>
    <row r="3111" spans="1:1">
      <c r="A3111" s="151" t="s">
        <v>5079</v>
      </c>
    </row>
    <row r="3112" spans="1:1">
      <c r="A3112" s="151" t="s">
        <v>5080</v>
      </c>
    </row>
    <row r="3113" spans="1:1">
      <c r="A3113" s="151" t="s">
        <v>5081</v>
      </c>
    </row>
    <row r="3114" spans="1:1">
      <c r="A3114" s="151" t="s">
        <v>5082</v>
      </c>
    </row>
    <row r="3115" spans="1:1">
      <c r="A3115" s="151" t="s">
        <v>5083</v>
      </c>
    </row>
    <row r="3116" spans="1:1">
      <c r="A3116" s="151" t="s">
        <v>5084</v>
      </c>
    </row>
    <row r="3117" spans="1:1">
      <c r="A3117" s="151" t="s">
        <v>5085</v>
      </c>
    </row>
    <row r="3118" spans="1:1">
      <c r="A3118" s="151" t="s">
        <v>5086</v>
      </c>
    </row>
    <row r="3119" spans="1:1">
      <c r="A3119" s="151" t="s">
        <v>5087</v>
      </c>
    </row>
    <row r="3120" spans="1:1">
      <c r="A3120" s="151" t="s">
        <v>5088</v>
      </c>
    </row>
    <row r="3121" spans="1:1">
      <c r="A3121" s="151" t="s">
        <v>5089</v>
      </c>
    </row>
    <row r="3122" spans="1:1">
      <c r="A3122" s="151" t="s">
        <v>5090</v>
      </c>
    </row>
    <row r="3123" spans="1:1">
      <c r="A3123" s="151" t="s">
        <v>5091</v>
      </c>
    </row>
    <row r="3124" spans="1:1">
      <c r="A3124" s="151" t="s">
        <v>5092</v>
      </c>
    </row>
    <row r="3125" spans="1:1">
      <c r="A3125" s="151" t="s">
        <v>5093</v>
      </c>
    </row>
    <row r="3126" spans="1:1">
      <c r="A3126" s="151" t="s">
        <v>5094</v>
      </c>
    </row>
    <row r="3127" spans="1:1">
      <c r="A3127" s="151" t="s">
        <v>5095</v>
      </c>
    </row>
    <row r="3128" spans="1:1">
      <c r="A3128" s="151" t="s">
        <v>5096</v>
      </c>
    </row>
    <row r="3129" spans="1:1">
      <c r="A3129" s="151" t="s">
        <v>5097</v>
      </c>
    </row>
    <row r="3130" spans="1:1">
      <c r="A3130" s="151" t="s">
        <v>5098</v>
      </c>
    </row>
    <row r="3131" spans="1:1">
      <c r="A3131" s="151" t="s">
        <v>5099</v>
      </c>
    </row>
    <row r="3132" spans="1:1">
      <c r="A3132" s="151" t="s">
        <v>5100</v>
      </c>
    </row>
    <row r="3133" spans="1:1">
      <c r="A3133" s="151" t="s">
        <v>5101</v>
      </c>
    </row>
    <row r="3134" spans="1:1">
      <c r="A3134" s="151" t="s">
        <v>5102</v>
      </c>
    </row>
    <row r="3135" spans="1:1">
      <c r="A3135" s="151" t="s">
        <v>5103</v>
      </c>
    </row>
    <row r="3136" spans="1:1">
      <c r="A3136" s="151" t="s">
        <v>5104</v>
      </c>
    </row>
    <row r="3137" spans="1:1">
      <c r="A3137" s="151" t="s">
        <v>5105</v>
      </c>
    </row>
    <row r="3138" spans="1:1">
      <c r="A3138" s="151" t="s">
        <v>5106</v>
      </c>
    </row>
    <row r="3139" spans="1:1">
      <c r="A3139" s="151" t="s">
        <v>5107</v>
      </c>
    </row>
    <row r="3140" spans="1:1">
      <c r="A3140" s="151" t="s">
        <v>5108</v>
      </c>
    </row>
    <row r="3141" spans="1:1">
      <c r="A3141" s="151" t="s">
        <v>5109</v>
      </c>
    </row>
    <row r="3142" spans="1:1">
      <c r="A3142" s="151" t="s">
        <v>5110</v>
      </c>
    </row>
    <row r="3143" spans="1:1">
      <c r="A3143" s="151" t="s">
        <v>5111</v>
      </c>
    </row>
    <row r="3144" spans="1:1">
      <c r="A3144" s="151" t="s">
        <v>5112</v>
      </c>
    </row>
    <row r="3145" spans="1:1">
      <c r="A3145" s="151" t="s">
        <v>5113</v>
      </c>
    </row>
    <row r="3146" spans="1:1">
      <c r="A3146" s="151" t="s">
        <v>5114</v>
      </c>
    </row>
    <row r="3147" spans="1:1">
      <c r="A3147" s="151" t="s">
        <v>5115</v>
      </c>
    </row>
    <row r="3148" spans="1:1">
      <c r="A3148" s="151" t="s">
        <v>5116</v>
      </c>
    </row>
    <row r="3149" spans="1:1">
      <c r="A3149" s="151" t="s">
        <v>5117</v>
      </c>
    </row>
    <row r="3150" spans="1:1">
      <c r="A3150" s="151" t="s">
        <v>5118</v>
      </c>
    </row>
    <row r="3151" spans="1:1">
      <c r="A3151" s="151" t="s">
        <v>5119</v>
      </c>
    </row>
    <row r="3152" spans="1:1">
      <c r="A3152" s="151" t="s">
        <v>5120</v>
      </c>
    </row>
    <row r="3153" spans="1:1">
      <c r="A3153" s="151" t="s">
        <v>5121</v>
      </c>
    </row>
    <row r="3154" spans="1:1">
      <c r="A3154" s="151" t="s">
        <v>5122</v>
      </c>
    </row>
    <row r="3155" spans="1:1">
      <c r="A3155" s="151" t="s">
        <v>5123</v>
      </c>
    </row>
    <row r="3156" spans="1:1">
      <c r="A3156" s="151" t="s">
        <v>5124</v>
      </c>
    </row>
    <row r="3157" spans="1:1">
      <c r="A3157" s="151" t="s">
        <v>5125</v>
      </c>
    </row>
    <row r="3158" spans="1:1">
      <c r="A3158" s="151" t="s">
        <v>5126</v>
      </c>
    </row>
    <row r="3159" spans="1:1">
      <c r="A3159" s="151" t="s">
        <v>5127</v>
      </c>
    </row>
    <row r="3160" spans="1:1">
      <c r="A3160" s="151" t="s">
        <v>5128</v>
      </c>
    </row>
    <row r="3161" spans="1:1">
      <c r="A3161" s="151" t="s">
        <v>5129</v>
      </c>
    </row>
    <row r="3162" spans="1:1">
      <c r="A3162" s="151" t="s">
        <v>5130</v>
      </c>
    </row>
    <row r="3163" spans="1:1">
      <c r="A3163" s="151" t="s">
        <v>5131</v>
      </c>
    </row>
    <row r="3164" spans="1:1">
      <c r="A3164" s="151" t="s">
        <v>5132</v>
      </c>
    </row>
    <row r="3165" spans="1:1">
      <c r="A3165" s="151" t="s">
        <v>5133</v>
      </c>
    </row>
    <row r="3166" spans="1:1">
      <c r="A3166" s="151" t="s">
        <v>5134</v>
      </c>
    </row>
    <row r="3167" spans="1:1">
      <c r="A3167" s="151" t="s">
        <v>5135</v>
      </c>
    </row>
    <row r="3168" spans="1:1">
      <c r="A3168" s="151" t="s">
        <v>5136</v>
      </c>
    </row>
    <row r="3169" spans="1:1">
      <c r="A3169" s="151" t="s">
        <v>5137</v>
      </c>
    </row>
    <row r="3170" spans="1:1">
      <c r="A3170" s="151" t="s">
        <v>5138</v>
      </c>
    </row>
    <row r="3171" spans="1:1">
      <c r="A3171" s="151" t="s">
        <v>5139</v>
      </c>
    </row>
    <row r="3172" spans="1:1">
      <c r="A3172" s="151" t="s">
        <v>5140</v>
      </c>
    </row>
    <row r="3173" spans="1:1">
      <c r="A3173" s="151" t="s">
        <v>5141</v>
      </c>
    </row>
    <row r="3174" spans="1:1">
      <c r="A3174" s="151" t="s">
        <v>5142</v>
      </c>
    </row>
    <row r="3175" spans="1:1">
      <c r="A3175" s="151" t="s">
        <v>5143</v>
      </c>
    </row>
    <row r="3176" spans="1:1">
      <c r="A3176" s="151" t="s">
        <v>5144</v>
      </c>
    </row>
    <row r="3177" spans="1:1">
      <c r="A3177" s="151" t="s">
        <v>5145</v>
      </c>
    </row>
    <row r="3178" spans="1:1">
      <c r="A3178" s="151" t="s">
        <v>5146</v>
      </c>
    </row>
    <row r="3179" spans="1:1">
      <c r="A3179" s="151" t="s">
        <v>5147</v>
      </c>
    </row>
    <row r="3180" spans="1:1">
      <c r="A3180" s="151" t="s">
        <v>5148</v>
      </c>
    </row>
    <row r="3181" spans="1:1">
      <c r="A3181" s="151" t="s">
        <v>5149</v>
      </c>
    </row>
    <row r="3182" spans="1:1">
      <c r="A3182" s="151" t="s">
        <v>5150</v>
      </c>
    </row>
    <row r="3183" spans="1:1">
      <c r="A3183" s="151" t="s">
        <v>5151</v>
      </c>
    </row>
    <row r="3184" spans="1:1">
      <c r="A3184" s="151" t="s">
        <v>5152</v>
      </c>
    </row>
    <row r="3185" spans="1:1">
      <c r="A3185" s="151" t="s">
        <v>5153</v>
      </c>
    </row>
    <row r="3186" spans="1:1">
      <c r="A3186" s="151" t="s">
        <v>5154</v>
      </c>
    </row>
    <row r="3187" spans="1:1">
      <c r="A3187" s="151" t="s">
        <v>5155</v>
      </c>
    </row>
    <row r="3188" spans="1:1">
      <c r="A3188" s="151" t="s">
        <v>5156</v>
      </c>
    </row>
    <row r="3189" spans="1:1">
      <c r="A3189" s="151" t="s">
        <v>5157</v>
      </c>
    </row>
    <row r="3190" spans="1:1">
      <c r="A3190" s="151" t="s">
        <v>5158</v>
      </c>
    </row>
    <row r="3191" spans="1:1">
      <c r="A3191" s="151" t="s">
        <v>5159</v>
      </c>
    </row>
    <row r="3192" spans="1:1">
      <c r="A3192" s="151" t="s">
        <v>5160</v>
      </c>
    </row>
    <row r="3193" spans="1:1">
      <c r="A3193" s="151" t="s">
        <v>5161</v>
      </c>
    </row>
    <row r="3194" spans="1:1">
      <c r="A3194" s="151" t="s">
        <v>5162</v>
      </c>
    </row>
    <row r="3195" spans="1:1">
      <c r="A3195" s="151" t="s">
        <v>5163</v>
      </c>
    </row>
    <row r="3196" spans="1:1">
      <c r="A3196" s="151" t="s">
        <v>5164</v>
      </c>
    </row>
    <row r="3197" spans="1:1">
      <c r="A3197" s="151" t="s">
        <v>5165</v>
      </c>
    </row>
    <row r="3198" spans="1:1">
      <c r="A3198" s="151" t="s">
        <v>5166</v>
      </c>
    </row>
    <row r="3199" spans="1:1">
      <c r="A3199" s="151" t="s">
        <v>5167</v>
      </c>
    </row>
    <row r="3200" spans="1:1">
      <c r="A3200" s="151" t="s">
        <v>5168</v>
      </c>
    </row>
    <row r="3201" spans="1:1">
      <c r="A3201" s="151" t="s">
        <v>5169</v>
      </c>
    </row>
    <row r="3202" spans="1:1">
      <c r="A3202" s="151" t="s">
        <v>5170</v>
      </c>
    </row>
    <row r="3203" spans="1:1">
      <c r="A3203" s="151" t="s">
        <v>5171</v>
      </c>
    </row>
    <row r="3204" spans="1:1">
      <c r="A3204" s="151" t="s">
        <v>5172</v>
      </c>
    </row>
    <row r="3205" spans="1:1">
      <c r="A3205" s="151" t="s">
        <v>5173</v>
      </c>
    </row>
    <row r="3206" spans="1:1">
      <c r="A3206" s="151" t="s">
        <v>5174</v>
      </c>
    </row>
    <row r="3207" spans="1:1">
      <c r="A3207" s="151" t="s">
        <v>5175</v>
      </c>
    </row>
    <row r="3208" spans="1:1">
      <c r="A3208" s="151" t="s">
        <v>5176</v>
      </c>
    </row>
    <row r="3209" spans="1:1">
      <c r="A3209" s="151" t="s">
        <v>5177</v>
      </c>
    </row>
    <row r="3210" spans="1:1">
      <c r="A3210" s="151" t="s">
        <v>5178</v>
      </c>
    </row>
    <row r="3211" spans="1:1">
      <c r="A3211" s="151" t="s">
        <v>5179</v>
      </c>
    </row>
    <row r="3212" spans="1:1">
      <c r="A3212" s="151" t="s">
        <v>5180</v>
      </c>
    </row>
    <row r="3213" spans="1:1">
      <c r="A3213" s="151" t="s">
        <v>5181</v>
      </c>
    </row>
    <row r="3214" spans="1:1">
      <c r="A3214" s="151" t="s">
        <v>5182</v>
      </c>
    </row>
    <row r="3215" spans="1:1">
      <c r="A3215" s="151" t="s">
        <v>5183</v>
      </c>
    </row>
    <row r="3216" spans="1:1">
      <c r="A3216" s="151" t="s">
        <v>5184</v>
      </c>
    </row>
    <row r="3217" spans="1:1">
      <c r="A3217" s="151" t="s">
        <v>5185</v>
      </c>
    </row>
    <row r="3218" spans="1:1">
      <c r="A3218" s="151" t="s">
        <v>5186</v>
      </c>
    </row>
    <row r="3219" spans="1:1">
      <c r="A3219" s="151" t="s">
        <v>5187</v>
      </c>
    </row>
    <row r="3220" spans="1:1">
      <c r="A3220" s="151" t="s">
        <v>5188</v>
      </c>
    </row>
    <row r="3221" spans="1:1">
      <c r="A3221" s="151" t="s">
        <v>5189</v>
      </c>
    </row>
    <row r="3222" spans="1:1">
      <c r="A3222" s="151" t="s">
        <v>5190</v>
      </c>
    </row>
    <row r="3223" spans="1:1">
      <c r="A3223" s="151" t="s">
        <v>5191</v>
      </c>
    </row>
    <row r="3224" spans="1:1">
      <c r="A3224" s="151" t="s">
        <v>5192</v>
      </c>
    </row>
    <row r="3225" spans="1:1">
      <c r="A3225" s="151" t="s">
        <v>5193</v>
      </c>
    </row>
    <row r="3226" spans="1:1">
      <c r="A3226" s="151" t="s">
        <v>5194</v>
      </c>
    </row>
    <row r="3227" spans="1:1">
      <c r="A3227" s="151" t="s">
        <v>5195</v>
      </c>
    </row>
    <row r="3228" spans="1:1">
      <c r="A3228" s="151" t="s">
        <v>5196</v>
      </c>
    </row>
    <row r="3229" spans="1:1">
      <c r="A3229" s="151" t="s">
        <v>5197</v>
      </c>
    </row>
    <row r="3230" spans="1:1">
      <c r="A3230" s="151" t="s">
        <v>5198</v>
      </c>
    </row>
    <row r="3231" spans="1:1">
      <c r="A3231" s="151" t="s">
        <v>5199</v>
      </c>
    </row>
    <row r="3232" spans="1:1">
      <c r="A3232" s="151" t="s">
        <v>5200</v>
      </c>
    </row>
    <row r="3233" spans="1:1">
      <c r="A3233" s="151" t="s">
        <v>5201</v>
      </c>
    </row>
    <row r="3234" spans="1:1">
      <c r="A3234" s="151" t="s">
        <v>5202</v>
      </c>
    </row>
    <row r="3235" spans="1:1">
      <c r="A3235" s="151" t="s">
        <v>5203</v>
      </c>
    </row>
    <row r="3236" spans="1:1">
      <c r="A3236" s="151" t="s">
        <v>5204</v>
      </c>
    </row>
    <row r="3237" spans="1:1">
      <c r="A3237" s="151" t="s">
        <v>5205</v>
      </c>
    </row>
    <row r="3238" spans="1:1">
      <c r="A3238" s="151" t="s">
        <v>5206</v>
      </c>
    </row>
    <row r="3239" spans="1:1">
      <c r="A3239" s="151" t="s">
        <v>5207</v>
      </c>
    </row>
    <row r="3240" spans="1:1">
      <c r="A3240" s="151" t="s">
        <v>5208</v>
      </c>
    </row>
    <row r="3241" spans="1:1">
      <c r="A3241" s="151" t="s">
        <v>5209</v>
      </c>
    </row>
    <row r="3242" spans="1:1">
      <c r="A3242" s="151" t="s">
        <v>5210</v>
      </c>
    </row>
    <row r="3243" spans="1:1">
      <c r="A3243" s="151" t="s">
        <v>5211</v>
      </c>
    </row>
    <row r="3244" spans="1:1">
      <c r="A3244" s="151" t="s">
        <v>5212</v>
      </c>
    </row>
    <row r="3245" spans="1:1">
      <c r="A3245" s="151" t="s">
        <v>5213</v>
      </c>
    </row>
    <row r="3246" spans="1:1">
      <c r="A3246" s="151" t="s">
        <v>5214</v>
      </c>
    </row>
    <row r="3247" spans="1:1">
      <c r="A3247" s="151" t="s">
        <v>5215</v>
      </c>
    </row>
    <row r="3248" spans="1:1">
      <c r="A3248" s="151" t="s">
        <v>5216</v>
      </c>
    </row>
    <row r="3249" spans="1:1">
      <c r="A3249" s="151" t="s">
        <v>5217</v>
      </c>
    </row>
    <row r="3250" spans="1:1">
      <c r="A3250" s="151" t="s">
        <v>5218</v>
      </c>
    </row>
    <row r="3251" spans="1:1">
      <c r="A3251" s="151" t="s">
        <v>5219</v>
      </c>
    </row>
    <row r="3252" spans="1:1">
      <c r="A3252" s="151" t="s">
        <v>5220</v>
      </c>
    </row>
    <row r="3253" spans="1:1">
      <c r="A3253" s="151" t="s">
        <v>5221</v>
      </c>
    </row>
    <row r="3254" spans="1:1">
      <c r="A3254" s="151" t="s">
        <v>5222</v>
      </c>
    </row>
    <row r="3255" spans="1:1">
      <c r="A3255" s="151" t="s">
        <v>5223</v>
      </c>
    </row>
    <row r="3256" spans="1:1">
      <c r="A3256" s="151" t="s">
        <v>5224</v>
      </c>
    </row>
    <row r="3257" spans="1:1">
      <c r="A3257" s="151" t="s">
        <v>5225</v>
      </c>
    </row>
    <row r="3258" spans="1:1">
      <c r="A3258" s="151" t="s">
        <v>5226</v>
      </c>
    </row>
    <row r="3259" spans="1:1">
      <c r="A3259" s="151" t="s">
        <v>5227</v>
      </c>
    </row>
    <row r="3260" spans="1:1">
      <c r="A3260" s="151" t="s">
        <v>5228</v>
      </c>
    </row>
    <row r="3261" spans="1:1">
      <c r="A3261" s="151" t="s">
        <v>5229</v>
      </c>
    </row>
    <row r="3262" spans="1:1">
      <c r="A3262" s="151" t="s">
        <v>5230</v>
      </c>
    </row>
    <row r="3263" spans="1:1">
      <c r="A3263" s="151" t="s">
        <v>5231</v>
      </c>
    </row>
    <row r="3264" spans="1:1">
      <c r="A3264" s="151" t="s">
        <v>5232</v>
      </c>
    </row>
    <row r="3265" spans="1:1">
      <c r="A3265" s="151" t="s">
        <v>5233</v>
      </c>
    </row>
    <row r="3266" spans="1:1">
      <c r="A3266" s="151" t="s">
        <v>5234</v>
      </c>
    </row>
    <row r="3267" spans="1:1">
      <c r="A3267" s="151" t="s">
        <v>5235</v>
      </c>
    </row>
    <row r="3268" spans="1:1">
      <c r="A3268" s="151" t="s">
        <v>5236</v>
      </c>
    </row>
    <row r="3269" spans="1:1">
      <c r="A3269" s="151" t="s">
        <v>5237</v>
      </c>
    </row>
    <row r="3270" spans="1:1">
      <c r="A3270" s="151" t="s">
        <v>5238</v>
      </c>
    </row>
    <row r="3271" spans="1:1">
      <c r="A3271" s="151" t="s">
        <v>5239</v>
      </c>
    </row>
    <row r="3272" spans="1:1">
      <c r="A3272" s="151" t="s">
        <v>5240</v>
      </c>
    </row>
    <row r="3273" spans="1:1">
      <c r="A3273" s="151" t="s">
        <v>5241</v>
      </c>
    </row>
    <row r="3274" spans="1:1">
      <c r="A3274" s="151" t="s">
        <v>5242</v>
      </c>
    </row>
    <row r="3275" spans="1:1">
      <c r="A3275" s="151" t="s">
        <v>5243</v>
      </c>
    </row>
    <row r="3276" spans="1:1">
      <c r="A3276" s="151" t="s">
        <v>5244</v>
      </c>
    </row>
    <row r="3277" spans="1:1">
      <c r="A3277" s="151" t="s">
        <v>5245</v>
      </c>
    </row>
    <row r="3278" spans="1:1">
      <c r="A3278" s="151" t="s">
        <v>5246</v>
      </c>
    </row>
    <row r="3279" spans="1:1">
      <c r="A3279" s="151" t="s">
        <v>5247</v>
      </c>
    </row>
    <row r="3280" spans="1:1">
      <c r="A3280" s="151" t="s">
        <v>5248</v>
      </c>
    </row>
    <row r="3281" spans="1:1">
      <c r="A3281" s="151" t="s">
        <v>5249</v>
      </c>
    </row>
    <row r="3282" spans="1:1">
      <c r="A3282" s="151" t="s">
        <v>5250</v>
      </c>
    </row>
    <row r="3283" spans="1:1">
      <c r="A3283" s="151" t="s">
        <v>5251</v>
      </c>
    </row>
    <row r="3284" spans="1:1">
      <c r="A3284" s="151" t="s">
        <v>5252</v>
      </c>
    </row>
    <row r="3285" spans="1:1">
      <c r="A3285" s="151" t="s">
        <v>5253</v>
      </c>
    </row>
    <row r="3286" spans="1:1">
      <c r="A3286" s="151" t="s">
        <v>5254</v>
      </c>
    </row>
    <row r="3287" spans="1:1">
      <c r="A3287" s="151" t="s">
        <v>5255</v>
      </c>
    </row>
    <row r="3288" spans="1:1">
      <c r="A3288" s="151" t="s">
        <v>5256</v>
      </c>
    </row>
    <row r="3289" spans="1:1">
      <c r="A3289" s="151" t="s">
        <v>5257</v>
      </c>
    </row>
    <row r="3290" spans="1:1">
      <c r="A3290" s="151" t="s">
        <v>5258</v>
      </c>
    </row>
    <row r="3291" spans="1:1">
      <c r="A3291" s="151" t="s">
        <v>5259</v>
      </c>
    </row>
    <row r="3292" spans="1:1">
      <c r="A3292" s="151" t="s">
        <v>5260</v>
      </c>
    </row>
    <row r="3293" spans="1:1">
      <c r="A3293" s="151" t="s">
        <v>5261</v>
      </c>
    </row>
    <row r="3294" spans="1:1">
      <c r="A3294" s="151" t="s">
        <v>5262</v>
      </c>
    </row>
    <row r="3295" spans="1:1">
      <c r="A3295" s="151" t="s">
        <v>5263</v>
      </c>
    </row>
    <row r="3296" spans="1:1">
      <c r="A3296" s="151" t="s">
        <v>5264</v>
      </c>
    </row>
    <row r="3297" spans="1:1">
      <c r="A3297" s="151" t="s">
        <v>5265</v>
      </c>
    </row>
    <row r="3298" spans="1:1">
      <c r="A3298" s="151" t="s">
        <v>5266</v>
      </c>
    </row>
    <row r="3299" spans="1:1">
      <c r="A3299" s="151" t="s">
        <v>5267</v>
      </c>
    </row>
    <row r="3300" spans="1:1">
      <c r="A3300" s="151" t="s">
        <v>5268</v>
      </c>
    </row>
    <row r="3301" spans="1:1">
      <c r="A3301" s="151" t="s">
        <v>5269</v>
      </c>
    </row>
    <row r="3302" spans="1:1">
      <c r="A3302" s="151" t="s">
        <v>5270</v>
      </c>
    </row>
    <row r="3303" spans="1:1">
      <c r="A3303" s="151" t="s">
        <v>5271</v>
      </c>
    </row>
    <row r="3304" spans="1:1">
      <c r="A3304" s="151" t="s">
        <v>5272</v>
      </c>
    </row>
    <row r="3305" spans="1:1">
      <c r="A3305" s="151" t="s">
        <v>5273</v>
      </c>
    </row>
    <row r="3306" spans="1:1">
      <c r="A3306" s="151" t="s">
        <v>5274</v>
      </c>
    </row>
    <row r="3307" spans="1:1">
      <c r="A3307" s="151" t="s">
        <v>5275</v>
      </c>
    </row>
    <row r="3308" spans="1:1">
      <c r="A3308" s="151" t="s">
        <v>5276</v>
      </c>
    </row>
    <row r="3309" spans="1:1">
      <c r="A3309" s="151" t="s">
        <v>5277</v>
      </c>
    </row>
    <row r="3310" spans="1:1">
      <c r="A3310" s="151" t="s">
        <v>5278</v>
      </c>
    </row>
    <row r="3311" spans="1:1">
      <c r="A3311" s="151" t="s">
        <v>5279</v>
      </c>
    </row>
    <row r="3312" spans="1:1">
      <c r="A3312" s="151" t="s">
        <v>5280</v>
      </c>
    </row>
    <row r="3313" spans="1:1">
      <c r="A3313" s="151" t="s">
        <v>5281</v>
      </c>
    </row>
    <row r="3314" spans="1:1">
      <c r="A3314" s="151" t="s">
        <v>5282</v>
      </c>
    </row>
    <row r="3315" spans="1:1">
      <c r="A3315" s="151" t="s">
        <v>5283</v>
      </c>
    </row>
    <row r="3316" spans="1:1">
      <c r="A3316" s="151" t="s">
        <v>5284</v>
      </c>
    </row>
    <row r="3317" spans="1:1">
      <c r="A3317" s="151" t="s">
        <v>5285</v>
      </c>
    </row>
    <row r="3318" spans="1:1">
      <c r="A3318" s="151" t="s">
        <v>5286</v>
      </c>
    </row>
    <row r="3319" spans="1:1">
      <c r="A3319" s="151" t="s">
        <v>5287</v>
      </c>
    </row>
    <row r="3320" spans="1:1">
      <c r="A3320" s="151" t="s">
        <v>5288</v>
      </c>
    </row>
    <row r="3321" spans="1:1">
      <c r="A3321" s="151" t="s">
        <v>5289</v>
      </c>
    </row>
    <row r="3322" spans="1:1">
      <c r="A3322" s="151" t="s">
        <v>5290</v>
      </c>
    </row>
    <row r="3323" spans="1:1">
      <c r="A3323" s="151" t="s">
        <v>5291</v>
      </c>
    </row>
    <row r="3324" spans="1:1">
      <c r="A3324" s="151" t="s">
        <v>5292</v>
      </c>
    </row>
    <row r="3325" spans="1:1">
      <c r="A3325" s="151" t="s">
        <v>5293</v>
      </c>
    </row>
    <row r="3326" spans="1:1">
      <c r="A3326" s="151" t="s">
        <v>5294</v>
      </c>
    </row>
    <row r="3327" spans="1:1">
      <c r="A3327" s="151" t="s">
        <v>5295</v>
      </c>
    </row>
    <row r="3328" spans="1:1">
      <c r="A3328" s="151" t="s">
        <v>5296</v>
      </c>
    </row>
    <row r="3329" spans="1:1">
      <c r="A3329" s="151" t="s">
        <v>5297</v>
      </c>
    </row>
    <row r="3330" spans="1:1">
      <c r="A3330" s="151" t="s">
        <v>5298</v>
      </c>
    </row>
    <row r="3331" spans="1:1">
      <c r="A3331" s="151" t="s">
        <v>5299</v>
      </c>
    </row>
    <row r="3332" spans="1:1">
      <c r="A3332" s="151" t="s">
        <v>5300</v>
      </c>
    </row>
    <row r="3333" spans="1:1">
      <c r="A3333" s="151" t="s">
        <v>5301</v>
      </c>
    </row>
    <row r="3334" spans="1:1">
      <c r="A3334" s="151" t="s">
        <v>5302</v>
      </c>
    </row>
    <row r="3335" spans="1:1">
      <c r="A3335" s="151" t="s">
        <v>5303</v>
      </c>
    </row>
    <row r="3336" spans="1:1">
      <c r="A3336" s="151" t="s">
        <v>5304</v>
      </c>
    </row>
    <row r="3337" spans="1:1">
      <c r="A3337" s="151" t="s">
        <v>5305</v>
      </c>
    </row>
    <row r="3338" spans="1:1">
      <c r="A3338" s="151" t="s">
        <v>5306</v>
      </c>
    </row>
    <row r="3339" spans="1:1">
      <c r="A3339" s="151" t="s">
        <v>5307</v>
      </c>
    </row>
    <row r="3340" spans="1:1">
      <c r="A3340" s="151" t="s">
        <v>5308</v>
      </c>
    </row>
    <row r="3341" spans="1:1">
      <c r="A3341" s="151" t="s">
        <v>5309</v>
      </c>
    </row>
    <row r="3342" spans="1:1">
      <c r="A3342" s="151" t="s">
        <v>5310</v>
      </c>
    </row>
    <row r="3343" spans="1:1">
      <c r="A3343" s="151" t="s">
        <v>5311</v>
      </c>
    </row>
    <row r="3344" spans="1:1">
      <c r="A3344" s="151" t="s">
        <v>5312</v>
      </c>
    </row>
    <row r="3345" spans="1:1">
      <c r="A3345" s="151" t="s">
        <v>5313</v>
      </c>
    </row>
    <row r="3346" spans="1:1">
      <c r="A3346" s="151" t="s">
        <v>5314</v>
      </c>
    </row>
    <row r="3347" spans="1:1">
      <c r="A3347" s="151" t="s">
        <v>5315</v>
      </c>
    </row>
    <row r="3348" spans="1:1">
      <c r="A3348" s="151" t="s">
        <v>5316</v>
      </c>
    </row>
    <row r="3349" spans="1:1">
      <c r="A3349" s="151" t="s">
        <v>5317</v>
      </c>
    </row>
    <row r="3350" spans="1:1">
      <c r="A3350" s="151" t="s">
        <v>5318</v>
      </c>
    </row>
    <row r="3351" spans="1:1">
      <c r="A3351" s="151" t="s">
        <v>5319</v>
      </c>
    </row>
    <row r="3352" spans="1:1">
      <c r="A3352" s="151" t="s">
        <v>5320</v>
      </c>
    </row>
    <row r="3353" spans="1:1">
      <c r="A3353" s="151" t="s">
        <v>5321</v>
      </c>
    </row>
    <row r="3354" spans="1:1">
      <c r="A3354" s="151" t="s">
        <v>5322</v>
      </c>
    </row>
    <row r="3355" spans="1:1">
      <c r="A3355" s="151" t="s">
        <v>5323</v>
      </c>
    </row>
    <row r="3356" spans="1:1">
      <c r="A3356" s="151" t="s">
        <v>5324</v>
      </c>
    </row>
    <row r="3357" spans="1:1">
      <c r="A3357" s="151" t="s">
        <v>5325</v>
      </c>
    </row>
    <row r="3358" spans="1:1">
      <c r="A3358" s="151" t="s">
        <v>5326</v>
      </c>
    </row>
    <row r="3359" spans="1:1">
      <c r="A3359" s="151" t="s">
        <v>5327</v>
      </c>
    </row>
    <row r="3360" spans="1:1">
      <c r="A3360" s="151" t="s">
        <v>5328</v>
      </c>
    </row>
    <row r="3361" spans="1:1">
      <c r="A3361" s="151" t="s">
        <v>5329</v>
      </c>
    </row>
    <row r="3362" spans="1:1">
      <c r="A3362" s="151" t="s">
        <v>5330</v>
      </c>
    </row>
    <row r="3363" spans="1:1">
      <c r="A3363" s="151" t="s">
        <v>5331</v>
      </c>
    </row>
    <row r="3364" spans="1:1">
      <c r="A3364" s="151" t="s">
        <v>5332</v>
      </c>
    </row>
    <row r="3365" spans="1:1">
      <c r="A3365" s="151" t="s">
        <v>5333</v>
      </c>
    </row>
    <row r="3366" spans="1:1">
      <c r="A3366" s="151" t="s">
        <v>5334</v>
      </c>
    </row>
    <row r="3367" spans="1:1">
      <c r="A3367" s="151" t="s">
        <v>5335</v>
      </c>
    </row>
    <row r="3368" spans="1:1">
      <c r="A3368" s="151" t="s">
        <v>5336</v>
      </c>
    </row>
    <row r="3369" spans="1:1">
      <c r="A3369" s="151" t="s">
        <v>5337</v>
      </c>
    </row>
    <row r="3370" spans="1:1">
      <c r="A3370" s="151" t="s">
        <v>5338</v>
      </c>
    </row>
    <row r="3371" spans="1:1">
      <c r="A3371" s="151" t="s">
        <v>5339</v>
      </c>
    </row>
    <row r="3372" spans="1:1">
      <c r="A3372" s="151" t="s">
        <v>5340</v>
      </c>
    </row>
    <row r="3373" spans="1:1">
      <c r="A3373" s="151" t="s">
        <v>5341</v>
      </c>
    </row>
    <row r="3374" spans="1:1">
      <c r="A3374" s="151" t="s">
        <v>5342</v>
      </c>
    </row>
    <row r="3375" spans="1:1">
      <c r="A3375" s="151" t="s">
        <v>5343</v>
      </c>
    </row>
    <row r="3376" spans="1:1">
      <c r="A3376" s="151" t="s">
        <v>5344</v>
      </c>
    </row>
    <row r="3377" spans="1:1">
      <c r="A3377" s="151" t="s">
        <v>5345</v>
      </c>
    </row>
    <row r="3378" spans="1:1">
      <c r="A3378" s="151" t="s">
        <v>5346</v>
      </c>
    </row>
    <row r="3379" spans="1:1">
      <c r="A3379" s="151" t="s">
        <v>5347</v>
      </c>
    </row>
    <row r="3380" spans="1:1">
      <c r="A3380" s="151" t="s">
        <v>5348</v>
      </c>
    </row>
    <row r="3381" spans="1:1">
      <c r="A3381" s="151" t="s">
        <v>5349</v>
      </c>
    </row>
    <row r="3382" spans="1:1">
      <c r="A3382" s="151" t="s">
        <v>5350</v>
      </c>
    </row>
    <row r="3383" spans="1:1">
      <c r="A3383" s="151" t="s">
        <v>5351</v>
      </c>
    </row>
    <row r="3384" spans="1:1">
      <c r="A3384" s="151" t="s">
        <v>5352</v>
      </c>
    </row>
    <row r="3385" spans="1:1">
      <c r="A3385" s="151" t="s">
        <v>5353</v>
      </c>
    </row>
    <row r="3386" spans="1:1">
      <c r="A3386" s="151" t="s">
        <v>5354</v>
      </c>
    </row>
    <row r="3387" spans="1:1">
      <c r="A3387" s="151" t="s">
        <v>5355</v>
      </c>
    </row>
    <row r="3388" spans="1:1">
      <c r="A3388" s="151" t="s">
        <v>5356</v>
      </c>
    </row>
    <row r="3389" spans="1:1">
      <c r="A3389" s="151" t="s">
        <v>5357</v>
      </c>
    </row>
    <row r="3390" spans="1:1">
      <c r="A3390" s="151" t="s">
        <v>5358</v>
      </c>
    </row>
    <row r="3391" spans="1:1">
      <c r="A3391" s="151" t="s">
        <v>5359</v>
      </c>
    </row>
    <row r="3392" spans="1:1">
      <c r="A3392" s="151" t="s">
        <v>5360</v>
      </c>
    </row>
    <row r="3393" spans="1:1">
      <c r="A3393" s="151" t="s">
        <v>5361</v>
      </c>
    </row>
    <row r="3394" spans="1:1">
      <c r="A3394" s="151" t="s">
        <v>5362</v>
      </c>
    </row>
    <row r="3395" spans="1:1">
      <c r="A3395" s="151" t="s">
        <v>5363</v>
      </c>
    </row>
    <row r="3396" spans="1:1">
      <c r="A3396" s="151" t="s">
        <v>5364</v>
      </c>
    </row>
    <row r="3397" spans="1:1">
      <c r="A3397" s="151" t="s">
        <v>5365</v>
      </c>
    </row>
    <row r="3398" spans="1:1">
      <c r="A3398" s="151" t="s">
        <v>5366</v>
      </c>
    </row>
    <row r="3399" spans="1:1">
      <c r="A3399" s="151" t="s">
        <v>5367</v>
      </c>
    </row>
    <row r="3400" spans="1:1">
      <c r="A3400" s="151" t="s">
        <v>5368</v>
      </c>
    </row>
    <row r="3401" spans="1:1">
      <c r="A3401" s="151" t="s">
        <v>5369</v>
      </c>
    </row>
    <row r="3402" spans="1:1">
      <c r="A3402" s="151" t="s">
        <v>5370</v>
      </c>
    </row>
    <row r="3403" spans="1:1">
      <c r="A3403" s="151" t="s">
        <v>5371</v>
      </c>
    </row>
    <row r="3404" spans="1:1">
      <c r="A3404" s="151" t="s">
        <v>5372</v>
      </c>
    </row>
    <row r="3405" spans="1:1">
      <c r="A3405" s="151" t="s">
        <v>5373</v>
      </c>
    </row>
    <row r="3406" spans="1:1">
      <c r="A3406" s="151" t="s">
        <v>5374</v>
      </c>
    </row>
    <row r="3407" spans="1:1">
      <c r="A3407" s="151" t="s">
        <v>5375</v>
      </c>
    </row>
    <row r="3408" spans="1:1">
      <c r="A3408" s="151" t="s">
        <v>5376</v>
      </c>
    </row>
    <row r="3409" spans="1:1">
      <c r="A3409" s="151" t="s">
        <v>5377</v>
      </c>
    </row>
    <row r="3410" spans="1:1">
      <c r="A3410" s="151" t="s">
        <v>5378</v>
      </c>
    </row>
    <row r="3411" spans="1:1">
      <c r="A3411" s="151" t="s">
        <v>5379</v>
      </c>
    </row>
    <row r="3412" spans="1:1">
      <c r="A3412" s="151" t="s">
        <v>5380</v>
      </c>
    </row>
    <row r="3413" spans="1:1">
      <c r="A3413" s="151" t="s">
        <v>5381</v>
      </c>
    </row>
    <row r="3414" spans="1:1">
      <c r="A3414" s="151" t="s">
        <v>5382</v>
      </c>
    </row>
    <row r="3415" spans="1:1">
      <c r="A3415" s="151" t="s">
        <v>5383</v>
      </c>
    </row>
    <row r="3416" spans="1:1">
      <c r="A3416" s="151" t="s">
        <v>5384</v>
      </c>
    </row>
    <row r="3417" spans="1:1">
      <c r="A3417" s="151" t="s">
        <v>5385</v>
      </c>
    </row>
    <row r="3418" spans="1:1">
      <c r="A3418" s="151" t="s">
        <v>5386</v>
      </c>
    </row>
    <row r="3419" spans="1:1">
      <c r="A3419" s="151" t="s">
        <v>5387</v>
      </c>
    </row>
    <row r="3420" spans="1:1">
      <c r="A3420" s="151" t="s">
        <v>5388</v>
      </c>
    </row>
    <row r="3421" spans="1:1">
      <c r="A3421" s="151" t="s">
        <v>5389</v>
      </c>
    </row>
    <row r="3422" spans="1:1">
      <c r="A3422" s="151" t="s">
        <v>5390</v>
      </c>
    </row>
    <row r="3423" spans="1:1">
      <c r="A3423" s="151" t="s">
        <v>5391</v>
      </c>
    </row>
    <row r="3424" spans="1:1">
      <c r="A3424" s="151" t="s">
        <v>5392</v>
      </c>
    </row>
    <row r="3425" spans="1:1">
      <c r="A3425" s="151" t="s">
        <v>5393</v>
      </c>
    </row>
    <row r="3426" spans="1:1">
      <c r="A3426" s="151" t="s">
        <v>5394</v>
      </c>
    </row>
    <row r="3427" spans="1:1">
      <c r="A3427" s="151" t="s">
        <v>5395</v>
      </c>
    </row>
    <row r="3428" spans="1:1">
      <c r="A3428" s="151" t="s">
        <v>5396</v>
      </c>
    </row>
    <row r="3429" spans="1:1">
      <c r="A3429" s="151" t="s">
        <v>5397</v>
      </c>
    </row>
    <row r="3430" spans="1:1">
      <c r="A3430" s="151" t="s">
        <v>5398</v>
      </c>
    </row>
    <row r="3431" spans="1:1">
      <c r="A3431" s="151" t="s">
        <v>5399</v>
      </c>
    </row>
    <row r="3432" spans="1:1">
      <c r="A3432" s="151" t="s">
        <v>5400</v>
      </c>
    </row>
    <row r="3433" spans="1:1">
      <c r="A3433" s="151" t="s">
        <v>5401</v>
      </c>
    </row>
    <row r="3434" spans="1:1">
      <c r="A3434" s="151" t="s">
        <v>5402</v>
      </c>
    </row>
    <row r="3435" spans="1:1">
      <c r="A3435" s="151" t="s">
        <v>5403</v>
      </c>
    </row>
    <row r="3436" spans="1:1">
      <c r="A3436" s="151" t="s">
        <v>5404</v>
      </c>
    </row>
    <row r="3437" spans="1:1">
      <c r="A3437" s="151" t="s">
        <v>5405</v>
      </c>
    </row>
    <row r="3438" spans="1:1">
      <c r="A3438" s="151" t="s">
        <v>5406</v>
      </c>
    </row>
    <row r="3439" spans="1:1">
      <c r="A3439" s="151" t="s">
        <v>5407</v>
      </c>
    </row>
    <row r="3440" spans="1:1">
      <c r="A3440" s="151" t="s">
        <v>5408</v>
      </c>
    </row>
    <row r="3441" spans="1:1">
      <c r="A3441" s="151" t="s">
        <v>5409</v>
      </c>
    </row>
    <row r="3442" spans="1:1">
      <c r="A3442" s="151" t="s">
        <v>5410</v>
      </c>
    </row>
    <row r="3443" spans="1:1">
      <c r="A3443" s="151" t="s">
        <v>5411</v>
      </c>
    </row>
    <row r="3444" spans="1:1">
      <c r="A3444" s="151" t="s">
        <v>5412</v>
      </c>
    </row>
    <row r="3445" spans="1:1">
      <c r="A3445" s="151" t="s">
        <v>5413</v>
      </c>
    </row>
    <row r="3446" spans="1:1">
      <c r="A3446" s="151" t="s">
        <v>5414</v>
      </c>
    </row>
    <row r="3447" spans="1:1">
      <c r="A3447" s="151" t="s">
        <v>5415</v>
      </c>
    </row>
    <row r="3448" spans="1:1">
      <c r="A3448" s="151" t="s">
        <v>5416</v>
      </c>
    </row>
    <row r="3449" spans="1:1">
      <c r="A3449" s="151" t="s">
        <v>5417</v>
      </c>
    </row>
    <row r="3450" spans="1:1">
      <c r="A3450" s="151" t="s">
        <v>5418</v>
      </c>
    </row>
    <row r="3451" spans="1:1">
      <c r="A3451" s="151" t="s">
        <v>5419</v>
      </c>
    </row>
    <row r="3452" spans="1:1">
      <c r="A3452" s="151" t="s">
        <v>5420</v>
      </c>
    </row>
    <row r="3453" spans="1:1">
      <c r="A3453" s="151" t="s">
        <v>5421</v>
      </c>
    </row>
    <row r="3454" spans="1:1">
      <c r="A3454" s="151" t="s">
        <v>5422</v>
      </c>
    </row>
    <row r="3455" spans="1:1">
      <c r="A3455" s="151" t="s">
        <v>5423</v>
      </c>
    </row>
    <row r="3456" spans="1:1">
      <c r="A3456" s="151" t="s">
        <v>5424</v>
      </c>
    </row>
    <row r="3457" spans="1:1">
      <c r="A3457" s="151" t="s">
        <v>5425</v>
      </c>
    </row>
    <row r="3458" spans="1:1">
      <c r="A3458" s="151" t="s">
        <v>5426</v>
      </c>
    </row>
    <row r="3459" spans="1:1">
      <c r="A3459" s="151" t="s">
        <v>5427</v>
      </c>
    </row>
    <row r="3460" spans="1:1">
      <c r="A3460" s="151" t="s">
        <v>5428</v>
      </c>
    </row>
    <row r="3461" spans="1:1">
      <c r="A3461" s="151" t="s">
        <v>5429</v>
      </c>
    </row>
    <row r="3462" spans="1:1">
      <c r="A3462" s="151" t="s">
        <v>5430</v>
      </c>
    </row>
    <row r="3463" spans="1:1">
      <c r="A3463" s="151" t="s">
        <v>5431</v>
      </c>
    </row>
    <row r="3464" spans="1:1">
      <c r="A3464" s="151" t="s">
        <v>5432</v>
      </c>
    </row>
    <row r="3465" spans="1:1">
      <c r="A3465" s="151" t="s">
        <v>5433</v>
      </c>
    </row>
    <row r="3466" spans="1:1">
      <c r="A3466" s="151" t="s">
        <v>5434</v>
      </c>
    </row>
    <row r="3467" spans="1:1">
      <c r="A3467" s="151" t="s">
        <v>5435</v>
      </c>
    </row>
    <row r="3468" spans="1:1">
      <c r="A3468" s="151" t="s">
        <v>5436</v>
      </c>
    </row>
    <row r="3469" spans="1:1">
      <c r="A3469" s="151" t="s">
        <v>5437</v>
      </c>
    </row>
    <row r="3470" spans="1:1">
      <c r="A3470" s="151" t="s">
        <v>5438</v>
      </c>
    </row>
    <row r="3471" spans="1:1">
      <c r="A3471" s="151" t="s">
        <v>5439</v>
      </c>
    </row>
    <row r="3472" spans="1:1">
      <c r="A3472" s="151" t="s">
        <v>5440</v>
      </c>
    </row>
    <row r="3473" spans="1:1">
      <c r="A3473" s="151" t="s">
        <v>5441</v>
      </c>
    </row>
    <row r="3474" spans="1:1">
      <c r="A3474" s="151" t="s">
        <v>5442</v>
      </c>
    </row>
    <row r="3475" spans="1:1">
      <c r="A3475" s="151" t="s">
        <v>5443</v>
      </c>
    </row>
    <row r="3476" spans="1:1">
      <c r="A3476" s="151" t="s">
        <v>5444</v>
      </c>
    </row>
    <row r="3477" spans="1:1">
      <c r="A3477" s="151" t="s">
        <v>5445</v>
      </c>
    </row>
    <row r="3478" spans="1:1">
      <c r="A3478" s="151" t="s">
        <v>5446</v>
      </c>
    </row>
    <row r="3479" spans="1:1">
      <c r="A3479" s="151" t="s">
        <v>5447</v>
      </c>
    </row>
    <row r="3480" spans="1:1">
      <c r="A3480" s="151" t="s">
        <v>5448</v>
      </c>
    </row>
    <row r="3481" spans="1:1">
      <c r="A3481" s="151" t="s">
        <v>5449</v>
      </c>
    </row>
    <row r="3482" spans="1:1">
      <c r="A3482" s="151" t="s">
        <v>5450</v>
      </c>
    </row>
    <row r="3483" spans="1:1">
      <c r="A3483" s="151" t="s">
        <v>5451</v>
      </c>
    </row>
    <row r="3484" spans="1:1">
      <c r="A3484" s="151" t="s">
        <v>5452</v>
      </c>
    </row>
    <row r="3485" spans="1:1">
      <c r="A3485" s="151" t="s">
        <v>5453</v>
      </c>
    </row>
    <row r="3486" spans="1:1">
      <c r="A3486" s="151" t="s">
        <v>5454</v>
      </c>
    </row>
    <row r="3487" spans="1:1">
      <c r="A3487" s="151" t="s">
        <v>5455</v>
      </c>
    </row>
    <row r="3488" spans="1:1">
      <c r="A3488" s="151" t="s">
        <v>5456</v>
      </c>
    </row>
    <row r="3489" spans="1:1">
      <c r="A3489" s="151" t="s">
        <v>5457</v>
      </c>
    </row>
    <row r="3490" spans="1:1">
      <c r="A3490" s="151" t="s">
        <v>5458</v>
      </c>
    </row>
    <row r="3491" spans="1:1">
      <c r="A3491" s="151" t="s">
        <v>5459</v>
      </c>
    </row>
    <row r="3492" spans="1:1">
      <c r="A3492" s="151" t="s">
        <v>5460</v>
      </c>
    </row>
    <row r="3493" spans="1:1">
      <c r="A3493" s="151" t="s">
        <v>5461</v>
      </c>
    </row>
    <row r="3494" spans="1:1">
      <c r="A3494" s="151" t="s">
        <v>5462</v>
      </c>
    </row>
    <row r="3495" spans="1:1">
      <c r="A3495" s="151" t="s">
        <v>5463</v>
      </c>
    </row>
    <row r="3496" spans="1:1">
      <c r="A3496" s="151" t="s">
        <v>5464</v>
      </c>
    </row>
    <row r="3497" spans="1:1">
      <c r="A3497" s="151" t="s">
        <v>5465</v>
      </c>
    </row>
    <row r="3498" spans="1:1">
      <c r="A3498" s="151" t="s">
        <v>5466</v>
      </c>
    </row>
    <row r="3499" spans="1:1">
      <c r="A3499" s="151" t="s">
        <v>5467</v>
      </c>
    </row>
    <row r="3500" spans="1:1">
      <c r="A3500" s="151" t="s">
        <v>5468</v>
      </c>
    </row>
    <row r="3501" spans="1:1">
      <c r="A3501" s="151" t="s">
        <v>5469</v>
      </c>
    </row>
    <row r="3502" spans="1:1">
      <c r="A3502" s="151" t="s">
        <v>5470</v>
      </c>
    </row>
    <row r="3503" spans="1:1">
      <c r="A3503" s="151" t="s">
        <v>5471</v>
      </c>
    </row>
    <row r="3504" spans="1:1">
      <c r="A3504" s="151" t="s">
        <v>5472</v>
      </c>
    </row>
    <row r="3505" spans="1:1">
      <c r="A3505" s="151" t="s">
        <v>5473</v>
      </c>
    </row>
    <row r="3506" spans="1:1">
      <c r="A3506" s="151" t="s">
        <v>5474</v>
      </c>
    </row>
    <row r="3507" spans="1:1">
      <c r="A3507" s="151" t="s">
        <v>5475</v>
      </c>
    </row>
    <row r="3508" spans="1:1">
      <c r="A3508" s="151" t="s">
        <v>5476</v>
      </c>
    </row>
    <row r="3509" spans="1:1">
      <c r="A3509" s="151" t="s">
        <v>5477</v>
      </c>
    </row>
    <row r="3510" spans="1:1">
      <c r="A3510" s="151" t="s">
        <v>5478</v>
      </c>
    </row>
    <row r="3511" spans="1:1">
      <c r="A3511" s="151" t="s">
        <v>5479</v>
      </c>
    </row>
    <row r="3512" spans="1:1">
      <c r="A3512" s="151" t="s">
        <v>5480</v>
      </c>
    </row>
    <row r="3513" spans="1:1">
      <c r="A3513" s="151" t="s">
        <v>5481</v>
      </c>
    </row>
    <row r="3514" spans="1:1">
      <c r="A3514" s="151" t="s">
        <v>5482</v>
      </c>
    </row>
    <row r="3515" spans="1:1">
      <c r="A3515" s="151" t="s">
        <v>5483</v>
      </c>
    </row>
    <row r="3516" spans="1:1">
      <c r="A3516" s="151" t="s">
        <v>5484</v>
      </c>
    </row>
    <row r="3517" spans="1:1">
      <c r="A3517" s="151" t="s">
        <v>5485</v>
      </c>
    </row>
    <row r="3518" spans="1:1">
      <c r="A3518" s="151" t="s">
        <v>5486</v>
      </c>
    </row>
    <row r="3519" spans="1:1">
      <c r="A3519" s="151" t="s">
        <v>5487</v>
      </c>
    </row>
    <row r="3520" spans="1:1">
      <c r="A3520" s="151" t="s">
        <v>5488</v>
      </c>
    </row>
    <row r="3521" spans="1:1">
      <c r="A3521" s="151" t="s">
        <v>5489</v>
      </c>
    </row>
    <row r="3522" spans="1:1">
      <c r="A3522" s="151" t="s">
        <v>5490</v>
      </c>
    </row>
    <row r="3523" spans="1:1">
      <c r="A3523" s="151" t="s">
        <v>5491</v>
      </c>
    </row>
    <row r="3524" spans="1:1">
      <c r="A3524" s="151" t="s">
        <v>5492</v>
      </c>
    </row>
    <row r="3525" spans="1:1">
      <c r="A3525" s="151" t="s">
        <v>5493</v>
      </c>
    </row>
    <row r="3526" spans="1:1">
      <c r="A3526" s="151" t="s">
        <v>5494</v>
      </c>
    </row>
    <row r="3527" spans="1:1">
      <c r="A3527" s="151" t="s">
        <v>5495</v>
      </c>
    </row>
    <row r="3528" spans="1:1">
      <c r="A3528" s="151" t="s">
        <v>5496</v>
      </c>
    </row>
    <row r="3529" spans="1:1">
      <c r="A3529" s="151" t="s">
        <v>5497</v>
      </c>
    </row>
    <row r="3530" spans="1:1">
      <c r="A3530" s="151" t="s">
        <v>5498</v>
      </c>
    </row>
    <row r="3531" spans="1:1">
      <c r="A3531" s="151" t="s">
        <v>5499</v>
      </c>
    </row>
    <row r="3532" spans="1:1">
      <c r="A3532" s="151" t="s">
        <v>5500</v>
      </c>
    </row>
    <row r="3533" spans="1:1">
      <c r="A3533" s="151" t="s">
        <v>5501</v>
      </c>
    </row>
    <row r="3534" spans="1:1">
      <c r="A3534" s="151" t="s">
        <v>5502</v>
      </c>
    </row>
    <row r="3535" spans="1:1">
      <c r="A3535" s="151" t="s">
        <v>5503</v>
      </c>
    </row>
    <row r="3536" spans="1:1">
      <c r="A3536" s="151" t="s">
        <v>5504</v>
      </c>
    </row>
    <row r="3537" spans="1:1">
      <c r="A3537" s="151" t="s">
        <v>5505</v>
      </c>
    </row>
    <row r="3538" spans="1:1">
      <c r="A3538" s="151" t="s">
        <v>5506</v>
      </c>
    </row>
    <row r="3539" spans="1:1">
      <c r="A3539" s="151" t="s">
        <v>5507</v>
      </c>
    </row>
    <row r="3540" spans="1:1">
      <c r="A3540" s="151" t="s">
        <v>5508</v>
      </c>
    </row>
    <row r="3541" spans="1:1">
      <c r="A3541" s="151" t="s">
        <v>5509</v>
      </c>
    </row>
    <row r="3542" spans="1:1">
      <c r="A3542" s="151" t="s">
        <v>5510</v>
      </c>
    </row>
    <row r="3543" spans="1:1">
      <c r="A3543" s="151" t="s">
        <v>5511</v>
      </c>
    </row>
    <row r="3544" spans="1:1">
      <c r="A3544" s="151" t="s">
        <v>5512</v>
      </c>
    </row>
    <row r="3545" spans="1:1">
      <c r="A3545" s="151" t="s">
        <v>5513</v>
      </c>
    </row>
    <row r="3546" spans="1:1">
      <c r="A3546" s="151" t="s">
        <v>5514</v>
      </c>
    </row>
    <row r="3547" spans="1:1">
      <c r="A3547" s="151" t="s">
        <v>5515</v>
      </c>
    </row>
    <row r="3548" spans="1:1">
      <c r="A3548" s="151" t="s">
        <v>5516</v>
      </c>
    </row>
    <row r="3549" spans="1:1">
      <c r="A3549" s="151" t="s">
        <v>5517</v>
      </c>
    </row>
    <row r="3550" spans="1:1">
      <c r="A3550" s="151" t="s">
        <v>5518</v>
      </c>
    </row>
    <row r="3551" spans="1:1">
      <c r="A3551" s="151" t="s">
        <v>5519</v>
      </c>
    </row>
    <row r="3552" spans="1:1">
      <c r="A3552" s="151" t="s">
        <v>5520</v>
      </c>
    </row>
    <row r="3553" spans="1:1">
      <c r="A3553" s="151" t="s">
        <v>5521</v>
      </c>
    </row>
    <row r="3554" spans="1:1">
      <c r="A3554" s="151" t="s">
        <v>5522</v>
      </c>
    </row>
    <row r="3555" spans="1:1">
      <c r="A3555" s="151" t="s">
        <v>5523</v>
      </c>
    </row>
    <row r="3556" spans="1:1">
      <c r="A3556" s="151" t="s">
        <v>5524</v>
      </c>
    </row>
    <row r="3557" spans="1:1">
      <c r="A3557" s="151" t="s">
        <v>5525</v>
      </c>
    </row>
    <row r="3558" spans="1:1">
      <c r="A3558" s="151" t="s">
        <v>5526</v>
      </c>
    </row>
    <row r="3559" spans="1:1">
      <c r="A3559" s="151" t="s">
        <v>5527</v>
      </c>
    </row>
    <row r="3560" spans="1:1">
      <c r="A3560" s="151" t="s">
        <v>5528</v>
      </c>
    </row>
    <row r="3561" spans="1:1">
      <c r="A3561" s="151" t="s">
        <v>5529</v>
      </c>
    </row>
    <row r="3562" spans="1:1">
      <c r="A3562" s="151" t="s">
        <v>5530</v>
      </c>
    </row>
    <row r="3563" spans="1:1">
      <c r="A3563" s="151" t="s">
        <v>5531</v>
      </c>
    </row>
    <row r="3564" spans="1:1">
      <c r="A3564" s="151" t="s">
        <v>5532</v>
      </c>
    </row>
    <row r="3565" spans="1:1">
      <c r="A3565" s="151" t="s">
        <v>5533</v>
      </c>
    </row>
    <row r="3566" spans="1:1">
      <c r="A3566" s="151" t="s">
        <v>5534</v>
      </c>
    </row>
    <row r="3567" spans="1:1">
      <c r="A3567" s="151" t="s">
        <v>5535</v>
      </c>
    </row>
    <row r="3568" spans="1:1">
      <c r="A3568" s="151" t="s">
        <v>5536</v>
      </c>
    </row>
    <row r="3569" spans="1:1">
      <c r="A3569" s="151" t="s">
        <v>5537</v>
      </c>
    </row>
    <row r="3570" spans="1:1">
      <c r="A3570" s="151" t="s">
        <v>5538</v>
      </c>
    </row>
    <row r="3571" spans="1:1">
      <c r="A3571" s="151" t="s">
        <v>5539</v>
      </c>
    </row>
    <row r="3572" spans="1:1">
      <c r="A3572" s="151" t="s">
        <v>5540</v>
      </c>
    </row>
    <row r="3573" spans="1:1">
      <c r="A3573" s="151" t="s">
        <v>5541</v>
      </c>
    </row>
    <row r="3574" spans="1:1">
      <c r="A3574" s="151" t="s">
        <v>5542</v>
      </c>
    </row>
    <row r="3575" spans="1:1">
      <c r="A3575" s="151" t="s">
        <v>5543</v>
      </c>
    </row>
    <row r="3576" spans="1:1">
      <c r="A3576" s="151" t="s">
        <v>5544</v>
      </c>
    </row>
    <row r="3577" spans="1:1">
      <c r="A3577" s="151" t="s">
        <v>5545</v>
      </c>
    </row>
    <row r="3578" spans="1:1">
      <c r="A3578" s="151" t="s">
        <v>5546</v>
      </c>
    </row>
    <row r="3579" spans="1:1">
      <c r="A3579" s="151" t="s">
        <v>5547</v>
      </c>
    </row>
    <row r="3580" spans="1:1">
      <c r="A3580" s="151" t="s">
        <v>5548</v>
      </c>
    </row>
    <row r="3581" spans="1:1">
      <c r="A3581" s="151" t="s">
        <v>5549</v>
      </c>
    </row>
    <row r="3582" spans="1:1">
      <c r="A3582" s="151" t="s">
        <v>5550</v>
      </c>
    </row>
    <row r="3583" spans="1:1">
      <c r="A3583" s="151" t="s">
        <v>5551</v>
      </c>
    </row>
    <row r="3584" spans="1:1">
      <c r="A3584" s="151" t="s">
        <v>5552</v>
      </c>
    </row>
    <row r="3585" spans="1:1">
      <c r="A3585" s="151" t="s">
        <v>5553</v>
      </c>
    </row>
    <row r="3586" spans="1:1">
      <c r="A3586" s="151" t="s">
        <v>5554</v>
      </c>
    </row>
    <row r="3587" spans="1:1">
      <c r="A3587" s="151" t="s">
        <v>5555</v>
      </c>
    </row>
    <row r="3588" spans="1:1">
      <c r="A3588" s="151" t="s">
        <v>5556</v>
      </c>
    </row>
    <row r="3589" spans="1:1">
      <c r="A3589" s="151" t="s">
        <v>5557</v>
      </c>
    </row>
    <row r="3590" spans="1:1">
      <c r="A3590" s="151" t="s">
        <v>5558</v>
      </c>
    </row>
    <row r="3591" spans="1:1">
      <c r="A3591" s="151" t="s">
        <v>5559</v>
      </c>
    </row>
    <row r="3592" spans="1:1">
      <c r="A3592" s="151" t="s">
        <v>5560</v>
      </c>
    </row>
    <row r="3593" spans="1:1">
      <c r="A3593" s="151" t="s">
        <v>5561</v>
      </c>
    </row>
    <row r="3594" spans="1:1">
      <c r="A3594" s="151" t="s">
        <v>5562</v>
      </c>
    </row>
    <row r="3595" spans="1:1">
      <c r="A3595" s="151" t="s">
        <v>5563</v>
      </c>
    </row>
    <row r="3596" spans="1:1">
      <c r="A3596" s="151" t="s">
        <v>5564</v>
      </c>
    </row>
    <row r="3597" spans="1:1">
      <c r="A3597" s="151" t="s">
        <v>5565</v>
      </c>
    </row>
    <row r="3598" spans="1:1">
      <c r="A3598" s="151" t="s">
        <v>5566</v>
      </c>
    </row>
    <row r="3599" spans="1:1">
      <c r="A3599" s="151" t="s">
        <v>5567</v>
      </c>
    </row>
    <row r="3600" spans="1:1">
      <c r="A3600" s="151" t="s">
        <v>5568</v>
      </c>
    </row>
    <row r="3601" spans="1:1">
      <c r="A3601" s="151" t="s">
        <v>5569</v>
      </c>
    </row>
    <row r="3602" spans="1:1">
      <c r="A3602" s="151" t="s">
        <v>5570</v>
      </c>
    </row>
    <row r="3603" spans="1:1">
      <c r="A3603" s="151" t="s">
        <v>5571</v>
      </c>
    </row>
    <row r="3604" spans="1:1">
      <c r="A3604" s="151" t="s">
        <v>5572</v>
      </c>
    </row>
    <row r="3605" spans="1:1">
      <c r="A3605" s="151" t="s">
        <v>5573</v>
      </c>
    </row>
    <row r="3606" spans="1:1">
      <c r="A3606" s="151" t="s">
        <v>5574</v>
      </c>
    </row>
    <row r="3607" spans="1:1">
      <c r="A3607" s="151" t="s">
        <v>5575</v>
      </c>
    </row>
    <row r="3608" spans="1:1">
      <c r="A3608" s="151" t="s">
        <v>5576</v>
      </c>
    </row>
    <row r="3609" spans="1:1">
      <c r="A3609" s="151" t="s">
        <v>5577</v>
      </c>
    </row>
    <row r="3610" spans="1:1">
      <c r="A3610" s="151" t="s">
        <v>5578</v>
      </c>
    </row>
    <row r="3611" spans="1:1">
      <c r="A3611" s="151" t="s">
        <v>5579</v>
      </c>
    </row>
    <row r="3612" spans="1:1">
      <c r="A3612" s="151" t="s">
        <v>5580</v>
      </c>
    </row>
    <row r="3613" spans="1:1">
      <c r="A3613" s="151" t="s">
        <v>5581</v>
      </c>
    </row>
    <row r="3614" spans="1:1">
      <c r="A3614" s="151" t="s">
        <v>5582</v>
      </c>
    </row>
    <row r="3615" spans="1:1">
      <c r="A3615" s="151" t="s">
        <v>5583</v>
      </c>
    </row>
    <row r="3616" spans="1:1">
      <c r="A3616" s="151" t="s">
        <v>5584</v>
      </c>
    </row>
    <row r="3617" spans="1:1">
      <c r="A3617" s="151" t="s">
        <v>5585</v>
      </c>
    </row>
    <row r="3618" spans="1:1">
      <c r="A3618" s="151" t="s">
        <v>5586</v>
      </c>
    </row>
    <row r="3619" spans="1:1">
      <c r="A3619" s="151" t="s">
        <v>5587</v>
      </c>
    </row>
    <row r="3620" spans="1:1">
      <c r="A3620" s="151" t="s">
        <v>5588</v>
      </c>
    </row>
    <row r="3621" spans="1:1">
      <c r="A3621" s="151" t="s">
        <v>5589</v>
      </c>
    </row>
    <row r="3622" spans="1:1">
      <c r="A3622" s="151" t="s">
        <v>5590</v>
      </c>
    </row>
    <row r="3623" spans="1:1">
      <c r="A3623" s="151" t="s">
        <v>5591</v>
      </c>
    </row>
    <row r="3624" spans="1:1">
      <c r="A3624" s="151" t="s">
        <v>5592</v>
      </c>
    </row>
    <row r="3625" spans="1:1">
      <c r="A3625" s="151" t="s">
        <v>5593</v>
      </c>
    </row>
    <row r="3626" spans="1:1">
      <c r="A3626" s="151" t="s">
        <v>5594</v>
      </c>
    </row>
    <row r="3627" spans="1:1">
      <c r="A3627" s="151" t="s">
        <v>5595</v>
      </c>
    </row>
    <row r="3628" spans="1:1">
      <c r="A3628" s="151" t="s">
        <v>5596</v>
      </c>
    </row>
    <row r="3629" spans="1:1">
      <c r="A3629" s="151" t="s">
        <v>5597</v>
      </c>
    </row>
    <row r="3630" spans="1:1">
      <c r="A3630" s="151" t="s">
        <v>5598</v>
      </c>
    </row>
    <row r="3631" spans="1:1">
      <c r="A3631" s="151" t="s">
        <v>5599</v>
      </c>
    </row>
    <row r="3632" spans="1:1">
      <c r="A3632" s="151" t="s">
        <v>5600</v>
      </c>
    </row>
    <row r="3633" spans="1:1">
      <c r="A3633" s="151" t="s">
        <v>5601</v>
      </c>
    </row>
    <row r="3634" spans="1:1">
      <c r="A3634" s="151" t="s">
        <v>5602</v>
      </c>
    </row>
    <row r="3635" spans="1:1">
      <c r="A3635" s="151" t="s">
        <v>5603</v>
      </c>
    </row>
    <row r="3636" spans="1:1">
      <c r="A3636" s="151" t="s">
        <v>5604</v>
      </c>
    </row>
    <row r="3637" spans="1:1">
      <c r="A3637" s="151" t="s">
        <v>5605</v>
      </c>
    </row>
    <row r="3638" spans="1:1">
      <c r="A3638" s="151" t="s">
        <v>5606</v>
      </c>
    </row>
    <row r="3639" spans="1:1">
      <c r="A3639" s="151" t="s">
        <v>5607</v>
      </c>
    </row>
    <row r="3640" spans="1:1">
      <c r="A3640" s="151" t="s">
        <v>5608</v>
      </c>
    </row>
    <row r="3641" spans="1:1">
      <c r="A3641" s="151" t="s">
        <v>5609</v>
      </c>
    </row>
    <row r="3642" spans="1:1">
      <c r="A3642" s="151" t="s">
        <v>5610</v>
      </c>
    </row>
    <row r="3643" spans="1:1">
      <c r="A3643" s="151" t="s">
        <v>5611</v>
      </c>
    </row>
    <row r="3644" spans="1:1">
      <c r="A3644" s="151" t="s">
        <v>5612</v>
      </c>
    </row>
    <row r="3645" spans="1:1">
      <c r="A3645" s="151" t="s">
        <v>5613</v>
      </c>
    </row>
    <row r="3646" spans="1:1">
      <c r="A3646" s="151" t="s">
        <v>5614</v>
      </c>
    </row>
    <row r="3647" spans="1:1">
      <c r="A3647" s="151" t="s">
        <v>5615</v>
      </c>
    </row>
    <row r="3648" spans="1:1">
      <c r="A3648" s="151" t="s">
        <v>5616</v>
      </c>
    </row>
    <row r="3649" spans="1:1">
      <c r="A3649" s="151" t="s">
        <v>5617</v>
      </c>
    </row>
    <row r="3650" spans="1:1">
      <c r="A3650" s="151" t="s">
        <v>5618</v>
      </c>
    </row>
    <row r="3651" spans="1:1">
      <c r="A3651" s="151" t="s">
        <v>5619</v>
      </c>
    </row>
    <row r="3652" spans="1:1">
      <c r="A3652" s="151" t="s">
        <v>5620</v>
      </c>
    </row>
    <row r="3653" spans="1:1">
      <c r="A3653" s="151" t="s">
        <v>5621</v>
      </c>
    </row>
    <row r="3654" spans="1:1">
      <c r="A3654" s="151" t="s">
        <v>5622</v>
      </c>
    </row>
    <row r="3655" spans="1:1">
      <c r="A3655" s="151" t="s">
        <v>5623</v>
      </c>
    </row>
    <row r="3656" spans="1:1">
      <c r="A3656" s="151" t="s">
        <v>5624</v>
      </c>
    </row>
    <row r="3657" spans="1:1">
      <c r="A3657" s="151" t="s">
        <v>5625</v>
      </c>
    </row>
    <row r="3658" spans="1:1">
      <c r="A3658" s="151" t="s">
        <v>5626</v>
      </c>
    </row>
    <row r="3659" spans="1:1">
      <c r="A3659" s="151" t="s">
        <v>5627</v>
      </c>
    </row>
    <row r="3660" spans="1:1">
      <c r="A3660" s="151" t="s">
        <v>5628</v>
      </c>
    </row>
    <row r="3661" spans="1:1">
      <c r="A3661" s="151" t="s">
        <v>5629</v>
      </c>
    </row>
    <row r="3662" spans="1:1">
      <c r="A3662" s="151" t="s">
        <v>5630</v>
      </c>
    </row>
    <row r="3663" spans="1:1">
      <c r="A3663" s="151" t="s">
        <v>5631</v>
      </c>
    </row>
    <row r="3664" spans="1:1">
      <c r="A3664" s="151" t="s">
        <v>5632</v>
      </c>
    </row>
    <row r="3665" spans="1:1">
      <c r="A3665" s="151" t="s">
        <v>5633</v>
      </c>
    </row>
    <row r="3666" spans="1:1">
      <c r="A3666" s="151" t="s">
        <v>5634</v>
      </c>
    </row>
    <row r="3667" spans="1:1">
      <c r="A3667" s="151" t="s">
        <v>5635</v>
      </c>
    </row>
    <row r="3668" spans="1:1">
      <c r="A3668" s="151" t="s">
        <v>5636</v>
      </c>
    </row>
    <row r="3669" spans="1:1">
      <c r="A3669" s="151" t="s">
        <v>5637</v>
      </c>
    </row>
    <row r="3670" spans="1:1">
      <c r="A3670" s="151" t="s">
        <v>5638</v>
      </c>
    </row>
    <row r="3671" spans="1:1">
      <c r="A3671" s="151" t="s">
        <v>5639</v>
      </c>
    </row>
    <row r="3672" spans="1:1">
      <c r="A3672" s="151" t="s">
        <v>5640</v>
      </c>
    </row>
    <row r="3673" spans="1:1">
      <c r="A3673" s="151" t="s">
        <v>5641</v>
      </c>
    </row>
    <row r="3674" spans="1:1">
      <c r="A3674" s="151" t="s">
        <v>5642</v>
      </c>
    </row>
    <row r="3675" spans="1:1">
      <c r="A3675" s="151" t="s">
        <v>5643</v>
      </c>
    </row>
    <row r="3676" spans="1:1">
      <c r="A3676" s="151" t="s">
        <v>5644</v>
      </c>
    </row>
    <row r="3677" spans="1:1">
      <c r="A3677" s="151" t="s">
        <v>5645</v>
      </c>
    </row>
    <row r="3678" spans="1:1">
      <c r="A3678" s="151" t="s">
        <v>5646</v>
      </c>
    </row>
    <row r="3679" spans="1:1">
      <c r="A3679" s="151" t="s">
        <v>5647</v>
      </c>
    </row>
    <row r="3680" spans="1:1">
      <c r="A3680" s="151" t="s">
        <v>5648</v>
      </c>
    </row>
    <row r="3681" spans="1:1">
      <c r="A3681" s="151" t="s">
        <v>5649</v>
      </c>
    </row>
    <row r="3682" spans="1:1">
      <c r="A3682" s="151" t="s">
        <v>5650</v>
      </c>
    </row>
    <row r="3683" spans="1:1">
      <c r="A3683" s="151" t="s">
        <v>5651</v>
      </c>
    </row>
    <row r="3684" spans="1:1">
      <c r="A3684" s="151" t="s">
        <v>5652</v>
      </c>
    </row>
    <row r="3685" spans="1:1">
      <c r="A3685" s="151" t="s">
        <v>5653</v>
      </c>
    </row>
    <row r="3686" spans="1:1">
      <c r="A3686" s="151" t="s">
        <v>5654</v>
      </c>
    </row>
    <row r="3687" spans="1:1">
      <c r="A3687" s="151" t="s">
        <v>5655</v>
      </c>
    </row>
    <row r="3688" spans="1:1">
      <c r="A3688" s="151" t="s">
        <v>5656</v>
      </c>
    </row>
    <row r="3689" spans="1:1">
      <c r="A3689" s="151" t="s">
        <v>5657</v>
      </c>
    </row>
    <row r="3690" spans="1:1">
      <c r="A3690" s="151" t="s">
        <v>5658</v>
      </c>
    </row>
    <row r="3691" spans="1:1">
      <c r="A3691" s="151" t="s">
        <v>5659</v>
      </c>
    </row>
    <row r="3692" spans="1:1">
      <c r="A3692" s="151" t="s">
        <v>5660</v>
      </c>
    </row>
    <row r="3693" spans="1:1">
      <c r="A3693" s="151" t="s">
        <v>5661</v>
      </c>
    </row>
    <row r="3694" spans="1:1">
      <c r="A3694" s="151" t="s">
        <v>5662</v>
      </c>
    </row>
    <row r="3695" spans="1:1">
      <c r="A3695" s="151" t="s">
        <v>5663</v>
      </c>
    </row>
    <row r="3696" spans="1:1">
      <c r="A3696" s="151" t="s">
        <v>5664</v>
      </c>
    </row>
    <row r="3697" spans="1:1">
      <c r="A3697" s="151" t="s">
        <v>5665</v>
      </c>
    </row>
    <row r="3698" spans="1:1">
      <c r="A3698" s="151" t="s">
        <v>5666</v>
      </c>
    </row>
    <row r="3699" spans="1:1">
      <c r="A3699" s="151" t="s">
        <v>5667</v>
      </c>
    </row>
    <row r="3700" spans="1:1">
      <c r="A3700" s="151" t="s">
        <v>5668</v>
      </c>
    </row>
    <row r="3701" spans="1:1">
      <c r="A3701" s="151" t="s">
        <v>5669</v>
      </c>
    </row>
    <row r="3702" spans="1:1">
      <c r="A3702" s="151" t="s">
        <v>5670</v>
      </c>
    </row>
    <row r="3703" spans="1:1">
      <c r="A3703" s="151" t="s">
        <v>5671</v>
      </c>
    </row>
    <row r="3704" spans="1:1">
      <c r="A3704" s="151" t="s">
        <v>5672</v>
      </c>
    </row>
    <row r="3705" spans="1:1">
      <c r="A3705" s="151" t="s">
        <v>5673</v>
      </c>
    </row>
    <row r="3706" spans="1:1">
      <c r="A3706" s="151" t="s">
        <v>5674</v>
      </c>
    </row>
    <row r="3707" spans="1:1">
      <c r="A3707" s="151" t="s">
        <v>5675</v>
      </c>
    </row>
    <row r="3708" spans="1:1">
      <c r="A3708" s="151" t="s">
        <v>5676</v>
      </c>
    </row>
    <row r="3709" spans="1:1">
      <c r="A3709" s="151" t="s">
        <v>5677</v>
      </c>
    </row>
    <row r="3710" spans="1:1">
      <c r="A3710" s="151" t="s">
        <v>5678</v>
      </c>
    </row>
    <row r="3711" spans="1:1">
      <c r="A3711" s="151" t="s">
        <v>5679</v>
      </c>
    </row>
    <row r="3712" spans="1:1">
      <c r="A3712" s="151" t="s">
        <v>5680</v>
      </c>
    </row>
    <row r="3713" spans="1:1">
      <c r="A3713" s="151" t="s">
        <v>5681</v>
      </c>
    </row>
    <row r="3714" spans="1:1">
      <c r="A3714" s="151" t="s">
        <v>5682</v>
      </c>
    </row>
    <row r="3715" spans="1:1">
      <c r="A3715" s="151" t="s">
        <v>5683</v>
      </c>
    </row>
    <row r="3716" spans="1:1">
      <c r="A3716" s="151" t="s">
        <v>5684</v>
      </c>
    </row>
    <row r="3717" spans="1:1">
      <c r="A3717" s="151" t="s">
        <v>5685</v>
      </c>
    </row>
    <row r="3718" spans="1:1">
      <c r="A3718" s="151" t="s">
        <v>5686</v>
      </c>
    </row>
    <row r="3719" spans="1:1">
      <c r="A3719" s="151" t="s">
        <v>5687</v>
      </c>
    </row>
    <row r="3720" spans="1:1">
      <c r="A3720" s="151" t="s">
        <v>5688</v>
      </c>
    </row>
    <row r="3721" spans="1:1">
      <c r="A3721" s="151" t="s">
        <v>5689</v>
      </c>
    </row>
    <row r="3722" spans="1:1">
      <c r="A3722" s="151" t="s">
        <v>5690</v>
      </c>
    </row>
    <row r="3723" spans="1:1">
      <c r="A3723" s="151" t="s">
        <v>5691</v>
      </c>
    </row>
    <row r="3724" spans="1:1">
      <c r="A3724" s="151" t="s">
        <v>5692</v>
      </c>
    </row>
    <row r="3725" spans="1:1">
      <c r="A3725" s="151" t="s">
        <v>5693</v>
      </c>
    </row>
    <row r="3726" spans="1:1">
      <c r="A3726" s="151" t="s">
        <v>5694</v>
      </c>
    </row>
    <row r="3727" spans="1:1">
      <c r="A3727" s="151" t="s">
        <v>5695</v>
      </c>
    </row>
    <row r="3728" spans="1:1">
      <c r="A3728" s="151" t="s">
        <v>5696</v>
      </c>
    </row>
    <row r="3729" spans="1:1">
      <c r="A3729" s="151" t="s">
        <v>5697</v>
      </c>
    </row>
    <row r="3730" spans="1:1">
      <c r="A3730" s="151" t="s">
        <v>5698</v>
      </c>
    </row>
    <row r="3731" spans="1:1">
      <c r="A3731" s="151" t="s">
        <v>5699</v>
      </c>
    </row>
    <row r="3732" spans="1:1">
      <c r="A3732" s="151" t="s">
        <v>5700</v>
      </c>
    </row>
    <row r="3733" spans="1:1">
      <c r="A3733" s="151" t="s">
        <v>5701</v>
      </c>
    </row>
    <row r="3734" spans="1:1">
      <c r="A3734" s="151" t="s">
        <v>5702</v>
      </c>
    </row>
    <row r="3735" spans="1:1">
      <c r="A3735" s="151" t="s">
        <v>5703</v>
      </c>
    </row>
    <row r="3736" spans="1:1">
      <c r="A3736" s="151" t="s">
        <v>5704</v>
      </c>
    </row>
    <row r="3737" spans="1:1">
      <c r="A3737" s="151" t="s">
        <v>5705</v>
      </c>
    </row>
    <row r="3738" spans="1:1">
      <c r="A3738" s="151" t="s">
        <v>5706</v>
      </c>
    </row>
    <row r="3739" spans="1:1">
      <c r="A3739" s="151" t="s">
        <v>5707</v>
      </c>
    </row>
    <row r="3740" spans="1:1">
      <c r="A3740" s="151" t="s">
        <v>5708</v>
      </c>
    </row>
    <row r="3741" spans="1:1">
      <c r="A3741" s="151" t="s">
        <v>5709</v>
      </c>
    </row>
    <row r="3742" spans="1:1">
      <c r="A3742" s="151" t="s">
        <v>5710</v>
      </c>
    </row>
    <row r="3743" spans="1:1">
      <c r="A3743" s="151" t="s">
        <v>5711</v>
      </c>
    </row>
    <row r="3744" spans="1:1">
      <c r="A3744" s="151" t="s">
        <v>5712</v>
      </c>
    </row>
    <row r="3745" spans="1:1">
      <c r="A3745" s="151" t="s">
        <v>5713</v>
      </c>
    </row>
    <row r="3746" spans="1:1">
      <c r="A3746" s="151" t="s">
        <v>5714</v>
      </c>
    </row>
    <row r="3747" spans="1:1">
      <c r="A3747" s="151" t="s">
        <v>5715</v>
      </c>
    </row>
    <row r="3748" spans="1:1">
      <c r="A3748" s="151" t="s">
        <v>5716</v>
      </c>
    </row>
    <row r="3749" spans="1:1">
      <c r="A3749" s="151" t="s">
        <v>5717</v>
      </c>
    </row>
    <row r="3750" spans="1:1">
      <c r="A3750" s="151" t="s">
        <v>5718</v>
      </c>
    </row>
    <row r="3751" spans="1:1">
      <c r="A3751" s="151" t="s">
        <v>5719</v>
      </c>
    </row>
    <row r="3752" spans="1:1">
      <c r="A3752" s="151" t="s">
        <v>5720</v>
      </c>
    </row>
    <row r="3753" spans="1:1">
      <c r="A3753" s="151" t="s">
        <v>5721</v>
      </c>
    </row>
    <row r="3754" spans="1:1">
      <c r="A3754" s="151" t="s">
        <v>5722</v>
      </c>
    </row>
    <row r="3755" spans="1:1">
      <c r="A3755" s="151" t="s">
        <v>5723</v>
      </c>
    </row>
    <row r="3756" spans="1:1">
      <c r="A3756" s="151" t="s">
        <v>5724</v>
      </c>
    </row>
    <row r="3757" spans="1:1">
      <c r="A3757" s="151" t="s">
        <v>5725</v>
      </c>
    </row>
    <row r="3758" spans="1:1">
      <c r="A3758" s="151" t="s">
        <v>5726</v>
      </c>
    </row>
    <row r="3759" spans="1:1">
      <c r="A3759" s="151" t="s">
        <v>5727</v>
      </c>
    </row>
    <row r="3760" spans="1:1">
      <c r="A3760" s="151" t="s">
        <v>5728</v>
      </c>
    </row>
    <row r="3761" spans="1:1">
      <c r="A3761" s="151" t="s">
        <v>5729</v>
      </c>
    </row>
    <row r="3762" spans="1:1">
      <c r="A3762" s="151" t="s">
        <v>5730</v>
      </c>
    </row>
    <row r="3763" spans="1:1">
      <c r="A3763" s="151" t="s">
        <v>5731</v>
      </c>
    </row>
    <row r="3764" spans="1:1">
      <c r="A3764" s="151" t="s">
        <v>5732</v>
      </c>
    </row>
    <row r="3765" spans="1:1">
      <c r="A3765" s="151" t="s">
        <v>5733</v>
      </c>
    </row>
    <row r="3766" spans="1:1">
      <c r="A3766" s="151" t="s">
        <v>5734</v>
      </c>
    </row>
    <row r="3767" spans="1:1">
      <c r="A3767" s="151" t="s">
        <v>5735</v>
      </c>
    </row>
    <row r="3768" spans="1:1">
      <c r="A3768" s="151" t="s">
        <v>5736</v>
      </c>
    </row>
    <row r="3769" spans="1:1">
      <c r="A3769" s="151" t="s">
        <v>5737</v>
      </c>
    </row>
    <row r="3770" spans="1:1">
      <c r="A3770" s="151" t="s">
        <v>5738</v>
      </c>
    </row>
    <row r="3771" spans="1:1">
      <c r="A3771" s="151" t="s">
        <v>5739</v>
      </c>
    </row>
    <row r="3772" spans="1:1">
      <c r="A3772" s="151" t="s">
        <v>5740</v>
      </c>
    </row>
    <row r="3773" spans="1:1">
      <c r="A3773" s="151" t="s">
        <v>5741</v>
      </c>
    </row>
    <row r="3774" spans="1:1">
      <c r="A3774" s="151" t="s">
        <v>5742</v>
      </c>
    </row>
    <row r="3775" spans="1:1">
      <c r="A3775" s="151" t="s">
        <v>5743</v>
      </c>
    </row>
    <row r="3776" spans="1:1">
      <c r="A3776" s="151" t="s">
        <v>5744</v>
      </c>
    </row>
    <row r="3777" spans="1:1">
      <c r="A3777" s="151" t="s">
        <v>5745</v>
      </c>
    </row>
    <row r="3778" spans="1:1">
      <c r="A3778" s="151" t="s">
        <v>5746</v>
      </c>
    </row>
    <row r="3779" spans="1:1">
      <c r="A3779" s="151" t="s">
        <v>5747</v>
      </c>
    </row>
    <row r="3780" spans="1:1">
      <c r="A3780" s="151" t="s">
        <v>5748</v>
      </c>
    </row>
    <row r="3781" spans="1:1">
      <c r="A3781" s="151" t="s">
        <v>5749</v>
      </c>
    </row>
    <row r="3782" spans="1:1">
      <c r="A3782" s="151" t="s">
        <v>5750</v>
      </c>
    </row>
    <row r="3783" spans="1:1">
      <c r="A3783" s="151" t="s">
        <v>5751</v>
      </c>
    </row>
    <row r="3784" spans="1:1">
      <c r="A3784" s="151" t="s">
        <v>5752</v>
      </c>
    </row>
    <row r="3785" spans="1:1">
      <c r="A3785" s="151" t="s">
        <v>5753</v>
      </c>
    </row>
    <row r="3786" spans="1:1">
      <c r="A3786" s="151" t="s">
        <v>5754</v>
      </c>
    </row>
    <row r="3787" spans="1:1">
      <c r="A3787" s="151" t="s">
        <v>5755</v>
      </c>
    </row>
    <row r="3788" spans="1:1">
      <c r="A3788" s="151" t="s">
        <v>5756</v>
      </c>
    </row>
    <row r="3789" spans="1:1">
      <c r="A3789" s="151" t="s">
        <v>5757</v>
      </c>
    </row>
    <row r="3790" spans="1:1">
      <c r="A3790" s="151" t="s">
        <v>5758</v>
      </c>
    </row>
    <row r="3791" spans="1:1">
      <c r="A3791" s="151" t="s">
        <v>5759</v>
      </c>
    </row>
    <row r="3792" spans="1:1">
      <c r="A3792" s="151" t="s">
        <v>5760</v>
      </c>
    </row>
    <row r="3793" spans="1:1">
      <c r="A3793" s="151" t="s">
        <v>5761</v>
      </c>
    </row>
    <row r="3794" spans="1:1">
      <c r="A3794" s="151" t="s">
        <v>5762</v>
      </c>
    </row>
    <row r="3795" spans="1:1">
      <c r="A3795" s="151" t="s">
        <v>5763</v>
      </c>
    </row>
    <row r="3796" spans="1:1">
      <c r="A3796" s="151" t="s">
        <v>5764</v>
      </c>
    </row>
    <row r="3797" spans="1:1">
      <c r="A3797" s="151" t="s">
        <v>5765</v>
      </c>
    </row>
    <row r="3798" spans="1:1">
      <c r="A3798" s="151" t="s">
        <v>5766</v>
      </c>
    </row>
    <row r="3799" spans="1:1">
      <c r="A3799" s="151" t="s">
        <v>5767</v>
      </c>
    </row>
    <row r="3800" spans="1:1">
      <c r="A3800" s="151" t="s">
        <v>5768</v>
      </c>
    </row>
    <row r="3801" spans="1:1">
      <c r="A3801" s="151" t="s">
        <v>5769</v>
      </c>
    </row>
    <row r="3802" spans="1:1">
      <c r="A3802" s="151" t="s">
        <v>5770</v>
      </c>
    </row>
    <row r="3803" spans="1:1">
      <c r="A3803" s="151" t="s">
        <v>5771</v>
      </c>
    </row>
    <row r="3804" spans="1:1">
      <c r="A3804" s="151" t="s">
        <v>5772</v>
      </c>
    </row>
    <row r="3805" spans="1:1">
      <c r="A3805" s="151" t="s">
        <v>5773</v>
      </c>
    </row>
    <row r="3806" spans="1:1">
      <c r="A3806" s="151" t="s">
        <v>5774</v>
      </c>
    </row>
    <row r="3807" spans="1:1">
      <c r="A3807" s="151" t="s">
        <v>5775</v>
      </c>
    </row>
    <row r="3808" spans="1:1">
      <c r="A3808" s="151" t="s">
        <v>5776</v>
      </c>
    </row>
    <row r="3809" spans="1:1">
      <c r="A3809" s="151" t="s">
        <v>5777</v>
      </c>
    </row>
    <row r="3810" spans="1:1">
      <c r="A3810" s="151" t="s">
        <v>5778</v>
      </c>
    </row>
    <row r="3811" spans="1:1">
      <c r="A3811" s="151" t="s">
        <v>5779</v>
      </c>
    </row>
    <row r="3812" spans="1:1">
      <c r="A3812" s="151" t="s">
        <v>5780</v>
      </c>
    </row>
    <row r="3813" spans="1:1">
      <c r="A3813" s="151" t="s">
        <v>5781</v>
      </c>
    </row>
    <row r="3814" spans="1:1">
      <c r="A3814" s="151" t="s">
        <v>5782</v>
      </c>
    </row>
    <row r="3815" spans="1:1">
      <c r="A3815" s="151" t="s">
        <v>5783</v>
      </c>
    </row>
    <row r="3816" spans="1:1">
      <c r="A3816" s="151" t="s">
        <v>5784</v>
      </c>
    </row>
    <row r="3817" spans="1:1">
      <c r="A3817" s="151" t="s">
        <v>5785</v>
      </c>
    </row>
    <row r="3818" spans="1:1">
      <c r="A3818" s="151" t="s">
        <v>5786</v>
      </c>
    </row>
    <row r="3819" spans="1:1">
      <c r="A3819" s="151" t="s">
        <v>5787</v>
      </c>
    </row>
    <row r="3820" spans="1:1">
      <c r="A3820" s="151" t="s">
        <v>5788</v>
      </c>
    </row>
    <row r="3821" spans="1:1">
      <c r="A3821" s="151" t="s">
        <v>5789</v>
      </c>
    </row>
    <row r="3822" spans="1:1">
      <c r="A3822" s="151" t="s">
        <v>5790</v>
      </c>
    </row>
    <row r="3823" spans="1:1">
      <c r="A3823" s="151" t="s">
        <v>5791</v>
      </c>
    </row>
    <row r="3824" spans="1:1">
      <c r="A3824" s="151" t="s">
        <v>5792</v>
      </c>
    </row>
    <row r="3825" spans="1:1">
      <c r="A3825" s="151" t="s">
        <v>5793</v>
      </c>
    </row>
    <row r="3826" spans="1:1">
      <c r="A3826" s="151" t="s">
        <v>5794</v>
      </c>
    </row>
    <row r="3827" spans="1:1">
      <c r="A3827" s="151" t="s">
        <v>5795</v>
      </c>
    </row>
    <row r="3828" spans="1:1">
      <c r="A3828" s="151" t="s">
        <v>5796</v>
      </c>
    </row>
    <row r="3829" spans="1:1">
      <c r="A3829" s="151" t="s">
        <v>5797</v>
      </c>
    </row>
    <row r="3830" spans="1:1">
      <c r="A3830" s="151" t="s">
        <v>5798</v>
      </c>
    </row>
    <row r="3831" spans="1:1">
      <c r="A3831" s="151" t="s">
        <v>5799</v>
      </c>
    </row>
    <row r="3832" spans="1:1">
      <c r="A3832" s="151" t="s">
        <v>5800</v>
      </c>
    </row>
    <row r="3833" spans="1:1">
      <c r="A3833" s="151" t="s">
        <v>5801</v>
      </c>
    </row>
    <row r="3834" spans="1:1">
      <c r="A3834" s="151" t="s">
        <v>5802</v>
      </c>
    </row>
    <row r="3835" spans="1:1">
      <c r="A3835" s="151" t="s">
        <v>5803</v>
      </c>
    </row>
    <row r="3836" spans="1:1">
      <c r="A3836" s="151" t="s">
        <v>5804</v>
      </c>
    </row>
    <row r="3837" spans="1:1">
      <c r="A3837" s="151" t="s">
        <v>5805</v>
      </c>
    </row>
    <row r="3838" spans="1:1">
      <c r="A3838" s="151" t="s">
        <v>5806</v>
      </c>
    </row>
    <row r="3839" spans="1:1">
      <c r="A3839" s="151" t="s">
        <v>5807</v>
      </c>
    </row>
    <row r="3840" spans="1:1">
      <c r="A3840" s="151" t="s">
        <v>5808</v>
      </c>
    </row>
    <row r="3841" spans="1:1">
      <c r="A3841" s="151" t="s">
        <v>5809</v>
      </c>
    </row>
    <row r="3842" spans="1:1">
      <c r="A3842" s="151" t="s">
        <v>5810</v>
      </c>
    </row>
    <row r="3843" spans="1:1">
      <c r="A3843" s="151" t="s">
        <v>5811</v>
      </c>
    </row>
    <row r="3844" spans="1:1">
      <c r="A3844" s="151" t="s">
        <v>5812</v>
      </c>
    </row>
    <row r="3845" spans="1:1">
      <c r="A3845" s="151" t="s">
        <v>5813</v>
      </c>
    </row>
    <row r="3846" spans="1:1">
      <c r="A3846" s="151" t="s">
        <v>5814</v>
      </c>
    </row>
    <row r="3847" spans="1:1">
      <c r="A3847" s="151" t="s">
        <v>5815</v>
      </c>
    </row>
    <row r="3848" spans="1:1">
      <c r="A3848" s="151" t="s">
        <v>5816</v>
      </c>
    </row>
    <row r="3849" spans="1:1">
      <c r="A3849" s="151" t="s">
        <v>5817</v>
      </c>
    </row>
    <row r="3850" spans="1:1">
      <c r="A3850" s="151" t="s">
        <v>5818</v>
      </c>
    </row>
    <row r="3851" spans="1:1">
      <c r="A3851" s="151" t="s">
        <v>5819</v>
      </c>
    </row>
    <row r="3852" spans="1:1">
      <c r="A3852" s="151" t="s">
        <v>5820</v>
      </c>
    </row>
    <row r="3853" spans="1:1">
      <c r="A3853" s="151" t="s">
        <v>5821</v>
      </c>
    </row>
    <row r="3854" spans="1:1">
      <c r="A3854" s="151" t="s">
        <v>5822</v>
      </c>
    </row>
    <row r="3855" spans="1:1">
      <c r="A3855" s="151" t="s">
        <v>5823</v>
      </c>
    </row>
    <row r="3856" spans="1:1">
      <c r="A3856" s="151" t="s">
        <v>5824</v>
      </c>
    </row>
    <row r="3857" spans="1:1">
      <c r="A3857" s="151" t="s">
        <v>5825</v>
      </c>
    </row>
    <row r="3858" spans="1:1">
      <c r="A3858" s="151" t="s">
        <v>5826</v>
      </c>
    </row>
    <row r="3859" spans="1:1">
      <c r="A3859" s="151" t="s">
        <v>5827</v>
      </c>
    </row>
    <row r="3860" spans="1:1">
      <c r="A3860" s="151" t="s">
        <v>5828</v>
      </c>
    </row>
    <row r="3861" spans="1:1">
      <c r="A3861" s="151" t="s">
        <v>5829</v>
      </c>
    </row>
    <row r="3862" spans="1:1">
      <c r="A3862" s="151" t="s">
        <v>5830</v>
      </c>
    </row>
    <row r="3863" spans="1:1">
      <c r="A3863" s="151" t="s">
        <v>5831</v>
      </c>
    </row>
    <row r="3864" spans="1:1">
      <c r="A3864" s="151" t="s">
        <v>5832</v>
      </c>
    </row>
    <row r="3865" spans="1:1">
      <c r="A3865" s="151" t="s">
        <v>5833</v>
      </c>
    </row>
    <row r="3866" spans="1:1">
      <c r="A3866" s="151" t="s">
        <v>5834</v>
      </c>
    </row>
    <row r="3867" spans="1:1">
      <c r="A3867" s="151" t="s">
        <v>5835</v>
      </c>
    </row>
    <row r="3868" spans="1:1">
      <c r="A3868" s="151" t="s">
        <v>5836</v>
      </c>
    </row>
    <row r="3869" spans="1:1">
      <c r="A3869" s="151" t="s">
        <v>5837</v>
      </c>
    </row>
    <row r="3870" spans="1:1">
      <c r="A3870" s="151" t="s">
        <v>5838</v>
      </c>
    </row>
    <row r="3871" spans="1:1">
      <c r="A3871" s="151" t="s">
        <v>5839</v>
      </c>
    </row>
    <row r="3872" spans="1:1">
      <c r="A3872" s="151" t="s">
        <v>5840</v>
      </c>
    </row>
    <row r="3873" spans="1:1">
      <c r="A3873" s="151" t="s">
        <v>5841</v>
      </c>
    </row>
    <row r="3874" spans="1:1">
      <c r="A3874" s="151" t="s">
        <v>5842</v>
      </c>
    </row>
    <row r="3875" spans="1:1">
      <c r="A3875" s="151" t="s">
        <v>5843</v>
      </c>
    </row>
    <row r="3876" spans="1:1">
      <c r="A3876" s="151" t="s">
        <v>5844</v>
      </c>
    </row>
    <row r="3877" spans="1:1">
      <c r="A3877" s="151" t="s">
        <v>5845</v>
      </c>
    </row>
    <row r="3878" spans="1:1">
      <c r="A3878" s="151" t="s">
        <v>5846</v>
      </c>
    </row>
    <row r="3879" spans="1:1">
      <c r="A3879" s="151" t="s">
        <v>5847</v>
      </c>
    </row>
    <row r="3880" spans="1:1">
      <c r="A3880" s="151" t="s">
        <v>5848</v>
      </c>
    </row>
    <row r="3881" spans="1:1">
      <c r="A3881" s="151" t="s">
        <v>5849</v>
      </c>
    </row>
    <row r="3882" spans="1:1">
      <c r="A3882" s="151" t="s">
        <v>5850</v>
      </c>
    </row>
    <row r="3883" spans="1:1">
      <c r="A3883" s="151" t="s">
        <v>5851</v>
      </c>
    </row>
    <row r="3884" spans="1:1">
      <c r="A3884" s="151" t="s">
        <v>5852</v>
      </c>
    </row>
    <row r="3885" spans="1:1">
      <c r="A3885" s="151" t="s">
        <v>5853</v>
      </c>
    </row>
    <row r="3886" spans="1:1">
      <c r="A3886" s="151" t="s">
        <v>5854</v>
      </c>
    </row>
    <row r="3887" spans="1:1">
      <c r="A3887" s="151" t="s">
        <v>5855</v>
      </c>
    </row>
    <row r="3888" spans="1:1">
      <c r="A3888" s="151" t="s">
        <v>5856</v>
      </c>
    </row>
    <row r="3889" spans="1:1">
      <c r="A3889" s="151" t="s">
        <v>5857</v>
      </c>
    </row>
    <row r="3890" spans="1:1">
      <c r="A3890" s="151" t="s">
        <v>5858</v>
      </c>
    </row>
    <row r="3891" spans="1:1">
      <c r="A3891" s="151" t="s">
        <v>5859</v>
      </c>
    </row>
    <row r="3892" spans="1:1">
      <c r="A3892" s="151" t="s">
        <v>5860</v>
      </c>
    </row>
    <row r="3893" spans="1:1">
      <c r="A3893" s="151" t="s">
        <v>5861</v>
      </c>
    </row>
    <row r="3894" spans="1:1">
      <c r="A3894" s="151" t="s">
        <v>5862</v>
      </c>
    </row>
    <row r="3895" spans="1:1">
      <c r="A3895" s="151" t="s">
        <v>5863</v>
      </c>
    </row>
    <row r="3896" spans="1:1">
      <c r="A3896" s="151" t="s">
        <v>5864</v>
      </c>
    </row>
    <row r="3897" spans="1:1">
      <c r="A3897" s="151" t="s">
        <v>5865</v>
      </c>
    </row>
    <row r="3898" spans="1:1">
      <c r="A3898" s="151" t="s">
        <v>5866</v>
      </c>
    </row>
    <row r="3899" spans="1:1">
      <c r="A3899" s="151" t="s">
        <v>5867</v>
      </c>
    </row>
    <row r="3900" spans="1:1">
      <c r="A3900" s="151" t="s">
        <v>5868</v>
      </c>
    </row>
    <row r="3901" spans="1:1">
      <c r="A3901" s="151" t="s">
        <v>5869</v>
      </c>
    </row>
    <row r="3902" spans="1:1">
      <c r="A3902" s="151" t="s">
        <v>5870</v>
      </c>
    </row>
    <row r="3903" spans="1:1">
      <c r="A3903" s="151" t="s">
        <v>5871</v>
      </c>
    </row>
    <row r="3904" spans="1:1">
      <c r="A3904" s="151" t="s">
        <v>5872</v>
      </c>
    </row>
    <row r="3905" spans="1:1">
      <c r="A3905" s="151" t="s">
        <v>5873</v>
      </c>
    </row>
    <row r="3906" spans="1:1">
      <c r="A3906" s="151" t="s">
        <v>5874</v>
      </c>
    </row>
    <row r="3907" spans="1:1">
      <c r="A3907" s="151" t="s">
        <v>5875</v>
      </c>
    </row>
    <row r="3908" spans="1:1">
      <c r="A3908" s="151" t="s">
        <v>5876</v>
      </c>
    </row>
    <row r="3909" spans="1:1">
      <c r="A3909" s="151" t="s">
        <v>5877</v>
      </c>
    </row>
    <row r="3910" spans="1:1">
      <c r="A3910" s="151" t="s">
        <v>5878</v>
      </c>
    </row>
    <row r="3911" spans="1:1">
      <c r="A3911" s="151" t="s">
        <v>5879</v>
      </c>
    </row>
    <row r="3912" spans="1:1">
      <c r="A3912" s="151" t="s">
        <v>5880</v>
      </c>
    </row>
    <row r="3913" spans="1:1">
      <c r="A3913" s="151" t="s">
        <v>5881</v>
      </c>
    </row>
    <row r="3914" spans="1:1">
      <c r="A3914" s="151" t="s">
        <v>5882</v>
      </c>
    </row>
    <row r="3915" spans="1:1">
      <c r="A3915" s="151" t="s">
        <v>5883</v>
      </c>
    </row>
    <row r="3916" spans="1:1">
      <c r="A3916" s="151" t="s">
        <v>5884</v>
      </c>
    </row>
    <row r="3917" spans="1:1">
      <c r="A3917" s="151" t="s">
        <v>5885</v>
      </c>
    </row>
    <row r="3918" spans="1:1">
      <c r="A3918" s="151" t="s">
        <v>5886</v>
      </c>
    </row>
    <row r="3919" spans="1:1">
      <c r="A3919" s="151" t="s">
        <v>5887</v>
      </c>
    </row>
    <row r="3920" spans="1:1">
      <c r="A3920" s="151" t="s">
        <v>5888</v>
      </c>
    </row>
    <row r="3921" spans="1:1">
      <c r="A3921" s="151" t="s">
        <v>5889</v>
      </c>
    </row>
    <row r="3922" spans="1:1">
      <c r="A3922" s="151" t="s">
        <v>5890</v>
      </c>
    </row>
    <row r="3923" spans="1:1">
      <c r="A3923" s="151" t="s">
        <v>5891</v>
      </c>
    </row>
    <row r="3924" spans="1:1">
      <c r="A3924" s="151" t="s">
        <v>5892</v>
      </c>
    </row>
    <row r="3925" spans="1:1">
      <c r="A3925" s="151" t="s">
        <v>5893</v>
      </c>
    </row>
    <row r="3926" spans="1:1">
      <c r="A3926" s="151" t="s">
        <v>5894</v>
      </c>
    </row>
    <row r="3927" spans="1:1">
      <c r="A3927" s="151" t="s">
        <v>5895</v>
      </c>
    </row>
    <row r="3928" spans="1:1">
      <c r="A3928" s="151" t="s">
        <v>5896</v>
      </c>
    </row>
    <row r="3929" spans="1:1">
      <c r="A3929" s="151" t="s">
        <v>5897</v>
      </c>
    </row>
    <row r="3930" spans="1:1">
      <c r="A3930" s="151" t="s">
        <v>5898</v>
      </c>
    </row>
    <row r="3931" spans="1:1">
      <c r="A3931" s="151" t="s">
        <v>5899</v>
      </c>
    </row>
    <row r="3932" spans="1:1">
      <c r="A3932" s="151" t="s">
        <v>5900</v>
      </c>
    </row>
    <row r="3933" spans="1:1">
      <c r="A3933" s="151" t="s">
        <v>5901</v>
      </c>
    </row>
    <row r="3934" spans="1:1">
      <c r="A3934" s="151" t="s">
        <v>5902</v>
      </c>
    </row>
    <row r="3935" spans="1:1">
      <c r="A3935" s="151" t="s">
        <v>5903</v>
      </c>
    </row>
    <row r="3936" spans="1:1">
      <c r="A3936" s="151" t="s">
        <v>5904</v>
      </c>
    </row>
    <row r="3937" spans="1:1">
      <c r="A3937" s="151" t="s">
        <v>5905</v>
      </c>
    </row>
    <row r="3938" spans="1:1">
      <c r="A3938" s="151" t="s">
        <v>5906</v>
      </c>
    </row>
    <row r="3939" spans="1:1">
      <c r="A3939" s="151" t="s">
        <v>5907</v>
      </c>
    </row>
    <row r="3940" spans="1:1">
      <c r="A3940" s="151" t="s">
        <v>5908</v>
      </c>
    </row>
    <row r="3941" spans="1:1">
      <c r="A3941" s="151" t="s">
        <v>5909</v>
      </c>
    </row>
    <row r="3942" spans="1:1">
      <c r="A3942" s="151" t="s">
        <v>5910</v>
      </c>
    </row>
    <row r="3943" spans="1:1">
      <c r="A3943" s="151" t="s">
        <v>5911</v>
      </c>
    </row>
    <row r="3944" spans="1:1">
      <c r="A3944" s="151" t="s">
        <v>5912</v>
      </c>
    </row>
    <row r="3945" spans="1:1">
      <c r="A3945" s="151" t="s">
        <v>5913</v>
      </c>
    </row>
    <row r="3946" spans="1:1">
      <c r="A3946" s="151" t="s">
        <v>5914</v>
      </c>
    </row>
    <row r="3947" spans="1:1">
      <c r="A3947" s="151" t="s">
        <v>5915</v>
      </c>
    </row>
    <row r="3948" spans="1:1">
      <c r="A3948" s="151" t="s">
        <v>5916</v>
      </c>
    </row>
    <row r="3949" spans="1:1">
      <c r="A3949" s="151" t="s">
        <v>5917</v>
      </c>
    </row>
    <row r="3950" spans="1:1">
      <c r="A3950" s="151" t="s">
        <v>5918</v>
      </c>
    </row>
    <row r="3951" spans="1:1">
      <c r="A3951" s="151" t="s">
        <v>5919</v>
      </c>
    </row>
    <row r="3952" spans="1:1">
      <c r="A3952" s="151" t="s">
        <v>5920</v>
      </c>
    </row>
    <row r="3953" spans="1:1">
      <c r="A3953" s="151" t="s">
        <v>5921</v>
      </c>
    </row>
    <row r="3954" spans="1:1">
      <c r="A3954" s="151" t="s">
        <v>5922</v>
      </c>
    </row>
    <row r="3955" spans="1:1">
      <c r="A3955" s="151" t="s">
        <v>5923</v>
      </c>
    </row>
    <row r="3956" spans="1:1">
      <c r="A3956" s="151" t="s">
        <v>5924</v>
      </c>
    </row>
    <row r="3957" spans="1:1">
      <c r="A3957" s="151" t="s">
        <v>5925</v>
      </c>
    </row>
    <row r="3958" spans="1:1">
      <c r="A3958" s="151" t="s">
        <v>5926</v>
      </c>
    </row>
    <row r="3959" spans="1:1">
      <c r="A3959" s="151" t="s">
        <v>5927</v>
      </c>
    </row>
    <row r="3960" spans="1:1">
      <c r="A3960" s="151" t="s">
        <v>5928</v>
      </c>
    </row>
    <row r="3961" spans="1:1">
      <c r="A3961" s="151" t="s">
        <v>5929</v>
      </c>
    </row>
    <row r="3962" spans="1:1">
      <c r="A3962" s="151" t="s">
        <v>5930</v>
      </c>
    </row>
    <row r="3963" spans="1:1">
      <c r="A3963" s="151" t="s">
        <v>5931</v>
      </c>
    </row>
    <row r="3964" spans="1:1">
      <c r="A3964" s="151" t="s">
        <v>5932</v>
      </c>
    </row>
    <row r="3965" spans="1:1">
      <c r="A3965" s="151" t="s">
        <v>5933</v>
      </c>
    </row>
    <row r="3966" spans="1:1">
      <c r="A3966" s="151" t="s">
        <v>5934</v>
      </c>
    </row>
    <row r="3967" spans="1:1">
      <c r="A3967" s="151" t="s">
        <v>5935</v>
      </c>
    </row>
    <row r="3968" spans="1:1">
      <c r="A3968" s="151" t="s">
        <v>5936</v>
      </c>
    </row>
    <row r="3969" spans="1:1">
      <c r="A3969" s="151" t="s">
        <v>5937</v>
      </c>
    </row>
    <row r="3970" spans="1:1">
      <c r="A3970" s="151" t="s">
        <v>5938</v>
      </c>
    </row>
    <row r="3971" spans="1:1">
      <c r="A3971" s="151" t="s">
        <v>5939</v>
      </c>
    </row>
    <row r="3972" spans="1:1">
      <c r="A3972" s="151" t="s">
        <v>5940</v>
      </c>
    </row>
    <row r="3973" spans="1:1">
      <c r="A3973" s="151" t="s">
        <v>5941</v>
      </c>
    </row>
    <row r="3974" spans="1:1">
      <c r="A3974" s="151" t="s">
        <v>5942</v>
      </c>
    </row>
    <row r="3975" spans="1:1">
      <c r="A3975" s="151" t="s">
        <v>5943</v>
      </c>
    </row>
    <row r="3976" spans="1:1">
      <c r="A3976" s="151" t="s">
        <v>5944</v>
      </c>
    </row>
    <row r="3977" spans="1:1">
      <c r="A3977" s="151" t="s">
        <v>5945</v>
      </c>
    </row>
    <row r="3978" spans="1:1">
      <c r="A3978" s="151" t="s">
        <v>5946</v>
      </c>
    </row>
    <row r="3979" spans="1:1">
      <c r="A3979" s="151" t="s">
        <v>5947</v>
      </c>
    </row>
    <row r="3980" spans="1:1">
      <c r="A3980" s="151" t="s">
        <v>5948</v>
      </c>
    </row>
    <row r="3981" spans="1:1">
      <c r="A3981" s="151" t="s">
        <v>5949</v>
      </c>
    </row>
    <row r="3982" spans="1:1">
      <c r="A3982" s="151" t="s">
        <v>5950</v>
      </c>
    </row>
    <row r="3983" spans="1:1">
      <c r="A3983" s="151" t="s">
        <v>5951</v>
      </c>
    </row>
    <row r="3984" spans="1:1">
      <c r="A3984" s="151" t="s">
        <v>5952</v>
      </c>
    </row>
    <row r="3985" spans="1:1">
      <c r="A3985" s="151" t="s">
        <v>5953</v>
      </c>
    </row>
    <row r="3986" spans="1:1">
      <c r="A3986" s="151" t="s">
        <v>5954</v>
      </c>
    </row>
    <row r="3987" spans="1:1">
      <c r="A3987" s="151" t="s">
        <v>5955</v>
      </c>
    </row>
    <row r="3988" spans="1:1">
      <c r="A3988" s="151" t="s">
        <v>5956</v>
      </c>
    </row>
    <row r="3989" spans="1:1">
      <c r="A3989" s="151" t="s">
        <v>5957</v>
      </c>
    </row>
    <row r="3990" spans="1:1">
      <c r="A3990" s="151" t="s">
        <v>5958</v>
      </c>
    </row>
    <row r="3991" spans="1:1">
      <c r="A3991" s="151" t="s">
        <v>5959</v>
      </c>
    </row>
    <row r="3992" spans="1:1">
      <c r="A3992" s="151" t="s">
        <v>5960</v>
      </c>
    </row>
    <row r="3993" spans="1:1">
      <c r="A3993" s="151" t="s">
        <v>5961</v>
      </c>
    </row>
    <row r="3994" spans="1:1">
      <c r="A3994" s="151" t="s">
        <v>5962</v>
      </c>
    </row>
    <row r="3995" spans="1:1">
      <c r="A3995" s="151" t="s">
        <v>5963</v>
      </c>
    </row>
    <row r="3996" spans="1:1">
      <c r="A3996" s="151" t="s">
        <v>5964</v>
      </c>
    </row>
    <row r="3997" spans="1:1">
      <c r="A3997" s="151" t="s">
        <v>5965</v>
      </c>
    </row>
    <row r="3998" spans="1:1">
      <c r="A3998" s="151" t="s">
        <v>5966</v>
      </c>
    </row>
    <row r="3999" spans="1:1">
      <c r="A3999" s="151" t="s">
        <v>5967</v>
      </c>
    </row>
    <row r="4000" spans="1:1">
      <c r="A4000" s="151" t="s">
        <v>5968</v>
      </c>
    </row>
    <row r="4001" spans="1:1">
      <c r="A4001" s="151" t="s">
        <v>5969</v>
      </c>
    </row>
    <row r="4002" spans="1:1">
      <c r="A4002" s="151" t="s">
        <v>5970</v>
      </c>
    </row>
    <row r="4003" spans="1:1">
      <c r="A4003" s="151" t="s">
        <v>5971</v>
      </c>
    </row>
    <row r="4004" spans="1:1">
      <c r="A4004" s="151" t="s">
        <v>5972</v>
      </c>
    </row>
    <row r="4005" spans="1:1">
      <c r="A4005" s="151" t="s">
        <v>5973</v>
      </c>
    </row>
    <row r="4006" spans="1:1">
      <c r="A4006" s="151" t="s">
        <v>5974</v>
      </c>
    </row>
    <row r="4007" spans="1:1">
      <c r="A4007" s="151" t="s">
        <v>5975</v>
      </c>
    </row>
    <row r="4008" spans="1:1">
      <c r="A4008" s="151" t="s">
        <v>5976</v>
      </c>
    </row>
    <row r="4009" spans="1:1">
      <c r="A4009" s="151" t="s">
        <v>5977</v>
      </c>
    </row>
    <row r="4010" spans="1:1">
      <c r="A4010" s="151" t="s">
        <v>5978</v>
      </c>
    </row>
    <row r="4011" spans="1:1">
      <c r="A4011" s="151" t="s">
        <v>5979</v>
      </c>
    </row>
    <row r="4012" spans="1:1">
      <c r="A4012" s="151" t="s">
        <v>5980</v>
      </c>
    </row>
    <row r="4013" spans="1:1">
      <c r="A4013" s="151" t="s">
        <v>5981</v>
      </c>
    </row>
    <row r="4014" spans="1:1">
      <c r="A4014" s="151" t="s">
        <v>5982</v>
      </c>
    </row>
    <row r="4015" spans="1:1">
      <c r="A4015" s="151" t="s">
        <v>5983</v>
      </c>
    </row>
    <row r="4016" spans="1:1">
      <c r="A4016" s="151" t="s">
        <v>5984</v>
      </c>
    </row>
    <row r="4017" spans="1:1">
      <c r="A4017" s="151" t="s">
        <v>5985</v>
      </c>
    </row>
    <row r="4018" spans="1:1">
      <c r="A4018" s="151" t="s">
        <v>5986</v>
      </c>
    </row>
    <row r="4019" spans="1:1">
      <c r="A4019" s="151" t="s">
        <v>5987</v>
      </c>
    </row>
    <row r="4020" spans="1:1">
      <c r="A4020" s="151" t="s">
        <v>5988</v>
      </c>
    </row>
    <row r="4021" spans="1:1">
      <c r="A4021" s="151" t="s">
        <v>5989</v>
      </c>
    </row>
    <row r="4022" spans="1:1">
      <c r="A4022" s="151" t="s">
        <v>5990</v>
      </c>
    </row>
    <row r="4023" spans="1:1">
      <c r="A4023" s="151" t="s">
        <v>5991</v>
      </c>
    </row>
    <row r="4024" spans="1:1">
      <c r="A4024" s="151" t="s">
        <v>5992</v>
      </c>
    </row>
    <row r="4025" spans="1:1">
      <c r="A4025" s="151" t="s">
        <v>5993</v>
      </c>
    </row>
    <row r="4026" spans="1:1">
      <c r="A4026" s="151" t="s">
        <v>5994</v>
      </c>
    </row>
    <row r="4027" spans="1:1">
      <c r="A4027" s="151" t="s">
        <v>5995</v>
      </c>
    </row>
    <row r="4028" spans="1:1">
      <c r="A4028" s="151" t="s">
        <v>5996</v>
      </c>
    </row>
    <row r="4029" spans="1:1">
      <c r="A4029" s="151" t="s">
        <v>5997</v>
      </c>
    </row>
    <row r="4030" spans="1:1">
      <c r="A4030" s="151" t="s">
        <v>5998</v>
      </c>
    </row>
    <row r="4031" spans="1:1">
      <c r="A4031" s="151" t="s">
        <v>5999</v>
      </c>
    </row>
    <row r="4032" spans="1:1">
      <c r="A4032" s="151" t="s">
        <v>6000</v>
      </c>
    </row>
    <row r="4033" spans="1:1">
      <c r="A4033" s="151" t="s">
        <v>6001</v>
      </c>
    </row>
    <row r="4034" spans="1:1">
      <c r="A4034" s="151" t="s">
        <v>6002</v>
      </c>
    </row>
    <row r="4035" spans="1:1">
      <c r="A4035" s="151" t="s">
        <v>6003</v>
      </c>
    </row>
    <row r="4036" spans="1:1">
      <c r="A4036" s="151" t="s">
        <v>6004</v>
      </c>
    </row>
    <row r="4037" spans="1:1">
      <c r="A4037" s="151" t="s">
        <v>6005</v>
      </c>
    </row>
    <row r="4038" spans="1:1">
      <c r="A4038" s="151" t="s">
        <v>6006</v>
      </c>
    </row>
    <row r="4039" spans="1:1">
      <c r="A4039" s="151" t="s">
        <v>6007</v>
      </c>
    </row>
    <row r="4040" spans="1:1">
      <c r="A4040" s="151" t="s">
        <v>6008</v>
      </c>
    </row>
    <row r="4041" spans="1:1">
      <c r="A4041" s="151" t="s">
        <v>6009</v>
      </c>
    </row>
    <row r="4042" spans="1:1">
      <c r="A4042" s="151" t="s">
        <v>6010</v>
      </c>
    </row>
    <row r="4043" spans="1:1">
      <c r="A4043" s="151" t="s">
        <v>6011</v>
      </c>
    </row>
    <row r="4044" spans="1:1">
      <c r="A4044" s="151" t="s">
        <v>6012</v>
      </c>
    </row>
    <row r="4045" spans="1:1">
      <c r="A4045" s="151" t="s">
        <v>6013</v>
      </c>
    </row>
    <row r="4046" spans="1:1">
      <c r="A4046" s="151" t="s">
        <v>6014</v>
      </c>
    </row>
    <row r="4047" spans="1:1">
      <c r="A4047" s="151" t="s">
        <v>6015</v>
      </c>
    </row>
    <row r="4048" spans="1:1">
      <c r="A4048" s="151" t="s">
        <v>6016</v>
      </c>
    </row>
    <row r="4049" spans="1:1">
      <c r="A4049" s="151" t="s">
        <v>6017</v>
      </c>
    </row>
    <row r="4050" spans="1:1">
      <c r="A4050" s="151" t="s">
        <v>6018</v>
      </c>
    </row>
    <row r="4051" spans="1:1">
      <c r="A4051" s="151" t="s">
        <v>6019</v>
      </c>
    </row>
    <row r="4052" spans="1:1">
      <c r="A4052" s="151" t="s">
        <v>6020</v>
      </c>
    </row>
    <row r="4053" spans="1:1">
      <c r="A4053" s="151" t="s">
        <v>6021</v>
      </c>
    </row>
    <row r="4054" spans="1:1">
      <c r="A4054" s="151" t="s">
        <v>6022</v>
      </c>
    </row>
    <row r="4055" spans="1:1">
      <c r="A4055" s="151" t="s">
        <v>6023</v>
      </c>
    </row>
    <row r="4056" spans="1:1">
      <c r="A4056" s="151" t="s">
        <v>6024</v>
      </c>
    </row>
    <row r="4057" spans="1:1">
      <c r="A4057" s="151" t="s">
        <v>6025</v>
      </c>
    </row>
    <row r="4058" spans="1:1">
      <c r="A4058" s="151" t="s">
        <v>6026</v>
      </c>
    </row>
    <row r="4059" spans="1:1">
      <c r="A4059" s="151" t="s">
        <v>6027</v>
      </c>
    </row>
    <row r="4060" spans="1:1">
      <c r="A4060" s="151" t="s">
        <v>6028</v>
      </c>
    </row>
    <row r="4061" spans="1:1">
      <c r="A4061" s="151" t="s">
        <v>6029</v>
      </c>
    </row>
    <row r="4062" spans="1:1">
      <c r="A4062" s="151" t="s">
        <v>6030</v>
      </c>
    </row>
    <row r="4063" spans="1:1">
      <c r="A4063" s="151" t="s">
        <v>6031</v>
      </c>
    </row>
    <row r="4064" spans="1:1">
      <c r="A4064" s="151" t="s">
        <v>6032</v>
      </c>
    </row>
    <row r="4065" spans="1:1">
      <c r="A4065" s="151" t="s">
        <v>6033</v>
      </c>
    </row>
    <row r="4066" spans="1:1">
      <c r="A4066" s="151" t="s">
        <v>6034</v>
      </c>
    </row>
    <row r="4067" spans="1:1">
      <c r="A4067" s="151" t="s">
        <v>6035</v>
      </c>
    </row>
    <row r="4068" spans="1:1">
      <c r="A4068" s="151" t="s">
        <v>6036</v>
      </c>
    </row>
    <row r="4069" spans="1:1">
      <c r="A4069" s="151" t="s">
        <v>6037</v>
      </c>
    </row>
    <row r="4070" spans="1:1">
      <c r="A4070" s="151" t="s">
        <v>6038</v>
      </c>
    </row>
    <row r="4071" spans="1:1">
      <c r="A4071" s="151" t="s">
        <v>6039</v>
      </c>
    </row>
    <row r="4072" spans="1:1">
      <c r="A4072" s="151" t="s">
        <v>6040</v>
      </c>
    </row>
    <row r="4073" spans="1:1">
      <c r="A4073" s="151" t="s">
        <v>6041</v>
      </c>
    </row>
    <row r="4074" spans="1:1">
      <c r="A4074" s="151" t="s">
        <v>6042</v>
      </c>
    </row>
    <row r="4075" spans="1:1">
      <c r="A4075" s="151" t="s">
        <v>6043</v>
      </c>
    </row>
    <row r="4076" spans="1:1">
      <c r="A4076" s="151" t="s">
        <v>6044</v>
      </c>
    </row>
    <row r="4077" spans="1:1">
      <c r="A4077" s="151" t="s">
        <v>6045</v>
      </c>
    </row>
    <row r="4078" spans="1:1">
      <c r="A4078" s="151" t="s">
        <v>6046</v>
      </c>
    </row>
    <row r="4079" spans="1:1">
      <c r="A4079" s="151" t="s">
        <v>6047</v>
      </c>
    </row>
    <row r="4080" spans="1:1">
      <c r="A4080" s="151" t="s">
        <v>6048</v>
      </c>
    </row>
    <row r="4081" spans="1:1">
      <c r="A4081" s="151" t="s">
        <v>6049</v>
      </c>
    </row>
    <row r="4082" spans="1:1">
      <c r="A4082" s="151" t="s">
        <v>6050</v>
      </c>
    </row>
    <row r="4083" spans="1:1">
      <c r="A4083" s="151" t="s">
        <v>6051</v>
      </c>
    </row>
    <row r="4084" spans="1:1">
      <c r="A4084" s="151" t="s">
        <v>6052</v>
      </c>
    </row>
    <row r="4085" spans="1:1">
      <c r="A4085" s="151" t="s">
        <v>6053</v>
      </c>
    </row>
    <row r="4086" spans="1:1">
      <c r="A4086" s="151" t="s">
        <v>6054</v>
      </c>
    </row>
    <row r="4087" spans="1:1">
      <c r="A4087" s="151" t="s">
        <v>6055</v>
      </c>
    </row>
    <row r="4088" spans="1:1">
      <c r="A4088" s="151" t="s">
        <v>6056</v>
      </c>
    </row>
    <row r="4089" spans="1:1">
      <c r="A4089" s="151" t="s">
        <v>6057</v>
      </c>
    </row>
    <row r="4090" spans="1:1">
      <c r="A4090" s="151" t="s">
        <v>6058</v>
      </c>
    </row>
    <row r="4091" spans="1:1">
      <c r="A4091" s="151" t="s">
        <v>6059</v>
      </c>
    </row>
    <row r="4092" spans="1:1">
      <c r="A4092" s="151" t="s">
        <v>6060</v>
      </c>
    </row>
    <row r="4093" spans="1:1">
      <c r="A4093" s="151" t="s">
        <v>6061</v>
      </c>
    </row>
    <row r="4094" spans="1:1">
      <c r="A4094" s="151" t="s">
        <v>6062</v>
      </c>
    </row>
    <row r="4095" spans="1:1">
      <c r="A4095" s="151" t="s">
        <v>6063</v>
      </c>
    </row>
    <row r="4096" spans="1:1">
      <c r="A4096" s="151" t="s">
        <v>6064</v>
      </c>
    </row>
    <row r="4097" spans="1:1">
      <c r="A4097" s="151" t="s">
        <v>6065</v>
      </c>
    </row>
    <row r="4098" spans="1:1">
      <c r="A4098" s="151" t="s">
        <v>6066</v>
      </c>
    </row>
    <row r="4099" spans="1:1">
      <c r="A4099" s="151" t="s">
        <v>6067</v>
      </c>
    </row>
    <row r="4100" spans="1:1">
      <c r="A4100" s="151" t="s">
        <v>6068</v>
      </c>
    </row>
    <row r="4101" spans="1:1">
      <c r="A4101" s="151" t="s">
        <v>6069</v>
      </c>
    </row>
    <row r="4102" spans="1:1">
      <c r="A4102" s="151" t="s">
        <v>6070</v>
      </c>
    </row>
    <row r="4103" spans="1:1">
      <c r="A4103" s="151" t="s">
        <v>6071</v>
      </c>
    </row>
    <row r="4104" spans="1:1">
      <c r="A4104" s="151" t="s">
        <v>6072</v>
      </c>
    </row>
    <row r="4105" spans="1:1">
      <c r="A4105" s="151" t="s">
        <v>6073</v>
      </c>
    </row>
    <row r="4106" spans="1:1">
      <c r="A4106" s="151" t="s">
        <v>6074</v>
      </c>
    </row>
    <row r="4107" spans="1:1">
      <c r="A4107" s="151" t="s">
        <v>6075</v>
      </c>
    </row>
    <row r="4108" spans="1:1">
      <c r="A4108" s="151" t="s">
        <v>6076</v>
      </c>
    </row>
    <row r="4109" spans="1:1">
      <c r="A4109" s="151" t="s">
        <v>6077</v>
      </c>
    </row>
    <row r="4110" spans="1:1">
      <c r="A4110" s="151" t="s">
        <v>6078</v>
      </c>
    </row>
    <row r="4111" spans="1:1">
      <c r="A4111" s="151" t="s">
        <v>6079</v>
      </c>
    </row>
    <row r="4112" spans="1:1">
      <c r="A4112" s="151" t="s">
        <v>6080</v>
      </c>
    </row>
    <row r="4113" spans="1:1">
      <c r="A4113" s="151" t="s">
        <v>6081</v>
      </c>
    </row>
    <row r="4114" spans="1:1">
      <c r="A4114" s="151" t="s">
        <v>6082</v>
      </c>
    </row>
    <row r="4115" spans="1:1">
      <c r="A4115" s="151" t="s">
        <v>6083</v>
      </c>
    </row>
    <row r="4116" spans="1:1">
      <c r="A4116" s="151" t="s">
        <v>6084</v>
      </c>
    </row>
    <row r="4117" spans="1:1">
      <c r="A4117" s="151" t="s">
        <v>6085</v>
      </c>
    </row>
    <row r="4118" spans="1:1">
      <c r="A4118" s="151" t="s">
        <v>6086</v>
      </c>
    </row>
    <row r="4119" spans="1:1">
      <c r="A4119" s="151" t="s">
        <v>6087</v>
      </c>
    </row>
    <row r="4120" spans="1:1">
      <c r="A4120" s="151" t="s">
        <v>6088</v>
      </c>
    </row>
    <row r="4121" spans="1:1">
      <c r="A4121" s="151" t="s">
        <v>6089</v>
      </c>
    </row>
    <row r="4122" spans="1:1">
      <c r="A4122" s="151" t="s">
        <v>6090</v>
      </c>
    </row>
    <row r="4123" spans="1:1">
      <c r="A4123" s="151" t="s">
        <v>6091</v>
      </c>
    </row>
    <row r="4124" spans="1:1">
      <c r="A4124" s="151" t="s">
        <v>6092</v>
      </c>
    </row>
    <row r="4125" spans="1:1">
      <c r="A4125" s="151" t="s">
        <v>6093</v>
      </c>
    </row>
    <row r="4126" spans="1:1">
      <c r="A4126" s="151" t="s">
        <v>6094</v>
      </c>
    </row>
    <row r="4127" spans="1:1">
      <c r="A4127" s="151" t="s">
        <v>6095</v>
      </c>
    </row>
    <row r="4128" spans="1:1">
      <c r="A4128" s="151" t="s">
        <v>6096</v>
      </c>
    </row>
    <row r="4129" spans="1:1">
      <c r="A4129" s="151" t="s">
        <v>6097</v>
      </c>
    </row>
    <row r="4130" spans="1:1">
      <c r="A4130" s="151" t="s">
        <v>6098</v>
      </c>
    </row>
    <row r="4131" spans="1:1">
      <c r="A4131" s="151" t="s">
        <v>6099</v>
      </c>
    </row>
    <row r="4132" spans="1:1">
      <c r="A4132" s="151" t="s">
        <v>6100</v>
      </c>
    </row>
    <row r="4133" spans="1:1">
      <c r="A4133" s="151" t="s">
        <v>6101</v>
      </c>
    </row>
    <row r="4134" spans="1:1">
      <c r="A4134" s="151" t="s">
        <v>6102</v>
      </c>
    </row>
    <row r="4135" spans="1:1">
      <c r="A4135" s="151" t="s">
        <v>6103</v>
      </c>
    </row>
    <row r="4136" spans="1:1">
      <c r="A4136" s="151" t="s">
        <v>6104</v>
      </c>
    </row>
    <row r="4137" spans="1:1">
      <c r="A4137" s="151" t="s">
        <v>6105</v>
      </c>
    </row>
    <row r="4138" spans="1:1">
      <c r="A4138" s="151" t="s">
        <v>6106</v>
      </c>
    </row>
    <row r="4139" spans="1:1">
      <c r="A4139" s="151" t="s">
        <v>6107</v>
      </c>
    </row>
    <row r="4140" spans="1:1">
      <c r="A4140" s="151" t="s">
        <v>6108</v>
      </c>
    </row>
    <row r="4141" spans="1:1">
      <c r="A4141" s="151" t="s">
        <v>6109</v>
      </c>
    </row>
    <row r="4142" spans="1:1">
      <c r="A4142" s="151" t="s">
        <v>6110</v>
      </c>
    </row>
    <row r="4143" spans="1:1">
      <c r="A4143" s="151" t="s">
        <v>6111</v>
      </c>
    </row>
    <row r="4144" spans="1:1">
      <c r="A4144" s="151" t="s">
        <v>6112</v>
      </c>
    </row>
    <row r="4145" spans="1:1">
      <c r="A4145" s="151" t="s">
        <v>6113</v>
      </c>
    </row>
    <row r="4146" spans="1:1">
      <c r="A4146" s="151" t="s">
        <v>6114</v>
      </c>
    </row>
    <row r="4147" spans="1:1">
      <c r="A4147" s="151" t="s">
        <v>6115</v>
      </c>
    </row>
    <row r="4148" spans="1:1">
      <c r="A4148" s="151" t="s">
        <v>6116</v>
      </c>
    </row>
    <row r="4149" spans="1:1">
      <c r="A4149" s="151" t="s">
        <v>6117</v>
      </c>
    </row>
    <row r="4150" spans="1:1">
      <c r="A4150" s="151" t="s">
        <v>6118</v>
      </c>
    </row>
    <row r="4151" spans="1:1">
      <c r="A4151" s="151" t="s">
        <v>6119</v>
      </c>
    </row>
    <row r="4152" spans="1:1">
      <c r="A4152" s="151" t="s">
        <v>6120</v>
      </c>
    </row>
    <row r="4153" spans="1:1">
      <c r="A4153" s="151" t="s">
        <v>6121</v>
      </c>
    </row>
    <row r="4154" spans="1:1">
      <c r="A4154" s="151" t="s">
        <v>6122</v>
      </c>
    </row>
    <row r="4155" spans="1:1">
      <c r="A4155" s="151" t="s">
        <v>6123</v>
      </c>
    </row>
    <row r="4156" spans="1:1">
      <c r="A4156" s="151" t="s">
        <v>6124</v>
      </c>
    </row>
    <row r="4157" spans="1:1">
      <c r="A4157" s="151" t="s">
        <v>6125</v>
      </c>
    </row>
    <row r="4158" spans="1:1">
      <c r="A4158" s="151" t="s">
        <v>6126</v>
      </c>
    </row>
    <row r="4159" spans="1:1">
      <c r="A4159" s="151" t="s">
        <v>6127</v>
      </c>
    </row>
    <row r="4160" spans="1:1">
      <c r="A4160" s="151" t="s">
        <v>6128</v>
      </c>
    </row>
    <row r="4161" spans="1:1">
      <c r="A4161" s="151" t="s">
        <v>6129</v>
      </c>
    </row>
    <row r="4162" spans="1:1">
      <c r="A4162" s="151" t="s">
        <v>6130</v>
      </c>
    </row>
    <row r="4163" spans="1:1">
      <c r="A4163" s="151" t="s">
        <v>6131</v>
      </c>
    </row>
    <row r="4164" spans="1:1">
      <c r="A4164" s="151" t="s">
        <v>6132</v>
      </c>
    </row>
    <row r="4165" spans="1:1">
      <c r="A4165" s="151" t="s">
        <v>6133</v>
      </c>
    </row>
    <row r="4166" spans="1:1">
      <c r="A4166" s="151" t="s">
        <v>6134</v>
      </c>
    </row>
    <row r="4167" spans="1:1">
      <c r="A4167" s="151" t="s">
        <v>6135</v>
      </c>
    </row>
    <row r="4168" spans="1:1">
      <c r="A4168" s="151" t="s">
        <v>6136</v>
      </c>
    </row>
    <row r="4169" spans="1:1">
      <c r="A4169" s="151" t="s">
        <v>6137</v>
      </c>
    </row>
    <row r="4170" spans="1:1">
      <c r="A4170" s="151" t="s">
        <v>6138</v>
      </c>
    </row>
    <row r="4171" spans="1:1">
      <c r="A4171" s="151" t="s">
        <v>6139</v>
      </c>
    </row>
    <row r="4172" spans="1:1">
      <c r="A4172" s="151" t="s">
        <v>6140</v>
      </c>
    </row>
    <row r="4173" spans="1:1">
      <c r="A4173" s="151" t="s">
        <v>6141</v>
      </c>
    </row>
    <row r="4174" spans="1:1">
      <c r="A4174" s="151" t="s">
        <v>6142</v>
      </c>
    </row>
    <row r="4175" spans="1:1">
      <c r="A4175" s="151" t="s">
        <v>6143</v>
      </c>
    </row>
    <row r="4176" spans="1:1">
      <c r="A4176" s="151" t="s">
        <v>6144</v>
      </c>
    </row>
    <row r="4177" spans="1:1">
      <c r="A4177" s="151" t="s">
        <v>6145</v>
      </c>
    </row>
    <row r="4178" spans="1:1">
      <c r="A4178" s="151" t="s">
        <v>6146</v>
      </c>
    </row>
    <row r="4179" spans="1:1">
      <c r="A4179" s="151" t="s">
        <v>6147</v>
      </c>
    </row>
    <row r="4180" spans="1:1">
      <c r="A4180" s="151" t="s">
        <v>6148</v>
      </c>
    </row>
    <row r="4181" spans="1:1">
      <c r="A4181" s="151" t="s">
        <v>6149</v>
      </c>
    </row>
    <row r="4182" spans="1:1">
      <c r="A4182" s="151" t="s">
        <v>6150</v>
      </c>
    </row>
    <row r="4183" spans="1:1">
      <c r="A4183" s="151" t="s">
        <v>6151</v>
      </c>
    </row>
    <row r="4184" spans="1:1">
      <c r="A4184" s="151" t="s">
        <v>6152</v>
      </c>
    </row>
    <row r="4185" spans="1:1">
      <c r="A4185" s="151" t="s">
        <v>6153</v>
      </c>
    </row>
    <row r="4186" spans="1:1">
      <c r="A4186" s="151" t="s">
        <v>6154</v>
      </c>
    </row>
    <row r="4187" spans="1:1">
      <c r="A4187" s="151" t="s">
        <v>6155</v>
      </c>
    </row>
    <row r="4188" spans="1:1">
      <c r="A4188" s="151" t="s">
        <v>6156</v>
      </c>
    </row>
    <row r="4189" spans="1:1">
      <c r="A4189" s="151" t="s">
        <v>6157</v>
      </c>
    </row>
    <row r="4190" spans="1:1">
      <c r="A4190" s="151" t="s">
        <v>6158</v>
      </c>
    </row>
    <row r="4191" spans="1:1">
      <c r="A4191" s="151" t="s">
        <v>6159</v>
      </c>
    </row>
    <row r="4192" spans="1:1">
      <c r="A4192" s="151" t="s">
        <v>6160</v>
      </c>
    </row>
    <row r="4193" spans="1:1">
      <c r="A4193" s="151" t="s">
        <v>6161</v>
      </c>
    </row>
    <row r="4194" spans="1:1">
      <c r="A4194" s="151" t="s">
        <v>6162</v>
      </c>
    </row>
    <row r="4195" spans="1:1">
      <c r="A4195" s="151" t="s">
        <v>6163</v>
      </c>
    </row>
    <row r="4196" spans="1:1">
      <c r="A4196" s="151" t="s">
        <v>6164</v>
      </c>
    </row>
    <row r="4197" spans="1:1">
      <c r="A4197" s="151" t="s">
        <v>6165</v>
      </c>
    </row>
    <row r="4198" spans="1:1">
      <c r="A4198" s="151" t="s">
        <v>6166</v>
      </c>
    </row>
    <row r="4199" spans="1:1">
      <c r="A4199" s="151" t="s">
        <v>6167</v>
      </c>
    </row>
    <row r="4200" spans="1:1">
      <c r="A4200" s="151" t="s">
        <v>6168</v>
      </c>
    </row>
    <row r="4201" spans="1:1">
      <c r="A4201" s="151" t="s">
        <v>6169</v>
      </c>
    </row>
    <row r="4202" spans="1:1">
      <c r="A4202" s="151" t="s">
        <v>6170</v>
      </c>
    </row>
    <row r="4203" spans="1:1">
      <c r="A4203" s="151" t="s">
        <v>6171</v>
      </c>
    </row>
    <row r="4204" spans="1:1">
      <c r="A4204" s="151" t="s">
        <v>6172</v>
      </c>
    </row>
    <row r="4205" spans="1:1">
      <c r="A4205" s="151" t="s">
        <v>6173</v>
      </c>
    </row>
    <row r="4206" spans="1:1">
      <c r="A4206" s="151" t="s">
        <v>6174</v>
      </c>
    </row>
    <row r="4207" spans="1:1">
      <c r="A4207" s="151" t="s">
        <v>6175</v>
      </c>
    </row>
    <row r="4208" spans="1:1">
      <c r="A4208" s="151" t="s">
        <v>6176</v>
      </c>
    </row>
    <row r="4209" spans="1:1">
      <c r="A4209" s="151" t="s">
        <v>6177</v>
      </c>
    </row>
    <row r="4210" spans="1:1">
      <c r="A4210" s="151" t="s">
        <v>6178</v>
      </c>
    </row>
    <row r="4211" spans="1:1">
      <c r="A4211" s="151" t="s">
        <v>6179</v>
      </c>
    </row>
    <row r="4212" spans="1:1">
      <c r="A4212" s="151" t="s">
        <v>6180</v>
      </c>
    </row>
    <row r="4213" spans="1:1">
      <c r="A4213" s="151" t="s">
        <v>6181</v>
      </c>
    </row>
    <row r="4214" spans="1:1">
      <c r="A4214" s="151" t="s">
        <v>6182</v>
      </c>
    </row>
    <row r="4215" spans="1:1">
      <c r="A4215" s="151" t="s">
        <v>6183</v>
      </c>
    </row>
    <row r="4216" spans="1:1">
      <c r="A4216" s="151" t="s">
        <v>6184</v>
      </c>
    </row>
    <row r="4217" spans="1:1">
      <c r="A4217" s="151" t="s">
        <v>6185</v>
      </c>
    </row>
    <row r="4218" spans="1:1">
      <c r="A4218" s="151" t="s">
        <v>6186</v>
      </c>
    </row>
    <row r="4219" spans="1:1">
      <c r="A4219" s="151" t="s">
        <v>6187</v>
      </c>
    </row>
    <row r="4220" spans="1:1">
      <c r="A4220" s="151" t="s">
        <v>6188</v>
      </c>
    </row>
    <row r="4221" spans="1:1">
      <c r="A4221" s="151" t="s">
        <v>6189</v>
      </c>
    </row>
    <row r="4222" spans="1:1">
      <c r="A4222" s="151" t="s">
        <v>6190</v>
      </c>
    </row>
    <row r="4223" spans="1:1">
      <c r="A4223" s="151" t="s">
        <v>6191</v>
      </c>
    </row>
    <row r="4224" spans="1:1">
      <c r="A4224" s="151" t="s">
        <v>6192</v>
      </c>
    </row>
    <row r="4225" spans="1:1">
      <c r="A4225" s="151" t="s">
        <v>6193</v>
      </c>
    </row>
    <row r="4226" spans="1:1">
      <c r="A4226" s="151" t="s">
        <v>6194</v>
      </c>
    </row>
    <row r="4227" spans="1:1">
      <c r="A4227" s="151" t="s">
        <v>6195</v>
      </c>
    </row>
    <row r="4228" spans="1:1">
      <c r="A4228" s="151" t="s">
        <v>6196</v>
      </c>
    </row>
    <row r="4229" spans="1:1">
      <c r="A4229" s="151" t="s">
        <v>6197</v>
      </c>
    </row>
    <row r="4230" spans="1:1">
      <c r="A4230" s="151" t="s">
        <v>6198</v>
      </c>
    </row>
    <row r="4231" spans="1:1">
      <c r="A4231" s="151" t="s">
        <v>6199</v>
      </c>
    </row>
    <row r="4232" spans="1:1">
      <c r="A4232" s="151" t="s">
        <v>6200</v>
      </c>
    </row>
    <row r="4233" spans="1:1">
      <c r="A4233" s="151" t="s">
        <v>6201</v>
      </c>
    </row>
    <row r="4234" spans="1:1">
      <c r="A4234" s="151" t="s">
        <v>6202</v>
      </c>
    </row>
    <row r="4235" spans="1:1">
      <c r="A4235" s="151" t="s">
        <v>6203</v>
      </c>
    </row>
    <row r="4236" spans="1:1">
      <c r="A4236" s="151" t="s">
        <v>6204</v>
      </c>
    </row>
    <row r="4237" spans="1:1">
      <c r="A4237" s="151" t="s">
        <v>6205</v>
      </c>
    </row>
    <row r="4238" spans="1:1">
      <c r="A4238" s="151" t="s">
        <v>6206</v>
      </c>
    </row>
    <row r="4239" spans="1:1">
      <c r="A4239" s="151" t="s">
        <v>6207</v>
      </c>
    </row>
    <row r="4240" spans="1:1">
      <c r="A4240" s="151" t="s">
        <v>6208</v>
      </c>
    </row>
    <row r="4241" spans="1:1">
      <c r="A4241" s="151" t="s">
        <v>6209</v>
      </c>
    </row>
    <row r="4242" spans="1:1">
      <c r="A4242" s="151" t="s">
        <v>6210</v>
      </c>
    </row>
    <row r="4243" spans="1:1">
      <c r="A4243" s="151" t="s">
        <v>6211</v>
      </c>
    </row>
    <row r="4244" spans="1:1">
      <c r="A4244" s="151" t="s">
        <v>6212</v>
      </c>
    </row>
    <row r="4245" spans="1:1">
      <c r="A4245" s="151" t="s">
        <v>6213</v>
      </c>
    </row>
    <row r="4246" spans="1:1">
      <c r="A4246" s="151" t="s">
        <v>6214</v>
      </c>
    </row>
    <row r="4247" spans="1:1">
      <c r="A4247" s="151" t="s">
        <v>6215</v>
      </c>
    </row>
    <row r="4248" spans="1:1">
      <c r="A4248" s="151" t="s">
        <v>6216</v>
      </c>
    </row>
    <row r="4249" spans="1:1">
      <c r="A4249" s="151" t="s">
        <v>6217</v>
      </c>
    </row>
    <row r="4250" spans="1:1">
      <c r="A4250" s="151" t="s">
        <v>6218</v>
      </c>
    </row>
    <row r="4251" spans="1:1">
      <c r="A4251" s="151" t="s">
        <v>6219</v>
      </c>
    </row>
    <row r="4252" spans="1:1">
      <c r="A4252" s="151" t="s">
        <v>6220</v>
      </c>
    </row>
    <row r="4253" spans="1:1">
      <c r="A4253" s="151" t="s">
        <v>6221</v>
      </c>
    </row>
    <row r="4254" spans="1:1">
      <c r="A4254" s="151" t="s">
        <v>6222</v>
      </c>
    </row>
    <row r="4255" spans="1:1">
      <c r="A4255" s="151" t="s">
        <v>6223</v>
      </c>
    </row>
    <row r="4256" spans="1:1">
      <c r="A4256" s="151" t="s">
        <v>6224</v>
      </c>
    </row>
    <row r="4257" spans="1:1">
      <c r="A4257" s="151" t="s">
        <v>6225</v>
      </c>
    </row>
    <row r="4258" spans="1:1">
      <c r="A4258" s="151" t="s">
        <v>6226</v>
      </c>
    </row>
    <row r="4259" spans="1:1">
      <c r="A4259" s="151" t="s">
        <v>6227</v>
      </c>
    </row>
    <row r="4260" spans="1:1">
      <c r="A4260" s="151" t="s">
        <v>6228</v>
      </c>
    </row>
    <row r="4261" spans="1:1">
      <c r="A4261" s="151" t="s">
        <v>6229</v>
      </c>
    </row>
    <row r="4262" spans="1:1">
      <c r="A4262" s="151" t="s">
        <v>6230</v>
      </c>
    </row>
    <row r="4263" spans="1:1">
      <c r="A4263" s="151" t="s">
        <v>6231</v>
      </c>
    </row>
    <row r="4264" spans="1:1">
      <c r="A4264" s="151" t="s">
        <v>6232</v>
      </c>
    </row>
    <row r="4265" spans="1:1">
      <c r="A4265" s="151" t="s">
        <v>6233</v>
      </c>
    </row>
    <row r="4266" spans="1:1">
      <c r="A4266" s="151" t="s">
        <v>6234</v>
      </c>
    </row>
    <row r="4267" spans="1:1">
      <c r="A4267" s="151" t="s">
        <v>6235</v>
      </c>
    </row>
    <row r="4268" spans="1:1">
      <c r="A4268" s="151" t="s">
        <v>6236</v>
      </c>
    </row>
    <row r="4269" spans="1:1">
      <c r="A4269" s="151" t="s">
        <v>6237</v>
      </c>
    </row>
    <row r="4270" spans="1:1">
      <c r="A4270" s="151" t="s">
        <v>6238</v>
      </c>
    </row>
    <row r="4271" spans="1:1">
      <c r="A4271" s="151" t="s">
        <v>6239</v>
      </c>
    </row>
    <row r="4272" spans="1:1">
      <c r="A4272" s="151" t="s">
        <v>6240</v>
      </c>
    </row>
    <row r="4273" spans="1:1">
      <c r="A4273" s="151" t="s">
        <v>6241</v>
      </c>
    </row>
    <row r="4274" spans="1:1">
      <c r="A4274" s="151" t="s">
        <v>6242</v>
      </c>
    </row>
    <row r="4275" spans="1:1">
      <c r="A4275" s="151" t="s">
        <v>6243</v>
      </c>
    </row>
    <row r="4276" spans="1:1">
      <c r="A4276" s="151" t="s">
        <v>6244</v>
      </c>
    </row>
    <row r="4277" spans="1:1">
      <c r="A4277" s="151" t="s">
        <v>6245</v>
      </c>
    </row>
    <row r="4278" spans="1:1">
      <c r="A4278" s="151" t="s">
        <v>6246</v>
      </c>
    </row>
    <row r="4279" spans="1:1">
      <c r="A4279" s="151" t="s">
        <v>6247</v>
      </c>
    </row>
    <row r="4280" spans="1:1">
      <c r="A4280" s="151" t="s">
        <v>6248</v>
      </c>
    </row>
    <row r="4281" spans="1:1">
      <c r="A4281" s="151" t="s">
        <v>6249</v>
      </c>
    </row>
    <row r="4282" spans="1:1">
      <c r="A4282" s="151" t="s">
        <v>6250</v>
      </c>
    </row>
    <row r="4283" spans="1:1">
      <c r="A4283" s="151" t="s">
        <v>6251</v>
      </c>
    </row>
    <row r="4284" spans="1:1">
      <c r="A4284" s="151" t="s">
        <v>6252</v>
      </c>
    </row>
    <row r="4285" spans="1:1">
      <c r="A4285" s="151" t="s">
        <v>6253</v>
      </c>
    </row>
    <row r="4286" spans="1:1">
      <c r="A4286" s="151" t="s">
        <v>6254</v>
      </c>
    </row>
    <row r="4287" spans="1:1">
      <c r="A4287" s="151" t="s">
        <v>6255</v>
      </c>
    </row>
    <row r="4288" spans="1:1">
      <c r="A4288" s="151" t="s">
        <v>6256</v>
      </c>
    </row>
    <row r="4289" spans="1:1">
      <c r="A4289" s="151" t="s">
        <v>6257</v>
      </c>
    </row>
    <row r="4290" spans="1:1">
      <c r="A4290" s="151" t="s">
        <v>6258</v>
      </c>
    </row>
    <row r="4291" spans="1:1">
      <c r="A4291" s="151" t="s">
        <v>6259</v>
      </c>
    </row>
    <row r="4292" spans="1:1">
      <c r="A4292" s="151" t="s">
        <v>6260</v>
      </c>
    </row>
    <row r="4293" spans="1:1">
      <c r="A4293" s="151" t="s">
        <v>6261</v>
      </c>
    </row>
    <row r="4294" spans="1:1">
      <c r="A4294" s="151" t="s">
        <v>6262</v>
      </c>
    </row>
    <row r="4295" spans="1:1">
      <c r="A4295" s="151" t="s">
        <v>6263</v>
      </c>
    </row>
    <row r="4296" spans="1:1">
      <c r="A4296" s="151" t="s">
        <v>6264</v>
      </c>
    </row>
    <row r="4297" spans="1:1">
      <c r="A4297" s="151" t="s">
        <v>6265</v>
      </c>
    </row>
    <row r="4298" spans="1:1">
      <c r="A4298" s="151" t="s">
        <v>6266</v>
      </c>
    </row>
    <row r="4299" spans="1:1">
      <c r="A4299" s="151" t="s">
        <v>6267</v>
      </c>
    </row>
    <row r="4300" spans="1:1">
      <c r="A4300" s="151" t="s">
        <v>6268</v>
      </c>
    </row>
    <row r="4301" spans="1:1">
      <c r="A4301" s="151" t="s">
        <v>6269</v>
      </c>
    </row>
    <row r="4302" spans="1:1">
      <c r="A4302" s="151" t="s">
        <v>6270</v>
      </c>
    </row>
    <row r="4303" spans="1:1">
      <c r="A4303" s="151" t="s">
        <v>6271</v>
      </c>
    </row>
    <row r="4304" spans="1:1">
      <c r="A4304" s="151" t="s">
        <v>6272</v>
      </c>
    </row>
    <row r="4305" spans="1:1">
      <c r="A4305" s="151" t="s">
        <v>6273</v>
      </c>
    </row>
    <row r="4306" spans="1:1">
      <c r="A4306" s="151" t="s">
        <v>6274</v>
      </c>
    </row>
    <row r="4307" spans="1:1">
      <c r="A4307" s="151" t="s">
        <v>6275</v>
      </c>
    </row>
    <row r="4308" spans="1:1">
      <c r="A4308" s="151" t="s">
        <v>6276</v>
      </c>
    </row>
    <row r="4309" spans="1:1">
      <c r="A4309" s="151" t="s">
        <v>6277</v>
      </c>
    </row>
    <row r="4310" spans="1:1">
      <c r="A4310" s="151" t="s">
        <v>6278</v>
      </c>
    </row>
    <row r="4311" spans="1:1">
      <c r="A4311" s="151" t="s">
        <v>6279</v>
      </c>
    </row>
    <row r="4312" spans="1:1">
      <c r="A4312" s="151" t="s">
        <v>6280</v>
      </c>
    </row>
    <row r="4313" spans="1:1">
      <c r="A4313" s="151" t="s">
        <v>6281</v>
      </c>
    </row>
    <row r="4314" spans="1:1">
      <c r="A4314" s="151" t="s">
        <v>6282</v>
      </c>
    </row>
    <row r="4315" spans="1:1">
      <c r="A4315" s="151" t="s">
        <v>6283</v>
      </c>
    </row>
    <row r="4316" spans="1:1">
      <c r="A4316" s="151" t="s">
        <v>6284</v>
      </c>
    </row>
    <row r="4317" spans="1:1">
      <c r="A4317" s="151" t="s">
        <v>6285</v>
      </c>
    </row>
    <row r="4318" spans="1:1">
      <c r="A4318" s="151" t="s">
        <v>6286</v>
      </c>
    </row>
    <row r="4319" spans="1:1">
      <c r="A4319" s="151" t="s">
        <v>6287</v>
      </c>
    </row>
    <row r="4320" spans="1:1">
      <c r="A4320" s="151" t="s">
        <v>6288</v>
      </c>
    </row>
    <row r="4321" spans="1:1">
      <c r="A4321" s="151" t="s">
        <v>6289</v>
      </c>
    </row>
    <row r="4322" spans="1:1">
      <c r="A4322" s="151" t="s">
        <v>6290</v>
      </c>
    </row>
    <row r="4323" spans="1:1">
      <c r="A4323" s="151" t="s">
        <v>6291</v>
      </c>
    </row>
    <row r="4324" spans="1:1">
      <c r="A4324" s="151" t="s">
        <v>6292</v>
      </c>
    </row>
    <row r="4325" spans="1:1">
      <c r="A4325" s="151" t="s">
        <v>6293</v>
      </c>
    </row>
    <row r="4326" spans="1:1">
      <c r="A4326" s="151" t="s">
        <v>6294</v>
      </c>
    </row>
    <row r="4327" spans="1:1">
      <c r="A4327" s="151" t="s">
        <v>6295</v>
      </c>
    </row>
    <row r="4328" spans="1:1">
      <c r="A4328" s="151" t="s">
        <v>6296</v>
      </c>
    </row>
    <row r="4329" spans="1:1">
      <c r="A4329" s="151" t="s">
        <v>6297</v>
      </c>
    </row>
    <row r="4330" spans="1:1">
      <c r="A4330" s="151" t="s">
        <v>6298</v>
      </c>
    </row>
    <row r="4331" spans="1:1">
      <c r="A4331" s="151" t="s">
        <v>6299</v>
      </c>
    </row>
    <row r="4332" spans="1:1">
      <c r="A4332" s="151" t="s">
        <v>6300</v>
      </c>
    </row>
    <row r="4333" spans="1:1">
      <c r="A4333" s="151" t="s">
        <v>6301</v>
      </c>
    </row>
    <row r="4334" spans="1:1">
      <c r="A4334" s="151" t="s">
        <v>6302</v>
      </c>
    </row>
    <row r="4335" spans="1:1">
      <c r="A4335" s="151" t="s">
        <v>6303</v>
      </c>
    </row>
    <row r="4336" spans="1:1">
      <c r="A4336" s="151" t="s">
        <v>6304</v>
      </c>
    </row>
    <row r="4337" spans="1:1">
      <c r="A4337" s="151" t="s">
        <v>6305</v>
      </c>
    </row>
    <row r="4338" spans="1:1">
      <c r="A4338" s="151" t="s">
        <v>6306</v>
      </c>
    </row>
    <row r="4339" spans="1:1">
      <c r="A4339" s="151" t="s">
        <v>6307</v>
      </c>
    </row>
    <row r="4340" spans="1:1">
      <c r="A4340" s="151" t="s">
        <v>6308</v>
      </c>
    </row>
    <row r="4341" spans="1:1">
      <c r="A4341" s="151" t="s">
        <v>6309</v>
      </c>
    </row>
    <row r="4342" spans="1:1">
      <c r="A4342" s="151" t="s">
        <v>6310</v>
      </c>
    </row>
    <row r="4343" spans="1:1">
      <c r="A4343" s="151" t="s">
        <v>6311</v>
      </c>
    </row>
    <row r="4344" spans="1:1">
      <c r="A4344" s="151" t="s">
        <v>6312</v>
      </c>
    </row>
    <row r="4345" spans="1:1">
      <c r="A4345" s="151" t="s">
        <v>6313</v>
      </c>
    </row>
    <row r="4346" spans="1:1">
      <c r="A4346" s="151" t="s">
        <v>6314</v>
      </c>
    </row>
    <row r="4347" spans="1:1">
      <c r="A4347" s="151" t="s">
        <v>6315</v>
      </c>
    </row>
    <row r="4348" spans="1:1">
      <c r="A4348" s="151" t="s">
        <v>6316</v>
      </c>
    </row>
    <row r="4349" spans="1:1">
      <c r="A4349" s="151" t="s">
        <v>6317</v>
      </c>
    </row>
    <row r="4350" spans="1:1">
      <c r="A4350" s="151" t="s">
        <v>6318</v>
      </c>
    </row>
    <row r="4351" spans="1:1">
      <c r="A4351" s="151" t="s">
        <v>6319</v>
      </c>
    </row>
    <row r="4352" spans="1:1">
      <c r="A4352" s="151" t="s">
        <v>6320</v>
      </c>
    </row>
    <row r="4353" spans="1:1">
      <c r="A4353" s="151" t="s">
        <v>6321</v>
      </c>
    </row>
    <row r="4354" spans="1:1">
      <c r="A4354" s="151" t="s">
        <v>6322</v>
      </c>
    </row>
    <row r="4355" spans="1:1">
      <c r="A4355" s="151" t="s">
        <v>6323</v>
      </c>
    </row>
    <row r="4356" spans="1:1">
      <c r="A4356" s="151" t="s">
        <v>6324</v>
      </c>
    </row>
    <row r="4357" spans="1:1">
      <c r="A4357" s="151" t="s">
        <v>6325</v>
      </c>
    </row>
    <row r="4358" spans="1:1">
      <c r="A4358" s="151" t="s">
        <v>6326</v>
      </c>
    </row>
    <row r="4359" spans="1:1">
      <c r="A4359" s="151" t="s">
        <v>6327</v>
      </c>
    </row>
    <row r="4360" spans="1:1">
      <c r="A4360" s="151" t="s">
        <v>6328</v>
      </c>
    </row>
    <row r="4361" spans="1:1">
      <c r="A4361" s="151" t="s">
        <v>6329</v>
      </c>
    </row>
    <row r="4362" spans="1:1">
      <c r="A4362" s="151" t="s">
        <v>6330</v>
      </c>
    </row>
    <row r="4363" spans="1:1">
      <c r="A4363" s="151" t="s">
        <v>6331</v>
      </c>
    </row>
    <row r="4364" spans="1:1">
      <c r="A4364" s="151" t="s">
        <v>6332</v>
      </c>
    </row>
    <row r="4365" spans="1:1">
      <c r="A4365" s="151" t="s">
        <v>6333</v>
      </c>
    </row>
    <row r="4366" spans="1:1">
      <c r="A4366" s="151" t="s">
        <v>6334</v>
      </c>
    </row>
    <row r="4367" spans="1:1">
      <c r="A4367" s="151" t="s">
        <v>6335</v>
      </c>
    </row>
    <row r="4368" spans="1:1">
      <c r="A4368" s="151" t="s">
        <v>6336</v>
      </c>
    </row>
    <row r="4369" spans="1:1">
      <c r="A4369" s="151" t="s">
        <v>6337</v>
      </c>
    </row>
    <row r="4370" spans="1:1">
      <c r="A4370" s="151" t="s">
        <v>6338</v>
      </c>
    </row>
    <row r="4371" spans="1:1">
      <c r="A4371" s="151" t="s">
        <v>6339</v>
      </c>
    </row>
    <row r="4372" spans="1:1">
      <c r="A4372" s="151" t="s">
        <v>6340</v>
      </c>
    </row>
    <row r="4373" spans="1:1">
      <c r="A4373" s="151" t="s">
        <v>6341</v>
      </c>
    </row>
    <row r="4374" spans="1:1">
      <c r="A4374" s="151" t="s">
        <v>6342</v>
      </c>
    </row>
    <row r="4375" spans="1:1">
      <c r="A4375" s="151" t="s">
        <v>6343</v>
      </c>
    </row>
    <row r="4376" spans="1:1">
      <c r="A4376" s="151" t="s">
        <v>6344</v>
      </c>
    </row>
    <row r="4377" spans="1:1">
      <c r="A4377" s="151" t="s">
        <v>6345</v>
      </c>
    </row>
    <row r="4378" spans="1:1">
      <c r="A4378" s="151" t="s">
        <v>6346</v>
      </c>
    </row>
    <row r="4379" spans="1:1">
      <c r="A4379" s="151" t="s">
        <v>6347</v>
      </c>
    </row>
    <row r="4380" spans="1:1">
      <c r="A4380" s="151" t="s">
        <v>6348</v>
      </c>
    </row>
    <row r="4381" spans="1:1">
      <c r="A4381" s="151" t="s">
        <v>6349</v>
      </c>
    </row>
    <row r="4382" spans="1:1">
      <c r="A4382" s="151" t="s">
        <v>6350</v>
      </c>
    </row>
    <row r="4383" spans="1:1">
      <c r="A4383" s="151" t="s">
        <v>6351</v>
      </c>
    </row>
    <row r="4384" spans="1:1">
      <c r="A4384" s="151" t="s">
        <v>6352</v>
      </c>
    </row>
    <row r="4385" spans="1:1">
      <c r="A4385" s="151" t="s">
        <v>6353</v>
      </c>
    </row>
    <row r="4386" spans="1:1">
      <c r="A4386" s="151" t="s">
        <v>6354</v>
      </c>
    </row>
    <row r="4387" spans="1:1">
      <c r="A4387" s="151" t="s">
        <v>6355</v>
      </c>
    </row>
    <row r="4388" spans="1:1">
      <c r="A4388" s="151" t="s">
        <v>6356</v>
      </c>
    </row>
    <row r="4389" spans="1:1">
      <c r="A4389" s="151" t="s">
        <v>6357</v>
      </c>
    </row>
    <row r="4390" spans="1:1">
      <c r="A4390" s="151" t="s">
        <v>6358</v>
      </c>
    </row>
    <row r="4391" spans="1:1">
      <c r="A4391" s="151" t="s">
        <v>6359</v>
      </c>
    </row>
    <row r="4392" spans="1:1">
      <c r="A4392" s="151" t="s">
        <v>6360</v>
      </c>
    </row>
    <row r="4393" spans="1:1">
      <c r="A4393" s="151" t="s">
        <v>6361</v>
      </c>
    </row>
    <row r="4394" spans="1:1">
      <c r="A4394" s="151" t="s">
        <v>6362</v>
      </c>
    </row>
    <row r="4395" spans="1:1">
      <c r="A4395" s="151" t="s">
        <v>6363</v>
      </c>
    </row>
    <row r="4396" spans="1:1">
      <c r="A4396" s="151" t="s">
        <v>6364</v>
      </c>
    </row>
    <row r="4397" spans="1:1">
      <c r="A4397" s="151" t="s">
        <v>6365</v>
      </c>
    </row>
    <row r="4398" spans="1:1">
      <c r="A4398" s="151" t="s">
        <v>6366</v>
      </c>
    </row>
    <row r="4399" spans="1:1">
      <c r="A4399" s="151" t="s">
        <v>6367</v>
      </c>
    </row>
    <row r="4400" spans="1:1">
      <c r="A4400" s="151" t="s">
        <v>6368</v>
      </c>
    </row>
    <row r="4401" spans="1:1">
      <c r="A4401" s="151" t="s">
        <v>6369</v>
      </c>
    </row>
    <row r="4402" spans="1:1">
      <c r="A4402" s="151" t="s">
        <v>6370</v>
      </c>
    </row>
    <row r="4403" spans="1:1">
      <c r="A4403" s="151" t="s">
        <v>6371</v>
      </c>
    </row>
    <row r="4404" spans="1:1">
      <c r="A4404" s="151" t="s">
        <v>6372</v>
      </c>
    </row>
    <row r="4405" spans="1:1">
      <c r="A4405" s="151" t="s">
        <v>6373</v>
      </c>
    </row>
    <row r="4406" spans="1:1">
      <c r="A4406" s="151" t="s">
        <v>6374</v>
      </c>
    </row>
    <row r="4407" spans="1:1">
      <c r="A4407" s="151" t="s">
        <v>6375</v>
      </c>
    </row>
    <row r="4408" spans="1:1">
      <c r="A4408" s="151" t="s">
        <v>6376</v>
      </c>
    </row>
    <row r="4409" spans="1:1">
      <c r="A4409" s="151" t="s">
        <v>6377</v>
      </c>
    </row>
    <row r="4410" spans="1:1">
      <c r="A4410" s="151" t="s">
        <v>6378</v>
      </c>
    </row>
    <row r="4411" spans="1:1">
      <c r="A4411" s="151" t="s">
        <v>6379</v>
      </c>
    </row>
    <row r="4412" spans="1:1">
      <c r="A4412" s="151" t="s">
        <v>6380</v>
      </c>
    </row>
    <row r="4413" spans="1:1">
      <c r="A4413" s="151" t="s">
        <v>6381</v>
      </c>
    </row>
    <row r="4414" spans="1:1">
      <c r="A4414" s="151" t="s">
        <v>6382</v>
      </c>
    </row>
    <row r="4415" spans="1:1">
      <c r="A4415" s="151" t="s">
        <v>6383</v>
      </c>
    </row>
    <row r="4416" spans="1:1">
      <c r="A4416" s="151" t="s">
        <v>6384</v>
      </c>
    </row>
    <row r="4417" spans="1:1">
      <c r="A4417" s="151" t="s">
        <v>6385</v>
      </c>
    </row>
    <row r="4418" spans="1:1">
      <c r="A4418" s="151" t="s">
        <v>6386</v>
      </c>
    </row>
    <row r="4419" spans="1:1">
      <c r="A4419" s="151" t="s">
        <v>6387</v>
      </c>
    </row>
    <row r="4420" spans="1:1">
      <c r="A4420" s="151" t="s">
        <v>6388</v>
      </c>
    </row>
    <row r="4421" spans="1:1">
      <c r="A4421" s="151" t="s">
        <v>6389</v>
      </c>
    </row>
    <row r="4422" spans="1:1">
      <c r="A4422" s="151" t="s">
        <v>6390</v>
      </c>
    </row>
    <row r="4423" spans="1:1">
      <c r="A4423" s="151" t="s">
        <v>6391</v>
      </c>
    </row>
    <row r="4424" spans="1:1">
      <c r="A4424" s="151" t="s">
        <v>6392</v>
      </c>
    </row>
    <row r="4425" spans="1:1">
      <c r="A4425" s="151" t="s">
        <v>6393</v>
      </c>
    </row>
    <row r="4426" spans="1:1">
      <c r="A4426" s="151" t="s">
        <v>6394</v>
      </c>
    </row>
    <row r="4427" spans="1:1">
      <c r="A4427" s="151" t="s">
        <v>6395</v>
      </c>
    </row>
    <row r="4428" spans="1:1">
      <c r="A4428" s="151" t="s">
        <v>6396</v>
      </c>
    </row>
    <row r="4429" spans="1:1">
      <c r="A4429" s="151" t="s">
        <v>6397</v>
      </c>
    </row>
    <row r="4430" spans="1:1">
      <c r="A4430" s="151" t="s">
        <v>6398</v>
      </c>
    </row>
    <row r="4431" spans="1:1">
      <c r="A4431" s="151" t="s">
        <v>6399</v>
      </c>
    </row>
    <row r="4432" spans="1:1">
      <c r="A4432" s="151" t="s">
        <v>6400</v>
      </c>
    </row>
    <row r="4433" spans="1:1">
      <c r="A4433" s="151" t="s">
        <v>6401</v>
      </c>
    </row>
    <row r="4434" spans="1:1">
      <c r="A4434" s="151" t="s">
        <v>6402</v>
      </c>
    </row>
    <row r="4435" spans="1:1">
      <c r="A4435" s="151" t="s">
        <v>6403</v>
      </c>
    </row>
    <row r="4436" spans="1:1">
      <c r="A4436" s="151" t="s">
        <v>6404</v>
      </c>
    </row>
    <row r="4437" spans="1:1">
      <c r="A4437" s="151" t="s">
        <v>6405</v>
      </c>
    </row>
    <row r="4438" spans="1:1">
      <c r="A4438" s="151" t="s">
        <v>6406</v>
      </c>
    </row>
    <row r="4439" spans="1:1">
      <c r="A4439" s="151" t="s">
        <v>6407</v>
      </c>
    </row>
    <row r="4440" spans="1:1">
      <c r="A4440" s="151" t="s">
        <v>6408</v>
      </c>
    </row>
    <row r="4441" spans="1:1">
      <c r="A4441" s="151" t="s">
        <v>6409</v>
      </c>
    </row>
    <row r="4442" spans="1:1">
      <c r="A4442" s="151" t="s">
        <v>6410</v>
      </c>
    </row>
    <row r="4443" spans="1:1">
      <c r="A4443" s="151" t="s">
        <v>6411</v>
      </c>
    </row>
    <row r="4444" spans="1:1">
      <c r="A4444" s="151" t="s">
        <v>6412</v>
      </c>
    </row>
    <row r="4445" spans="1:1">
      <c r="A4445" s="151" t="s">
        <v>6413</v>
      </c>
    </row>
    <row r="4446" spans="1:1">
      <c r="A4446" s="151" t="s">
        <v>6414</v>
      </c>
    </row>
    <row r="4447" spans="1:1">
      <c r="A4447" s="151" t="s">
        <v>6415</v>
      </c>
    </row>
    <row r="4448" spans="1:1">
      <c r="A4448" s="151" t="s">
        <v>6416</v>
      </c>
    </row>
    <row r="4449" spans="1:1">
      <c r="A4449" s="151" t="s">
        <v>6417</v>
      </c>
    </row>
    <row r="4450" spans="1:1">
      <c r="A4450" s="151" t="s">
        <v>6418</v>
      </c>
    </row>
    <row r="4451" spans="1:1">
      <c r="A4451" s="151" t="s">
        <v>6419</v>
      </c>
    </row>
    <row r="4452" spans="1:1">
      <c r="A4452" s="151" t="s">
        <v>6420</v>
      </c>
    </row>
    <row r="4453" spans="1:1">
      <c r="A4453" s="151" t="s">
        <v>6421</v>
      </c>
    </row>
    <row r="4454" spans="1:1">
      <c r="A4454" s="151" t="s">
        <v>6422</v>
      </c>
    </row>
    <row r="4455" spans="1:1">
      <c r="A4455" s="151" t="s">
        <v>6423</v>
      </c>
    </row>
    <row r="4456" spans="1:1">
      <c r="A4456" s="151" t="s">
        <v>6424</v>
      </c>
    </row>
    <row r="4457" spans="1:1">
      <c r="A4457" s="151" t="s">
        <v>6425</v>
      </c>
    </row>
    <row r="4458" spans="1:1">
      <c r="A4458" s="151" t="s">
        <v>6426</v>
      </c>
    </row>
    <row r="4459" spans="1:1">
      <c r="A4459" s="151" t="s">
        <v>6427</v>
      </c>
    </row>
    <row r="4460" spans="1:1">
      <c r="A4460" s="151" t="s">
        <v>6428</v>
      </c>
    </row>
    <row r="4461" spans="1:1">
      <c r="A4461" s="151" t="s">
        <v>6429</v>
      </c>
    </row>
    <row r="4462" spans="1:1">
      <c r="A4462" s="151" t="s">
        <v>6430</v>
      </c>
    </row>
    <row r="4463" spans="1:1">
      <c r="A4463" s="151" t="s">
        <v>6431</v>
      </c>
    </row>
    <row r="4464" spans="1:1">
      <c r="A4464" s="151" t="s">
        <v>6432</v>
      </c>
    </row>
    <row r="4465" spans="1:1">
      <c r="A4465" s="151" t="s">
        <v>6433</v>
      </c>
    </row>
    <row r="4466" spans="1:1">
      <c r="A4466" s="151" t="s">
        <v>6434</v>
      </c>
    </row>
    <row r="4467" spans="1:1">
      <c r="A4467" s="151" t="s">
        <v>6435</v>
      </c>
    </row>
    <row r="4468" spans="1:1">
      <c r="A4468" s="151" t="s">
        <v>6436</v>
      </c>
    </row>
    <row r="4469" spans="1:1">
      <c r="A4469" s="151" t="s">
        <v>6437</v>
      </c>
    </row>
    <row r="4470" spans="1:1">
      <c r="A4470" s="151" t="s">
        <v>6438</v>
      </c>
    </row>
    <row r="4471" spans="1:1">
      <c r="A4471" s="151" t="s">
        <v>6439</v>
      </c>
    </row>
    <row r="4472" spans="1:1">
      <c r="A4472" s="151" t="s">
        <v>6440</v>
      </c>
    </row>
    <row r="4473" spans="1:1">
      <c r="A4473" s="151" t="s">
        <v>6441</v>
      </c>
    </row>
    <row r="4474" spans="1:1">
      <c r="A4474" s="151" t="s">
        <v>6442</v>
      </c>
    </row>
    <row r="4475" spans="1:1">
      <c r="A4475" s="151" t="s">
        <v>6443</v>
      </c>
    </row>
    <row r="4476" spans="1:1">
      <c r="A4476" s="151" t="s">
        <v>6444</v>
      </c>
    </row>
    <row r="4477" spans="1:1">
      <c r="A4477" s="151" t="s">
        <v>6445</v>
      </c>
    </row>
    <row r="4478" spans="1:1">
      <c r="A4478" s="151" t="s">
        <v>6446</v>
      </c>
    </row>
    <row r="4479" spans="1:1">
      <c r="A4479" s="151" t="s">
        <v>6447</v>
      </c>
    </row>
    <row r="4480" spans="1:1">
      <c r="A4480" s="151" t="s">
        <v>6448</v>
      </c>
    </row>
    <row r="4481" spans="1:1">
      <c r="A4481" s="151" t="s">
        <v>6449</v>
      </c>
    </row>
    <row r="4482" spans="1:1">
      <c r="A4482" s="151" t="s">
        <v>6450</v>
      </c>
    </row>
    <row r="4483" spans="1:1">
      <c r="A4483" s="151" t="s">
        <v>6451</v>
      </c>
    </row>
    <row r="4484" spans="1:1">
      <c r="A4484" s="151" t="s">
        <v>6452</v>
      </c>
    </row>
    <row r="4485" spans="1:1">
      <c r="A4485" s="151" t="s">
        <v>6453</v>
      </c>
    </row>
    <row r="4486" spans="1:1">
      <c r="A4486" s="151" t="s">
        <v>6454</v>
      </c>
    </row>
    <row r="4487" spans="1:1">
      <c r="A4487" s="151" t="s">
        <v>6455</v>
      </c>
    </row>
    <row r="4488" spans="1:1">
      <c r="A4488" s="151" t="s">
        <v>6456</v>
      </c>
    </row>
    <row r="4489" spans="1:1">
      <c r="A4489" s="151" t="s">
        <v>6457</v>
      </c>
    </row>
    <row r="4490" spans="1:1">
      <c r="A4490" s="151" t="s">
        <v>6458</v>
      </c>
    </row>
    <row r="4491" spans="1:1">
      <c r="A4491" s="151" t="s">
        <v>6459</v>
      </c>
    </row>
    <row r="4492" spans="1:1">
      <c r="A4492" s="151" t="s">
        <v>6460</v>
      </c>
    </row>
    <row r="4493" spans="1:1">
      <c r="A4493" s="151" t="s">
        <v>6461</v>
      </c>
    </row>
    <row r="4494" spans="1:1">
      <c r="A4494" s="151" t="s">
        <v>6462</v>
      </c>
    </row>
    <row r="4495" spans="1:1">
      <c r="A4495" s="151" t="s">
        <v>6463</v>
      </c>
    </row>
    <row r="4496" spans="1:1">
      <c r="A4496" s="151" t="s">
        <v>6464</v>
      </c>
    </row>
    <row r="4497" spans="1:1">
      <c r="A4497" s="151" t="s">
        <v>6465</v>
      </c>
    </row>
    <row r="4498" spans="1:1">
      <c r="A4498" s="151" t="s">
        <v>6466</v>
      </c>
    </row>
    <row r="4499" spans="1:1">
      <c r="A4499" s="151" t="s">
        <v>6467</v>
      </c>
    </row>
    <row r="4500" spans="1:1">
      <c r="A4500" s="151" t="s">
        <v>6468</v>
      </c>
    </row>
    <row r="4501" spans="1:1">
      <c r="A4501" s="151" t="s">
        <v>6469</v>
      </c>
    </row>
    <row r="4502" spans="1:1">
      <c r="A4502" s="151" t="s">
        <v>6470</v>
      </c>
    </row>
    <row r="4503" spans="1:1">
      <c r="A4503" s="151" t="s">
        <v>6471</v>
      </c>
    </row>
    <row r="4504" spans="1:1">
      <c r="A4504" s="151" t="s">
        <v>6472</v>
      </c>
    </row>
    <row r="4505" spans="1:1">
      <c r="A4505" s="151" t="s">
        <v>6473</v>
      </c>
    </row>
    <row r="4506" spans="1:1">
      <c r="A4506" s="151" t="s">
        <v>6474</v>
      </c>
    </row>
    <row r="4507" spans="1:1">
      <c r="A4507" s="151" t="s">
        <v>6475</v>
      </c>
    </row>
    <row r="4508" spans="1:1">
      <c r="A4508" s="151" t="s">
        <v>6476</v>
      </c>
    </row>
    <row r="4509" spans="1:1">
      <c r="A4509" s="151" t="s">
        <v>6477</v>
      </c>
    </row>
    <row r="4510" spans="1:1">
      <c r="A4510" s="151" t="s">
        <v>6478</v>
      </c>
    </row>
    <row r="4511" spans="1:1">
      <c r="A4511" s="151" t="s">
        <v>6479</v>
      </c>
    </row>
    <row r="4512" spans="1:1">
      <c r="A4512" s="151" t="s">
        <v>6480</v>
      </c>
    </row>
    <row r="4513" spans="1:1">
      <c r="A4513" s="151" t="s">
        <v>6481</v>
      </c>
    </row>
    <row r="4514" spans="1:1">
      <c r="A4514" s="151" t="s">
        <v>6482</v>
      </c>
    </row>
    <row r="4515" spans="1:1">
      <c r="A4515" s="151" t="s">
        <v>6483</v>
      </c>
    </row>
    <row r="4516" spans="1:1">
      <c r="A4516" s="151" t="s">
        <v>6484</v>
      </c>
    </row>
    <row r="4517" spans="1:1">
      <c r="A4517" s="151" t="s">
        <v>6485</v>
      </c>
    </row>
    <row r="4518" spans="1:1">
      <c r="A4518" s="151" t="s">
        <v>6486</v>
      </c>
    </row>
    <row r="4519" spans="1:1">
      <c r="A4519" s="151" t="s">
        <v>6487</v>
      </c>
    </row>
    <row r="4520" spans="1:1">
      <c r="A4520" s="151" t="s">
        <v>6488</v>
      </c>
    </row>
    <row r="4521" spans="1:1">
      <c r="A4521" s="151" t="s">
        <v>6489</v>
      </c>
    </row>
    <row r="4522" spans="1:1">
      <c r="A4522" s="151" t="s">
        <v>6490</v>
      </c>
    </row>
    <row r="4523" spans="1:1">
      <c r="A4523" s="151" t="s">
        <v>6491</v>
      </c>
    </row>
    <row r="4524" spans="1:1">
      <c r="A4524" s="151" t="s">
        <v>6492</v>
      </c>
    </row>
    <row r="4525" spans="1:1">
      <c r="A4525" s="151" t="s">
        <v>6493</v>
      </c>
    </row>
    <row r="4526" spans="1:1">
      <c r="A4526" s="151" t="s">
        <v>6494</v>
      </c>
    </row>
    <row r="4527" spans="1:1">
      <c r="A4527" s="151" t="s">
        <v>6495</v>
      </c>
    </row>
    <row r="4528" spans="1:1">
      <c r="A4528" s="151" t="s">
        <v>6496</v>
      </c>
    </row>
    <row r="4529" spans="1:1">
      <c r="A4529" s="151" t="s">
        <v>6497</v>
      </c>
    </row>
    <row r="4530" spans="1:1">
      <c r="A4530" s="151" t="s">
        <v>6498</v>
      </c>
    </row>
    <row r="4531" spans="1:1">
      <c r="A4531" s="151" t="s">
        <v>6499</v>
      </c>
    </row>
    <row r="4532" spans="1:1">
      <c r="A4532" s="151" t="s">
        <v>6500</v>
      </c>
    </row>
    <row r="4533" spans="1:1">
      <c r="A4533" s="151" t="s">
        <v>6501</v>
      </c>
    </row>
    <row r="4534" spans="1:1">
      <c r="A4534" s="151" t="s">
        <v>6502</v>
      </c>
    </row>
    <row r="4535" spans="1:1">
      <c r="A4535" s="151" t="s">
        <v>6503</v>
      </c>
    </row>
    <row r="4536" spans="1:1">
      <c r="A4536" s="151" t="s">
        <v>6504</v>
      </c>
    </row>
    <row r="4537" spans="1:1">
      <c r="A4537" s="151" t="s">
        <v>6505</v>
      </c>
    </row>
    <row r="4538" spans="1:1">
      <c r="A4538" s="151" t="s">
        <v>6506</v>
      </c>
    </row>
    <row r="4539" spans="1:1">
      <c r="A4539" s="151" t="s">
        <v>6507</v>
      </c>
    </row>
    <row r="4540" spans="1:1">
      <c r="A4540" s="151" t="s">
        <v>6508</v>
      </c>
    </row>
    <row r="4541" spans="1:1">
      <c r="A4541" s="151" t="s">
        <v>6509</v>
      </c>
    </row>
    <row r="4542" spans="1:1">
      <c r="A4542" s="151" t="s">
        <v>6510</v>
      </c>
    </row>
    <row r="4543" spans="1:1">
      <c r="A4543" s="151" t="s">
        <v>6511</v>
      </c>
    </row>
    <row r="4544" spans="1:1">
      <c r="A4544" s="151" t="s">
        <v>6512</v>
      </c>
    </row>
    <row r="4545" spans="1:1">
      <c r="A4545" s="151" t="s">
        <v>6513</v>
      </c>
    </row>
    <row r="4546" spans="1:1">
      <c r="A4546" s="151" t="s">
        <v>6514</v>
      </c>
    </row>
    <row r="4547" spans="1:1">
      <c r="A4547" s="151" t="s">
        <v>6515</v>
      </c>
    </row>
    <row r="4548" spans="1:1">
      <c r="A4548" s="151" t="s">
        <v>6516</v>
      </c>
    </row>
    <row r="4549" spans="1:1">
      <c r="A4549" s="151" t="s">
        <v>6517</v>
      </c>
    </row>
    <row r="4550" spans="1:1">
      <c r="A4550" s="151" t="s">
        <v>6518</v>
      </c>
    </row>
    <row r="4551" spans="1:1">
      <c r="A4551" s="151" t="s">
        <v>6519</v>
      </c>
    </row>
    <row r="4552" spans="1:1">
      <c r="A4552" s="151" t="s">
        <v>6520</v>
      </c>
    </row>
    <row r="4553" spans="1:1">
      <c r="A4553" s="151" t="s">
        <v>6521</v>
      </c>
    </row>
    <row r="4554" spans="1:1">
      <c r="A4554" s="151" t="s">
        <v>6522</v>
      </c>
    </row>
    <row r="4555" spans="1:1">
      <c r="A4555" s="151" t="s">
        <v>6523</v>
      </c>
    </row>
    <row r="4556" spans="1:1">
      <c r="A4556" s="151" t="s">
        <v>6524</v>
      </c>
    </row>
    <row r="4557" spans="1:1">
      <c r="A4557" s="151" t="s">
        <v>6525</v>
      </c>
    </row>
    <row r="4558" spans="1:1">
      <c r="A4558" s="151" t="s">
        <v>6526</v>
      </c>
    </row>
    <row r="4559" spans="1:1">
      <c r="A4559" s="151" t="s">
        <v>6527</v>
      </c>
    </row>
    <row r="4560" spans="1:1">
      <c r="A4560" s="151" t="s">
        <v>6528</v>
      </c>
    </row>
    <row r="4561" spans="1:1">
      <c r="A4561" s="151" t="s">
        <v>6529</v>
      </c>
    </row>
    <row r="4562" spans="1:1">
      <c r="A4562" s="151" t="s">
        <v>6530</v>
      </c>
    </row>
    <row r="4563" spans="1:1">
      <c r="A4563" s="151" t="s">
        <v>6531</v>
      </c>
    </row>
    <row r="4564" spans="1:1">
      <c r="A4564" s="151" t="s">
        <v>6532</v>
      </c>
    </row>
    <row r="4565" spans="1:1">
      <c r="A4565" s="151" t="s">
        <v>6533</v>
      </c>
    </row>
    <row r="4566" spans="1:1">
      <c r="A4566" s="151" t="s">
        <v>6534</v>
      </c>
    </row>
    <row r="4567" spans="1:1">
      <c r="A4567" s="151" t="s">
        <v>6535</v>
      </c>
    </row>
    <row r="4568" spans="1:1">
      <c r="A4568" s="151" t="s">
        <v>6536</v>
      </c>
    </row>
    <row r="4569" spans="1:1">
      <c r="A4569" s="151" t="s">
        <v>6537</v>
      </c>
    </row>
    <row r="4570" spans="1:1">
      <c r="A4570" s="151" t="s">
        <v>6538</v>
      </c>
    </row>
    <row r="4571" spans="1:1">
      <c r="A4571" s="151" t="s">
        <v>6539</v>
      </c>
    </row>
    <row r="4572" spans="1:1">
      <c r="A4572" s="151" t="s">
        <v>6540</v>
      </c>
    </row>
    <row r="4573" spans="1:1">
      <c r="A4573" s="151" t="s">
        <v>6541</v>
      </c>
    </row>
    <row r="4574" spans="1:1">
      <c r="A4574" s="151" t="s">
        <v>6542</v>
      </c>
    </row>
    <row r="4575" spans="1:1">
      <c r="A4575" s="151" t="s">
        <v>6543</v>
      </c>
    </row>
    <row r="4576" spans="1:1">
      <c r="A4576" s="151" t="s">
        <v>6544</v>
      </c>
    </row>
    <row r="4577" spans="1:1">
      <c r="A4577" s="151" t="s">
        <v>6545</v>
      </c>
    </row>
    <row r="4578" spans="1:1">
      <c r="A4578" s="151" t="s">
        <v>6546</v>
      </c>
    </row>
    <row r="4579" spans="1:1">
      <c r="A4579" s="151" t="s">
        <v>6547</v>
      </c>
    </row>
    <row r="4580" spans="1:1">
      <c r="A4580" s="151" t="s">
        <v>6548</v>
      </c>
    </row>
    <row r="4581" spans="1:1">
      <c r="A4581" s="151" t="s">
        <v>6549</v>
      </c>
    </row>
    <row r="4582" spans="1:1">
      <c r="A4582" s="151" t="s">
        <v>6550</v>
      </c>
    </row>
    <row r="4583" spans="1:1">
      <c r="A4583" s="151" t="s">
        <v>6551</v>
      </c>
    </row>
    <row r="4584" spans="1:1">
      <c r="A4584" s="151" t="s">
        <v>6552</v>
      </c>
    </row>
    <row r="4585" spans="1:1">
      <c r="A4585" s="151" t="s">
        <v>6553</v>
      </c>
    </row>
    <row r="4586" spans="1:1">
      <c r="A4586" s="151" t="s">
        <v>6554</v>
      </c>
    </row>
    <row r="4587" spans="1:1">
      <c r="A4587" s="151" t="s">
        <v>6555</v>
      </c>
    </row>
    <row r="4588" spans="1:1">
      <c r="A4588" s="151" t="s">
        <v>6556</v>
      </c>
    </row>
    <row r="4589" spans="1:1">
      <c r="A4589" s="151" t="s">
        <v>6557</v>
      </c>
    </row>
    <row r="4590" spans="1:1">
      <c r="A4590" s="151" t="s">
        <v>6558</v>
      </c>
    </row>
    <row r="4591" spans="1:1">
      <c r="A4591" s="151" t="s">
        <v>6559</v>
      </c>
    </row>
    <row r="4592" spans="1:1">
      <c r="A4592" s="151" t="s">
        <v>6560</v>
      </c>
    </row>
    <row r="4593" spans="1:1">
      <c r="A4593" s="151" t="s">
        <v>6561</v>
      </c>
    </row>
    <row r="4594" spans="1:1">
      <c r="A4594" s="151" t="s">
        <v>6562</v>
      </c>
    </row>
    <row r="4595" spans="1:1">
      <c r="A4595" s="151" t="s">
        <v>6563</v>
      </c>
    </row>
    <row r="4596" spans="1:1">
      <c r="A4596" s="151" t="s">
        <v>6564</v>
      </c>
    </row>
    <row r="4597" spans="1:1">
      <c r="A4597" s="151" t="s">
        <v>6565</v>
      </c>
    </row>
    <row r="4598" spans="1:1">
      <c r="A4598" s="151" t="s">
        <v>6566</v>
      </c>
    </row>
    <row r="4599" spans="1:1">
      <c r="A4599" s="151" t="s">
        <v>6567</v>
      </c>
    </row>
    <row r="4600" spans="1:1">
      <c r="A4600" s="151" t="s">
        <v>6568</v>
      </c>
    </row>
    <row r="4601" spans="1:1">
      <c r="A4601" s="151" t="s">
        <v>6569</v>
      </c>
    </row>
    <row r="4602" spans="1:1">
      <c r="A4602" s="151" t="s">
        <v>6570</v>
      </c>
    </row>
    <row r="4603" spans="1:1">
      <c r="A4603" s="151" t="s">
        <v>6571</v>
      </c>
    </row>
    <row r="4604" spans="1:1">
      <c r="A4604" s="151" t="s">
        <v>6572</v>
      </c>
    </row>
    <row r="4605" spans="1:1">
      <c r="A4605" s="151" t="s">
        <v>6573</v>
      </c>
    </row>
    <row r="4606" spans="1:1">
      <c r="A4606" s="151" t="s">
        <v>6574</v>
      </c>
    </row>
    <row r="4607" spans="1:1">
      <c r="A4607" s="151" t="s">
        <v>6575</v>
      </c>
    </row>
    <row r="4608" spans="1:1">
      <c r="A4608" s="151" t="s">
        <v>6576</v>
      </c>
    </row>
    <row r="4609" spans="1:1">
      <c r="A4609" s="151" t="s">
        <v>6577</v>
      </c>
    </row>
    <row r="4610" spans="1:1">
      <c r="A4610" s="151" t="s">
        <v>6578</v>
      </c>
    </row>
    <row r="4611" spans="1:1">
      <c r="A4611" s="151" t="s">
        <v>6579</v>
      </c>
    </row>
    <row r="4612" spans="1:1">
      <c r="A4612" s="151" t="s">
        <v>6580</v>
      </c>
    </row>
    <row r="4613" spans="1:1">
      <c r="A4613" s="151" t="s">
        <v>6581</v>
      </c>
    </row>
    <row r="4614" spans="1:1">
      <c r="A4614" s="151" t="s">
        <v>6582</v>
      </c>
    </row>
    <row r="4615" spans="1:1">
      <c r="A4615" s="151" t="s">
        <v>6583</v>
      </c>
    </row>
    <row r="4616" spans="1:1">
      <c r="A4616" s="151" t="s">
        <v>6584</v>
      </c>
    </row>
    <row r="4617" spans="1:1">
      <c r="A4617" s="151" t="s">
        <v>6585</v>
      </c>
    </row>
    <row r="4618" spans="1:1">
      <c r="A4618" s="151" t="s">
        <v>6586</v>
      </c>
    </row>
    <row r="4619" spans="1:1">
      <c r="A4619" s="151" t="s">
        <v>6587</v>
      </c>
    </row>
    <row r="4620" spans="1:1">
      <c r="A4620" s="151" t="s">
        <v>6588</v>
      </c>
    </row>
    <row r="4621" spans="1:1">
      <c r="A4621" s="151" t="s">
        <v>6589</v>
      </c>
    </row>
    <row r="4622" spans="1:1">
      <c r="A4622" s="151" t="s">
        <v>6590</v>
      </c>
    </row>
    <row r="4623" spans="1:1">
      <c r="A4623" s="151" t="s">
        <v>6591</v>
      </c>
    </row>
    <row r="4624" spans="1:1">
      <c r="A4624" s="151" t="s">
        <v>6592</v>
      </c>
    </row>
    <row r="4625" spans="1:1">
      <c r="A4625" s="151" t="s">
        <v>6593</v>
      </c>
    </row>
    <row r="4626" spans="1:1">
      <c r="A4626" s="151" t="s">
        <v>6594</v>
      </c>
    </row>
    <row r="4627" spans="1:1">
      <c r="A4627" s="151" t="s">
        <v>6595</v>
      </c>
    </row>
    <row r="4628" spans="1:1">
      <c r="A4628" s="151" t="s">
        <v>6596</v>
      </c>
    </row>
    <row r="4629" spans="1:1">
      <c r="A4629" s="151" t="s">
        <v>6597</v>
      </c>
    </row>
    <row r="4630" spans="1:1">
      <c r="A4630" s="151" t="s">
        <v>6598</v>
      </c>
    </row>
    <row r="4631" spans="1:1">
      <c r="A4631" s="151" t="s">
        <v>6599</v>
      </c>
    </row>
    <row r="4632" spans="1:1">
      <c r="A4632" s="151" t="s">
        <v>6600</v>
      </c>
    </row>
    <row r="4633" spans="1:1">
      <c r="A4633" s="151" t="s">
        <v>6601</v>
      </c>
    </row>
    <row r="4634" spans="1:1">
      <c r="A4634" s="151" t="s">
        <v>6602</v>
      </c>
    </row>
    <row r="4635" spans="1:1">
      <c r="A4635" s="151" t="s">
        <v>6603</v>
      </c>
    </row>
    <row r="4636" spans="1:1">
      <c r="A4636" s="151" t="s">
        <v>6604</v>
      </c>
    </row>
    <row r="4637" spans="1:1">
      <c r="A4637" s="151" t="s">
        <v>6605</v>
      </c>
    </row>
    <row r="4638" spans="1:1">
      <c r="A4638" s="151" t="s">
        <v>6606</v>
      </c>
    </row>
    <row r="4639" spans="1:1">
      <c r="A4639" s="151" t="s">
        <v>6607</v>
      </c>
    </row>
    <row r="4640" spans="1:1">
      <c r="A4640" s="151" t="s">
        <v>6608</v>
      </c>
    </row>
    <row r="4641" spans="1:1">
      <c r="A4641" s="151" t="s">
        <v>6609</v>
      </c>
    </row>
    <row r="4642" spans="1:1">
      <c r="A4642" s="151" t="s">
        <v>6610</v>
      </c>
    </row>
    <row r="4643" spans="1:1">
      <c r="A4643" s="151" t="s">
        <v>6611</v>
      </c>
    </row>
    <row r="4644" spans="1:1">
      <c r="A4644" s="151" t="s">
        <v>6612</v>
      </c>
    </row>
    <row r="4645" spans="1:1">
      <c r="A4645" s="151" t="s">
        <v>6613</v>
      </c>
    </row>
    <row r="4646" spans="1:1">
      <c r="A4646" s="151" t="s">
        <v>6614</v>
      </c>
    </row>
    <row r="4647" spans="1:1">
      <c r="A4647" s="151" t="s">
        <v>6615</v>
      </c>
    </row>
    <row r="4648" spans="1:1">
      <c r="A4648" s="151" t="s">
        <v>6616</v>
      </c>
    </row>
    <row r="4649" spans="1:1">
      <c r="A4649" s="151" t="s">
        <v>6617</v>
      </c>
    </row>
    <row r="4650" spans="1:1">
      <c r="A4650" s="151" t="s">
        <v>6618</v>
      </c>
    </row>
    <row r="4651" spans="1:1">
      <c r="A4651" s="151" t="s">
        <v>6619</v>
      </c>
    </row>
    <row r="4652" spans="1:1">
      <c r="A4652" s="151" t="s">
        <v>6620</v>
      </c>
    </row>
    <row r="4653" spans="1:1">
      <c r="A4653" s="151" t="s">
        <v>6621</v>
      </c>
    </row>
    <row r="4654" spans="1:1">
      <c r="A4654" s="151" t="s">
        <v>6622</v>
      </c>
    </row>
    <row r="4655" spans="1:1">
      <c r="A4655" s="151" t="s">
        <v>6623</v>
      </c>
    </row>
    <row r="4656" spans="1:1">
      <c r="A4656" s="151" t="s">
        <v>6624</v>
      </c>
    </row>
    <row r="4657" spans="1:1">
      <c r="A4657" s="151" t="s">
        <v>6625</v>
      </c>
    </row>
    <row r="4658" spans="1:1">
      <c r="A4658" s="151" t="s">
        <v>6626</v>
      </c>
    </row>
    <row r="4659" spans="1:1">
      <c r="A4659" s="151" t="s">
        <v>6627</v>
      </c>
    </row>
    <row r="4660" spans="1:1">
      <c r="A4660" s="151" t="s">
        <v>6628</v>
      </c>
    </row>
    <row r="4661" spans="1:1">
      <c r="A4661" s="151" t="s">
        <v>6629</v>
      </c>
    </row>
    <row r="4662" spans="1:1">
      <c r="A4662" s="151" t="s">
        <v>6630</v>
      </c>
    </row>
    <row r="4663" spans="1:1">
      <c r="A4663" s="151" t="s">
        <v>6631</v>
      </c>
    </row>
    <row r="4664" spans="1:1">
      <c r="A4664" s="151" t="s">
        <v>6632</v>
      </c>
    </row>
    <row r="4665" spans="1:1">
      <c r="A4665" s="151" t="s">
        <v>6633</v>
      </c>
    </row>
    <row r="4666" spans="1:1">
      <c r="A4666" s="151" t="s">
        <v>6634</v>
      </c>
    </row>
    <row r="4667" spans="1:1">
      <c r="A4667" s="151" t="s">
        <v>6635</v>
      </c>
    </row>
    <row r="4668" spans="1:1">
      <c r="A4668" s="151" t="s">
        <v>6636</v>
      </c>
    </row>
    <row r="4669" spans="1:1">
      <c r="A4669" s="151" t="s">
        <v>6637</v>
      </c>
    </row>
    <row r="4670" spans="1:1">
      <c r="A4670" s="151" t="s">
        <v>6638</v>
      </c>
    </row>
    <row r="4671" spans="1:1">
      <c r="A4671" s="151" t="s">
        <v>6639</v>
      </c>
    </row>
    <row r="4672" spans="1:1">
      <c r="A4672" s="151" t="s">
        <v>6640</v>
      </c>
    </row>
    <row r="4673" spans="1:1">
      <c r="A4673" s="151" t="s">
        <v>6641</v>
      </c>
    </row>
    <row r="4674" spans="1:1">
      <c r="A4674" s="151" t="s">
        <v>6642</v>
      </c>
    </row>
    <row r="4675" spans="1:1">
      <c r="A4675" s="151" t="s">
        <v>6643</v>
      </c>
    </row>
    <row r="4676" spans="1:1">
      <c r="A4676" s="151" t="s">
        <v>6644</v>
      </c>
    </row>
    <row r="4677" spans="1:1">
      <c r="A4677" s="151" t="s">
        <v>6645</v>
      </c>
    </row>
    <row r="4678" spans="1:1">
      <c r="A4678" s="151" t="s">
        <v>6646</v>
      </c>
    </row>
    <row r="4679" spans="1:1">
      <c r="A4679" s="151" t="s">
        <v>6647</v>
      </c>
    </row>
    <row r="4680" spans="1:1">
      <c r="A4680" s="151" t="s">
        <v>6648</v>
      </c>
    </row>
    <row r="4681" spans="1:1">
      <c r="A4681" s="151" t="s">
        <v>6649</v>
      </c>
    </row>
    <row r="4682" spans="1:1">
      <c r="A4682" s="151" t="s">
        <v>6650</v>
      </c>
    </row>
    <row r="4683" spans="1:1">
      <c r="A4683" s="151" t="s">
        <v>6651</v>
      </c>
    </row>
    <row r="4684" spans="1:1">
      <c r="A4684" s="151" t="s">
        <v>6652</v>
      </c>
    </row>
    <row r="4685" spans="1:1">
      <c r="A4685" s="151" t="s">
        <v>6653</v>
      </c>
    </row>
    <row r="4686" spans="1:1">
      <c r="A4686" s="151" t="s">
        <v>6654</v>
      </c>
    </row>
    <row r="4687" spans="1:1">
      <c r="A4687" s="151" t="s">
        <v>6655</v>
      </c>
    </row>
    <row r="4688" spans="1:1">
      <c r="A4688" s="151" t="s">
        <v>6656</v>
      </c>
    </row>
    <row r="4689" spans="1:1">
      <c r="A4689" s="151" t="s">
        <v>6657</v>
      </c>
    </row>
    <row r="4690" spans="1:1">
      <c r="A4690" s="151" t="s">
        <v>6658</v>
      </c>
    </row>
    <row r="4691" spans="1:1">
      <c r="A4691" s="151" t="s">
        <v>6659</v>
      </c>
    </row>
    <row r="4692" spans="1:1">
      <c r="A4692" s="151" t="s">
        <v>6660</v>
      </c>
    </row>
    <row r="4693" spans="1:1">
      <c r="A4693" s="151" t="s">
        <v>6661</v>
      </c>
    </row>
    <row r="4694" spans="1:1">
      <c r="A4694" s="151" t="s">
        <v>6662</v>
      </c>
    </row>
    <row r="4695" spans="1:1">
      <c r="A4695" s="151" t="s">
        <v>6663</v>
      </c>
    </row>
    <row r="4696" spans="1:1">
      <c r="A4696" s="151" t="s">
        <v>6664</v>
      </c>
    </row>
    <row r="4697" spans="1:1">
      <c r="A4697" s="151" t="s">
        <v>6665</v>
      </c>
    </row>
    <row r="4698" spans="1:1">
      <c r="A4698" s="151" t="s">
        <v>6666</v>
      </c>
    </row>
    <row r="4699" spans="1:1">
      <c r="A4699" s="151" t="s">
        <v>6667</v>
      </c>
    </row>
    <row r="4700" spans="1:1">
      <c r="A4700" s="151" t="s">
        <v>6668</v>
      </c>
    </row>
    <row r="4701" spans="1:1">
      <c r="A4701" s="151" t="s">
        <v>6669</v>
      </c>
    </row>
    <row r="4702" spans="1:1">
      <c r="A4702" s="151" t="s">
        <v>6670</v>
      </c>
    </row>
    <row r="4703" spans="1:1">
      <c r="A4703" s="151" t="s">
        <v>6671</v>
      </c>
    </row>
    <row r="4704" spans="1:1">
      <c r="A4704" s="151" t="s">
        <v>6672</v>
      </c>
    </row>
    <row r="4705" spans="1:1">
      <c r="A4705" s="151" t="s">
        <v>6673</v>
      </c>
    </row>
    <row r="4706" spans="1:1">
      <c r="A4706" s="151" t="s">
        <v>6674</v>
      </c>
    </row>
    <row r="4707" spans="1:1">
      <c r="A4707" s="151" t="s">
        <v>6675</v>
      </c>
    </row>
    <row r="4708" spans="1:1">
      <c r="A4708" s="151" t="s">
        <v>6676</v>
      </c>
    </row>
    <row r="4709" spans="1:1">
      <c r="A4709" s="151" t="s">
        <v>6677</v>
      </c>
    </row>
    <row r="4710" spans="1:1">
      <c r="A4710" s="151" t="s">
        <v>6678</v>
      </c>
    </row>
    <row r="4711" spans="1:1">
      <c r="A4711" s="151" t="s">
        <v>6679</v>
      </c>
    </row>
    <row r="4712" spans="1:1">
      <c r="A4712" s="151" t="s">
        <v>6680</v>
      </c>
    </row>
    <row r="4713" spans="1:1">
      <c r="A4713" s="151" t="s">
        <v>6681</v>
      </c>
    </row>
    <row r="4714" spans="1:1">
      <c r="A4714" s="151" t="s">
        <v>6682</v>
      </c>
    </row>
    <row r="4715" spans="1:1">
      <c r="A4715" s="151" t="s">
        <v>6683</v>
      </c>
    </row>
    <row r="4716" spans="1:1">
      <c r="A4716" s="151" t="s">
        <v>6684</v>
      </c>
    </row>
    <row r="4717" spans="1:1">
      <c r="A4717" s="151" t="s">
        <v>6685</v>
      </c>
    </row>
    <row r="4718" spans="1:1">
      <c r="A4718" s="151" t="s">
        <v>6686</v>
      </c>
    </row>
    <row r="4719" spans="1:1">
      <c r="A4719" s="151" t="s">
        <v>6687</v>
      </c>
    </row>
    <row r="4720" spans="1:1">
      <c r="A4720" s="151" t="s">
        <v>6688</v>
      </c>
    </row>
    <row r="4721" spans="1:1">
      <c r="A4721" s="151" t="s">
        <v>6689</v>
      </c>
    </row>
    <row r="4722" spans="1:1">
      <c r="A4722" s="151" t="s">
        <v>6690</v>
      </c>
    </row>
    <row r="4723" spans="1:1">
      <c r="A4723" s="151" t="s">
        <v>6691</v>
      </c>
    </row>
    <row r="4724" spans="1:1">
      <c r="A4724" s="151" t="s">
        <v>6692</v>
      </c>
    </row>
    <row r="4725" spans="1:1">
      <c r="A4725" s="151" t="s">
        <v>6693</v>
      </c>
    </row>
    <row r="4726" spans="1:1">
      <c r="A4726" s="151" t="s">
        <v>6694</v>
      </c>
    </row>
    <row r="4727" spans="1:1">
      <c r="A4727" s="151" t="s">
        <v>6695</v>
      </c>
    </row>
    <row r="4728" spans="1:1">
      <c r="A4728" s="151" t="s">
        <v>6696</v>
      </c>
    </row>
    <row r="4729" spans="1:1">
      <c r="A4729" s="151" t="s">
        <v>6697</v>
      </c>
    </row>
    <row r="4730" spans="1:1">
      <c r="A4730" s="151" t="s">
        <v>6698</v>
      </c>
    </row>
    <row r="4731" spans="1:1">
      <c r="A4731" s="151" t="s">
        <v>6699</v>
      </c>
    </row>
    <row r="4732" spans="1:1">
      <c r="A4732" s="151" t="s">
        <v>6700</v>
      </c>
    </row>
    <row r="4733" spans="1:1">
      <c r="A4733" s="151" t="s">
        <v>6701</v>
      </c>
    </row>
    <row r="4734" spans="1:1">
      <c r="A4734" s="151" t="s">
        <v>6702</v>
      </c>
    </row>
    <row r="4735" spans="1:1">
      <c r="A4735" s="151" t="s">
        <v>6703</v>
      </c>
    </row>
    <row r="4736" spans="1:1">
      <c r="A4736" s="151" t="s">
        <v>6704</v>
      </c>
    </row>
    <row r="4737" spans="1:1">
      <c r="A4737" s="151" t="s">
        <v>6705</v>
      </c>
    </row>
    <row r="4738" spans="1:1">
      <c r="A4738" s="151" t="s">
        <v>6706</v>
      </c>
    </row>
    <row r="4739" spans="1:1">
      <c r="A4739" s="151" t="s">
        <v>6707</v>
      </c>
    </row>
    <row r="4740" spans="1:1">
      <c r="A4740" s="151" t="s">
        <v>6708</v>
      </c>
    </row>
    <row r="4741" spans="1:1">
      <c r="A4741" s="151" t="s">
        <v>6709</v>
      </c>
    </row>
    <row r="4742" spans="1:1">
      <c r="A4742" s="151" t="s">
        <v>6710</v>
      </c>
    </row>
    <row r="4743" spans="1:1">
      <c r="A4743" s="151" t="s">
        <v>6711</v>
      </c>
    </row>
    <row r="4744" spans="1:1">
      <c r="A4744" s="151" t="s">
        <v>6712</v>
      </c>
    </row>
    <row r="4745" spans="1:1">
      <c r="A4745" s="151" t="s">
        <v>6713</v>
      </c>
    </row>
    <row r="4746" spans="1:1">
      <c r="A4746" s="151" t="s">
        <v>6714</v>
      </c>
    </row>
    <row r="4747" spans="1:1">
      <c r="A4747" s="151" t="s">
        <v>6715</v>
      </c>
    </row>
    <row r="4748" spans="1:1">
      <c r="A4748" s="151" t="s">
        <v>6716</v>
      </c>
    </row>
    <row r="4749" spans="1:1">
      <c r="A4749" s="151" t="s">
        <v>6717</v>
      </c>
    </row>
    <row r="4750" spans="1:1">
      <c r="A4750" s="151" t="s">
        <v>6718</v>
      </c>
    </row>
    <row r="4751" spans="1:1">
      <c r="A4751" s="151" t="s">
        <v>6719</v>
      </c>
    </row>
    <row r="4752" spans="1:1">
      <c r="A4752" s="151" t="s">
        <v>6720</v>
      </c>
    </row>
    <row r="4753" spans="1:1">
      <c r="A4753" s="151" t="s">
        <v>6721</v>
      </c>
    </row>
    <row r="4754" spans="1:1">
      <c r="A4754" s="151" t="s">
        <v>6722</v>
      </c>
    </row>
    <row r="4755" spans="1:1">
      <c r="A4755" s="151" t="s">
        <v>6723</v>
      </c>
    </row>
    <row r="4756" spans="1:1">
      <c r="A4756" s="151" t="s">
        <v>6724</v>
      </c>
    </row>
    <row r="4757" spans="1:1">
      <c r="A4757" s="151" t="s">
        <v>6725</v>
      </c>
    </row>
    <row r="4758" spans="1:1">
      <c r="A4758" s="151" t="s">
        <v>6726</v>
      </c>
    </row>
    <row r="4759" spans="1:1">
      <c r="A4759" s="151" t="s">
        <v>6727</v>
      </c>
    </row>
    <row r="4760" spans="1:1">
      <c r="A4760" s="151" t="s">
        <v>6728</v>
      </c>
    </row>
    <row r="4761" spans="1:1">
      <c r="A4761" s="151" t="s">
        <v>6729</v>
      </c>
    </row>
    <row r="4762" spans="1:1">
      <c r="A4762" s="151" t="s">
        <v>6730</v>
      </c>
    </row>
    <row r="4763" spans="1:1">
      <c r="A4763" s="151" t="s">
        <v>6731</v>
      </c>
    </row>
    <row r="4764" spans="1:1">
      <c r="A4764" s="151" t="s">
        <v>6732</v>
      </c>
    </row>
    <row r="4765" spans="1:1">
      <c r="A4765" s="151" t="s">
        <v>6733</v>
      </c>
    </row>
    <row r="4766" spans="1:1">
      <c r="A4766" s="151" t="s">
        <v>6734</v>
      </c>
    </row>
    <row r="4767" spans="1:1">
      <c r="A4767" s="151" t="s">
        <v>6735</v>
      </c>
    </row>
    <row r="4768" spans="1:1">
      <c r="A4768" s="151" t="s">
        <v>6736</v>
      </c>
    </row>
    <row r="4769" spans="1:1">
      <c r="A4769" s="151" t="s">
        <v>6737</v>
      </c>
    </row>
    <row r="4770" spans="1:1">
      <c r="A4770" s="151" t="s">
        <v>6738</v>
      </c>
    </row>
    <row r="4771" spans="1:1">
      <c r="A4771" s="151" t="s">
        <v>6739</v>
      </c>
    </row>
    <row r="4772" spans="1:1">
      <c r="A4772" s="151" t="s">
        <v>6740</v>
      </c>
    </row>
    <row r="4773" spans="1:1">
      <c r="A4773" s="151" t="s">
        <v>6741</v>
      </c>
    </row>
    <row r="4774" spans="1:1">
      <c r="A4774" s="151" t="s">
        <v>6742</v>
      </c>
    </row>
    <row r="4775" spans="1:1">
      <c r="A4775" s="151" t="s">
        <v>6743</v>
      </c>
    </row>
    <row r="4776" spans="1:1">
      <c r="A4776" s="151" t="s">
        <v>6744</v>
      </c>
    </row>
    <row r="4777" spans="1:1">
      <c r="A4777" s="151" t="s">
        <v>6745</v>
      </c>
    </row>
    <row r="4778" spans="1:1">
      <c r="A4778" s="151" t="s">
        <v>6746</v>
      </c>
    </row>
    <row r="4779" spans="1:1">
      <c r="A4779" s="151" t="s">
        <v>6747</v>
      </c>
    </row>
    <row r="4780" spans="1:1">
      <c r="A4780" s="151" t="s">
        <v>6748</v>
      </c>
    </row>
    <row r="4781" spans="1:1">
      <c r="A4781" s="151" t="s">
        <v>6749</v>
      </c>
    </row>
    <row r="4782" spans="1:1">
      <c r="A4782" s="151" t="s">
        <v>6750</v>
      </c>
    </row>
    <row r="4783" spans="1:1">
      <c r="A4783" s="151" t="s">
        <v>6751</v>
      </c>
    </row>
    <row r="4784" spans="1:1">
      <c r="A4784" s="151" t="s">
        <v>6752</v>
      </c>
    </row>
    <row r="4785" spans="1:1">
      <c r="A4785" s="151" t="s">
        <v>6753</v>
      </c>
    </row>
    <row r="4786" spans="1:1">
      <c r="A4786" s="151" t="s">
        <v>6754</v>
      </c>
    </row>
    <row r="4787" spans="1:1">
      <c r="A4787" s="151" t="s">
        <v>6755</v>
      </c>
    </row>
    <row r="4788" spans="1:1">
      <c r="A4788" s="151" t="s">
        <v>6756</v>
      </c>
    </row>
    <row r="4789" spans="1:1">
      <c r="A4789" s="151" t="s">
        <v>6757</v>
      </c>
    </row>
    <row r="4790" spans="1:1">
      <c r="A4790" s="151" t="s">
        <v>6758</v>
      </c>
    </row>
    <row r="4791" spans="1:1">
      <c r="A4791" s="151" t="s">
        <v>6759</v>
      </c>
    </row>
    <row r="4792" spans="1:1">
      <c r="A4792" s="151" t="s">
        <v>6760</v>
      </c>
    </row>
    <row r="4793" spans="1:1">
      <c r="A4793" s="151" t="s">
        <v>6761</v>
      </c>
    </row>
    <row r="4794" spans="1:1">
      <c r="A4794" s="151" t="s">
        <v>6762</v>
      </c>
    </row>
    <row r="4795" spans="1:1">
      <c r="A4795" s="151" t="s">
        <v>6763</v>
      </c>
    </row>
    <row r="4796" spans="1:1">
      <c r="A4796" s="151" t="s">
        <v>6764</v>
      </c>
    </row>
    <row r="4797" spans="1:1">
      <c r="A4797" s="151" t="s">
        <v>6765</v>
      </c>
    </row>
    <row r="4798" spans="1:1">
      <c r="A4798" s="151" t="s">
        <v>6766</v>
      </c>
    </row>
    <row r="4799" spans="1:1">
      <c r="A4799" s="151" t="s">
        <v>6767</v>
      </c>
    </row>
    <row r="4800" spans="1:1">
      <c r="A4800" s="151" t="s">
        <v>6768</v>
      </c>
    </row>
    <row r="4801" spans="1:1">
      <c r="A4801" s="151" t="s">
        <v>6769</v>
      </c>
    </row>
    <row r="4802" spans="1:1">
      <c r="A4802" s="151" t="s">
        <v>6770</v>
      </c>
    </row>
    <row r="4803" spans="1:1">
      <c r="A4803" s="151" t="s">
        <v>6771</v>
      </c>
    </row>
    <row r="4804" spans="1:1">
      <c r="A4804" s="151" t="s">
        <v>6772</v>
      </c>
    </row>
    <row r="4805" spans="1:1">
      <c r="A4805" s="151" t="s">
        <v>6773</v>
      </c>
    </row>
    <row r="4806" spans="1:1">
      <c r="A4806" s="151" t="s">
        <v>6774</v>
      </c>
    </row>
    <row r="4807" spans="1:1">
      <c r="A4807" s="151" t="s">
        <v>6775</v>
      </c>
    </row>
    <row r="4808" spans="1:1">
      <c r="A4808" s="151" t="s">
        <v>6776</v>
      </c>
    </row>
    <row r="4809" spans="1:1">
      <c r="A4809" s="151" t="s">
        <v>6777</v>
      </c>
    </row>
    <row r="4810" spans="1:1">
      <c r="A4810" s="151" t="s">
        <v>6778</v>
      </c>
    </row>
    <row r="4811" spans="1:1">
      <c r="A4811" s="151" t="s">
        <v>6779</v>
      </c>
    </row>
    <row r="4812" spans="1:1">
      <c r="A4812" s="151" t="s">
        <v>6780</v>
      </c>
    </row>
    <row r="4813" spans="1:1">
      <c r="A4813" s="151" t="s">
        <v>6781</v>
      </c>
    </row>
    <row r="4814" spans="1:1">
      <c r="A4814" s="151" t="s">
        <v>6782</v>
      </c>
    </row>
    <row r="4815" spans="1:1">
      <c r="A4815" s="151" t="s">
        <v>6783</v>
      </c>
    </row>
    <row r="4816" spans="1:1">
      <c r="A4816" s="151" t="s">
        <v>6784</v>
      </c>
    </row>
    <row r="4817" spans="1:1">
      <c r="A4817" s="151" t="s">
        <v>6785</v>
      </c>
    </row>
    <row r="4818" spans="1:1">
      <c r="A4818" s="151" t="s">
        <v>6786</v>
      </c>
    </row>
    <row r="4819" spans="1:1">
      <c r="A4819" s="151" t="s">
        <v>6787</v>
      </c>
    </row>
    <row r="4820" spans="1:1">
      <c r="A4820" s="151" t="s">
        <v>6788</v>
      </c>
    </row>
    <row r="4821" spans="1:1">
      <c r="A4821" s="151" t="s">
        <v>6789</v>
      </c>
    </row>
    <row r="4822" spans="1:1">
      <c r="A4822" s="151" t="s">
        <v>6790</v>
      </c>
    </row>
    <row r="4823" spans="1:1">
      <c r="A4823" s="151" t="s">
        <v>6791</v>
      </c>
    </row>
    <row r="4824" spans="1:1">
      <c r="A4824" s="151" t="s">
        <v>6792</v>
      </c>
    </row>
    <row r="4825" spans="1:1">
      <c r="A4825" s="151" t="s">
        <v>6793</v>
      </c>
    </row>
    <row r="4826" spans="1:1">
      <c r="A4826" s="151" t="s">
        <v>6794</v>
      </c>
    </row>
    <row r="4827" spans="1:1">
      <c r="A4827" s="151" t="s">
        <v>6795</v>
      </c>
    </row>
    <row r="4828" spans="1:1">
      <c r="A4828" s="151" t="s">
        <v>6796</v>
      </c>
    </row>
    <row r="4829" spans="1:1">
      <c r="A4829" s="151" t="s">
        <v>6797</v>
      </c>
    </row>
    <row r="4830" spans="1:1">
      <c r="A4830" s="151" t="s">
        <v>6798</v>
      </c>
    </row>
    <row r="4831" spans="1:1">
      <c r="A4831" s="151" t="s">
        <v>6799</v>
      </c>
    </row>
    <row r="4832" spans="1:1">
      <c r="A4832" s="151" t="s">
        <v>6800</v>
      </c>
    </row>
    <row r="4833" spans="1:1">
      <c r="A4833" s="151" t="s">
        <v>6801</v>
      </c>
    </row>
    <row r="4834" spans="1:1">
      <c r="A4834" s="151" t="s">
        <v>6802</v>
      </c>
    </row>
    <row r="4835" spans="1:1">
      <c r="A4835" s="151" t="s">
        <v>6803</v>
      </c>
    </row>
    <row r="4836" spans="1:1">
      <c r="A4836" s="151" t="s">
        <v>6804</v>
      </c>
    </row>
    <row r="4837" spans="1:1">
      <c r="A4837" s="151" t="s">
        <v>6805</v>
      </c>
    </row>
    <row r="4838" spans="1:1">
      <c r="A4838" s="151" t="s">
        <v>6806</v>
      </c>
    </row>
    <row r="4839" spans="1:1">
      <c r="A4839" s="151" t="s">
        <v>6807</v>
      </c>
    </row>
    <row r="4840" spans="1:1">
      <c r="A4840" s="151" t="s">
        <v>6808</v>
      </c>
    </row>
    <row r="4841" spans="1:1">
      <c r="A4841" s="151" t="s">
        <v>6809</v>
      </c>
    </row>
    <row r="4842" spans="1:1">
      <c r="A4842" s="151" t="s">
        <v>6810</v>
      </c>
    </row>
    <row r="4843" spans="1:1">
      <c r="A4843" s="151" t="s">
        <v>6811</v>
      </c>
    </row>
    <row r="4844" spans="1:1">
      <c r="A4844" s="151" t="s">
        <v>6812</v>
      </c>
    </row>
    <row r="4845" spans="1:1">
      <c r="A4845" s="151" t="s">
        <v>6813</v>
      </c>
    </row>
    <row r="4846" spans="1:1">
      <c r="A4846" s="151" t="s">
        <v>6814</v>
      </c>
    </row>
    <row r="4847" spans="1:1">
      <c r="A4847" s="151" t="s">
        <v>6815</v>
      </c>
    </row>
    <row r="4848" spans="1:1">
      <c r="A4848" s="151" t="s">
        <v>6816</v>
      </c>
    </row>
    <row r="4849" spans="1:1">
      <c r="A4849" s="151" t="s">
        <v>6817</v>
      </c>
    </row>
    <row r="4850" spans="1:1">
      <c r="A4850" s="151" t="s">
        <v>6818</v>
      </c>
    </row>
    <row r="4851" spans="1:1">
      <c r="A4851" s="151" t="s">
        <v>6819</v>
      </c>
    </row>
    <row r="4852" spans="1:1">
      <c r="A4852" s="151" t="s">
        <v>6820</v>
      </c>
    </row>
    <row r="4853" spans="1:1">
      <c r="A4853" s="151" t="s">
        <v>6821</v>
      </c>
    </row>
    <row r="4854" spans="1:1">
      <c r="A4854" s="151" t="s">
        <v>6822</v>
      </c>
    </row>
    <row r="4855" spans="1:1">
      <c r="A4855" s="151" t="s">
        <v>6823</v>
      </c>
    </row>
    <row r="4856" spans="1:1">
      <c r="A4856" s="151" t="s">
        <v>6824</v>
      </c>
    </row>
    <row r="4857" spans="1:1">
      <c r="A4857" s="151" t="s">
        <v>6825</v>
      </c>
    </row>
    <row r="4858" spans="1:1">
      <c r="A4858" s="151" t="s">
        <v>6826</v>
      </c>
    </row>
    <row r="4859" spans="1:1">
      <c r="A4859" s="151" t="s">
        <v>6827</v>
      </c>
    </row>
    <row r="4860" spans="1:1">
      <c r="A4860" s="151" t="s">
        <v>6828</v>
      </c>
    </row>
    <row r="4861" spans="1:1">
      <c r="A4861" s="151" t="s">
        <v>6829</v>
      </c>
    </row>
    <row r="4862" spans="1:1">
      <c r="A4862" s="151" t="s">
        <v>6830</v>
      </c>
    </row>
    <row r="4863" spans="1:1">
      <c r="A4863" s="151" t="s">
        <v>6831</v>
      </c>
    </row>
    <row r="4864" spans="1:1">
      <c r="A4864" s="151" t="s">
        <v>6832</v>
      </c>
    </row>
    <row r="4865" spans="1:1">
      <c r="A4865" s="151" t="s">
        <v>6833</v>
      </c>
    </row>
    <row r="4866" spans="1:1">
      <c r="A4866" s="151" t="s">
        <v>6834</v>
      </c>
    </row>
    <row r="4867" spans="1:1">
      <c r="A4867" s="151" t="s">
        <v>6835</v>
      </c>
    </row>
    <row r="4868" spans="1:1">
      <c r="A4868" s="151" t="s">
        <v>6836</v>
      </c>
    </row>
    <row r="4869" spans="1:1">
      <c r="A4869" s="151" t="s">
        <v>6837</v>
      </c>
    </row>
    <row r="4870" spans="1:1">
      <c r="A4870" s="151" t="s">
        <v>6838</v>
      </c>
    </row>
    <row r="4871" spans="1:1">
      <c r="A4871" s="151" t="s">
        <v>6839</v>
      </c>
    </row>
    <row r="4872" spans="1:1">
      <c r="A4872" s="151" t="s">
        <v>6840</v>
      </c>
    </row>
    <row r="4873" spans="1:1">
      <c r="A4873" s="151" t="s">
        <v>6841</v>
      </c>
    </row>
    <row r="4874" spans="1:1">
      <c r="A4874" s="151" t="s">
        <v>6842</v>
      </c>
    </row>
    <row r="4875" spans="1:1">
      <c r="A4875" s="151" t="s">
        <v>6843</v>
      </c>
    </row>
    <row r="4876" spans="1:1">
      <c r="A4876" s="151" t="s">
        <v>6844</v>
      </c>
    </row>
    <row r="4877" spans="1:1">
      <c r="A4877" s="151" t="s">
        <v>6845</v>
      </c>
    </row>
    <row r="4878" spans="1:1">
      <c r="A4878" s="151" t="s">
        <v>6846</v>
      </c>
    </row>
    <row r="4879" spans="1:1">
      <c r="A4879" s="151" t="s">
        <v>6847</v>
      </c>
    </row>
    <row r="4880" spans="1:1">
      <c r="A4880" s="151" t="s">
        <v>6848</v>
      </c>
    </row>
    <row r="4881" spans="1:1">
      <c r="A4881" s="151" t="s">
        <v>6849</v>
      </c>
    </row>
    <row r="4882" spans="1:1">
      <c r="A4882" s="151" t="s">
        <v>6850</v>
      </c>
    </row>
    <row r="4883" spans="1:1">
      <c r="A4883" s="151" t="s">
        <v>6851</v>
      </c>
    </row>
    <row r="4884" spans="1:1">
      <c r="A4884" s="151" t="s">
        <v>6852</v>
      </c>
    </row>
    <row r="4885" spans="1:1">
      <c r="A4885" s="151" t="s">
        <v>6853</v>
      </c>
    </row>
    <row r="4886" spans="1:1">
      <c r="A4886" s="151" t="s">
        <v>6854</v>
      </c>
    </row>
    <row r="4887" spans="1:1">
      <c r="A4887" s="151" t="s">
        <v>6855</v>
      </c>
    </row>
    <row r="4888" spans="1:1">
      <c r="A4888" s="151" t="s">
        <v>6856</v>
      </c>
    </row>
    <row r="4889" spans="1:1">
      <c r="A4889" s="151" t="s">
        <v>6857</v>
      </c>
    </row>
    <row r="4890" spans="1:1">
      <c r="A4890" s="151" t="s">
        <v>6858</v>
      </c>
    </row>
    <row r="4891" spans="1:1">
      <c r="A4891" s="151" t="s">
        <v>6859</v>
      </c>
    </row>
    <row r="4892" spans="1:1">
      <c r="A4892" s="151" t="s">
        <v>6860</v>
      </c>
    </row>
    <row r="4893" spans="1:1">
      <c r="A4893" s="151" t="s">
        <v>6861</v>
      </c>
    </row>
    <row r="4894" spans="1:1">
      <c r="A4894" s="151" t="s">
        <v>6862</v>
      </c>
    </row>
    <row r="4895" spans="1:1">
      <c r="A4895" s="151" t="s">
        <v>6863</v>
      </c>
    </row>
    <row r="4896" spans="1:1">
      <c r="A4896" s="151" t="s">
        <v>6864</v>
      </c>
    </row>
    <row r="4897" spans="1:1">
      <c r="A4897" s="151" t="s">
        <v>6865</v>
      </c>
    </row>
    <row r="4898" spans="1:1">
      <c r="A4898" s="151" t="s">
        <v>6866</v>
      </c>
    </row>
    <row r="4899" spans="1:1">
      <c r="A4899" s="151" t="s">
        <v>6867</v>
      </c>
    </row>
    <row r="4900" spans="1:1">
      <c r="A4900" s="151" t="s">
        <v>6868</v>
      </c>
    </row>
    <row r="4901" spans="1:1">
      <c r="A4901" s="151" t="s">
        <v>6869</v>
      </c>
    </row>
    <row r="4902" spans="1:1">
      <c r="A4902" s="151" t="s">
        <v>6870</v>
      </c>
    </row>
    <row r="4903" spans="1:1">
      <c r="A4903" s="151" t="s">
        <v>6871</v>
      </c>
    </row>
    <row r="4904" spans="1:1">
      <c r="A4904" s="151" t="s">
        <v>6872</v>
      </c>
    </row>
    <row r="4905" spans="1:1">
      <c r="A4905" s="151" t="s">
        <v>6873</v>
      </c>
    </row>
    <row r="4906" spans="1:1">
      <c r="A4906" s="151" t="s">
        <v>6874</v>
      </c>
    </row>
    <row r="4907" spans="1:1">
      <c r="A4907" s="151" t="s">
        <v>6875</v>
      </c>
    </row>
    <row r="4908" spans="1:1">
      <c r="A4908" s="151" t="s">
        <v>6876</v>
      </c>
    </row>
    <row r="4909" spans="1:1">
      <c r="A4909" s="151" t="s">
        <v>6877</v>
      </c>
    </row>
    <row r="4910" spans="1:1">
      <c r="A4910" s="151" t="s">
        <v>6878</v>
      </c>
    </row>
    <row r="4911" spans="1:1">
      <c r="A4911" s="151" t="s">
        <v>6879</v>
      </c>
    </row>
    <row r="4912" spans="1:1">
      <c r="A4912" s="151" t="s">
        <v>6880</v>
      </c>
    </row>
    <row r="4913" spans="1:1">
      <c r="A4913" s="151" t="s">
        <v>6881</v>
      </c>
    </row>
    <row r="4914" spans="1:1">
      <c r="A4914" s="151" t="s">
        <v>6882</v>
      </c>
    </row>
    <row r="4915" spans="1:1">
      <c r="A4915" s="151" t="s">
        <v>6883</v>
      </c>
    </row>
    <row r="4916" spans="1:1">
      <c r="A4916" s="151" t="s">
        <v>6884</v>
      </c>
    </row>
    <row r="4917" spans="1:1">
      <c r="A4917" s="151" t="s">
        <v>6885</v>
      </c>
    </row>
    <row r="4918" spans="1:1">
      <c r="A4918" s="151" t="s">
        <v>6886</v>
      </c>
    </row>
    <row r="4919" spans="1:1">
      <c r="A4919" s="151" t="s">
        <v>6887</v>
      </c>
    </row>
    <row r="4920" spans="1:1">
      <c r="A4920" s="151" t="s">
        <v>6888</v>
      </c>
    </row>
    <row r="4921" spans="1:1">
      <c r="A4921" s="151" t="s">
        <v>6889</v>
      </c>
    </row>
    <row r="4922" spans="1:1">
      <c r="A4922" s="151" t="s">
        <v>6890</v>
      </c>
    </row>
    <row r="4923" spans="1:1">
      <c r="A4923" s="151" t="s">
        <v>6891</v>
      </c>
    </row>
    <row r="4924" spans="1:1">
      <c r="A4924" s="151" t="s">
        <v>6892</v>
      </c>
    </row>
    <row r="4925" spans="1:1">
      <c r="A4925" s="151" t="s">
        <v>6893</v>
      </c>
    </row>
    <row r="4926" spans="1:1">
      <c r="A4926" s="151" t="s">
        <v>6894</v>
      </c>
    </row>
    <row r="4927" spans="1:1">
      <c r="A4927" s="151" t="s">
        <v>6895</v>
      </c>
    </row>
    <row r="4928" spans="1:1">
      <c r="A4928" s="151" t="s">
        <v>6896</v>
      </c>
    </row>
    <row r="4929" spans="1:1">
      <c r="A4929" s="151" t="s">
        <v>6897</v>
      </c>
    </row>
    <row r="4930" spans="1:1">
      <c r="A4930" s="151" t="s">
        <v>6898</v>
      </c>
    </row>
    <row r="4931" spans="1:1">
      <c r="A4931" s="151" t="s">
        <v>6899</v>
      </c>
    </row>
    <row r="4932" spans="1:1">
      <c r="A4932" s="151" t="s">
        <v>6900</v>
      </c>
    </row>
    <row r="4933" spans="1:1">
      <c r="A4933" s="151" t="s">
        <v>6901</v>
      </c>
    </row>
    <row r="4934" spans="1:1">
      <c r="A4934" s="151" t="s">
        <v>6902</v>
      </c>
    </row>
    <row r="4935" spans="1:1">
      <c r="A4935" s="151" t="s">
        <v>6903</v>
      </c>
    </row>
    <row r="4936" spans="1:1">
      <c r="A4936" s="151" t="s">
        <v>6904</v>
      </c>
    </row>
    <row r="4937" spans="1:1">
      <c r="A4937" s="151" t="s">
        <v>6905</v>
      </c>
    </row>
    <row r="4938" spans="1:1">
      <c r="A4938" s="151" t="s">
        <v>6906</v>
      </c>
    </row>
    <row r="4939" spans="1:1">
      <c r="A4939" s="151" t="s">
        <v>6907</v>
      </c>
    </row>
    <row r="4940" spans="1:1">
      <c r="A4940" s="151" t="s">
        <v>6908</v>
      </c>
    </row>
    <row r="4941" spans="1:1">
      <c r="A4941" s="151" t="s">
        <v>6909</v>
      </c>
    </row>
    <row r="4942" spans="1:1">
      <c r="A4942" s="151" t="s">
        <v>6910</v>
      </c>
    </row>
    <row r="4943" spans="1:1">
      <c r="A4943" s="151" t="s">
        <v>6911</v>
      </c>
    </row>
    <row r="4944" spans="1:1">
      <c r="A4944" s="151" t="s">
        <v>6912</v>
      </c>
    </row>
    <row r="4945" spans="1:1">
      <c r="A4945" s="151" t="s">
        <v>6913</v>
      </c>
    </row>
    <row r="4946" spans="1:1">
      <c r="A4946" s="151" t="s">
        <v>6914</v>
      </c>
    </row>
    <row r="4947" spans="1:1">
      <c r="A4947" s="151" t="s">
        <v>6915</v>
      </c>
    </row>
    <row r="4948" spans="1:1">
      <c r="A4948" s="151" t="s">
        <v>6916</v>
      </c>
    </row>
    <row r="4949" spans="1:1">
      <c r="A4949" s="151" t="s">
        <v>6917</v>
      </c>
    </row>
    <row r="4950" spans="1:1">
      <c r="A4950" s="151" t="s">
        <v>6918</v>
      </c>
    </row>
    <row r="4951" spans="1:1">
      <c r="A4951" s="151" t="s">
        <v>6919</v>
      </c>
    </row>
    <row r="4952" spans="1:1">
      <c r="A4952" s="151" t="s">
        <v>6920</v>
      </c>
    </row>
    <row r="4953" spans="1:1">
      <c r="A4953" s="151" t="s">
        <v>6921</v>
      </c>
    </row>
    <row r="4954" spans="1:1">
      <c r="A4954" s="151" t="s">
        <v>6922</v>
      </c>
    </row>
    <row r="4955" spans="1:1">
      <c r="A4955" s="151" t="s">
        <v>6923</v>
      </c>
    </row>
    <row r="4956" spans="1:1">
      <c r="A4956" s="151" t="s">
        <v>6924</v>
      </c>
    </row>
    <row r="4957" spans="1:1">
      <c r="A4957" s="151" t="s">
        <v>6925</v>
      </c>
    </row>
    <row r="4958" spans="1:1">
      <c r="A4958" s="151" t="s">
        <v>6926</v>
      </c>
    </row>
    <row r="4959" spans="1:1">
      <c r="A4959" s="151" t="s">
        <v>6927</v>
      </c>
    </row>
    <row r="4960" spans="1:1">
      <c r="A4960" s="151" t="s">
        <v>6928</v>
      </c>
    </row>
    <row r="4961" spans="1:1">
      <c r="A4961" s="151" t="s">
        <v>6929</v>
      </c>
    </row>
    <row r="4962" spans="1:1">
      <c r="A4962" s="151" t="s">
        <v>6930</v>
      </c>
    </row>
    <row r="4963" spans="1:1">
      <c r="A4963" s="151" t="s">
        <v>6931</v>
      </c>
    </row>
    <row r="4964" spans="1:1">
      <c r="A4964" s="151" t="s">
        <v>6932</v>
      </c>
    </row>
    <row r="4965" spans="1:1">
      <c r="A4965" s="151" t="s">
        <v>6933</v>
      </c>
    </row>
    <row r="4966" spans="1:1">
      <c r="A4966" s="151" t="s">
        <v>6934</v>
      </c>
    </row>
    <row r="4967" spans="1:1">
      <c r="A4967" s="151" t="s">
        <v>6935</v>
      </c>
    </row>
    <row r="4968" spans="1:1">
      <c r="A4968" s="151" t="s">
        <v>6936</v>
      </c>
    </row>
    <row r="4969" spans="1:1">
      <c r="A4969" s="151" t="s">
        <v>6937</v>
      </c>
    </row>
    <row r="4970" spans="1:1">
      <c r="A4970" s="151" t="s">
        <v>6938</v>
      </c>
    </row>
    <row r="4971" spans="1:1">
      <c r="A4971" s="151" t="s">
        <v>6939</v>
      </c>
    </row>
    <row r="4972" spans="1:1">
      <c r="A4972" s="151" t="s">
        <v>6940</v>
      </c>
    </row>
    <row r="4973" spans="1:1">
      <c r="A4973" s="151" t="s">
        <v>6941</v>
      </c>
    </row>
    <row r="4974" spans="1:1">
      <c r="A4974" s="151" t="s">
        <v>6942</v>
      </c>
    </row>
    <row r="4975" spans="1:1">
      <c r="A4975" s="151" t="s">
        <v>6943</v>
      </c>
    </row>
    <row r="4976" spans="1:1">
      <c r="A4976" s="151" t="s">
        <v>6944</v>
      </c>
    </row>
    <row r="4977" spans="1:1">
      <c r="A4977" s="151" t="s">
        <v>6945</v>
      </c>
    </row>
    <row r="4978" spans="1:1">
      <c r="A4978" s="151" t="s">
        <v>6946</v>
      </c>
    </row>
    <row r="4979" spans="1:1">
      <c r="A4979" s="151" t="s">
        <v>6947</v>
      </c>
    </row>
    <row r="4980" spans="1:1">
      <c r="A4980" s="151" t="s">
        <v>6948</v>
      </c>
    </row>
    <row r="4981" spans="1:1">
      <c r="A4981" s="151" t="s">
        <v>6949</v>
      </c>
    </row>
    <row r="4982" spans="1:1">
      <c r="A4982" s="151" t="s">
        <v>6950</v>
      </c>
    </row>
    <row r="4983" spans="1:1">
      <c r="A4983" s="151" t="s">
        <v>6951</v>
      </c>
    </row>
    <row r="4984" spans="1:1">
      <c r="A4984" s="151" t="s">
        <v>6952</v>
      </c>
    </row>
    <row r="4985" spans="1:1">
      <c r="A4985" s="151" t="s">
        <v>6953</v>
      </c>
    </row>
    <row r="4986" spans="1:1">
      <c r="A4986" s="151" t="s">
        <v>6954</v>
      </c>
    </row>
    <row r="4987" spans="1:1">
      <c r="A4987" s="151" t="s">
        <v>6955</v>
      </c>
    </row>
    <row r="4988" spans="1:1">
      <c r="A4988" s="151" t="s">
        <v>6956</v>
      </c>
    </row>
    <row r="4989" spans="1:1">
      <c r="A4989" s="151" t="s">
        <v>6957</v>
      </c>
    </row>
    <row r="4990" spans="1:1">
      <c r="A4990" s="151" t="s">
        <v>6958</v>
      </c>
    </row>
    <row r="4991" spans="1:1">
      <c r="A4991" s="151" t="s">
        <v>6959</v>
      </c>
    </row>
    <row r="4992" spans="1:1">
      <c r="A4992" s="151" t="s">
        <v>6960</v>
      </c>
    </row>
    <row r="4993" spans="1:1">
      <c r="A4993" s="151" t="s">
        <v>6961</v>
      </c>
    </row>
    <row r="4994" spans="1:1">
      <c r="A4994" s="151" t="s">
        <v>6962</v>
      </c>
    </row>
    <row r="4995" spans="1:1">
      <c r="A4995" s="151" t="s">
        <v>6963</v>
      </c>
    </row>
    <row r="4996" spans="1:1">
      <c r="A4996" s="151" t="s">
        <v>6964</v>
      </c>
    </row>
    <row r="4997" spans="1:1">
      <c r="A4997" s="151" t="s">
        <v>6965</v>
      </c>
    </row>
    <row r="4998" spans="1:1">
      <c r="A4998" s="151" t="s">
        <v>6966</v>
      </c>
    </row>
    <row r="4999" spans="1:1">
      <c r="A4999" s="151" t="s">
        <v>6967</v>
      </c>
    </row>
    <row r="5000" spans="1:1">
      <c r="A5000" s="151" t="s">
        <v>6968</v>
      </c>
    </row>
    <row r="5001" spans="1:1">
      <c r="A5001" s="151" t="s">
        <v>6969</v>
      </c>
    </row>
    <row r="5002" spans="1:1">
      <c r="A5002" s="151" t="s">
        <v>6970</v>
      </c>
    </row>
    <row r="5003" spans="1:1">
      <c r="A5003" s="151" t="s">
        <v>6971</v>
      </c>
    </row>
    <row r="5004" spans="1:1">
      <c r="A5004" s="151" t="s">
        <v>6972</v>
      </c>
    </row>
    <row r="5005" spans="1:1">
      <c r="A5005" s="151" t="s">
        <v>6973</v>
      </c>
    </row>
    <row r="5006" spans="1:1">
      <c r="A5006" s="151" t="s">
        <v>6974</v>
      </c>
    </row>
    <row r="5007" spans="1:1">
      <c r="A5007" s="151" t="s">
        <v>6975</v>
      </c>
    </row>
    <row r="5008" spans="1:1">
      <c r="A5008" s="151" t="s">
        <v>6976</v>
      </c>
    </row>
    <row r="5009" spans="1:1">
      <c r="A5009" s="151" t="s">
        <v>6977</v>
      </c>
    </row>
    <row r="5010" spans="1:1">
      <c r="A5010" s="151" t="s">
        <v>6978</v>
      </c>
    </row>
    <row r="5011" spans="1:1">
      <c r="A5011" s="151" t="s">
        <v>6979</v>
      </c>
    </row>
    <row r="5012" spans="1:1">
      <c r="A5012" s="151" t="s">
        <v>6980</v>
      </c>
    </row>
    <row r="5013" spans="1:1">
      <c r="A5013" s="151" t="s">
        <v>6981</v>
      </c>
    </row>
    <row r="5014" spans="1:1">
      <c r="A5014" s="151" t="s">
        <v>6982</v>
      </c>
    </row>
    <row r="5015" spans="1:1">
      <c r="A5015" s="151" t="s">
        <v>6983</v>
      </c>
    </row>
    <row r="5016" spans="1:1">
      <c r="A5016" s="151" t="s">
        <v>6984</v>
      </c>
    </row>
    <row r="5017" spans="1:1">
      <c r="A5017" s="151" t="s">
        <v>6985</v>
      </c>
    </row>
    <row r="5018" spans="1:1">
      <c r="A5018" s="151" t="s">
        <v>6986</v>
      </c>
    </row>
    <row r="5019" spans="1:1">
      <c r="A5019" s="151" t="s">
        <v>6987</v>
      </c>
    </row>
    <row r="5020" spans="1:1">
      <c r="A5020" s="151" t="s">
        <v>6988</v>
      </c>
    </row>
    <row r="5021" spans="1:1">
      <c r="A5021" s="151" t="s">
        <v>6989</v>
      </c>
    </row>
    <row r="5022" spans="1:1">
      <c r="A5022" s="151" t="s">
        <v>6990</v>
      </c>
    </row>
    <row r="5023" spans="1:1">
      <c r="A5023" s="151" t="s">
        <v>6991</v>
      </c>
    </row>
    <row r="5024" spans="1:1">
      <c r="A5024" s="151" t="s">
        <v>6992</v>
      </c>
    </row>
    <row r="5025" spans="1:1">
      <c r="A5025" s="151" t="s">
        <v>6993</v>
      </c>
    </row>
    <row r="5026" spans="1:1">
      <c r="A5026" s="151" t="s">
        <v>6994</v>
      </c>
    </row>
    <row r="5027" spans="1:1">
      <c r="A5027" s="151" t="s">
        <v>6995</v>
      </c>
    </row>
    <row r="5028" spans="1:1">
      <c r="A5028" s="151" t="s">
        <v>6996</v>
      </c>
    </row>
    <row r="5029" spans="1:1">
      <c r="A5029" s="151" t="s">
        <v>6997</v>
      </c>
    </row>
    <row r="5030" spans="1:1">
      <c r="A5030" s="151" t="s">
        <v>6998</v>
      </c>
    </row>
    <row r="5031" spans="1:1">
      <c r="A5031" s="151" t="s">
        <v>6999</v>
      </c>
    </row>
    <row r="5032" spans="1:1">
      <c r="A5032" s="151" t="s">
        <v>7000</v>
      </c>
    </row>
    <row r="5033" spans="1:1">
      <c r="A5033" s="151" t="s">
        <v>7001</v>
      </c>
    </row>
    <row r="5034" spans="1:1">
      <c r="A5034" s="151" t="s">
        <v>7002</v>
      </c>
    </row>
    <row r="5035" spans="1:1">
      <c r="A5035" s="151" t="s">
        <v>7003</v>
      </c>
    </row>
    <row r="5036" spans="1:1">
      <c r="A5036" s="151" t="s">
        <v>7004</v>
      </c>
    </row>
    <row r="5037" spans="1:1">
      <c r="A5037" s="151" t="s">
        <v>7005</v>
      </c>
    </row>
    <row r="5038" spans="1:1">
      <c r="A5038" s="151" t="s">
        <v>7006</v>
      </c>
    </row>
    <row r="5039" spans="1:1">
      <c r="A5039" s="151" t="s">
        <v>7007</v>
      </c>
    </row>
    <row r="5040" spans="1:1">
      <c r="A5040" s="151" t="s">
        <v>7008</v>
      </c>
    </row>
    <row r="5041" spans="1:1">
      <c r="A5041" s="151" t="s">
        <v>7009</v>
      </c>
    </row>
    <row r="5042" spans="1:1">
      <c r="A5042" s="151" t="s">
        <v>7010</v>
      </c>
    </row>
    <row r="5043" spans="1:1">
      <c r="A5043" s="151" t="s">
        <v>7011</v>
      </c>
    </row>
    <row r="5044" spans="1:1">
      <c r="A5044" s="151" t="s">
        <v>7012</v>
      </c>
    </row>
    <row r="5045" spans="1:1">
      <c r="A5045" s="151" t="s">
        <v>7013</v>
      </c>
    </row>
    <row r="5046" spans="1:1">
      <c r="A5046" s="151" t="s">
        <v>7014</v>
      </c>
    </row>
    <row r="5047" spans="1:1">
      <c r="A5047" s="151" t="s">
        <v>7015</v>
      </c>
    </row>
    <row r="5048" spans="1:1">
      <c r="A5048" s="151" t="s">
        <v>7016</v>
      </c>
    </row>
    <row r="5049" spans="1:1">
      <c r="A5049" s="151" t="s">
        <v>7017</v>
      </c>
    </row>
    <row r="5050" spans="1:1">
      <c r="A5050" s="151" t="s">
        <v>7018</v>
      </c>
    </row>
    <row r="5051" spans="1:1">
      <c r="A5051" s="151" t="s">
        <v>7019</v>
      </c>
    </row>
    <row r="5052" spans="1:1">
      <c r="A5052" s="151" t="s">
        <v>7020</v>
      </c>
    </row>
    <row r="5053" spans="1:1">
      <c r="A5053" s="151" t="s">
        <v>7021</v>
      </c>
    </row>
    <row r="5054" spans="1:1">
      <c r="A5054" s="151" t="s">
        <v>7022</v>
      </c>
    </row>
    <row r="5055" spans="1:1">
      <c r="A5055" s="151" t="s">
        <v>7023</v>
      </c>
    </row>
    <row r="5056" spans="1:1">
      <c r="A5056" s="151" t="s">
        <v>7024</v>
      </c>
    </row>
    <row r="5057" spans="1:1">
      <c r="A5057" s="151" t="s">
        <v>7025</v>
      </c>
    </row>
    <row r="5058" spans="1:1">
      <c r="A5058" s="151" t="s">
        <v>7026</v>
      </c>
    </row>
    <row r="5059" spans="1:1">
      <c r="A5059" s="151" t="s">
        <v>7027</v>
      </c>
    </row>
    <row r="5060" spans="1:1">
      <c r="A5060" s="151" t="s">
        <v>7028</v>
      </c>
    </row>
    <row r="5061" spans="1:1">
      <c r="A5061" s="151" t="s">
        <v>7029</v>
      </c>
    </row>
    <row r="5062" spans="1:1">
      <c r="A5062" s="151" t="s">
        <v>7030</v>
      </c>
    </row>
    <row r="5063" spans="1:1">
      <c r="A5063" s="151" t="s">
        <v>7031</v>
      </c>
    </row>
    <row r="5064" spans="1:1">
      <c r="A5064" s="151" t="s">
        <v>7032</v>
      </c>
    </row>
    <row r="5065" spans="1:1">
      <c r="A5065" s="151" t="s">
        <v>7033</v>
      </c>
    </row>
    <row r="5066" spans="1:1">
      <c r="A5066" s="151" t="s">
        <v>7034</v>
      </c>
    </row>
    <row r="5067" spans="1:1">
      <c r="A5067" s="151" t="s">
        <v>7035</v>
      </c>
    </row>
    <row r="5068" spans="1:1">
      <c r="A5068" s="151" t="s">
        <v>7036</v>
      </c>
    </row>
    <row r="5069" spans="1:1">
      <c r="A5069" s="151" t="s">
        <v>7037</v>
      </c>
    </row>
    <row r="5070" spans="1:1">
      <c r="A5070" s="151" t="s">
        <v>7038</v>
      </c>
    </row>
    <row r="5071" spans="1:1">
      <c r="A5071" s="151" t="s">
        <v>7039</v>
      </c>
    </row>
    <row r="5072" spans="1:1">
      <c r="A5072" s="151" t="s">
        <v>7040</v>
      </c>
    </row>
    <row r="5073" spans="1:1">
      <c r="A5073" s="151" t="s">
        <v>7041</v>
      </c>
    </row>
    <row r="5074" spans="1:1">
      <c r="A5074" s="151" t="s">
        <v>7042</v>
      </c>
    </row>
    <row r="5075" spans="1:1">
      <c r="A5075" s="151" t="s">
        <v>7043</v>
      </c>
    </row>
    <row r="5076" spans="1:1">
      <c r="A5076" s="151" t="s">
        <v>7044</v>
      </c>
    </row>
    <row r="5077" spans="1:1">
      <c r="A5077" s="151" t="s">
        <v>7045</v>
      </c>
    </row>
    <row r="5078" spans="1:1">
      <c r="A5078" s="151" t="s">
        <v>7046</v>
      </c>
    </row>
    <row r="5079" spans="1:1">
      <c r="A5079" s="151" t="s">
        <v>7047</v>
      </c>
    </row>
    <row r="5080" spans="1:1">
      <c r="A5080" s="151" t="s">
        <v>7048</v>
      </c>
    </row>
    <row r="5081" spans="1:1">
      <c r="A5081" s="151" t="s">
        <v>7049</v>
      </c>
    </row>
    <row r="5082" spans="1:1">
      <c r="A5082" s="151" t="s">
        <v>7050</v>
      </c>
    </row>
    <row r="5083" spans="1:1">
      <c r="A5083" s="151" t="s">
        <v>7051</v>
      </c>
    </row>
    <row r="5084" spans="1:1">
      <c r="A5084" s="151" t="s">
        <v>7052</v>
      </c>
    </row>
    <row r="5085" spans="1:1">
      <c r="A5085" s="151" t="s">
        <v>7053</v>
      </c>
    </row>
    <row r="5086" spans="1:1">
      <c r="A5086" s="151" t="s">
        <v>7054</v>
      </c>
    </row>
    <row r="5087" spans="1:1">
      <c r="A5087" s="151" t="s">
        <v>7055</v>
      </c>
    </row>
    <row r="5088" spans="1:1">
      <c r="A5088" s="151" t="s">
        <v>7056</v>
      </c>
    </row>
    <row r="5089" spans="1:1">
      <c r="A5089" s="151" t="s">
        <v>7057</v>
      </c>
    </row>
    <row r="5090" spans="1:1">
      <c r="A5090" s="151" t="s">
        <v>7058</v>
      </c>
    </row>
    <row r="5091" spans="1:1">
      <c r="A5091" s="151" t="s">
        <v>7059</v>
      </c>
    </row>
    <row r="5092" spans="1:1">
      <c r="A5092" s="151" t="s">
        <v>7060</v>
      </c>
    </row>
    <row r="5093" spans="1:1">
      <c r="A5093" s="151" t="s">
        <v>7061</v>
      </c>
    </row>
    <row r="5094" spans="1:1">
      <c r="A5094" s="151" t="s">
        <v>7062</v>
      </c>
    </row>
    <row r="5095" spans="1:1">
      <c r="A5095" s="151" t="s">
        <v>7063</v>
      </c>
    </row>
    <row r="5096" spans="1:1">
      <c r="A5096" s="151" t="s">
        <v>7064</v>
      </c>
    </row>
    <row r="5097" spans="1:1">
      <c r="A5097" s="151" t="s">
        <v>7065</v>
      </c>
    </row>
    <row r="5098" spans="1:1">
      <c r="A5098" s="151" t="s">
        <v>7066</v>
      </c>
    </row>
    <row r="5099" spans="1:1">
      <c r="A5099" s="151" t="s">
        <v>7067</v>
      </c>
    </row>
    <row r="5100" spans="1:1">
      <c r="A5100" s="151" t="s">
        <v>7068</v>
      </c>
    </row>
    <row r="5101" spans="1:1">
      <c r="A5101" s="151" t="s">
        <v>7069</v>
      </c>
    </row>
    <row r="5102" spans="1:1">
      <c r="A5102" s="151" t="s">
        <v>7070</v>
      </c>
    </row>
    <row r="5103" spans="1:1">
      <c r="A5103" s="151" t="s">
        <v>7071</v>
      </c>
    </row>
    <row r="5104" spans="1:1">
      <c r="A5104" s="151" t="s">
        <v>7072</v>
      </c>
    </row>
    <row r="5105" spans="1:1">
      <c r="A5105" s="151" t="s">
        <v>7073</v>
      </c>
    </row>
    <row r="5106" spans="1:1">
      <c r="A5106" s="151" t="s">
        <v>7074</v>
      </c>
    </row>
    <row r="5107" spans="1:1">
      <c r="A5107" s="151" t="s">
        <v>7075</v>
      </c>
    </row>
    <row r="5108" spans="1:1">
      <c r="A5108" s="151" t="s">
        <v>7076</v>
      </c>
    </row>
    <row r="5109" spans="1:1">
      <c r="A5109" s="151" t="s">
        <v>7077</v>
      </c>
    </row>
    <row r="5110" spans="1:1">
      <c r="A5110" s="151" t="s">
        <v>7078</v>
      </c>
    </row>
    <row r="5111" spans="1:1">
      <c r="A5111" s="151" t="s">
        <v>7079</v>
      </c>
    </row>
    <row r="5112" spans="1:1">
      <c r="A5112" s="151" t="s">
        <v>7080</v>
      </c>
    </row>
    <row r="5113" spans="1:1">
      <c r="A5113" s="151" t="s">
        <v>7081</v>
      </c>
    </row>
    <row r="5114" spans="1:1">
      <c r="A5114" s="151" t="s">
        <v>7082</v>
      </c>
    </row>
    <row r="5115" spans="1:1">
      <c r="A5115" s="151" t="s">
        <v>7083</v>
      </c>
    </row>
    <row r="5116" spans="1:1">
      <c r="A5116" s="151" t="s">
        <v>7084</v>
      </c>
    </row>
    <row r="5117" spans="1:1">
      <c r="A5117" s="151" t="s">
        <v>7085</v>
      </c>
    </row>
    <row r="5118" spans="1:1">
      <c r="A5118" s="151" t="s">
        <v>7086</v>
      </c>
    </row>
    <row r="5119" spans="1:1">
      <c r="A5119" s="151" t="s">
        <v>7087</v>
      </c>
    </row>
    <row r="5120" spans="1:1">
      <c r="A5120" s="151" t="s">
        <v>7088</v>
      </c>
    </row>
    <row r="5121" spans="1:1">
      <c r="A5121" s="151" t="s">
        <v>7089</v>
      </c>
    </row>
    <row r="5122" spans="1:1">
      <c r="A5122" s="151" t="s">
        <v>7090</v>
      </c>
    </row>
    <row r="5123" spans="1:1">
      <c r="A5123" s="151" t="s">
        <v>7091</v>
      </c>
    </row>
    <row r="5124" spans="1:1">
      <c r="A5124" s="151" t="s">
        <v>7092</v>
      </c>
    </row>
    <row r="5125" spans="1:1">
      <c r="A5125" s="151" t="s">
        <v>7093</v>
      </c>
    </row>
    <row r="5126" spans="1:1">
      <c r="A5126" s="151" t="s">
        <v>7094</v>
      </c>
    </row>
    <row r="5127" spans="1:1">
      <c r="A5127" s="151" t="s">
        <v>7095</v>
      </c>
    </row>
    <row r="5128" spans="1:1">
      <c r="A5128" s="151" t="s">
        <v>7096</v>
      </c>
    </row>
    <row r="5129" spans="1:1">
      <c r="A5129" s="151" t="s">
        <v>7097</v>
      </c>
    </row>
    <row r="5130" spans="1:1">
      <c r="A5130" s="151" t="s">
        <v>7098</v>
      </c>
    </row>
    <row r="5131" spans="1:1">
      <c r="A5131" s="151" t="s">
        <v>7099</v>
      </c>
    </row>
    <row r="5132" spans="1:1">
      <c r="A5132" s="151" t="s">
        <v>7100</v>
      </c>
    </row>
    <row r="5133" spans="1:1">
      <c r="A5133" s="151" t="s">
        <v>7101</v>
      </c>
    </row>
    <row r="5134" spans="1:1">
      <c r="A5134" s="151" t="s">
        <v>7102</v>
      </c>
    </row>
    <row r="5135" spans="1:1">
      <c r="A5135" s="151" t="s">
        <v>7103</v>
      </c>
    </row>
    <row r="5136" spans="1:1">
      <c r="A5136" s="151" t="s">
        <v>7104</v>
      </c>
    </row>
    <row r="5137" spans="1:1">
      <c r="A5137" s="151" t="s">
        <v>7105</v>
      </c>
    </row>
    <row r="5138" spans="1:1">
      <c r="A5138" s="151" t="s">
        <v>7106</v>
      </c>
    </row>
    <row r="5139" spans="1:1">
      <c r="A5139" s="151" t="s">
        <v>7107</v>
      </c>
    </row>
    <row r="5140" spans="1:1">
      <c r="A5140" s="151" t="s">
        <v>7108</v>
      </c>
    </row>
    <row r="5141" spans="1:1">
      <c r="A5141" s="151" t="s">
        <v>7109</v>
      </c>
    </row>
    <row r="5142" spans="1:1">
      <c r="A5142" s="151" t="s">
        <v>7110</v>
      </c>
    </row>
    <row r="5143" spans="1:1">
      <c r="A5143" s="151" t="s">
        <v>7111</v>
      </c>
    </row>
    <row r="5144" spans="1:1">
      <c r="A5144" s="151" t="s">
        <v>7112</v>
      </c>
    </row>
    <row r="5145" spans="1:1">
      <c r="A5145" s="151" t="s">
        <v>7113</v>
      </c>
    </row>
    <row r="5146" spans="1:1">
      <c r="A5146" s="151" t="s">
        <v>7114</v>
      </c>
    </row>
    <row r="5147" spans="1:1">
      <c r="A5147" s="151" t="s">
        <v>7115</v>
      </c>
    </row>
    <row r="5148" spans="1:1">
      <c r="A5148" s="151" t="s">
        <v>7116</v>
      </c>
    </row>
    <row r="5149" spans="1:1">
      <c r="A5149" s="151" t="s">
        <v>7117</v>
      </c>
    </row>
    <row r="5150" spans="1:1">
      <c r="A5150" s="151" t="s">
        <v>7118</v>
      </c>
    </row>
    <row r="5151" spans="1:1">
      <c r="A5151" s="151" t="s">
        <v>7119</v>
      </c>
    </row>
    <row r="5152" spans="1:1">
      <c r="A5152" s="151" t="s">
        <v>7120</v>
      </c>
    </row>
    <row r="5153" spans="1:1">
      <c r="A5153" s="151" t="s">
        <v>7121</v>
      </c>
    </row>
    <row r="5154" spans="1:1">
      <c r="A5154" s="151" t="s">
        <v>7122</v>
      </c>
    </row>
    <row r="5155" spans="1:1">
      <c r="A5155" s="151" t="s">
        <v>7123</v>
      </c>
    </row>
    <row r="5156" spans="1:1">
      <c r="A5156" s="151" t="s">
        <v>7124</v>
      </c>
    </row>
    <row r="5157" spans="1:1">
      <c r="A5157" s="151" t="s">
        <v>7125</v>
      </c>
    </row>
    <row r="5158" spans="1:1">
      <c r="A5158" s="151" t="s">
        <v>7126</v>
      </c>
    </row>
    <row r="5159" spans="1:1">
      <c r="A5159" s="151" t="s">
        <v>7127</v>
      </c>
    </row>
    <row r="5160" spans="1:1">
      <c r="A5160" s="151" t="s">
        <v>7128</v>
      </c>
    </row>
    <row r="5161" spans="1:1">
      <c r="A5161" s="151" t="s">
        <v>7129</v>
      </c>
    </row>
    <row r="5162" spans="1:1">
      <c r="A5162" s="151" t="s">
        <v>7130</v>
      </c>
    </row>
    <row r="5163" spans="1:1">
      <c r="A5163" s="151" t="s">
        <v>7131</v>
      </c>
    </row>
    <row r="5164" spans="1:1">
      <c r="A5164" s="151" t="s">
        <v>7132</v>
      </c>
    </row>
    <row r="5165" spans="1:1">
      <c r="A5165" s="151" t="s">
        <v>7133</v>
      </c>
    </row>
    <row r="5166" spans="1:1">
      <c r="A5166" s="151" t="s">
        <v>7134</v>
      </c>
    </row>
    <row r="5167" spans="1:1">
      <c r="A5167" s="151" t="s">
        <v>7135</v>
      </c>
    </row>
    <row r="5168" spans="1:1">
      <c r="A5168" s="151" t="s">
        <v>7136</v>
      </c>
    </row>
    <row r="5169" spans="1:1">
      <c r="A5169" s="151" t="s">
        <v>7137</v>
      </c>
    </row>
    <row r="5170" spans="1:1">
      <c r="A5170" s="151" t="s">
        <v>7138</v>
      </c>
    </row>
    <row r="5171" spans="1:1">
      <c r="A5171" s="151" t="s">
        <v>7139</v>
      </c>
    </row>
    <row r="5172" spans="1:1">
      <c r="A5172" s="151" t="s">
        <v>7140</v>
      </c>
    </row>
    <row r="5173" spans="1:1">
      <c r="A5173" s="151" t="s">
        <v>7141</v>
      </c>
    </row>
    <row r="5174" spans="1:1">
      <c r="A5174" s="151" t="s">
        <v>7142</v>
      </c>
    </row>
    <row r="5175" spans="1:1">
      <c r="A5175" s="151" t="s">
        <v>7143</v>
      </c>
    </row>
    <row r="5176" spans="1:1">
      <c r="A5176" s="151" t="s">
        <v>7144</v>
      </c>
    </row>
    <row r="5177" spans="1:1">
      <c r="A5177" s="151" t="s">
        <v>7145</v>
      </c>
    </row>
    <row r="5178" spans="1:1">
      <c r="A5178" s="151" t="s">
        <v>7146</v>
      </c>
    </row>
    <row r="5179" spans="1:1">
      <c r="A5179" s="151" t="s">
        <v>7147</v>
      </c>
    </row>
    <row r="5180" spans="1:1">
      <c r="A5180" s="151" t="s">
        <v>7148</v>
      </c>
    </row>
    <row r="5181" spans="1:1">
      <c r="A5181" s="151" t="s">
        <v>7149</v>
      </c>
    </row>
    <row r="5182" spans="1:1">
      <c r="A5182" s="151" t="s">
        <v>7150</v>
      </c>
    </row>
    <row r="5183" spans="1:1">
      <c r="A5183" s="151" t="s">
        <v>7151</v>
      </c>
    </row>
    <row r="5184" spans="1:1">
      <c r="A5184" s="151" t="s">
        <v>7152</v>
      </c>
    </row>
    <row r="5185" spans="1:1">
      <c r="A5185" s="151" t="s">
        <v>7153</v>
      </c>
    </row>
    <row r="5186" spans="1:1">
      <c r="A5186" s="151" t="s">
        <v>7154</v>
      </c>
    </row>
    <row r="5187" spans="1:1">
      <c r="A5187" s="151" t="s">
        <v>7155</v>
      </c>
    </row>
    <row r="5188" spans="1:1">
      <c r="A5188" s="151" t="s">
        <v>7156</v>
      </c>
    </row>
    <row r="5189" spans="1:1">
      <c r="A5189" s="151" t="s">
        <v>7157</v>
      </c>
    </row>
    <row r="5190" spans="1:1">
      <c r="A5190" s="151" t="s">
        <v>7158</v>
      </c>
    </row>
    <row r="5191" spans="1:1">
      <c r="A5191" s="151" t="s">
        <v>7159</v>
      </c>
    </row>
    <row r="5192" spans="1:1">
      <c r="A5192" s="151" t="s">
        <v>7160</v>
      </c>
    </row>
    <row r="5193" spans="1:1">
      <c r="A5193" s="151" t="s">
        <v>7161</v>
      </c>
    </row>
    <row r="5194" spans="1:1">
      <c r="A5194" s="151" t="s">
        <v>7162</v>
      </c>
    </row>
    <row r="5195" spans="1:1">
      <c r="A5195" s="151" t="s">
        <v>7163</v>
      </c>
    </row>
    <row r="5196" spans="1:1">
      <c r="A5196" s="151" t="s">
        <v>7164</v>
      </c>
    </row>
    <row r="5197" spans="1:1">
      <c r="A5197" s="151" t="s">
        <v>7165</v>
      </c>
    </row>
    <row r="5198" spans="1:1">
      <c r="A5198" s="151" t="s">
        <v>7166</v>
      </c>
    </row>
    <row r="5199" spans="1:1">
      <c r="A5199" s="151" t="s">
        <v>7167</v>
      </c>
    </row>
    <row r="5200" spans="1:1">
      <c r="A5200" s="151" t="s">
        <v>7168</v>
      </c>
    </row>
    <row r="5201" spans="1:1">
      <c r="A5201" s="151" t="s">
        <v>7169</v>
      </c>
    </row>
    <row r="5202" spans="1:1">
      <c r="A5202" s="151" t="s">
        <v>7170</v>
      </c>
    </row>
    <row r="5203" spans="1:1">
      <c r="A5203" s="151" t="s">
        <v>7171</v>
      </c>
    </row>
    <row r="5204" spans="1:1">
      <c r="A5204" s="151" t="s">
        <v>7172</v>
      </c>
    </row>
    <row r="5205" spans="1:1">
      <c r="A5205" s="151" t="s">
        <v>7173</v>
      </c>
    </row>
    <row r="5206" spans="1:1">
      <c r="A5206" s="151" t="s">
        <v>7174</v>
      </c>
    </row>
    <row r="5207" spans="1:1">
      <c r="A5207" s="151" t="s">
        <v>7175</v>
      </c>
    </row>
    <row r="5208" spans="1:1">
      <c r="A5208" s="151" t="s">
        <v>7176</v>
      </c>
    </row>
    <row r="5209" spans="1:1">
      <c r="A5209" s="151" t="s">
        <v>7177</v>
      </c>
    </row>
    <row r="5210" spans="1:1">
      <c r="A5210" s="151" t="s">
        <v>7178</v>
      </c>
    </row>
    <row r="5211" spans="1:1">
      <c r="A5211" s="151" t="s">
        <v>7179</v>
      </c>
    </row>
    <row r="5212" spans="1:1">
      <c r="A5212" s="151" t="s">
        <v>7180</v>
      </c>
    </row>
    <row r="5213" spans="1:1">
      <c r="A5213" s="151" t="s">
        <v>7181</v>
      </c>
    </row>
    <row r="5214" spans="1:1">
      <c r="A5214" s="151" t="s">
        <v>7182</v>
      </c>
    </row>
    <row r="5215" spans="1:1">
      <c r="A5215" s="151" t="s">
        <v>7183</v>
      </c>
    </row>
    <row r="5216" spans="1:1">
      <c r="A5216" s="151" t="s">
        <v>7184</v>
      </c>
    </row>
    <row r="5217" spans="1:1">
      <c r="A5217" s="151" t="s">
        <v>7185</v>
      </c>
    </row>
    <row r="5218" spans="1:1">
      <c r="A5218" s="151" t="s">
        <v>7186</v>
      </c>
    </row>
    <row r="5219" spans="1:1">
      <c r="A5219" s="151" t="s">
        <v>7187</v>
      </c>
    </row>
    <row r="5220" spans="1:1">
      <c r="A5220" s="151" t="s">
        <v>7188</v>
      </c>
    </row>
    <row r="5221" spans="1:1">
      <c r="A5221" s="151" t="s">
        <v>7189</v>
      </c>
    </row>
    <row r="5222" spans="1:1">
      <c r="A5222" s="151" t="s">
        <v>7190</v>
      </c>
    </row>
    <row r="5223" spans="1:1">
      <c r="A5223" s="151" t="s">
        <v>7191</v>
      </c>
    </row>
    <row r="5224" spans="1:1">
      <c r="A5224" s="151" t="s">
        <v>7192</v>
      </c>
    </row>
    <row r="5225" spans="1:1">
      <c r="A5225" s="151" t="s">
        <v>7193</v>
      </c>
    </row>
    <row r="5226" spans="1:1">
      <c r="A5226" s="151" t="s">
        <v>7194</v>
      </c>
    </row>
    <row r="5227" spans="1:1">
      <c r="A5227" s="151" t="s">
        <v>7195</v>
      </c>
    </row>
    <row r="5228" spans="1:1">
      <c r="A5228" s="151" t="s">
        <v>7196</v>
      </c>
    </row>
    <row r="5229" spans="1:1">
      <c r="A5229" s="151" t="s">
        <v>7197</v>
      </c>
    </row>
    <row r="5230" spans="1:1">
      <c r="A5230" s="151" t="s">
        <v>7198</v>
      </c>
    </row>
    <row r="5231" spans="1:1">
      <c r="A5231" s="151" t="s">
        <v>7199</v>
      </c>
    </row>
    <row r="5232" spans="1:1">
      <c r="A5232" s="151" t="s">
        <v>7200</v>
      </c>
    </row>
    <row r="5233" spans="1:1">
      <c r="A5233" s="151" t="s">
        <v>7201</v>
      </c>
    </row>
    <row r="5234" spans="1:1">
      <c r="A5234" s="151" t="s">
        <v>7202</v>
      </c>
    </row>
    <row r="5235" spans="1:1">
      <c r="A5235" s="151" t="s">
        <v>7203</v>
      </c>
    </row>
    <row r="5236" spans="1:1">
      <c r="A5236" s="151" t="s">
        <v>7204</v>
      </c>
    </row>
    <row r="5237" spans="1:1">
      <c r="A5237" s="151" t="s">
        <v>7205</v>
      </c>
    </row>
    <row r="5238" spans="1:1">
      <c r="A5238" s="151" t="s">
        <v>7206</v>
      </c>
    </row>
    <row r="5239" spans="1:1">
      <c r="A5239" s="151" t="s">
        <v>7207</v>
      </c>
    </row>
    <row r="5240" spans="1:1">
      <c r="A5240" s="151" t="s">
        <v>7208</v>
      </c>
    </row>
    <row r="5241" spans="1:1">
      <c r="A5241" s="151" t="s">
        <v>7209</v>
      </c>
    </row>
    <row r="5242" spans="1:1">
      <c r="A5242" s="151" t="s">
        <v>7210</v>
      </c>
    </row>
    <row r="5243" spans="1:1">
      <c r="A5243" s="151" t="s">
        <v>7211</v>
      </c>
    </row>
    <row r="5244" spans="1:1">
      <c r="A5244" s="151" t="s">
        <v>7212</v>
      </c>
    </row>
    <row r="5245" spans="1:1">
      <c r="A5245" s="151" t="s">
        <v>7213</v>
      </c>
    </row>
    <row r="5246" spans="1:1">
      <c r="A5246" s="151" t="s">
        <v>7214</v>
      </c>
    </row>
    <row r="5247" spans="1:1">
      <c r="A5247" s="151" t="s">
        <v>7215</v>
      </c>
    </row>
    <row r="5248" spans="1:1">
      <c r="A5248" s="151" t="s">
        <v>7216</v>
      </c>
    </row>
    <row r="5249" spans="1:1">
      <c r="A5249" s="151" t="s">
        <v>7217</v>
      </c>
    </row>
    <row r="5250" spans="1:1">
      <c r="A5250" s="151" t="s">
        <v>7218</v>
      </c>
    </row>
    <row r="5251" spans="1:1">
      <c r="A5251" s="151" t="s">
        <v>7219</v>
      </c>
    </row>
    <row r="5252" spans="1:1">
      <c r="A5252" s="151" t="s">
        <v>7220</v>
      </c>
    </row>
    <row r="5253" spans="1:1">
      <c r="A5253" s="151" t="s">
        <v>7221</v>
      </c>
    </row>
    <row r="5254" spans="1:1">
      <c r="A5254" s="151" t="s">
        <v>7222</v>
      </c>
    </row>
    <row r="5255" spans="1:1">
      <c r="A5255" s="151" t="s">
        <v>7223</v>
      </c>
    </row>
    <row r="5256" spans="1:1">
      <c r="A5256" s="151" t="s">
        <v>7224</v>
      </c>
    </row>
    <row r="5257" spans="1:1">
      <c r="A5257" s="151" t="s">
        <v>7225</v>
      </c>
    </row>
    <row r="5258" spans="1:1">
      <c r="A5258" s="151" t="s">
        <v>7226</v>
      </c>
    </row>
    <row r="5259" spans="1:1">
      <c r="A5259" s="151" t="s">
        <v>7227</v>
      </c>
    </row>
    <row r="5260" spans="1:1">
      <c r="A5260" s="151" t="s">
        <v>7228</v>
      </c>
    </row>
    <row r="5261" spans="1:1">
      <c r="A5261" s="151" t="s">
        <v>7229</v>
      </c>
    </row>
    <row r="5262" spans="1:1">
      <c r="A5262" s="151" t="s">
        <v>7230</v>
      </c>
    </row>
    <row r="5263" spans="1:1">
      <c r="A5263" s="151" t="s">
        <v>7231</v>
      </c>
    </row>
    <row r="5264" spans="1:1">
      <c r="A5264" s="151" t="s">
        <v>7232</v>
      </c>
    </row>
    <row r="5265" spans="1:1">
      <c r="A5265" s="151" t="s">
        <v>7233</v>
      </c>
    </row>
    <row r="5266" spans="1:1">
      <c r="A5266" s="151" t="s">
        <v>7234</v>
      </c>
    </row>
    <row r="5267" spans="1:1">
      <c r="A5267" s="151" t="s">
        <v>7235</v>
      </c>
    </row>
    <row r="5268" spans="1:1">
      <c r="A5268" s="151" t="s">
        <v>7236</v>
      </c>
    </row>
    <row r="5269" spans="1:1">
      <c r="A5269" s="151" t="s">
        <v>7237</v>
      </c>
    </row>
    <row r="5270" spans="1:1">
      <c r="A5270" s="151" t="s">
        <v>7238</v>
      </c>
    </row>
    <row r="5271" spans="1:1">
      <c r="A5271" s="151" t="s">
        <v>7239</v>
      </c>
    </row>
    <row r="5272" spans="1:1">
      <c r="A5272" s="151" t="s">
        <v>7240</v>
      </c>
    </row>
    <row r="5273" spans="1:1">
      <c r="A5273" s="151" t="s">
        <v>7241</v>
      </c>
    </row>
    <row r="5274" spans="1:1">
      <c r="A5274" s="151" t="s">
        <v>7242</v>
      </c>
    </row>
    <row r="5275" spans="1:1">
      <c r="A5275" s="151" t="s">
        <v>7243</v>
      </c>
    </row>
    <row r="5276" spans="1:1">
      <c r="A5276" s="151" t="s">
        <v>7244</v>
      </c>
    </row>
    <row r="5277" spans="1:1">
      <c r="A5277" s="151" t="s">
        <v>7245</v>
      </c>
    </row>
    <row r="5278" spans="1:1">
      <c r="A5278" s="151" t="s">
        <v>7246</v>
      </c>
    </row>
    <row r="5279" spans="1:1">
      <c r="A5279" s="151" t="s">
        <v>7247</v>
      </c>
    </row>
    <row r="5280" spans="1:1">
      <c r="A5280" s="151" t="s">
        <v>7248</v>
      </c>
    </row>
    <row r="5281" spans="1:1">
      <c r="A5281" s="151" t="s">
        <v>7249</v>
      </c>
    </row>
    <row r="5282" spans="1:1">
      <c r="A5282" s="151" t="s">
        <v>7250</v>
      </c>
    </row>
    <row r="5283" spans="1:1">
      <c r="A5283" s="151" t="s">
        <v>7251</v>
      </c>
    </row>
    <row r="5284" spans="1:1">
      <c r="A5284" s="151" t="s">
        <v>7252</v>
      </c>
    </row>
    <row r="5285" spans="1:1">
      <c r="A5285" s="151" t="s">
        <v>7253</v>
      </c>
    </row>
    <row r="5286" spans="1:1">
      <c r="A5286" s="151" t="s">
        <v>7254</v>
      </c>
    </row>
    <row r="5287" spans="1:1">
      <c r="A5287" s="151" t="s">
        <v>7255</v>
      </c>
    </row>
    <row r="5288" spans="1:1">
      <c r="A5288" s="151" t="s">
        <v>7256</v>
      </c>
    </row>
    <row r="5289" spans="1:1">
      <c r="A5289" s="151" t="s">
        <v>7257</v>
      </c>
    </row>
    <row r="5290" spans="1:1">
      <c r="A5290" s="151" t="s">
        <v>7258</v>
      </c>
    </row>
    <row r="5291" spans="1:1">
      <c r="A5291" s="151" t="s">
        <v>7259</v>
      </c>
    </row>
    <row r="5292" spans="1:1">
      <c r="A5292" s="151" t="s">
        <v>7260</v>
      </c>
    </row>
    <row r="5293" spans="1:1">
      <c r="A5293" s="151" t="s">
        <v>7261</v>
      </c>
    </row>
    <row r="5294" spans="1:1">
      <c r="A5294" s="151" t="s">
        <v>7262</v>
      </c>
    </row>
    <row r="5295" spans="1:1">
      <c r="A5295" s="151" t="s">
        <v>7263</v>
      </c>
    </row>
    <row r="5296" spans="1:1">
      <c r="A5296" s="151" t="s">
        <v>7264</v>
      </c>
    </row>
    <row r="5297" spans="1:1">
      <c r="A5297" s="151" t="s">
        <v>7265</v>
      </c>
    </row>
    <row r="5298" spans="1:1">
      <c r="A5298" s="151" t="s">
        <v>7266</v>
      </c>
    </row>
    <row r="5299" spans="1:1">
      <c r="A5299" s="151" t="s">
        <v>7267</v>
      </c>
    </row>
    <row r="5300" spans="1:1">
      <c r="A5300" s="151" t="s">
        <v>7268</v>
      </c>
    </row>
    <row r="5301" spans="1:1">
      <c r="A5301" s="151" t="s">
        <v>7269</v>
      </c>
    </row>
    <row r="5302" spans="1:1">
      <c r="A5302" s="151" t="s">
        <v>7270</v>
      </c>
    </row>
    <row r="5303" spans="1:1">
      <c r="A5303" s="151" t="s">
        <v>7271</v>
      </c>
    </row>
    <row r="5304" spans="1:1">
      <c r="A5304" s="151" t="s">
        <v>7272</v>
      </c>
    </row>
    <row r="5305" spans="1:1">
      <c r="A5305" s="151" t="s">
        <v>7273</v>
      </c>
    </row>
    <row r="5306" spans="1:1">
      <c r="A5306" s="151" t="s">
        <v>7274</v>
      </c>
    </row>
    <row r="5307" spans="1:1">
      <c r="A5307" s="151" t="s">
        <v>7275</v>
      </c>
    </row>
    <row r="5308" spans="1:1">
      <c r="A5308" s="151" t="s">
        <v>7276</v>
      </c>
    </row>
    <row r="5309" spans="1:1">
      <c r="A5309" s="151" t="s">
        <v>7277</v>
      </c>
    </row>
    <row r="5310" spans="1:1">
      <c r="A5310" s="151" t="s">
        <v>7278</v>
      </c>
    </row>
    <row r="5311" spans="1:1">
      <c r="A5311" s="151" t="s">
        <v>7279</v>
      </c>
    </row>
    <row r="5312" spans="1:1">
      <c r="A5312" s="151" t="s">
        <v>7280</v>
      </c>
    </row>
    <row r="5313" spans="1:1">
      <c r="A5313" s="151" t="s">
        <v>7281</v>
      </c>
    </row>
    <row r="5314" spans="1:1">
      <c r="A5314" s="151" t="s">
        <v>7282</v>
      </c>
    </row>
    <row r="5315" spans="1:1">
      <c r="A5315" s="151" t="s">
        <v>7283</v>
      </c>
    </row>
    <row r="5316" spans="1:1">
      <c r="A5316" s="151" t="s">
        <v>7284</v>
      </c>
    </row>
    <row r="5317" spans="1:1">
      <c r="A5317" s="151" t="s">
        <v>7285</v>
      </c>
    </row>
    <row r="5318" spans="1:1">
      <c r="A5318" s="151" t="s">
        <v>7286</v>
      </c>
    </row>
    <row r="5319" spans="1:1">
      <c r="A5319" s="151" t="s">
        <v>7287</v>
      </c>
    </row>
    <row r="5320" spans="1:1">
      <c r="A5320" s="151" t="s">
        <v>7288</v>
      </c>
    </row>
    <row r="5321" spans="1:1">
      <c r="A5321" s="151" t="s">
        <v>7289</v>
      </c>
    </row>
    <row r="5322" spans="1:1">
      <c r="A5322" s="151" t="s">
        <v>7290</v>
      </c>
    </row>
    <row r="5323" spans="1:1">
      <c r="A5323" s="151" t="s">
        <v>7291</v>
      </c>
    </row>
    <row r="5324" spans="1:1">
      <c r="A5324" s="151" t="s">
        <v>7292</v>
      </c>
    </row>
    <row r="5325" spans="1:1">
      <c r="A5325" s="151" t="s">
        <v>7293</v>
      </c>
    </row>
    <row r="5326" spans="1:1">
      <c r="A5326" s="151" t="s">
        <v>7294</v>
      </c>
    </row>
    <row r="5327" spans="1:1">
      <c r="A5327" s="151" t="s">
        <v>7295</v>
      </c>
    </row>
    <row r="5328" spans="1:1">
      <c r="A5328" s="151" t="s">
        <v>7296</v>
      </c>
    </row>
    <row r="5329" spans="1:1">
      <c r="A5329" s="151" t="s">
        <v>7297</v>
      </c>
    </row>
    <row r="5330" spans="1:1">
      <c r="A5330" s="151" t="s">
        <v>7298</v>
      </c>
    </row>
    <row r="5331" spans="1:1">
      <c r="A5331" s="151" t="s">
        <v>7299</v>
      </c>
    </row>
    <row r="5332" spans="1:1">
      <c r="A5332" s="151" t="s">
        <v>7300</v>
      </c>
    </row>
    <row r="5333" spans="1:1">
      <c r="A5333" s="151" t="s">
        <v>7301</v>
      </c>
    </row>
    <row r="5334" spans="1:1">
      <c r="A5334" s="151" t="s">
        <v>7302</v>
      </c>
    </row>
    <row r="5335" spans="1:1">
      <c r="A5335" s="151" t="s">
        <v>7303</v>
      </c>
    </row>
    <row r="5336" spans="1:1">
      <c r="A5336" s="151" t="s">
        <v>7304</v>
      </c>
    </row>
    <row r="5337" spans="1:1">
      <c r="A5337" s="151" t="s">
        <v>7305</v>
      </c>
    </row>
    <row r="5338" spans="1:1">
      <c r="A5338" s="151" t="s">
        <v>7306</v>
      </c>
    </row>
    <row r="5339" spans="1:1">
      <c r="A5339" s="151" t="s">
        <v>7307</v>
      </c>
    </row>
    <row r="5340" spans="1:1">
      <c r="A5340" s="151" t="s">
        <v>7308</v>
      </c>
    </row>
    <row r="5341" spans="1:1">
      <c r="A5341" s="151" t="s">
        <v>7309</v>
      </c>
    </row>
    <row r="5342" spans="1:1">
      <c r="A5342" s="151" t="s">
        <v>7310</v>
      </c>
    </row>
    <row r="5343" spans="1:1">
      <c r="A5343" s="151" t="s">
        <v>7311</v>
      </c>
    </row>
    <row r="5344" spans="1:1">
      <c r="A5344" s="151" t="s">
        <v>7312</v>
      </c>
    </row>
    <row r="5345" spans="1:1">
      <c r="A5345" s="151" t="s">
        <v>7313</v>
      </c>
    </row>
    <row r="5346" spans="1:1">
      <c r="A5346" s="151" t="s">
        <v>7314</v>
      </c>
    </row>
    <row r="5347" spans="1:1">
      <c r="A5347" s="151" t="s">
        <v>7315</v>
      </c>
    </row>
    <row r="5348" spans="1:1">
      <c r="A5348" s="151" t="s">
        <v>7316</v>
      </c>
    </row>
    <row r="5349" spans="1:1">
      <c r="A5349" s="151" t="s">
        <v>7317</v>
      </c>
    </row>
    <row r="5350" spans="1:1">
      <c r="A5350" s="151" t="s">
        <v>7318</v>
      </c>
    </row>
    <row r="5351" spans="1:1">
      <c r="A5351" s="151" t="s">
        <v>7319</v>
      </c>
    </row>
    <row r="5352" spans="1:1">
      <c r="A5352" s="151" t="s">
        <v>7320</v>
      </c>
    </row>
    <row r="5353" spans="1:1">
      <c r="A5353" s="151" t="s">
        <v>7321</v>
      </c>
    </row>
    <row r="5354" spans="1:1">
      <c r="A5354" s="151" t="s">
        <v>7322</v>
      </c>
    </row>
    <row r="5355" spans="1:1">
      <c r="A5355" s="151" t="s">
        <v>7323</v>
      </c>
    </row>
    <row r="5356" spans="1:1">
      <c r="A5356" s="151" t="s">
        <v>7324</v>
      </c>
    </row>
    <row r="5357" spans="1:1">
      <c r="A5357" s="151" t="s">
        <v>7325</v>
      </c>
    </row>
    <row r="5358" spans="1:1">
      <c r="A5358" s="151" t="s">
        <v>7326</v>
      </c>
    </row>
    <row r="5359" spans="1:1">
      <c r="A5359" s="151" t="s">
        <v>7327</v>
      </c>
    </row>
    <row r="5360" spans="1:1">
      <c r="A5360" s="151" t="s">
        <v>7328</v>
      </c>
    </row>
    <row r="5361" spans="1:1">
      <c r="A5361" s="151" t="s">
        <v>7329</v>
      </c>
    </row>
    <row r="5362" spans="1:1">
      <c r="A5362" s="151" t="s">
        <v>7330</v>
      </c>
    </row>
    <row r="5363" spans="1:1">
      <c r="A5363" s="151" t="s">
        <v>7331</v>
      </c>
    </row>
    <row r="5364" spans="1:1">
      <c r="A5364" s="151" t="s">
        <v>7332</v>
      </c>
    </row>
    <row r="5365" spans="1:1">
      <c r="A5365" s="151" t="s">
        <v>7333</v>
      </c>
    </row>
    <row r="5366" spans="1:1">
      <c r="A5366" s="151" t="s">
        <v>7334</v>
      </c>
    </row>
    <row r="5367" spans="1:1">
      <c r="A5367" s="151" t="s">
        <v>7335</v>
      </c>
    </row>
    <row r="5368" spans="1:1">
      <c r="A5368" s="151" t="s">
        <v>7336</v>
      </c>
    </row>
    <row r="5369" spans="1:1">
      <c r="A5369" s="151" t="s">
        <v>7337</v>
      </c>
    </row>
    <row r="5370" spans="1:1">
      <c r="A5370" s="151" t="s">
        <v>7338</v>
      </c>
    </row>
    <row r="5371" spans="1:1">
      <c r="A5371" s="151" t="s">
        <v>7339</v>
      </c>
    </row>
    <row r="5372" spans="1:1">
      <c r="A5372" s="151" t="s">
        <v>7340</v>
      </c>
    </row>
    <row r="5373" spans="1:1">
      <c r="A5373" s="151" t="s">
        <v>7341</v>
      </c>
    </row>
    <row r="5374" spans="1:1">
      <c r="A5374" s="151" t="s">
        <v>7342</v>
      </c>
    </row>
    <row r="5375" spans="1:1">
      <c r="A5375" s="151" t="s">
        <v>7343</v>
      </c>
    </row>
    <row r="5376" spans="1:1">
      <c r="A5376" s="151" t="s">
        <v>7344</v>
      </c>
    </row>
    <row r="5377" spans="1:1">
      <c r="A5377" s="151" t="s">
        <v>7345</v>
      </c>
    </row>
    <row r="5378" spans="1:1">
      <c r="A5378" s="151" t="s">
        <v>7346</v>
      </c>
    </row>
    <row r="5379" spans="1:1">
      <c r="A5379" s="151" t="s">
        <v>7347</v>
      </c>
    </row>
    <row r="5380" spans="1:1">
      <c r="A5380" s="151" t="s">
        <v>7348</v>
      </c>
    </row>
    <row r="5381" spans="1:1">
      <c r="A5381" s="151" t="s">
        <v>7349</v>
      </c>
    </row>
    <row r="5382" spans="1:1">
      <c r="A5382" s="151" t="s">
        <v>7350</v>
      </c>
    </row>
    <row r="5383" spans="1:1">
      <c r="A5383" s="151" t="s">
        <v>7351</v>
      </c>
    </row>
    <row r="5384" spans="1:1">
      <c r="A5384" s="151" t="s">
        <v>7352</v>
      </c>
    </row>
    <row r="5385" spans="1:1">
      <c r="A5385" s="151" t="s">
        <v>7353</v>
      </c>
    </row>
    <row r="5386" spans="1:1">
      <c r="A5386" s="151" t="s">
        <v>7354</v>
      </c>
    </row>
    <row r="5387" spans="1:1">
      <c r="A5387" s="151" t="s">
        <v>7355</v>
      </c>
    </row>
    <row r="5388" spans="1:1">
      <c r="A5388" s="151" t="s">
        <v>7356</v>
      </c>
    </row>
    <row r="5389" spans="1:1">
      <c r="A5389" s="151" t="s">
        <v>7357</v>
      </c>
    </row>
    <row r="5390" spans="1:1">
      <c r="A5390" s="151" t="s">
        <v>7358</v>
      </c>
    </row>
    <row r="5391" spans="1:1">
      <c r="A5391" s="151" t="s">
        <v>7359</v>
      </c>
    </row>
    <row r="5392" spans="1:1">
      <c r="A5392" s="151" t="s">
        <v>7360</v>
      </c>
    </row>
    <row r="5393" spans="1:1">
      <c r="A5393" s="151" t="s">
        <v>7361</v>
      </c>
    </row>
    <row r="5394" spans="1:1">
      <c r="A5394" s="151" t="s">
        <v>7362</v>
      </c>
    </row>
    <row r="5395" spans="1:1">
      <c r="A5395" s="151" t="s">
        <v>7363</v>
      </c>
    </row>
    <row r="5396" spans="1:1">
      <c r="A5396" s="151" t="s">
        <v>7364</v>
      </c>
    </row>
    <row r="5397" spans="1:1">
      <c r="A5397" s="151" t="s">
        <v>7365</v>
      </c>
    </row>
    <row r="5398" spans="1:1">
      <c r="A5398" s="151" t="s">
        <v>7366</v>
      </c>
    </row>
    <row r="5399" spans="1:1">
      <c r="A5399" s="151" t="s">
        <v>7367</v>
      </c>
    </row>
    <row r="5400" spans="1:1">
      <c r="A5400" s="151" t="s">
        <v>7368</v>
      </c>
    </row>
    <row r="5401" spans="1:1">
      <c r="A5401" s="151" t="s">
        <v>7369</v>
      </c>
    </row>
    <row r="5402" spans="1:1">
      <c r="A5402" s="151" t="s">
        <v>7370</v>
      </c>
    </row>
    <row r="5403" spans="1:1">
      <c r="A5403" s="151" t="s">
        <v>7371</v>
      </c>
    </row>
    <row r="5404" spans="1:1">
      <c r="A5404" s="151" t="s">
        <v>7372</v>
      </c>
    </row>
    <row r="5405" spans="1:1">
      <c r="A5405" s="151" t="s">
        <v>7373</v>
      </c>
    </row>
    <row r="5406" spans="1:1">
      <c r="A5406" s="151" t="s">
        <v>7374</v>
      </c>
    </row>
    <row r="5407" spans="1:1">
      <c r="A5407" s="151" t="s">
        <v>7375</v>
      </c>
    </row>
    <row r="5408" spans="1:1">
      <c r="A5408" s="151" t="s">
        <v>7376</v>
      </c>
    </row>
    <row r="5409" spans="1:1">
      <c r="A5409" s="151" t="s">
        <v>7377</v>
      </c>
    </row>
    <row r="5410" spans="1:1">
      <c r="A5410" s="151" t="s">
        <v>7378</v>
      </c>
    </row>
    <row r="5411" spans="1:1">
      <c r="A5411" s="151" t="s">
        <v>7379</v>
      </c>
    </row>
    <row r="5412" spans="1:1">
      <c r="A5412" s="151" t="s">
        <v>7380</v>
      </c>
    </row>
    <row r="5413" spans="1:1">
      <c r="A5413" s="151" t="s">
        <v>7381</v>
      </c>
    </row>
    <row r="5414" spans="1:1">
      <c r="A5414" s="151" t="s">
        <v>7382</v>
      </c>
    </row>
    <row r="5415" spans="1:1">
      <c r="A5415" s="151" t="s">
        <v>7383</v>
      </c>
    </row>
    <row r="5416" spans="1:1">
      <c r="A5416" s="151" t="s">
        <v>7384</v>
      </c>
    </row>
    <row r="5417" spans="1:1">
      <c r="A5417" s="151" t="s">
        <v>7385</v>
      </c>
    </row>
    <row r="5418" spans="1:1">
      <c r="A5418" s="151" t="s">
        <v>7386</v>
      </c>
    </row>
    <row r="5419" spans="1:1">
      <c r="A5419" s="151" t="s">
        <v>7387</v>
      </c>
    </row>
    <row r="5420" spans="1:1">
      <c r="A5420" s="151" t="s">
        <v>7388</v>
      </c>
    </row>
    <row r="5421" spans="1:1">
      <c r="A5421" s="151" t="s">
        <v>7389</v>
      </c>
    </row>
    <row r="5422" spans="1:1">
      <c r="A5422" s="151" t="s">
        <v>7390</v>
      </c>
    </row>
    <row r="5423" spans="1:1">
      <c r="A5423" s="151" t="s">
        <v>7391</v>
      </c>
    </row>
    <row r="5424" spans="1:1">
      <c r="A5424" s="151" t="s">
        <v>7392</v>
      </c>
    </row>
    <row r="5425" spans="1:1">
      <c r="A5425" s="151" t="s">
        <v>7393</v>
      </c>
    </row>
    <row r="5426" spans="1:1">
      <c r="A5426" s="151" t="s">
        <v>7394</v>
      </c>
    </row>
    <row r="5427" spans="1:1">
      <c r="A5427" s="151" t="s">
        <v>7395</v>
      </c>
    </row>
    <row r="5428" spans="1:1">
      <c r="A5428" s="151" t="s">
        <v>7396</v>
      </c>
    </row>
    <row r="5429" spans="1:1">
      <c r="A5429" s="151" t="s">
        <v>7397</v>
      </c>
    </row>
    <row r="5430" spans="1:1">
      <c r="A5430" s="151" t="s">
        <v>7398</v>
      </c>
    </row>
    <row r="5431" spans="1:1">
      <c r="A5431" s="151" t="s">
        <v>7399</v>
      </c>
    </row>
    <row r="5432" spans="1:1">
      <c r="A5432" s="151" t="s">
        <v>7400</v>
      </c>
    </row>
    <row r="5433" spans="1:1">
      <c r="A5433" s="151" t="s">
        <v>7401</v>
      </c>
    </row>
    <row r="5434" spans="1:1">
      <c r="A5434" s="151" t="s">
        <v>7402</v>
      </c>
    </row>
    <row r="5435" spans="1:1">
      <c r="A5435" s="151" t="s">
        <v>7403</v>
      </c>
    </row>
    <row r="5436" spans="1:1">
      <c r="A5436" s="151" t="s">
        <v>7404</v>
      </c>
    </row>
    <row r="5437" spans="1:1">
      <c r="A5437" s="151" t="s">
        <v>7405</v>
      </c>
    </row>
    <row r="5438" spans="1:1">
      <c r="A5438" s="151" t="s">
        <v>7406</v>
      </c>
    </row>
    <row r="5439" spans="1:1">
      <c r="A5439" s="151" t="s">
        <v>7407</v>
      </c>
    </row>
    <row r="5440" spans="1:1">
      <c r="A5440" s="151" t="s">
        <v>7408</v>
      </c>
    </row>
    <row r="5441" spans="1:1">
      <c r="A5441" s="151" t="s">
        <v>7409</v>
      </c>
    </row>
    <row r="5442" spans="1:1">
      <c r="A5442" s="151" t="s">
        <v>7410</v>
      </c>
    </row>
    <row r="5443" spans="1:1">
      <c r="A5443" s="151" t="s">
        <v>7411</v>
      </c>
    </row>
    <row r="5444" spans="1:1">
      <c r="A5444" s="151" t="s">
        <v>7412</v>
      </c>
    </row>
    <row r="5445" spans="1:1">
      <c r="A5445" s="151" t="s">
        <v>7413</v>
      </c>
    </row>
    <row r="5446" spans="1:1">
      <c r="A5446" s="151" t="s">
        <v>7414</v>
      </c>
    </row>
    <row r="5447" spans="1:1">
      <c r="A5447" s="151" t="s">
        <v>7415</v>
      </c>
    </row>
    <row r="5448" spans="1:1">
      <c r="A5448" s="151" t="s">
        <v>7416</v>
      </c>
    </row>
    <row r="5449" spans="1:1">
      <c r="A5449" s="151" t="s">
        <v>7417</v>
      </c>
    </row>
    <row r="5450" spans="1:1">
      <c r="A5450" s="151" t="s">
        <v>7418</v>
      </c>
    </row>
    <row r="5451" spans="1:1">
      <c r="A5451" s="151" t="s">
        <v>7419</v>
      </c>
    </row>
    <row r="5452" spans="1:1">
      <c r="A5452" s="151" t="s">
        <v>7420</v>
      </c>
    </row>
    <row r="5453" spans="1:1">
      <c r="A5453" s="151" t="s">
        <v>7421</v>
      </c>
    </row>
    <row r="5454" spans="1:1">
      <c r="A5454" s="151" t="s">
        <v>7422</v>
      </c>
    </row>
    <row r="5455" spans="1:1">
      <c r="A5455" s="151" t="s">
        <v>7423</v>
      </c>
    </row>
    <row r="5456" spans="1:1">
      <c r="A5456" s="151" t="s">
        <v>7424</v>
      </c>
    </row>
    <row r="5457" spans="1:1">
      <c r="A5457" s="151" t="s">
        <v>7425</v>
      </c>
    </row>
    <row r="5458" spans="1:1">
      <c r="A5458" s="151" t="s">
        <v>7426</v>
      </c>
    </row>
    <row r="5459" spans="1:1">
      <c r="A5459" s="151" t="s">
        <v>7427</v>
      </c>
    </row>
    <row r="5460" spans="1:1">
      <c r="A5460" s="151" t="s">
        <v>7428</v>
      </c>
    </row>
    <row r="5461" spans="1:1">
      <c r="A5461" s="151" t="s">
        <v>7429</v>
      </c>
    </row>
    <row r="5462" spans="1:1">
      <c r="A5462" s="151" t="s">
        <v>7430</v>
      </c>
    </row>
    <row r="5463" spans="1:1">
      <c r="A5463" s="151" t="s">
        <v>7431</v>
      </c>
    </row>
    <row r="5464" spans="1:1">
      <c r="A5464" s="151" t="s">
        <v>7432</v>
      </c>
    </row>
    <row r="5465" spans="1:1">
      <c r="A5465" s="151" t="s">
        <v>7433</v>
      </c>
    </row>
    <row r="5466" spans="1:1">
      <c r="A5466" s="151" t="s">
        <v>7434</v>
      </c>
    </row>
    <row r="5467" spans="1:1">
      <c r="A5467" s="151" t="s">
        <v>7435</v>
      </c>
    </row>
    <row r="5468" spans="1:1">
      <c r="A5468" s="151" t="s">
        <v>7436</v>
      </c>
    </row>
    <row r="5469" spans="1:1">
      <c r="A5469" s="151" t="s">
        <v>7437</v>
      </c>
    </row>
    <row r="5470" spans="1:1">
      <c r="A5470" s="151" t="s">
        <v>7438</v>
      </c>
    </row>
  </sheetData>
  <sheetProtection selectLockedCells="1" selectUnlockedCells="1"/>
  <pageMargins left="0.7" right="0.7" top="0.75" bottom="0.75" header="0.51180555555555551" footer="0.51180555555555551"/>
  <pageSetup paperSize="9" firstPageNumber="0" orientation="portrait" horizontalDpi="300" verticalDpi="300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3"/>
  <dimension ref="A1"/>
  <sheetViews>
    <sheetView zoomScale="121" zoomScaleNormal="121" workbookViewId="0">
      <selection activeCell="E15" sqref="E15"/>
    </sheetView>
  </sheetViews>
  <sheetFormatPr baseColWidth="10" defaultRowHeight="12.75"/>
  <cols>
    <col min="1" max="1" width="17.7109375" style="208" bestFit="1" customWidth="1"/>
    <col min="2" max="2" width="19.42578125" style="208" customWidth="1"/>
    <col min="3" max="255" width="9.140625" style="208" customWidth="1"/>
    <col min="256" max="16384" width="11.42578125" style="208"/>
  </cols>
  <sheetData/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4"/>
  <dimension ref="A3:F13"/>
  <sheetViews>
    <sheetView workbookViewId="0">
      <pane ySplit="1" topLeftCell="A2" activePane="bottomLeft" state="frozen"/>
      <selection pane="bottomLeft" activeCell="J10" sqref="J10"/>
    </sheetView>
  </sheetViews>
  <sheetFormatPr baseColWidth="10" defaultRowHeight="15"/>
  <cols>
    <col min="1" max="1" width="28" style="199" bestFit="1" customWidth="1"/>
    <col min="2" max="6" width="11.42578125" style="199"/>
    <col min="7" max="16384" width="11.42578125" style="198"/>
  </cols>
  <sheetData>
    <row r="3" spans="1:6">
      <c r="A3" s="339" t="s">
        <v>8045</v>
      </c>
      <c r="B3" s="340"/>
      <c r="C3" s="328" t="s">
        <v>8046</v>
      </c>
      <c r="D3" s="328" t="s">
        <v>8047</v>
      </c>
      <c r="E3" s="328" t="s">
        <v>8048</v>
      </c>
    </row>
    <row r="4" spans="1:6">
      <c r="A4" s="341"/>
      <c r="B4" s="342"/>
      <c r="C4" s="329">
        <v>0.57999999999999996</v>
      </c>
      <c r="D4" s="329">
        <v>0.24</v>
      </c>
      <c r="E4" s="329">
        <v>0.18</v>
      </c>
    </row>
    <row r="8" spans="1:6" ht="15.75" thickBot="1">
      <c r="A8" s="321" t="s">
        <v>8034</v>
      </c>
      <c r="B8" s="322" t="s">
        <v>8035</v>
      </c>
      <c r="F8" s="198"/>
    </row>
    <row r="9" spans="1:6">
      <c r="A9" s="323" t="s">
        <v>8036</v>
      </c>
      <c r="B9" s="324" t="s">
        <v>8037</v>
      </c>
      <c r="F9" s="198"/>
    </row>
    <row r="10" spans="1:6">
      <c r="A10" s="323" t="s">
        <v>8038</v>
      </c>
      <c r="B10" s="324" t="s">
        <v>8039</v>
      </c>
      <c r="F10" s="198"/>
    </row>
    <row r="11" spans="1:6">
      <c r="A11" s="323" t="s">
        <v>8040</v>
      </c>
      <c r="B11" s="324" t="s">
        <v>8041</v>
      </c>
      <c r="F11" s="198"/>
    </row>
    <row r="12" spans="1:6" ht="15.75" thickBot="1">
      <c r="A12" s="321" t="s">
        <v>8042</v>
      </c>
      <c r="B12" s="325" t="s">
        <v>8043</v>
      </c>
      <c r="F12" s="198"/>
    </row>
    <row r="13" spans="1:6">
      <c r="A13" s="326" t="s">
        <v>8044</v>
      </c>
      <c r="B13" s="327"/>
      <c r="C13" s="327"/>
    </row>
  </sheetData>
  <mergeCells count="1">
    <mergeCell ref="A3:B4"/>
  </mergeCells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5"/>
  <dimension ref="A1:Y60"/>
  <sheetViews>
    <sheetView topLeftCell="K1" zoomScaleNormal="100" workbookViewId="0">
      <selection activeCell="X30" sqref="X30"/>
    </sheetView>
  </sheetViews>
  <sheetFormatPr baseColWidth="10" defaultRowHeight="12.75"/>
  <cols>
    <col min="1" max="1" width="11.7109375" style="200" customWidth="1"/>
    <col min="2" max="2" width="10.140625" style="200" bestFit="1" customWidth="1"/>
    <col min="3" max="4" width="3" style="200" bestFit="1" customWidth="1"/>
    <col min="5" max="5" width="8.85546875" style="200" bestFit="1" customWidth="1"/>
    <col min="6" max="6" width="11.140625" style="200" bestFit="1" customWidth="1"/>
    <col min="7" max="7" width="6.28515625" style="200" bestFit="1" customWidth="1"/>
    <col min="8" max="8" width="4.140625" style="200" bestFit="1" customWidth="1"/>
    <col min="9" max="9" width="8.42578125" style="200" bestFit="1" customWidth="1"/>
    <col min="10" max="10" width="12" style="200" bestFit="1" customWidth="1"/>
    <col min="11" max="11" width="4.140625" style="200" bestFit="1" customWidth="1"/>
    <col min="12" max="12" width="12" style="200" bestFit="1" customWidth="1"/>
    <col min="13" max="13" width="14.28515625" style="200" bestFit="1" customWidth="1"/>
    <col min="14" max="14" width="11.140625" style="200" bestFit="1" customWidth="1"/>
    <col min="15" max="15" width="9.85546875" style="200" bestFit="1" customWidth="1"/>
    <col min="16" max="16" width="14.42578125" style="200" bestFit="1" customWidth="1"/>
    <col min="17" max="17" width="11.28515625" style="200" bestFit="1" customWidth="1"/>
    <col min="18" max="18" width="10.42578125" style="200" bestFit="1" customWidth="1"/>
    <col min="19" max="19" width="13" style="197" bestFit="1" customWidth="1"/>
    <col min="20" max="20" width="11.42578125" style="197"/>
    <col min="21" max="21" width="12.42578125" style="200" customWidth="1"/>
    <col min="22" max="22" width="11.85546875" style="200" customWidth="1"/>
    <col min="23" max="23" width="11.42578125" style="197"/>
    <col min="24" max="24" width="15.85546875" style="197" bestFit="1" customWidth="1"/>
    <col min="25" max="16384" width="11.42578125" style="197"/>
  </cols>
  <sheetData>
    <row r="1" spans="1:25" ht="15.75">
      <c r="A1" s="234"/>
      <c r="B1" s="234"/>
      <c r="C1" s="234"/>
      <c r="D1" s="234"/>
      <c r="E1" s="234"/>
      <c r="F1" s="234"/>
      <c r="G1" s="234"/>
      <c r="H1" s="345" t="s">
        <v>7699</v>
      </c>
      <c r="I1" s="343"/>
      <c r="J1" s="344"/>
      <c r="K1" s="343" t="s">
        <v>7698</v>
      </c>
      <c r="L1" s="343"/>
      <c r="M1" s="343"/>
      <c r="N1" s="343"/>
      <c r="O1" s="343"/>
      <c r="P1" s="343"/>
      <c r="Q1" s="343"/>
      <c r="R1" s="344"/>
      <c r="S1" s="346" t="s">
        <v>7718</v>
      </c>
      <c r="T1" s="347"/>
      <c r="U1" s="348" t="s">
        <v>7697</v>
      </c>
      <c r="V1" s="348"/>
      <c r="W1" s="349"/>
      <c r="X1" s="221"/>
      <c r="Y1" s="216"/>
    </row>
    <row r="2" spans="1:25">
      <c r="A2" s="235" t="s">
        <v>7696</v>
      </c>
      <c r="B2" s="235" t="s">
        <v>213</v>
      </c>
      <c r="C2" s="235" t="s">
        <v>22</v>
      </c>
      <c r="D2" s="235" t="s">
        <v>21</v>
      </c>
      <c r="E2" s="235" t="s">
        <v>7695</v>
      </c>
      <c r="F2" s="235" t="s">
        <v>7694</v>
      </c>
      <c r="G2" s="307" t="s">
        <v>7693</v>
      </c>
      <c r="H2" s="237" t="s">
        <v>7691</v>
      </c>
      <c r="I2" s="235" t="s">
        <v>7692</v>
      </c>
      <c r="J2" s="236" t="s">
        <v>7714</v>
      </c>
      <c r="K2" s="238" t="s">
        <v>7691</v>
      </c>
      <c r="L2" s="235" t="s">
        <v>7711</v>
      </c>
      <c r="M2" s="235" t="s">
        <v>7690</v>
      </c>
      <c r="N2" s="235" t="s">
        <v>7689</v>
      </c>
      <c r="O2" s="235" t="s">
        <v>7713</v>
      </c>
      <c r="P2" s="235" t="s">
        <v>7688</v>
      </c>
      <c r="Q2" s="235" t="s">
        <v>7687</v>
      </c>
      <c r="R2" s="236" t="s">
        <v>7712</v>
      </c>
      <c r="S2" s="238" t="s">
        <v>7716</v>
      </c>
      <c r="T2" s="235" t="s">
        <v>7717</v>
      </c>
      <c r="U2" s="239" t="s">
        <v>7686</v>
      </c>
      <c r="V2" s="239" t="s">
        <v>7685</v>
      </c>
      <c r="W2" s="240" t="s">
        <v>7719</v>
      </c>
      <c r="X2" s="241" t="s">
        <v>7720</v>
      </c>
      <c r="Y2" s="242" t="s">
        <v>7721</v>
      </c>
    </row>
    <row r="3" spans="1:25" s="299" customFormat="1">
      <c r="A3" s="277" t="s">
        <v>7684</v>
      </c>
      <c r="B3" s="291">
        <v>40875</v>
      </c>
      <c r="C3" s="292"/>
      <c r="D3" s="293"/>
      <c r="E3" s="275" t="s">
        <v>257</v>
      </c>
      <c r="F3" s="275" t="s">
        <v>7440</v>
      </c>
      <c r="G3" s="308"/>
      <c r="H3" s="313"/>
      <c r="I3" s="295" t="s">
        <v>7965</v>
      </c>
      <c r="J3" s="314" t="e">
        <f>I3*L3</f>
        <v>#VALUE!</v>
      </c>
      <c r="K3" s="310">
        <v>8</v>
      </c>
      <c r="L3" s="294">
        <f>R3/O3</f>
        <v>9.6949873252105648E-2</v>
      </c>
      <c r="M3" s="286">
        <v>582.5</v>
      </c>
      <c r="N3" s="286">
        <v>28.95</v>
      </c>
      <c r="O3" s="296">
        <f>M3+N3</f>
        <v>611.45000000000005</v>
      </c>
      <c r="P3" s="285">
        <v>55.07</v>
      </c>
      <c r="Q3" s="285">
        <v>4.21</v>
      </c>
      <c r="R3" s="285">
        <v>59.28</v>
      </c>
      <c r="S3" s="297">
        <v>2.964</v>
      </c>
      <c r="T3" s="297">
        <f>MIN(4.63,4.48*S3^(-0.25))</f>
        <v>3.4143533508845194</v>
      </c>
      <c r="U3" s="319">
        <v>4.0661290152314891</v>
      </c>
      <c r="V3" s="319">
        <v>3.9706719580877512</v>
      </c>
      <c r="W3" s="298"/>
      <c r="X3" s="299">
        <v>3.6534147846004177</v>
      </c>
      <c r="Y3" s="298">
        <f>X3/T3</f>
        <v>1.0700166061178078</v>
      </c>
    </row>
    <row r="4" spans="1:25" s="299" customFormat="1">
      <c r="A4" s="277" t="s">
        <v>7684</v>
      </c>
      <c r="B4" s="291">
        <v>40875</v>
      </c>
      <c r="C4" s="292"/>
      <c r="D4" s="293"/>
      <c r="E4" s="275" t="s">
        <v>257</v>
      </c>
      <c r="F4" s="275" t="s">
        <v>7440</v>
      </c>
      <c r="G4" s="308"/>
      <c r="H4" s="313"/>
      <c r="I4" s="295" t="s">
        <v>7965</v>
      </c>
      <c r="J4" s="314" t="e">
        <f t="shared" ref="J4:J40" si="0">I4*L4</f>
        <v>#VALUE!</v>
      </c>
      <c r="K4" s="310">
        <v>8</v>
      </c>
      <c r="L4" s="294">
        <f t="shared" ref="L4:L40" si="1">R4/O4</f>
        <v>0.10670267046584056</v>
      </c>
      <c r="M4" s="286">
        <v>583.4</v>
      </c>
      <c r="N4" s="286">
        <v>20.239999999999998</v>
      </c>
      <c r="O4" s="296">
        <f t="shared" ref="O4:O40" si="2">M4+N4</f>
        <v>603.64</v>
      </c>
      <c r="P4" s="286">
        <v>61.12</v>
      </c>
      <c r="Q4" s="286">
        <v>3.29</v>
      </c>
      <c r="R4" s="285">
        <v>64.41</v>
      </c>
      <c r="S4" s="297">
        <v>3.2204999999999999</v>
      </c>
      <c r="T4" s="297">
        <f t="shared" ref="T4:T40" si="3">MIN(4.63,4.48*S4^(-0.25))</f>
        <v>3.3442380827266072</v>
      </c>
      <c r="U4" s="288">
        <v>3.6076098640641434</v>
      </c>
      <c r="V4" s="288">
        <v>3.6727918367346977</v>
      </c>
      <c r="W4" s="298"/>
      <c r="X4" s="299">
        <v>3.3401188484998179</v>
      </c>
      <c r="Y4" s="298">
        <f t="shared" ref="Y4:Y40" si="4">X4/T4</f>
        <v>0.99876825927912682</v>
      </c>
    </row>
    <row r="5" spans="1:25" s="299" customFormat="1">
      <c r="A5" s="277" t="s">
        <v>7684</v>
      </c>
      <c r="B5" s="291">
        <v>40875</v>
      </c>
      <c r="C5" s="292"/>
      <c r="D5" s="293"/>
      <c r="E5" s="275" t="s">
        <v>257</v>
      </c>
      <c r="F5" s="275" t="s">
        <v>7440</v>
      </c>
      <c r="G5" s="308"/>
      <c r="H5" s="313"/>
      <c r="I5" s="295" t="s">
        <v>7965</v>
      </c>
      <c r="J5" s="314" t="e">
        <f t="shared" si="0"/>
        <v>#VALUE!</v>
      </c>
      <c r="K5" s="310">
        <v>9</v>
      </c>
      <c r="L5" s="294">
        <f t="shared" si="1"/>
        <v>9.1588785046728974E-2</v>
      </c>
      <c r="M5" s="286">
        <v>533.1</v>
      </c>
      <c r="N5" s="286">
        <v>23.3</v>
      </c>
      <c r="O5" s="296">
        <f t="shared" si="2"/>
        <v>556.4</v>
      </c>
      <c r="P5" s="286">
        <v>47.71</v>
      </c>
      <c r="Q5" s="286">
        <v>3.25</v>
      </c>
      <c r="R5" s="285">
        <v>50.96</v>
      </c>
      <c r="S5" s="297">
        <v>2.548</v>
      </c>
      <c r="T5" s="297">
        <f t="shared" si="3"/>
        <v>3.5459136713667427</v>
      </c>
      <c r="U5" s="288">
        <v>4.0475892078637647</v>
      </c>
      <c r="V5" s="288">
        <v>4.1265418747599014</v>
      </c>
      <c r="W5" s="298"/>
      <c r="X5" s="299">
        <v>3.8725078120558365</v>
      </c>
      <c r="Y5" s="298">
        <f t="shared" si="4"/>
        <v>1.0921043688475389</v>
      </c>
    </row>
    <row r="6" spans="1:25" s="299" customFormat="1">
      <c r="A6" s="277" t="s">
        <v>7684</v>
      </c>
      <c r="B6" s="291">
        <v>40875</v>
      </c>
      <c r="C6" s="292"/>
      <c r="D6" s="293"/>
      <c r="E6" s="275" t="s">
        <v>257</v>
      </c>
      <c r="F6" s="275" t="s">
        <v>7440</v>
      </c>
      <c r="G6" s="308"/>
      <c r="H6" s="313"/>
      <c r="I6" s="295" t="s">
        <v>7965</v>
      </c>
      <c r="J6" s="314" t="e">
        <f t="shared" si="0"/>
        <v>#VALUE!</v>
      </c>
      <c r="K6" s="310">
        <v>9</v>
      </c>
      <c r="L6" s="294">
        <f t="shared" si="1"/>
        <v>9.0012436738865415E-2</v>
      </c>
      <c r="M6" s="286">
        <v>773.58</v>
      </c>
      <c r="N6" s="286">
        <v>38.53</v>
      </c>
      <c r="O6" s="296">
        <f t="shared" si="2"/>
        <v>812.11</v>
      </c>
      <c r="P6" s="286">
        <v>67.5</v>
      </c>
      <c r="Q6" s="286">
        <v>5.6</v>
      </c>
      <c r="R6" s="285">
        <v>73.099999999999994</v>
      </c>
      <c r="S6" s="297">
        <v>3.6549999999999998</v>
      </c>
      <c r="T6" s="297">
        <f t="shared" si="3"/>
        <v>3.2400832474334416</v>
      </c>
      <c r="U6" s="288">
        <v>4.3286573470411343</v>
      </c>
      <c r="V6" s="288">
        <v>4.4641755856324847</v>
      </c>
      <c r="W6" s="298"/>
      <c r="X6" s="299">
        <v>3.8569235957418262</v>
      </c>
      <c r="Y6" s="298">
        <f t="shared" si="4"/>
        <v>1.1903779320475796</v>
      </c>
    </row>
    <row r="7" spans="1:25" s="299" customFormat="1">
      <c r="A7" s="277" t="s">
        <v>7684</v>
      </c>
      <c r="B7" s="291">
        <v>40875</v>
      </c>
      <c r="C7" s="292"/>
      <c r="D7" s="293"/>
      <c r="E7" s="275" t="s">
        <v>257</v>
      </c>
      <c r="F7" s="275" t="s">
        <v>7440</v>
      </c>
      <c r="G7" s="308"/>
      <c r="H7" s="313"/>
      <c r="I7" s="295" t="s">
        <v>7965</v>
      </c>
      <c r="J7" s="314" t="e">
        <f t="shared" si="0"/>
        <v>#VALUE!</v>
      </c>
      <c r="K7" s="310">
        <v>7</v>
      </c>
      <c r="L7" s="294">
        <f t="shared" si="1"/>
        <v>9.4121107962902753E-2</v>
      </c>
      <c r="M7" s="286">
        <v>618.12</v>
      </c>
      <c r="N7" s="286">
        <v>27.75</v>
      </c>
      <c r="O7" s="296">
        <f t="shared" si="2"/>
        <v>645.87</v>
      </c>
      <c r="P7" s="286">
        <v>56.81</v>
      </c>
      <c r="Q7" s="286">
        <v>3.98</v>
      </c>
      <c r="R7" s="285">
        <v>60.79</v>
      </c>
      <c r="S7" s="297">
        <v>3.0394999999999999</v>
      </c>
      <c r="T7" s="297">
        <f t="shared" si="3"/>
        <v>3.3929501353900831</v>
      </c>
      <c r="U7" s="288">
        <v>3.9818656804733705</v>
      </c>
      <c r="V7" s="288">
        <v>3.8936369094320216</v>
      </c>
      <c r="W7" s="298"/>
      <c r="X7" s="299">
        <v>3.8624866792216168</v>
      </c>
      <c r="Y7" s="298">
        <f t="shared" si="4"/>
        <v>1.138385925255442</v>
      </c>
    </row>
    <row r="8" spans="1:25" s="299" customFormat="1">
      <c r="A8" s="277" t="s">
        <v>7684</v>
      </c>
      <c r="B8" s="291">
        <v>40875</v>
      </c>
      <c r="C8" s="292"/>
      <c r="D8" s="293"/>
      <c r="E8" s="275" t="s">
        <v>257</v>
      </c>
      <c r="F8" s="275" t="s">
        <v>7439</v>
      </c>
      <c r="G8" s="308"/>
      <c r="H8" s="313"/>
      <c r="I8" s="295" t="s">
        <v>7965</v>
      </c>
      <c r="J8" s="314" t="e">
        <f t="shared" si="0"/>
        <v>#VALUE!</v>
      </c>
      <c r="K8" s="310">
        <v>7</v>
      </c>
      <c r="L8" s="294">
        <f t="shared" si="1"/>
        <v>9.968061859135989E-2</v>
      </c>
      <c r="M8" s="286">
        <v>450.48</v>
      </c>
      <c r="N8" s="286">
        <v>25.44</v>
      </c>
      <c r="O8" s="296">
        <f t="shared" si="2"/>
        <v>475.92</v>
      </c>
      <c r="P8" s="286">
        <v>43.33</v>
      </c>
      <c r="Q8" s="286">
        <v>4.1100000000000003</v>
      </c>
      <c r="R8" s="285">
        <v>47.44</v>
      </c>
      <c r="S8" s="297">
        <v>2.3719999999999999</v>
      </c>
      <c r="T8" s="297">
        <f t="shared" si="3"/>
        <v>3.6099346733027113</v>
      </c>
      <c r="U8" s="288">
        <v>4.2011158169714262</v>
      </c>
      <c r="V8" s="288">
        <v>4.3433682894628269</v>
      </c>
      <c r="W8" s="298"/>
      <c r="X8" s="299">
        <v>3.8522879695314689</v>
      </c>
      <c r="Y8" s="298">
        <f t="shared" si="4"/>
        <v>1.0671350919508551</v>
      </c>
    </row>
    <row r="9" spans="1:25" s="299" customFormat="1">
      <c r="A9" s="277" t="s">
        <v>7684</v>
      </c>
      <c r="B9" s="291">
        <v>40875</v>
      </c>
      <c r="C9" s="292"/>
      <c r="D9" s="300"/>
      <c r="E9" s="275" t="s">
        <v>257</v>
      </c>
      <c r="F9" s="275" t="s">
        <v>7439</v>
      </c>
      <c r="G9" s="308"/>
      <c r="H9" s="313"/>
      <c r="I9" s="295" t="s">
        <v>7965</v>
      </c>
      <c r="J9" s="314" t="e">
        <f t="shared" si="0"/>
        <v>#VALUE!</v>
      </c>
      <c r="K9" s="310">
        <v>8</v>
      </c>
      <c r="L9" s="294">
        <f t="shared" si="1"/>
        <v>0.10609155352637273</v>
      </c>
      <c r="M9" s="286">
        <v>549.54999999999995</v>
      </c>
      <c r="N9" s="286">
        <v>33.06</v>
      </c>
      <c r="O9" s="296">
        <f t="shared" si="2"/>
        <v>582.6099999999999</v>
      </c>
      <c r="P9" s="286">
        <v>56.08</v>
      </c>
      <c r="Q9" s="286">
        <v>5.73</v>
      </c>
      <c r="R9" s="285">
        <v>61.81</v>
      </c>
      <c r="S9" s="297">
        <v>3.0905</v>
      </c>
      <c r="T9" s="297">
        <f t="shared" si="3"/>
        <v>3.3788648973240121</v>
      </c>
      <c r="U9" s="288">
        <v>3.7062023677089666</v>
      </c>
      <c r="V9" s="288">
        <v>3.8344751412833342</v>
      </c>
      <c r="W9" s="298"/>
      <c r="X9" s="299">
        <v>3.2533319838713526</v>
      </c>
      <c r="Y9" s="298">
        <f t="shared" si="4"/>
        <v>0.96284760791942914</v>
      </c>
    </row>
    <row r="10" spans="1:25" s="299" customFormat="1">
      <c r="A10" s="277" t="s">
        <v>7684</v>
      </c>
      <c r="B10" s="291">
        <v>40875</v>
      </c>
      <c r="C10" s="292"/>
      <c r="D10" s="300"/>
      <c r="E10" s="275" t="s">
        <v>257</v>
      </c>
      <c r="F10" s="275" t="s">
        <v>7439</v>
      </c>
      <c r="G10" s="308"/>
      <c r="H10" s="313"/>
      <c r="I10" s="295" t="s">
        <v>7965</v>
      </c>
      <c r="J10" s="314" t="e">
        <f t="shared" si="0"/>
        <v>#VALUE!</v>
      </c>
      <c r="K10" s="310">
        <v>7</v>
      </c>
      <c r="L10" s="294">
        <f t="shared" si="1"/>
        <v>0.10535169392066349</v>
      </c>
      <c r="M10" s="286">
        <v>476.9</v>
      </c>
      <c r="N10" s="286">
        <v>34.340000000000003</v>
      </c>
      <c r="O10" s="296">
        <f t="shared" si="2"/>
        <v>511.24</v>
      </c>
      <c r="P10" s="286">
        <v>48.23</v>
      </c>
      <c r="Q10" s="286">
        <v>5.63</v>
      </c>
      <c r="R10" s="285">
        <v>53.86</v>
      </c>
      <c r="S10" s="297">
        <v>2.6929999999999996</v>
      </c>
      <c r="T10" s="297">
        <f t="shared" si="3"/>
        <v>3.4971875662343512</v>
      </c>
      <c r="U10" s="288">
        <v>3.7518686789332318</v>
      </c>
      <c r="V10" s="288">
        <v>4.0078521404479757</v>
      </c>
      <c r="W10" s="298"/>
      <c r="X10" s="299">
        <v>4.1025089860248958</v>
      </c>
      <c r="Y10" s="298">
        <f t="shared" si="4"/>
        <v>1.1730880624290716</v>
      </c>
    </row>
    <row r="11" spans="1:25" s="299" customFormat="1">
      <c r="A11" s="277" t="s">
        <v>7684</v>
      </c>
      <c r="B11" s="291">
        <v>40875</v>
      </c>
      <c r="C11" s="292"/>
      <c r="D11" s="300"/>
      <c r="E11" s="275" t="s">
        <v>257</v>
      </c>
      <c r="F11" s="275" t="s">
        <v>7439</v>
      </c>
      <c r="G11" s="308"/>
      <c r="H11" s="313"/>
      <c r="I11" s="295" t="s">
        <v>7965</v>
      </c>
      <c r="J11" s="314" t="e">
        <f t="shared" si="0"/>
        <v>#VALUE!</v>
      </c>
      <c r="K11" s="310">
        <v>9</v>
      </c>
      <c r="L11" s="294">
        <f t="shared" si="1"/>
        <v>0.10207349291489873</v>
      </c>
      <c r="M11" s="286">
        <v>354.55</v>
      </c>
      <c r="N11" s="286">
        <v>20.18</v>
      </c>
      <c r="O11" s="296">
        <f t="shared" si="2"/>
        <v>374.73</v>
      </c>
      <c r="P11" s="286">
        <v>34.979999999999997</v>
      </c>
      <c r="Q11" s="286">
        <v>3.27</v>
      </c>
      <c r="R11" s="285">
        <v>38.25</v>
      </c>
      <c r="S11" s="297">
        <v>1.9125000000000001</v>
      </c>
      <c r="T11" s="297">
        <f t="shared" si="3"/>
        <v>3.8095848682866382</v>
      </c>
      <c r="U11" s="288">
        <v>4.0349636721219451</v>
      </c>
      <c r="V11" s="288">
        <v>4.3210333583630396</v>
      </c>
      <c r="W11" s="298"/>
      <c r="X11" s="299">
        <v>3.9692104962309962</v>
      </c>
      <c r="Y11" s="298">
        <f t="shared" si="4"/>
        <v>1.0419010557484047</v>
      </c>
    </row>
    <row r="12" spans="1:25" s="299" customFormat="1">
      <c r="A12" s="277" t="s">
        <v>7684</v>
      </c>
      <c r="B12" s="291">
        <v>40875</v>
      </c>
      <c r="C12" s="292"/>
      <c r="D12" s="300"/>
      <c r="E12" s="275" t="s">
        <v>257</v>
      </c>
      <c r="F12" s="275" t="s">
        <v>7439</v>
      </c>
      <c r="G12" s="308"/>
      <c r="H12" s="313"/>
      <c r="I12" s="295" t="s">
        <v>7965</v>
      </c>
      <c r="J12" s="314" t="e">
        <f t="shared" si="0"/>
        <v>#VALUE!</v>
      </c>
      <c r="K12" s="310">
        <v>8</v>
      </c>
      <c r="L12" s="294">
        <f t="shared" si="1"/>
        <v>0.10917416122541167</v>
      </c>
      <c r="M12" s="286">
        <v>462.41</v>
      </c>
      <c r="N12" s="286">
        <v>24.61</v>
      </c>
      <c r="O12" s="296">
        <f t="shared" si="2"/>
        <v>487.02000000000004</v>
      </c>
      <c r="P12" s="286">
        <v>48.91</v>
      </c>
      <c r="Q12" s="286">
        <v>4.26</v>
      </c>
      <c r="R12" s="285">
        <v>53.169999999999995</v>
      </c>
      <c r="S12" s="297">
        <v>2.6584999999999996</v>
      </c>
      <c r="T12" s="297">
        <f t="shared" si="3"/>
        <v>3.508478728822336</v>
      </c>
      <c r="U12" s="288">
        <v>3.8052847298245691</v>
      </c>
      <c r="V12" s="288">
        <v>3.9453262244673946</v>
      </c>
      <c r="W12" s="298"/>
      <c r="X12" s="299">
        <v>3.7210922833487308</v>
      </c>
      <c r="Y12" s="298">
        <f t="shared" si="4"/>
        <v>1.0605999269084243</v>
      </c>
    </row>
    <row r="13" spans="1:25" s="281" customFormat="1">
      <c r="A13" s="284" t="s">
        <v>7683</v>
      </c>
      <c r="B13" s="301">
        <v>40929</v>
      </c>
      <c r="C13" s="243"/>
      <c r="D13" s="282"/>
      <c r="E13" s="276" t="s">
        <v>259</v>
      </c>
      <c r="F13" s="276" t="s">
        <v>7440</v>
      </c>
      <c r="G13" s="309"/>
      <c r="H13" s="315"/>
      <c r="I13" s="302">
        <v>1628</v>
      </c>
      <c r="J13" s="316">
        <f t="shared" si="0"/>
        <v>217.42056864033032</v>
      </c>
      <c r="K13" s="311">
        <v>15</v>
      </c>
      <c r="L13" s="279">
        <f t="shared" si="1"/>
        <v>0.13355071783804073</v>
      </c>
      <c r="M13" s="287">
        <v>371.87</v>
      </c>
      <c r="N13" s="287">
        <v>54.41</v>
      </c>
      <c r="O13" s="303">
        <f t="shared" si="2"/>
        <v>426.28</v>
      </c>
      <c r="P13" s="287">
        <v>47.71</v>
      </c>
      <c r="Q13" s="287">
        <v>9.2200000000000006</v>
      </c>
      <c r="R13" s="290">
        <v>56.93</v>
      </c>
      <c r="S13" s="244">
        <v>2.7435056864033034</v>
      </c>
      <c r="T13" s="244">
        <f t="shared" si="3"/>
        <v>3.4809801585249733</v>
      </c>
      <c r="U13" s="302">
        <v>4.930214622641528</v>
      </c>
      <c r="V13" s="302">
        <v>4.2077404014060464</v>
      </c>
      <c r="W13" s="280"/>
      <c r="X13" s="281">
        <v>4.7275594465065511</v>
      </c>
      <c r="Y13" s="280">
        <f t="shared" si="4"/>
        <v>1.3581115752494843</v>
      </c>
    </row>
    <row r="14" spans="1:25" s="281" customFormat="1">
      <c r="A14" s="284" t="s">
        <v>7683</v>
      </c>
      <c r="B14" s="301">
        <v>40929</v>
      </c>
      <c r="C14" s="243"/>
      <c r="D14" s="282"/>
      <c r="E14" s="276" t="s">
        <v>259</v>
      </c>
      <c r="F14" s="276" t="s">
        <v>7440</v>
      </c>
      <c r="G14" s="309"/>
      <c r="H14" s="315"/>
      <c r="I14" s="302">
        <v>1214</v>
      </c>
      <c r="J14" s="316">
        <f t="shared" si="0"/>
        <v>167.14947760422055</v>
      </c>
      <c r="K14" s="312">
        <v>8</v>
      </c>
      <c r="L14" s="279">
        <f t="shared" si="1"/>
        <v>0.13768490741698564</v>
      </c>
      <c r="M14" s="287">
        <v>349.22</v>
      </c>
      <c r="N14" s="287">
        <v>37.46</v>
      </c>
      <c r="O14" s="303">
        <f t="shared" si="2"/>
        <v>386.68</v>
      </c>
      <c r="P14" s="287">
        <v>46.52</v>
      </c>
      <c r="Q14" s="287">
        <v>6.72</v>
      </c>
      <c r="R14" s="290">
        <v>53.24</v>
      </c>
      <c r="S14" s="244">
        <v>2.2038947760422056</v>
      </c>
      <c r="T14" s="244">
        <f t="shared" si="3"/>
        <v>3.6768871440743882</v>
      </c>
      <c r="U14" s="302">
        <v>4.1346084533209639</v>
      </c>
      <c r="V14" s="302">
        <v>4.3750841478650644</v>
      </c>
      <c r="W14" s="280"/>
      <c r="X14" s="281">
        <v>4.7791624508574788</v>
      </c>
      <c r="Y14" s="280">
        <f t="shared" si="4"/>
        <v>1.2997849168581364</v>
      </c>
    </row>
    <row r="15" spans="1:25" s="281" customFormat="1">
      <c r="A15" s="284" t="s">
        <v>7683</v>
      </c>
      <c r="B15" s="301">
        <v>40929</v>
      </c>
      <c r="C15" s="243"/>
      <c r="D15" s="282"/>
      <c r="E15" s="276" t="s">
        <v>259</v>
      </c>
      <c r="F15" s="276" t="s">
        <v>7440</v>
      </c>
      <c r="G15" s="309"/>
      <c r="H15" s="315"/>
      <c r="I15" s="302">
        <v>1361</v>
      </c>
      <c r="J15" s="316">
        <f t="shared" si="0"/>
        <v>184.35646819896198</v>
      </c>
      <c r="K15" s="312">
        <v>9</v>
      </c>
      <c r="L15" s="279">
        <f t="shared" si="1"/>
        <v>0.13545662615647464</v>
      </c>
      <c r="M15" s="287">
        <v>282.66000000000003</v>
      </c>
      <c r="N15" s="287">
        <v>27.55</v>
      </c>
      <c r="O15" s="303">
        <f t="shared" si="2"/>
        <v>310.21000000000004</v>
      </c>
      <c r="P15" s="287">
        <v>36.99</v>
      </c>
      <c r="Q15" s="287">
        <v>5.03</v>
      </c>
      <c r="R15" s="290">
        <v>42.02</v>
      </c>
      <c r="S15" s="244">
        <v>2.26376468198962</v>
      </c>
      <c r="T15" s="244">
        <f t="shared" si="3"/>
        <v>3.6523315425934713</v>
      </c>
      <c r="U15" s="302">
        <v>4.2394691573203955</v>
      </c>
      <c r="V15" s="302">
        <v>4.1224441502008586</v>
      </c>
      <c r="W15" s="280"/>
      <c r="X15" s="281">
        <v>3.7473545056987962</v>
      </c>
      <c r="Y15" s="280">
        <f t="shared" si="4"/>
        <v>1.0260170693698443</v>
      </c>
    </row>
    <row r="16" spans="1:25" s="281" customFormat="1">
      <c r="A16" s="284" t="s">
        <v>7683</v>
      </c>
      <c r="B16" s="301">
        <v>40929</v>
      </c>
      <c r="C16" s="243"/>
      <c r="D16" s="282"/>
      <c r="E16" s="276" t="s">
        <v>259</v>
      </c>
      <c r="F16" s="276" t="s">
        <v>7440</v>
      </c>
      <c r="G16" s="309"/>
      <c r="H16" s="315"/>
      <c r="I16" s="302">
        <v>1609</v>
      </c>
      <c r="J16" s="316">
        <f t="shared" si="0"/>
        <v>211.73623494072157</v>
      </c>
      <c r="K16" s="312">
        <v>8</v>
      </c>
      <c r="L16" s="279">
        <f t="shared" si="1"/>
        <v>0.13159492538267345</v>
      </c>
      <c r="M16" s="287">
        <v>286.94</v>
      </c>
      <c r="N16" s="287">
        <v>25.99</v>
      </c>
      <c r="O16" s="303">
        <f t="shared" si="2"/>
        <v>312.93</v>
      </c>
      <c r="P16" s="287">
        <v>36.9</v>
      </c>
      <c r="Q16" s="287">
        <v>4.28</v>
      </c>
      <c r="R16" s="290">
        <v>41.18</v>
      </c>
      <c r="S16" s="244">
        <v>2.529162349407216</v>
      </c>
      <c r="T16" s="244">
        <f t="shared" si="3"/>
        <v>3.5524979582224918</v>
      </c>
      <c r="U16" s="302">
        <v>4.501981017770607</v>
      </c>
      <c r="V16" s="302">
        <v>4.7996731664798862</v>
      </c>
      <c r="W16" s="280"/>
      <c r="X16" s="281">
        <v>3.5980105870471188</v>
      </c>
      <c r="Y16" s="280">
        <f t="shared" si="4"/>
        <v>1.0128114440486264</v>
      </c>
    </row>
    <row r="17" spans="1:25" s="281" customFormat="1">
      <c r="A17" s="284" t="s">
        <v>7683</v>
      </c>
      <c r="B17" s="301">
        <v>40929</v>
      </c>
      <c r="C17" s="243"/>
      <c r="D17" s="282"/>
      <c r="E17" s="276" t="s">
        <v>259</v>
      </c>
      <c r="F17" s="276" t="s">
        <v>7440</v>
      </c>
      <c r="G17" s="309"/>
      <c r="H17" s="315"/>
      <c r="I17" s="302">
        <v>1251</v>
      </c>
      <c r="J17" s="316">
        <f t="shared" si="0"/>
        <v>170.21576763485479</v>
      </c>
      <c r="K17" s="312">
        <v>7</v>
      </c>
      <c r="L17" s="279">
        <f t="shared" si="1"/>
        <v>0.13606376309740589</v>
      </c>
      <c r="M17" s="287">
        <v>300.3</v>
      </c>
      <c r="N17" s="287">
        <v>34.69</v>
      </c>
      <c r="O17" s="303">
        <f t="shared" si="2"/>
        <v>334.99</v>
      </c>
      <c r="P17" s="287">
        <v>39.659999999999997</v>
      </c>
      <c r="Q17" s="287">
        <v>5.92</v>
      </c>
      <c r="R17" s="290">
        <v>45.58</v>
      </c>
      <c r="S17" s="244">
        <v>2.1579576763485475</v>
      </c>
      <c r="T17" s="244">
        <f t="shared" si="3"/>
        <v>3.6963006045671798</v>
      </c>
      <c r="U17" s="302">
        <v>4.5593216256248921</v>
      </c>
      <c r="V17" s="302">
        <v>4.5615460920997037</v>
      </c>
      <c r="W17" s="280"/>
      <c r="X17" s="281">
        <v>4.6777824949427895</v>
      </c>
      <c r="Y17" s="280">
        <f t="shared" si="4"/>
        <v>1.2655308632536224</v>
      </c>
    </row>
    <row r="18" spans="1:25" s="281" customFormat="1">
      <c r="A18" s="284" t="s">
        <v>7683</v>
      </c>
      <c r="B18" s="301">
        <v>40929</v>
      </c>
      <c r="C18" s="243"/>
      <c r="D18" s="282"/>
      <c r="E18" s="276" t="s">
        <v>259</v>
      </c>
      <c r="F18" s="276" t="s">
        <v>7439</v>
      </c>
      <c r="G18" s="309"/>
      <c r="H18" s="315"/>
      <c r="I18" s="302">
        <v>1471</v>
      </c>
      <c r="J18" s="316">
        <f t="shared" si="0"/>
        <v>197.64100595483316</v>
      </c>
      <c r="K18" s="312">
        <v>8</v>
      </c>
      <c r="L18" s="279">
        <f t="shared" si="1"/>
        <v>0.13435826373544063</v>
      </c>
      <c r="M18" s="287">
        <v>472.77</v>
      </c>
      <c r="N18" s="287">
        <v>61.25</v>
      </c>
      <c r="O18" s="303">
        <f t="shared" si="2"/>
        <v>534.02</v>
      </c>
      <c r="P18" s="287">
        <v>60.42</v>
      </c>
      <c r="Q18" s="287">
        <v>11.33</v>
      </c>
      <c r="R18" s="290">
        <v>71.75</v>
      </c>
      <c r="S18" s="244">
        <v>2.6939100595483318</v>
      </c>
      <c r="T18" s="244">
        <f t="shared" si="3"/>
        <v>3.4968921729089191</v>
      </c>
      <c r="U18" s="302">
        <v>4.3834262578276757</v>
      </c>
      <c r="V18" s="302">
        <v>4.915230780123574</v>
      </c>
      <c r="W18" s="280"/>
      <c r="X18" s="281">
        <v>4.9081510151577676</v>
      </c>
      <c r="Y18" s="280">
        <f t="shared" si="4"/>
        <v>1.4035751668816487</v>
      </c>
    </row>
    <row r="19" spans="1:25" s="281" customFormat="1">
      <c r="A19" s="284" t="s">
        <v>7683</v>
      </c>
      <c r="B19" s="301">
        <v>40929</v>
      </c>
      <c r="C19" s="243"/>
      <c r="D19" s="282"/>
      <c r="E19" s="276" t="s">
        <v>259</v>
      </c>
      <c r="F19" s="276" t="s">
        <v>7439</v>
      </c>
      <c r="G19" s="309"/>
      <c r="H19" s="315"/>
      <c r="I19" s="302">
        <v>1310</v>
      </c>
      <c r="J19" s="316">
        <f t="shared" si="0"/>
        <v>201.01816691708785</v>
      </c>
      <c r="K19" s="312">
        <v>9</v>
      </c>
      <c r="L19" s="279">
        <f t="shared" si="1"/>
        <v>0.15344898237945637</v>
      </c>
      <c r="M19" s="287">
        <v>317.32</v>
      </c>
      <c r="N19" s="287">
        <v>48.73</v>
      </c>
      <c r="O19" s="303">
        <f t="shared" si="2"/>
        <v>366.05</v>
      </c>
      <c r="P19" s="287">
        <v>45.58</v>
      </c>
      <c r="Q19" s="287">
        <v>10.59</v>
      </c>
      <c r="R19" s="290">
        <v>56.17</v>
      </c>
      <c r="S19" s="244">
        <v>2.5718816691708786</v>
      </c>
      <c r="T19" s="244">
        <f t="shared" si="3"/>
        <v>3.5376532971996193</v>
      </c>
      <c r="U19" s="302">
        <v>4.2921540935955829</v>
      </c>
      <c r="V19" s="302">
        <v>4.5053294874607026</v>
      </c>
      <c r="W19" s="280"/>
      <c r="X19" s="281">
        <v>4.4155343029635343</v>
      </c>
      <c r="Y19" s="280">
        <f t="shared" si="4"/>
        <v>1.2481534882061052</v>
      </c>
    </row>
    <row r="20" spans="1:25" s="281" customFormat="1">
      <c r="A20" s="284" t="s">
        <v>7683</v>
      </c>
      <c r="B20" s="301">
        <v>40929</v>
      </c>
      <c r="C20" s="243"/>
      <c r="D20" s="282"/>
      <c r="E20" s="276" t="s">
        <v>259</v>
      </c>
      <c r="F20" s="276" t="s">
        <v>7439</v>
      </c>
      <c r="G20" s="309"/>
      <c r="H20" s="315"/>
      <c r="I20" s="302">
        <v>1646</v>
      </c>
      <c r="J20" s="316">
        <f t="shared" si="0"/>
        <v>237.33487147218534</v>
      </c>
      <c r="K20" s="312">
        <v>8</v>
      </c>
      <c r="L20" s="279">
        <f t="shared" si="1"/>
        <v>0.14418886480691698</v>
      </c>
      <c r="M20" s="287">
        <v>374.71</v>
      </c>
      <c r="N20" s="287">
        <v>54.38</v>
      </c>
      <c r="O20" s="303">
        <f t="shared" si="2"/>
        <v>429.09</v>
      </c>
      <c r="P20" s="287">
        <v>50.54</v>
      </c>
      <c r="Q20" s="287">
        <v>11.33</v>
      </c>
      <c r="R20" s="290">
        <v>61.87</v>
      </c>
      <c r="S20" s="244">
        <v>2.9920487147218533</v>
      </c>
      <c r="T20" s="244">
        <f t="shared" si="3"/>
        <v>3.4063231724449223</v>
      </c>
      <c r="U20" s="302">
        <v>4.136234905300606</v>
      </c>
      <c r="V20" s="302">
        <v>4.6377710018668195</v>
      </c>
      <c r="W20" s="280"/>
      <c r="X20" s="281">
        <v>4.1528684587258411</v>
      </c>
      <c r="Y20" s="280">
        <f t="shared" si="4"/>
        <v>1.2191645503045674</v>
      </c>
    </row>
    <row r="21" spans="1:25" s="281" customFormat="1">
      <c r="A21" s="284" t="s">
        <v>7683</v>
      </c>
      <c r="B21" s="301">
        <v>40929</v>
      </c>
      <c r="C21" s="243"/>
      <c r="D21" s="282"/>
      <c r="E21" s="276" t="s">
        <v>259</v>
      </c>
      <c r="F21" s="276" t="s">
        <v>7439</v>
      </c>
      <c r="G21" s="309"/>
      <c r="H21" s="315"/>
      <c r="I21" s="302">
        <v>1641</v>
      </c>
      <c r="J21" s="316">
        <f t="shared" si="0"/>
        <v>225.22565178303861</v>
      </c>
      <c r="K21" s="312">
        <v>8</v>
      </c>
      <c r="L21" s="279">
        <f t="shared" si="1"/>
        <v>0.13724902607132153</v>
      </c>
      <c r="M21" s="287">
        <v>269.60000000000002</v>
      </c>
      <c r="N21" s="287">
        <v>30.73</v>
      </c>
      <c r="O21" s="303">
        <f t="shared" si="2"/>
        <v>300.33000000000004</v>
      </c>
      <c r="P21" s="287">
        <v>35.49</v>
      </c>
      <c r="Q21" s="287">
        <v>5.73</v>
      </c>
      <c r="R21" s="290">
        <v>41.22</v>
      </c>
      <c r="S21" s="244">
        <v>2.6644565178303861</v>
      </c>
      <c r="T21" s="244">
        <f t="shared" si="3"/>
        <v>3.5065162405497774</v>
      </c>
      <c r="U21" s="302">
        <v>4.4645459809017236</v>
      </c>
      <c r="V21" s="302">
        <v>4.9088933063625921</v>
      </c>
      <c r="W21" s="280"/>
      <c r="X21" s="281">
        <v>3.5011773368999077</v>
      </c>
      <c r="Y21" s="280">
        <f t="shared" si="4"/>
        <v>0.99847743364535724</v>
      </c>
    </row>
    <row r="22" spans="1:25" s="281" customFormat="1">
      <c r="A22" s="284" t="s">
        <v>7683</v>
      </c>
      <c r="B22" s="301">
        <v>40929</v>
      </c>
      <c r="C22" s="243"/>
      <c r="D22" s="282"/>
      <c r="E22" s="276" t="s">
        <v>259</v>
      </c>
      <c r="F22" s="276" t="s">
        <v>7439</v>
      </c>
      <c r="G22" s="309"/>
      <c r="H22" s="315"/>
      <c r="I22" s="302">
        <v>1472</v>
      </c>
      <c r="J22" s="316">
        <f t="shared" si="0"/>
        <v>207.33342039963432</v>
      </c>
      <c r="K22" s="312">
        <v>8</v>
      </c>
      <c r="L22" s="279">
        <f t="shared" si="1"/>
        <v>0.14085150842366462</v>
      </c>
      <c r="M22" s="287">
        <v>542.36</v>
      </c>
      <c r="N22" s="287">
        <v>70.2</v>
      </c>
      <c r="O22" s="303">
        <f t="shared" si="2"/>
        <v>612.56000000000006</v>
      </c>
      <c r="P22" s="287">
        <v>71.92</v>
      </c>
      <c r="Q22" s="287">
        <v>14.36</v>
      </c>
      <c r="R22" s="290">
        <v>86.28</v>
      </c>
      <c r="S22" s="244">
        <v>2.9361342039963434</v>
      </c>
      <c r="T22" s="244">
        <f t="shared" si="3"/>
        <v>3.4224257783051506</v>
      </c>
      <c r="U22" s="302">
        <v>4.0774917850525023</v>
      </c>
      <c r="V22" s="302">
        <v>4.5275938853879518</v>
      </c>
      <c r="W22" s="280"/>
      <c r="X22" s="281">
        <v>5.7959882086304919</v>
      </c>
      <c r="Y22" s="280">
        <f t="shared" si="4"/>
        <v>1.6935321856711745</v>
      </c>
    </row>
    <row r="23" spans="1:25" s="299" customFormat="1">
      <c r="A23" s="277" t="s">
        <v>7682</v>
      </c>
      <c r="B23" s="304">
        <v>40996</v>
      </c>
      <c r="C23" s="292"/>
      <c r="D23" s="294"/>
      <c r="E23" s="277" t="s">
        <v>257</v>
      </c>
      <c r="F23" s="277" t="s">
        <v>7440</v>
      </c>
      <c r="G23" s="308"/>
      <c r="H23" s="313"/>
      <c r="I23" s="288">
        <v>3220.5</v>
      </c>
      <c r="J23" s="314">
        <f t="shared" si="0"/>
        <v>492.62453987730049</v>
      </c>
      <c r="K23" s="310">
        <v>7</v>
      </c>
      <c r="L23" s="294">
        <f t="shared" si="1"/>
        <v>0.1529652351738241</v>
      </c>
      <c r="M23" s="288">
        <v>431.36</v>
      </c>
      <c r="N23" s="288">
        <v>595.54</v>
      </c>
      <c r="O23" s="296">
        <f t="shared" si="2"/>
        <v>1026.9000000000001</v>
      </c>
      <c r="P23" s="288">
        <v>49.86</v>
      </c>
      <c r="Q23" s="288">
        <v>107.22</v>
      </c>
      <c r="R23" s="285">
        <v>157.07999999999998</v>
      </c>
      <c r="S23" s="297">
        <v>6.4970453987730048</v>
      </c>
      <c r="T23" s="297">
        <f t="shared" si="3"/>
        <v>2.8060734756937453</v>
      </c>
      <c r="U23" s="288">
        <v>3.0019123844489575</v>
      </c>
      <c r="V23" s="288">
        <v>3.1078709215130744</v>
      </c>
      <c r="W23" s="298"/>
      <c r="X23" s="299">
        <v>3.2915927831525438</v>
      </c>
      <c r="Y23" s="298">
        <f t="shared" si="4"/>
        <v>1.1730244456049974</v>
      </c>
    </row>
    <row r="24" spans="1:25" s="299" customFormat="1">
      <c r="A24" s="277" t="s">
        <v>7682</v>
      </c>
      <c r="B24" s="304">
        <v>40996</v>
      </c>
      <c r="C24" s="292"/>
      <c r="D24" s="294"/>
      <c r="E24" s="278" t="s">
        <v>259</v>
      </c>
      <c r="F24" s="278" t="s">
        <v>7440</v>
      </c>
      <c r="G24" s="308"/>
      <c r="H24" s="313"/>
      <c r="I24" s="288">
        <v>4480.8999999999996</v>
      </c>
      <c r="J24" s="314">
        <f t="shared" si="0"/>
        <v>504.59200477911889</v>
      </c>
      <c r="K24" s="310">
        <v>9</v>
      </c>
      <c r="L24" s="294">
        <f t="shared" si="1"/>
        <v>0.11260952147539979</v>
      </c>
      <c r="M24" s="286">
        <v>831.9</v>
      </c>
      <c r="N24" s="286">
        <v>800.2</v>
      </c>
      <c r="O24" s="296">
        <f t="shared" si="2"/>
        <v>1632.1</v>
      </c>
      <c r="P24" s="286">
        <v>80.22</v>
      </c>
      <c r="Q24" s="288">
        <v>103.57</v>
      </c>
      <c r="R24" s="285">
        <v>183.79</v>
      </c>
      <c r="S24" s="297">
        <v>6.8838200477911888</v>
      </c>
      <c r="T24" s="297">
        <f t="shared" si="3"/>
        <v>2.7657991371759985</v>
      </c>
      <c r="U24" s="288">
        <v>3.9034363741265494</v>
      </c>
      <c r="V24" s="288">
        <v>2.4890949927105526</v>
      </c>
      <c r="W24" s="298"/>
      <c r="X24" s="299">
        <v>4.239045665009189</v>
      </c>
      <c r="Y24" s="298">
        <f t="shared" si="4"/>
        <v>1.5326657702762319</v>
      </c>
    </row>
    <row r="25" spans="1:25" s="299" customFormat="1">
      <c r="A25" s="277" t="s">
        <v>7682</v>
      </c>
      <c r="B25" s="304">
        <v>40996</v>
      </c>
      <c r="C25" s="292"/>
      <c r="D25" s="294"/>
      <c r="E25" s="278" t="s">
        <v>257</v>
      </c>
      <c r="F25" s="278" t="s">
        <v>7440</v>
      </c>
      <c r="G25" s="308"/>
      <c r="H25" s="313"/>
      <c r="I25" s="288">
        <v>3630</v>
      </c>
      <c r="J25" s="314">
        <f t="shared" si="0"/>
        <v>404.17386126823459</v>
      </c>
      <c r="K25" s="310">
        <v>7</v>
      </c>
      <c r="L25" s="294">
        <f t="shared" si="1"/>
        <v>0.11134266150640071</v>
      </c>
      <c r="M25" s="286">
        <v>524.79999999999995</v>
      </c>
      <c r="N25" s="286">
        <v>684.44</v>
      </c>
      <c r="O25" s="296">
        <f t="shared" si="2"/>
        <v>1209.24</v>
      </c>
      <c r="P25" s="286">
        <v>58.41</v>
      </c>
      <c r="Q25" s="288">
        <v>76.23</v>
      </c>
      <c r="R25" s="285">
        <v>134.63999999999999</v>
      </c>
      <c r="S25" s="297">
        <v>5.3881386126823463</v>
      </c>
      <c r="T25" s="297">
        <f t="shared" si="3"/>
        <v>2.9404806380726805</v>
      </c>
      <c r="U25" s="288" t="s">
        <v>7965</v>
      </c>
      <c r="V25" s="288">
        <v>2.0397198562874261</v>
      </c>
      <c r="W25" s="298"/>
      <c r="X25" s="299" t="s">
        <v>7965</v>
      </c>
      <c r="Y25" s="298" t="s">
        <v>7965</v>
      </c>
    </row>
    <row r="26" spans="1:25" s="299" customFormat="1">
      <c r="A26" s="277" t="s">
        <v>7682</v>
      </c>
      <c r="B26" s="304">
        <v>40996</v>
      </c>
      <c r="C26" s="292"/>
      <c r="D26" s="294"/>
      <c r="E26" s="283" t="s">
        <v>259</v>
      </c>
      <c r="F26" s="278" t="s">
        <v>7440</v>
      </c>
      <c r="G26" s="308"/>
      <c r="H26" s="313"/>
      <c r="I26" s="288">
        <v>3805.8</v>
      </c>
      <c r="J26" s="314">
        <f t="shared" si="0"/>
        <v>519.87446471577971</v>
      </c>
      <c r="K26" s="310">
        <v>8</v>
      </c>
      <c r="L26" s="294">
        <f t="shared" si="1"/>
        <v>0.13660057404902509</v>
      </c>
      <c r="M26" s="286">
        <v>583.95000000000005</v>
      </c>
      <c r="N26" s="286">
        <v>628.49</v>
      </c>
      <c r="O26" s="296">
        <f t="shared" si="2"/>
        <v>1212.44</v>
      </c>
      <c r="P26" s="286">
        <v>62.03</v>
      </c>
      <c r="Q26" s="288">
        <v>103.59</v>
      </c>
      <c r="R26" s="285">
        <v>165.62</v>
      </c>
      <c r="S26" s="297">
        <v>6.8549446471577973</v>
      </c>
      <c r="T26" s="297">
        <f t="shared" si="3"/>
        <v>2.768707173509398</v>
      </c>
      <c r="U26" s="288">
        <v>3.4066286673662183</v>
      </c>
      <c r="V26" s="288">
        <v>2.2702870122675098</v>
      </c>
      <c r="W26" s="298"/>
      <c r="X26" s="299">
        <v>2.9310447256520056</v>
      </c>
      <c r="Y26" s="298">
        <f t="shared" si="4"/>
        <v>1.0586329799322336</v>
      </c>
    </row>
    <row r="27" spans="1:25" s="299" customFormat="1">
      <c r="A27" s="277" t="s">
        <v>7682</v>
      </c>
      <c r="B27" s="304">
        <v>40996</v>
      </c>
      <c r="C27" s="292"/>
      <c r="D27" s="294"/>
      <c r="E27" s="283" t="s">
        <v>259</v>
      </c>
      <c r="F27" s="278" t="s">
        <v>7440</v>
      </c>
      <c r="G27" s="308"/>
      <c r="H27" s="313"/>
      <c r="I27" s="288">
        <v>4312</v>
      </c>
      <c r="J27" s="314">
        <f t="shared" si="0"/>
        <v>390.13748483623129</v>
      </c>
      <c r="K27" s="310">
        <v>7</v>
      </c>
      <c r="L27" s="294">
        <f t="shared" si="1"/>
        <v>9.0477153255155679E-2</v>
      </c>
      <c r="M27" s="286">
        <v>570.44000000000005</v>
      </c>
      <c r="N27" s="286">
        <v>517.67999999999995</v>
      </c>
      <c r="O27" s="296">
        <f t="shared" si="2"/>
        <v>1088.1199999999999</v>
      </c>
      <c r="P27" s="286">
        <v>57.04</v>
      </c>
      <c r="Q27" s="288">
        <v>41.41</v>
      </c>
      <c r="R27" s="285">
        <v>98.449999999999989</v>
      </c>
      <c r="S27" s="297">
        <v>4.8858748483623131</v>
      </c>
      <c r="T27" s="297">
        <f t="shared" si="3"/>
        <v>3.013300401238161</v>
      </c>
      <c r="U27" s="288">
        <v>3.8750735061195019</v>
      </c>
      <c r="V27" s="288">
        <v>2.3743598896889866</v>
      </c>
      <c r="W27" s="298"/>
      <c r="X27" s="299">
        <v>3.0814082019746083</v>
      </c>
      <c r="Y27" s="298">
        <f t="shared" si="4"/>
        <v>1.0226023932789647</v>
      </c>
    </row>
    <row r="28" spans="1:25" s="299" customFormat="1">
      <c r="A28" s="277" t="s">
        <v>7682</v>
      </c>
      <c r="B28" s="304">
        <v>40996</v>
      </c>
      <c r="C28" s="292"/>
      <c r="D28" s="294"/>
      <c r="E28" s="283" t="s">
        <v>257</v>
      </c>
      <c r="F28" s="278" t="s">
        <v>7440</v>
      </c>
      <c r="G28" s="308"/>
      <c r="H28" s="313"/>
      <c r="I28" s="288">
        <v>3289.9</v>
      </c>
      <c r="J28" s="314">
        <f t="shared" si="0"/>
        <v>362.96134859417765</v>
      </c>
      <c r="K28" s="310">
        <v>9</v>
      </c>
      <c r="L28" s="294">
        <f t="shared" si="1"/>
        <v>0.11032595172928589</v>
      </c>
      <c r="M28" s="286">
        <v>451.54</v>
      </c>
      <c r="N28" s="286">
        <v>553.21</v>
      </c>
      <c r="O28" s="296">
        <f t="shared" si="2"/>
        <v>1004.75</v>
      </c>
      <c r="P28" s="286">
        <v>54.5</v>
      </c>
      <c r="Q28" s="288">
        <v>56.35</v>
      </c>
      <c r="R28" s="285">
        <v>110.85</v>
      </c>
      <c r="S28" s="297">
        <v>4.7381134859417759</v>
      </c>
      <c r="T28" s="297">
        <f t="shared" si="3"/>
        <v>3.0365235197175355</v>
      </c>
      <c r="U28" s="288">
        <v>2.8698620719852879</v>
      </c>
      <c r="V28" s="288">
        <v>2.2803060142526448</v>
      </c>
      <c r="W28" s="298"/>
      <c r="X28" s="299">
        <v>2.7392551990102021</v>
      </c>
      <c r="Y28" s="298">
        <f t="shared" si="4"/>
        <v>0.90210241456157536</v>
      </c>
    </row>
    <row r="29" spans="1:25" s="299" customFormat="1">
      <c r="A29" s="277" t="s">
        <v>7682</v>
      </c>
      <c r="B29" s="304">
        <v>40996</v>
      </c>
      <c r="C29" s="292"/>
      <c r="D29" s="294"/>
      <c r="E29" s="277" t="s">
        <v>259</v>
      </c>
      <c r="F29" s="277" t="s">
        <v>7440</v>
      </c>
      <c r="G29" s="308"/>
      <c r="H29" s="313"/>
      <c r="I29" s="288">
        <v>4730.6000000000004</v>
      </c>
      <c r="J29" s="314">
        <f t="shared" si="0"/>
        <v>436.80778567276576</v>
      </c>
      <c r="K29" s="310">
        <v>9</v>
      </c>
      <c r="L29" s="294">
        <f t="shared" si="1"/>
        <v>9.2336656168935383E-2</v>
      </c>
      <c r="M29" s="288">
        <v>564.69000000000005</v>
      </c>
      <c r="N29" s="288">
        <v>587.94000000000005</v>
      </c>
      <c r="O29" s="296">
        <f t="shared" si="2"/>
        <v>1152.6300000000001</v>
      </c>
      <c r="P29" s="288">
        <v>58.42</v>
      </c>
      <c r="Q29" s="288">
        <v>48.01</v>
      </c>
      <c r="R29" s="285">
        <v>106.43</v>
      </c>
      <c r="S29" s="297">
        <v>5.4323778567276575</v>
      </c>
      <c r="T29" s="297">
        <f t="shared" si="3"/>
        <v>2.9344757263214971</v>
      </c>
      <c r="U29" s="288">
        <v>3.4875707288965727</v>
      </c>
      <c r="V29" s="288">
        <v>2.4670636166687876</v>
      </c>
      <c r="W29" s="298"/>
      <c r="X29" s="299">
        <v>2.7677422337080633</v>
      </c>
      <c r="Y29" s="298">
        <f t="shared" si="4"/>
        <v>0.94318116482686254</v>
      </c>
    </row>
    <row r="30" spans="1:25" s="299" customFormat="1">
      <c r="A30" s="277" t="s">
        <v>7682</v>
      </c>
      <c r="B30" s="304">
        <v>40996</v>
      </c>
      <c r="C30" s="292"/>
      <c r="D30" s="294"/>
      <c r="E30" s="277" t="s">
        <v>257</v>
      </c>
      <c r="F30" s="278" t="s">
        <v>7440</v>
      </c>
      <c r="G30" s="308"/>
      <c r="H30" s="313"/>
      <c r="I30" s="288">
        <v>3457</v>
      </c>
      <c r="J30" s="314">
        <f t="shared" si="0"/>
        <v>382.8857891742523</v>
      </c>
      <c r="K30" s="310">
        <v>8</v>
      </c>
      <c r="L30" s="294">
        <f t="shared" si="1"/>
        <v>0.11075666449934982</v>
      </c>
      <c r="M30" s="288">
        <v>411.82</v>
      </c>
      <c r="N30" s="288">
        <v>572.5</v>
      </c>
      <c r="O30" s="296">
        <f t="shared" si="2"/>
        <v>984.31999999999994</v>
      </c>
      <c r="P30" s="288">
        <v>50.71</v>
      </c>
      <c r="Q30" s="288">
        <v>58.31</v>
      </c>
      <c r="R30" s="285">
        <v>109.02000000000001</v>
      </c>
      <c r="S30" s="297">
        <v>4.9190578917425229</v>
      </c>
      <c r="T30" s="297">
        <f t="shared" si="3"/>
        <v>3.0082057050576987</v>
      </c>
      <c r="U30" s="288">
        <v>2.8276899446958206</v>
      </c>
      <c r="V30" s="288">
        <v>2.2761655988350893</v>
      </c>
      <c r="W30" s="298"/>
      <c r="X30" s="299">
        <v>2.5960938638786186</v>
      </c>
      <c r="Y30" s="298">
        <f t="shared" si="4"/>
        <v>0.86300410225065527</v>
      </c>
    </row>
    <row r="31" spans="1:25" s="299" customFormat="1">
      <c r="A31" s="277" t="s">
        <v>7682</v>
      </c>
      <c r="B31" s="304">
        <v>40996</v>
      </c>
      <c r="C31" s="292"/>
      <c r="D31" s="294"/>
      <c r="E31" s="283" t="s">
        <v>257</v>
      </c>
      <c r="F31" s="278" t="s">
        <v>7440</v>
      </c>
      <c r="G31" s="308"/>
      <c r="H31" s="313"/>
      <c r="I31" s="288">
        <v>4526.2</v>
      </c>
      <c r="J31" s="314">
        <f t="shared" si="0"/>
        <v>466.00933460124901</v>
      </c>
      <c r="K31" s="310">
        <v>8</v>
      </c>
      <c r="L31" s="294">
        <f t="shared" si="1"/>
        <v>0.10295818448173943</v>
      </c>
      <c r="M31" s="286">
        <v>325.42</v>
      </c>
      <c r="N31" s="286">
        <v>452.76</v>
      </c>
      <c r="O31" s="296">
        <f t="shared" si="2"/>
        <v>778.18000000000006</v>
      </c>
      <c r="P31" s="286">
        <v>36.76</v>
      </c>
      <c r="Q31" s="288">
        <v>43.36</v>
      </c>
      <c r="R31" s="285">
        <v>80.12</v>
      </c>
      <c r="S31" s="297">
        <v>5.4612933460124893</v>
      </c>
      <c r="T31" s="297">
        <f t="shared" si="3"/>
        <v>2.9305837546708187</v>
      </c>
      <c r="U31" s="288">
        <v>3.4576213131168587</v>
      </c>
      <c r="V31" s="288">
        <v>2.2990718520075633</v>
      </c>
      <c r="W31" s="298"/>
      <c r="X31" s="299">
        <v>2.0763388871869708</v>
      </c>
      <c r="Y31" s="298">
        <f t="shared" si="4"/>
        <v>0.70850692592479692</v>
      </c>
    </row>
    <row r="32" spans="1:25" s="299" customFormat="1">
      <c r="A32" s="277" t="s">
        <v>7682</v>
      </c>
      <c r="B32" s="304">
        <v>40996</v>
      </c>
      <c r="C32" s="292"/>
      <c r="D32" s="294"/>
      <c r="E32" s="277" t="s">
        <v>259</v>
      </c>
      <c r="F32" s="277" t="s">
        <v>7439</v>
      </c>
      <c r="G32" s="308"/>
      <c r="H32" s="313"/>
      <c r="I32" s="288">
        <v>3909</v>
      </c>
      <c r="J32" s="314">
        <f t="shared" si="0"/>
        <v>405.78145949589907</v>
      </c>
      <c r="K32" s="310">
        <v>9</v>
      </c>
      <c r="L32" s="294">
        <f t="shared" si="1"/>
        <v>0.10380697352159096</v>
      </c>
      <c r="M32" s="288">
        <v>476.66</v>
      </c>
      <c r="N32" s="288">
        <v>591.38</v>
      </c>
      <c r="O32" s="296">
        <f t="shared" si="2"/>
        <v>1068.04</v>
      </c>
      <c r="P32" s="288">
        <v>49.05</v>
      </c>
      <c r="Q32" s="288">
        <v>61.82</v>
      </c>
      <c r="R32" s="285">
        <v>110.87</v>
      </c>
      <c r="S32" s="297">
        <v>5.1665145949589908</v>
      </c>
      <c r="T32" s="297">
        <f t="shared" si="3"/>
        <v>2.9715195977156004</v>
      </c>
      <c r="U32" s="288">
        <v>3.7226426034971034</v>
      </c>
      <c r="V32" s="288">
        <v>2.6642205853337666</v>
      </c>
      <c r="W32" s="298"/>
      <c r="X32" s="299">
        <v>3.2116649942747095</v>
      </c>
      <c r="Y32" s="298">
        <f t="shared" si="4"/>
        <v>1.0808156866082002</v>
      </c>
    </row>
    <row r="33" spans="1:25" s="299" customFormat="1">
      <c r="A33" s="277" t="s">
        <v>7682</v>
      </c>
      <c r="B33" s="304">
        <v>40996</v>
      </c>
      <c r="C33" s="292"/>
      <c r="D33" s="294"/>
      <c r="E33" s="277" t="s">
        <v>257</v>
      </c>
      <c r="F33" s="277" t="s">
        <v>7439</v>
      </c>
      <c r="G33" s="308"/>
      <c r="H33" s="313"/>
      <c r="I33" s="288">
        <v>2851.8</v>
      </c>
      <c r="J33" s="314">
        <f t="shared" si="0"/>
        <v>360.39266645297187</v>
      </c>
      <c r="K33" s="310">
        <v>9</v>
      </c>
      <c r="L33" s="294">
        <f t="shared" si="1"/>
        <v>0.1263737521751076</v>
      </c>
      <c r="M33" s="288">
        <v>351.73</v>
      </c>
      <c r="N33" s="288">
        <v>521.79</v>
      </c>
      <c r="O33" s="296">
        <f t="shared" si="2"/>
        <v>873.52</v>
      </c>
      <c r="P33" s="288">
        <v>43.55</v>
      </c>
      <c r="Q33" s="288">
        <v>66.84</v>
      </c>
      <c r="R33" s="285">
        <v>110.39</v>
      </c>
      <c r="S33" s="297">
        <v>4.7078266645297182</v>
      </c>
      <c r="T33" s="297">
        <f t="shared" si="3"/>
        <v>3.0413954921239865</v>
      </c>
      <c r="U33" s="288">
        <v>2.852171812080543</v>
      </c>
      <c r="V33" s="288">
        <v>1.9613053713846496</v>
      </c>
      <c r="W33" s="298"/>
      <c r="X33" s="299">
        <v>2.4704806170927474</v>
      </c>
      <c r="Y33" s="298">
        <f t="shared" si="4"/>
        <v>0.81228522350687926</v>
      </c>
    </row>
    <row r="34" spans="1:25" s="299" customFormat="1">
      <c r="A34" s="277" t="s">
        <v>7682</v>
      </c>
      <c r="B34" s="304">
        <v>40996</v>
      </c>
      <c r="C34" s="292"/>
      <c r="D34" s="294"/>
      <c r="E34" s="277" t="s">
        <v>257</v>
      </c>
      <c r="F34" s="277" t="s">
        <v>7439</v>
      </c>
      <c r="G34" s="308"/>
      <c r="H34" s="313"/>
      <c r="I34" s="288">
        <v>3385</v>
      </c>
      <c r="J34" s="314">
        <f t="shared" si="0"/>
        <v>449.27997778632152</v>
      </c>
      <c r="K34" s="310">
        <v>9</v>
      </c>
      <c r="L34" s="294">
        <f t="shared" si="1"/>
        <v>0.13272672903584093</v>
      </c>
      <c r="M34" s="288">
        <v>259.66000000000003</v>
      </c>
      <c r="N34" s="288">
        <v>442.61</v>
      </c>
      <c r="O34" s="296">
        <f t="shared" si="2"/>
        <v>702.27</v>
      </c>
      <c r="P34" s="288">
        <v>34.21</v>
      </c>
      <c r="Q34" s="288">
        <v>59</v>
      </c>
      <c r="R34" s="285">
        <v>93.210000000000008</v>
      </c>
      <c r="S34" s="297">
        <v>5.4248997778632155</v>
      </c>
      <c r="T34" s="297">
        <f t="shared" si="3"/>
        <v>2.9354864780099064</v>
      </c>
      <c r="U34" s="288">
        <v>3.1140606211306241</v>
      </c>
      <c r="V34" s="288">
        <v>1.6346478119210368</v>
      </c>
      <c r="W34" s="298"/>
      <c r="X34" s="299">
        <v>1.787637345437082</v>
      </c>
      <c r="Y34" s="298">
        <f t="shared" si="4"/>
        <v>0.608974818595996</v>
      </c>
    </row>
    <row r="35" spans="1:25" s="299" customFormat="1">
      <c r="A35" s="277" t="s">
        <v>7682</v>
      </c>
      <c r="B35" s="304">
        <v>40996</v>
      </c>
      <c r="C35" s="292"/>
      <c r="D35" s="294"/>
      <c r="E35" s="278" t="s">
        <v>259</v>
      </c>
      <c r="F35" s="278" t="s">
        <v>7439</v>
      </c>
      <c r="G35" s="308"/>
      <c r="H35" s="313"/>
      <c r="I35" s="288">
        <v>4275</v>
      </c>
      <c r="J35" s="314">
        <f t="shared" si="0"/>
        <v>466.56235743613144</v>
      </c>
      <c r="K35" s="310">
        <v>9</v>
      </c>
      <c r="L35" s="294">
        <f t="shared" si="1"/>
        <v>0.10913739355231145</v>
      </c>
      <c r="M35" s="288">
        <v>446.36</v>
      </c>
      <c r="N35" s="286">
        <v>605.79999999999995</v>
      </c>
      <c r="O35" s="296">
        <f t="shared" si="2"/>
        <v>1052.1599999999999</v>
      </c>
      <c r="P35" s="286">
        <v>49.08</v>
      </c>
      <c r="Q35" s="288">
        <v>65.75</v>
      </c>
      <c r="R35" s="285">
        <v>114.83</v>
      </c>
      <c r="S35" s="297">
        <v>5.813923574361314</v>
      </c>
      <c r="T35" s="297">
        <f t="shared" si="3"/>
        <v>2.8850987616752048</v>
      </c>
      <c r="U35" s="288">
        <v>3.9262280076733305</v>
      </c>
      <c r="V35" s="288">
        <v>2.7663228251507341</v>
      </c>
      <c r="W35" s="298"/>
      <c r="X35" s="299">
        <v>3.1498598206122175</v>
      </c>
      <c r="Y35" s="298">
        <f t="shared" si="4"/>
        <v>1.0917684560591201</v>
      </c>
    </row>
    <row r="36" spans="1:25" s="299" customFormat="1">
      <c r="A36" s="277" t="s">
        <v>7682</v>
      </c>
      <c r="B36" s="304">
        <v>40996</v>
      </c>
      <c r="C36" s="305"/>
      <c r="D36" s="294"/>
      <c r="E36" s="283" t="s">
        <v>257</v>
      </c>
      <c r="F36" s="278" t="s">
        <v>7439</v>
      </c>
      <c r="G36" s="308"/>
      <c r="H36" s="313"/>
      <c r="I36" s="288">
        <v>2860</v>
      </c>
      <c r="J36" s="314">
        <f t="shared" si="0"/>
        <v>355.79205231945906</v>
      </c>
      <c r="K36" s="310">
        <v>8</v>
      </c>
      <c r="L36" s="294">
        <f t="shared" si="1"/>
        <v>0.12440281549631435</v>
      </c>
      <c r="M36" s="286">
        <v>363.29</v>
      </c>
      <c r="N36" s="286">
        <v>538.86</v>
      </c>
      <c r="O36" s="296">
        <f t="shared" si="2"/>
        <v>902.15000000000009</v>
      </c>
      <c r="P36" s="286">
        <v>43.3</v>
      </c>
      <c r="Q36" s="288">
        <v>68.930000000000007</v>
      </c>
      <c r="R36" s="285">
        <v>112.23</v>
      </c>
      <c r="S36" s="297">
        <v>4.680220523194591</v>
      </c>
      <c r="T36" s="297">
        <f t="shared" si="3"/>
        <v>3.0458705010390621</v>
      </c>
      <c r="U36" s="288">
        <v>3.191005637126382</v>
      </c>
      <c r="V36" s="288">
        <v>2.7767543821616543</v>
      </c>
      <c r="W36" s="298"/>
      <c r="X36" s="299">
        <v>3.3448596162918327</v>
      </c>
      <c r="Y36" s="298">
        <f t="shared" si="4"/>
        <v>1.0981621231601193</v>
      </c>
    </row>
    <row r="37" spans="1:25" s="299" customFormat="1">
      <c r="A37" s="277" t="s">
        <v>7682</v>
      </c>
      <c r="B37" s="304">
        <v>40996</v>
      </c>
      <c r="C37" s="305"/>
      <c r="D37" s="294"/>
      <c r="E37" s="283" t="s">
        <v>259</v>
      </c>
      <c r="F37" s="278" t="s">
        <v>7439</v>
      </c>
      <c r="G37" s="308"/>
      <c r="H37" s="313"/>
      <c r="I37" s="288">
        <v>3614</v>
      </c>
      <c r="J37" s="314">
        <f t="shared" si="0"/>
        <v>388.01959461738221</v>
      </c>
      <c r="K37" s="310">
        <v>8</v>
      </c>
      <c r="L37" s="294">
        <f t="shared" si="1"/>
        <v>0.10736568749789215</v>
      </c>
      <c r="M37" s="286">
        <v>539.34</v>
      </c>
      <c r="N37" s="286">
        <v>646.70000000000005</v>
      </c>
      <c r="O37" s="296">
        <f t="shared" si="2"/>
        <v>1186.04</v>
      </c>
      <c r="P37" s="286">
        <v>56.58</v>
      </c>
      <c r="Q37" s="288">
        <v>70.760000000000005</v>
      </c>
      <c r="R37" s="285">
        <v>127.34</v>
      </c>
      <c r="S37" s="297">
        <v>5.1535959461738221</v>
      </c>
      <c r="T37" s="297">
        <f t="shared" si="3"/>
        <v>2.9733800455241717</v>
      </c>
      <c r="U37" s="288">
        <v>3.7371713187197333</v>
      </c>
      <c r="V37" s="288">
        <v>2.6739245897532258</v>
      </c>
      <c r="W37" s="298"/>
      <c r="X37" s="299">
        <v>3.6927929381763169</v>
      </c>
      <c r="Y37" s="298">
        <f t="shared" si="4"/>
        <v>1.2419512075945613</v>
      </c>
    </row>
    <row r="38" spans="1:25" s="299" customFormat="1">
      <c r="A38" s="277" t="s">
        <v>7682</v>
      </c>
      <c r="B38" s="304">
        <v>40996</v>
      </c>
      <c r="C38" s="305"/>
      <c r="D38" s="294"/>
      <c r="E38" s="283" t="s">
        <v>259</v>
      </c>
      <c r="F38" s="278" t="s">
        <v>7439</v>
      </c>
      <c r="G38" s="308"/>
      <c r="H38" s="313"/>
      <c r="I38" s="288">
        <v>3994</v>
      </c>
      <c r="J38" s="314">
        <f t="shared" si="0"/>
        <v>443.58810156051067</v>
      </c>
      <c r="K38" s="310">
        <v>8</v>
      </c>
      <c r="L38" s="294">
        <f t="shared" si="1"/>
        <v>0.1110636208213597</v>
      </c>
      <c r="M38" s="286">
        <v>496.29</v>
      </c>
      <c r="N38" s="286">
        <v>603.35</v>
      </c>
      <c r="O38" s="296">
        <f t="shared" si="2"/>
        <v>1099.6400000000001</v>
      </c>
      <c r="P38" s="286">
        <v>52.8</v>
      </c>
      <c r="Q38" s="288">
        <v>69.33</v>
      </c>
      <c r="R38" s="285">
        <v>122.13</v>
      </c>
      <c r="S38" s="297">
        <v>5.6571810156051061</v>
      </c>
      <c r="T38" s="297">
        <f t="shared" si="3"/>
        <v>2.9048786535142104</v>
      </c>
      <c r="U38" s="288">
        <v>3.8886891989250412</v>
      </c>
      <c r="V38" s="288">
        <v>2.5171256983240222</v>
      </c>
      <c r="W38" s="298"/>
      <c r="X38" s="299">
        <v>3.1053229499044246</v>
      </c>
      <c r="Y38" s="298">
        <f t="shared" si="4"/>
        <v>1.0690026401439263</v>
      </c>
    </row>
    <row r="39" spans="1:25" s="299" customFormat="1">
      <c r="A39" s="277" t="s">
        <v>7682</v>
      </c>
      <c r="B39" s="304">
        <v>40996</v>
      </c>
      <c r="C39" s="305"/>
      <c r="D39" s="294"/>
      <c r="E39" s="283" t="s">
        <v>257</v>
      </c>
      <c r="F39" s="278" t="s">
        <v>7439</v>
      </c>
      <c r="G39" s="308"/>
      <c r="H39" s="313"/>
      <c r="I39" s="288">
        <v>3609</v>
      </c>
      <c r="J39" s="314">
        <f t="shared" si="0"/>
        <v>426.35007577397704</v>
      </c>
      <c r="K39" s="310">
        <v>9</v>
      </c>
      <c r="L39" s="294">
        <f t="shared" si="1"/>
        <v>0.11813523850761348</v>
      </c>
      <c r="M39" s="286">
        <v>396.31</v>
      </c>
      <c r="N39" s="286">
        <v>573.67999999999995</v>
      </c>
      <c r="O39" s="296">
        <f t="shared" si="2"/>
        <v>969.99</v>
      </c>
      <c r="P39" s="286">
        <v>45.79</v>
      </c>
      <c r="Q39" s="288">
        <v>68.8</v>
      </c>
      <c r="R39" s="285">
        <v>114.59</v>
      </c>
      <c r="S39" s="297">
        <v>5.4094007577397702</v>
      </c>
      <c r="T39" s="297">
        <f t="shared" si="3"/>
        <v>2.9375869121952065</v>
      </c>
      <c r="U39" s="288">
        <v>3.4316934056235064</v>
      </c>
      <c r="V39" s="288">
        <v>2.077278446166396</v>
      </c>
      <c r="W39" s="298"/>
      <c r="X39" s="299">
        <v>2.5885528804929923</v>
      </c>
      <c r="Y39" s="298">
        <f t="shared" si="4"/>
        <v>0.8811834195430196</v>
      </c>
    </row>
    <row r="40" spans="1:25" s="299" customFormat="1" ht="13.5" thickBot="1">
      <c r="A40" s="277" t="s">
        <v>7682</v>
      </c>
      <c r="B40" s="304">
        <v>40996</v>
      </c>
      <c r="C40" s="306"/>
      <c r="D40" s="294"/>
      <c r="E40" s="283" t="s">
        <v>257</v>
      </c>
      <c r="F40" s="278" t="s">
        <v>7439</v>
      </c>
      <c r="G40" s="308"/>
      <c r="H40" s="313"/>
      <c r="I40" s="288">
        <v>3378</v>
      </c>
      <c r="J40" s="314">
        <f t="shared" si="0"/>
        <v>404.882859538145</v>
      </c>
      <c r="K40" s="310">
        <v>9</v>
      </c>
      <c r="L40" s="294">
        <f t="shared" si="1"/>
        <v>0.11985875060335849</v>
      </c>
      <c r="M40" s="286">
        <v>337.22</v>
      </c>
      <c r="N40" s="286">
        <v>450.04</v>
      </c>
      <c r="O40" s="296">
        <f t="shared" si="2"/>
        <v>787.26</v>
      </c>
      <c r="P40" s="289">
        <v>39.659999999999997</v>
      </c>
      <c r="Q40" s="317">
        <v>54.7</v>
      </c>
      <c r="R40" s="318">
        <v>94.36</v>
      </c>
      <c r="S40" s="297">
        <v>4.9924285953814502</v>
      </c>
      <c r="T40" s="297">
        <f t="shared" si="3"/>
        <v>2.9970918209010469</v>
      </c>
      <c r="U40" s="317">
        <v>3.0549059768960287</v>
      </c>
      <c r="V40" s="317">
        <v>2.0810339897658556</v>
      </c>
      <c r="W40" s="298"/>
      <c r="X40" s="299">
        <v>2.1442682114789471</v>
      </c>
      <c r="Y40" s="298">
        <f t="shared" si="4"/>
        <v>0.71544962237236143</v>
      </c>
    </row>
    <row r="43" spans="1:25">
      <c r="A43" s="202" t="s">
        <v>7681</v>
      </c>
    </row>
    <row r="44" spans="1:25">
      <c r="A44" s="201" t="s">
        <v>7680</v>
      </c>
    </row>
    <row r="45" spans="1:25">
      <c r="A45" s="201" t="s">
        <v>7679</v>
      </c>
    </row>
    <row r="46" spans="1:25">
      <c r="A46" s="201" t="s">
        <v>7678</v>
      </c>
    </row>
    <row r="47" spans="1:25">
      <c r="A47" s="202" t="s">
        <v>7966</v>
      </c>
    </row>
    <row r="48" spans="1:25">
      <c r="A48" s="202" t="s">
        <v>7677</v>
      </c>
    </row>
    <row r="49" spans="1:1">
      <c r="A49" s="202" t="s">
        <v>7676</v>
      </c>
    </row>
    <row r="50" spans="1:1">
      <c r="A50" s="201" t="s">
        <v>7675</v>
      </c>
    </row>
    <row r="51" spans="1:1">
      <c r="A51" s="201" t="s">
        <v>7674</v>
      </c>
    </row>
    <row r="52" spans="1:1">
      <c r="A52" s="201" t="s">
        <v>7673</v>
      </c>
    </row>
    <row r="53" spans="1:1">
      <c r="A53" s="201" t="s">
        <v>7672</v>
      </c>
    </row>
    <row r="55" spans="1:1">
      <c r="A55" s="200" t="s">
        <v>7715</v>
      </c>
    </row>
    <row r="57" spans="1:1" ht="21">
      <c r="A57" s="233" t="s">
        <v>7967</v>
      </c>
    </row>
    <row r="58" spans="1:1" ht="21">
      <c r="A58" s="233" t="s">
        <v>7968</v>
      </c>
    </row>
    <row r="59" spans="1:1" ht="21">
      <c r="A59" s="233" t="s">
        <v>7969</v>
      </c>
    </row>
    <row r="60" spans="1:1" ht="21">
      <c r="A60" s="233" t="s">
        <v>7970</v>
      </c>
    </row>
  </sheetData>
  <sheetProtection selectLockedCells="1" selectUnlockedCells="1"/>
  <mergeCells count="4">
    <mergeCell ref="K1:R1"/>
    <mergeCell ref="H1:J1"/>
    <mergeCell ref="S1:T1"/>
    <mergeCell ref="U1:W1"/>
  </mergeCells>
  <pageMargins left="0.78749999999999998" right="0.78749999999999998" top="1.0527777777777778" bottom="1.0527777777777778" header="0.78749999999999998" footer="0.78749999999999998"/>
  <pageSetup firstPageNumber="0" orientation="portrait" horizontalDpi="300" verticalDpi="300" r:id="rId1"/>
  <headerFooter alignWithMargins="0">
    <oddHeader>&amp;C&amp;"Times New Roman,Regular"&amp;12&amp;A</oddHeader>
    <oddFooter>&amp;C&amp;"Times New Roman,Regular"&amp;12Page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6"/>
  <dimension ref="B2:BT43"/>
  <sheetViews>
    <sheetView zoomScale="90" zoomScaleNormal="90" workbookViewId="0">
      <selection activeCell="BN24" sqref="BN24"/>
    </sheetView>
  </sheetViews>
  <sheetFormatPr baseColWidth="10" defaultRowHeight="12"/>
  <cols>
    <col min="1" max="1" width="6.28515625" customWidth="1"/>
    <col min="2" max="4" width="5.5703125" customWidth="1"/>
    <col min="5" max="6" width="4.42578125" bestFit="1" customWidth="1"/>
    <col min="7" max="7" width="9.42578125" bestFit="1" customWidth="1"/>
    <col min="8" max="8" width="4.42578125" bestFit="1" customWidth="1"/>
    <col min="9" max="9" width="8.7109375" bestFit="1" customWidth="1"/>
    <col min="10" max="36" width="4.42578125" bestFit="1" customWidth="1"/>
    <col min="37" max="37" width="2.42578125" bestFit="1" customWidth="1"/>
    <col min="38" max="38" width="5.5703125" style="223" bestFit="1" customWidth="1"/>
    <col min="39" max="39" width="3.85546875" bestFit="1" customWidth="1"/>
    <col min="40" max="55" width="4.42578125" bestFit="1" customWidth="1"/>
    <col min="56" max="56" width="4.42578125" style="223" bestFit="1" customWidth="1"/>
    <col min="57" max="71" width="4.42578125" bestFit="1" customWidth="1"/>
    <col min="72" max="72" width="2.42578125" bestFit="1" customWidth="1"/>
    <col min="73" max="73" width="13.42578125" customWidth="1"/>
    <col min="257" max="257" width="6.28515625" customWidth="1"/>
    <col min="258" max="260" width="5.5703125" customWidth="1"/>
    <col min="261" max="276" width="4" bestFit="1" customWidth="1"/>
    <col min="277" max="293" width="4" customWidth="1"/>
    <col min="294" max="294" width="6" bestFit="1" customWidth="1"/>
    <col min="295" max="295" width="4.28515625" customWidth="1"/>
    <col min="296" max="296" width="4.140625" bestFit="1" customWidth="1"/>
    <col min="297" max="301" width="4" bestFit="1" customWidth="1"/>
    <col min="302" max="302" width="4.140625" bestFit="1" customWidth="1"/>
    <col min="303" max="311" width="4" bestFit="1" customWidth="1"/>
    <col min="312" max="312" width="4.28515625" customWidth="1"/>
    <col min="313" max="327" width="4.140625" bestFit="1" customWidth="1"/>
    <col min="328" max="328" width="4.85546875" customWidth="1"/>
    <col min="329" max="329" width="13.42578125" customWidth="1"/>
    <col min="513" max="513" width="6.28515625" customWidth="1"/>
    <col min="514" max="516" width="5.5703125" customWidth="1"/>
    <col min="517" max="532" width="4" bestFit="1" customWidth="1"/>
    <col min="533" max="549" width="4" customWidth="1"/>
    <col min="550" max="550" width="6" bestFit="1" customWidth="1"/>
    <col min="551" max="551" width="4.28515625" customWidth="1"/>
    <col min="552" max="552" width="4.140625" bestFit="1" customWidth="1"/>
    <col min="553" max="557" width="4" bestFit="1" customWidth="1"/>
    <col min="558" max="558" width="4.140625" bestFit="1" customWidth="1"/>
    <col min="559" max="567" width="4" bestFit="1" customWidth="1"/>
    <col min="568" max="568" width="4.28515625" customWidth="1"/>
    <col min="569" max="583" width="4.140625" bestFit="1" customWidth="1"/>
    <col min="584" max="584" width="4.85546875" customWidth="1"/>
    <col min="585" max="585" width="13.42578125" customWidth="1"/>
    <col min="769" max="769" width="6.28515625" customWidth="1"/>
    <col min="770" max="772" width="5.5703125" customWidth="1"/>
    <col min="773" max="788" width="4" bestFit="1" customWidth="1"/>
    <col min="789" max="805" width="4" customWidth="1"/>
    <col min="806" max="806" width="6" bestFit="1" customWidth="1"/>
    <col min="807" max="807" width="4.28515625" customWidth="1"/>
    <col min="808" max="808" width="4.140625" bestFit="1" customWidth="1"/>
    <col min="809" max="813" width="4" bestFit="1" customWidth="1"/>
    <col min="814" max="814" width="4.140625" bestFit="1" customWidth="1"/>
    <col min="815" max="823" width="4" bestFit="1" customWidth="1"/>
    <col min="824" max="824" width="4.28515625" customWidth="1"/>
    <col min="825" max="839" width="4.140625" bestFit="1" customWidth="1"/>
    <col min="840" max="840" width="4.85546875" customWidth="1"/>
    <col min="841" max="841" width="13.42578125" customWidth="1"/>
    <col min="1025" max="1025" width="6.28515625" customWidth="1"/>
    <col min="1026" max="1028" width="5.5703125" customWidth="1"/>
    <col min="1029" max="1044" width="4" bestFit="1" customWidth="1"/>
    <col min="1045" max="1061" width="4" customWidth="1"/>
    <col min="1062" max="1062" width="6" bestFit="1" customWidth="1"/>
    <col min="1063" max="1063" width="4.28515625" customWidth="1"/>
    <col min="1064" max="1064" width="4.140625" bestFit="1" customWidth="1"/>
    <col min="1065" max="1069" width="4" bestFit="1" customWidth="1"/>
    <col min="1070" max="1070" width="4.140625" bestFit="1" customWidth="1"/>
    <col min="1071" max="1079" width="4" bestFit="1" customWidth="1"/>
    <col min="1080" max="1080" width="4.28515625" customWidth="1"/>
    <col min="1081" max="1095" width="4.140625" bestFit="1" customWidth="1"/>
    <col min="1096" max="1096" width="4.85546875" customWidth="1"/>
    <col min="1097" max="1097" width="13.42578125" customWidth="1"/>
    <col min="1281" max="1281" width="6.28515625" customWidth="1"/>
    <col min="1282" max="1284" width="5.5703125" customWidth="1"/>
    <col min="1285" max="1300" width="4" bestFit="1" customWidth="1"/>
    <col min="1301" max="1317" width="4" customWidth="1"/>
    <col min="1318" max="1318" width="6" bestFit="1" customWidth="1"/>
    <col min="1319" max="1319" width="4.28515625" customWidth="1"/>
    <col min="1320" max="1320" width="4.140625" bestFit="1" customWidth="1"/>
    <col min="1321" max="1325" width="4" bestFit="1" customWidth="1"/>
    <col min="1326" max="1326" width="4.140625" bestFit="1" customWidth="1"/>
    <col min="1327" max="1335" width="4" bestFit="1" customWidth="1"/>
    <col min="1336" max="1336" width="4.28515625" customWidth="1"/>
    <col min="1337" max="1351" width="4.140625" bestFit="1" customWidth="1"/>
    <col min="1352" max="1352" width="4.85546875" customWidth="1"/>
    <col min="1353" max="1353" width="13.42578125" customWidth="1"/>
    <col min="1537" max="1537" width="6.28515625" customWidth="1"/>
    <col min="1538" max="1540" width="5.5703125" customWidth="1"/>
    <col min="1541" max="1556" width="4" bestFit="1" customWidth="1"/>
    <col min="1557" max="1573" width="4" customWidth="1"/>
    <col min="1574" max="1574" width="6" bestFit="1" customWidth="1"/>
    <col min="1575" max="1575" width="4.28515625" customWidth="1"/>
    <col min="1576" max="1576" width="4.140625" bestFit="1" customWidth="1"/>
    <col min="1577" max="1581" width="4" bestFit="1" customWidth="1"/>
    <col min="1582" max="1582" width="4.140625" bestFit="1" customWidth="1"/>
    <col min="1583" max="1591" width="4" bestFit="1" customWidth="1"/>
    <col min="1592" max="1592" width="4.28515625" customWidth="1"/>
    <col min="1593" max="1607" width="4.140625" bestFit="1" customWidth="1"/>
    <col min="1608" max="1608" width="4.85546875" customWidth="1"/>
    <col min="1609" max="1609" width="13.42578125" customWidth="1"/>
    <col min="1793" max="1793" width="6.28515625" customWidth="1"/>
    <col min="1794" max="1796" width="5.5703125" customWidth="1"/>
    <col min="1797" max="1812" width="4" bestFit="1" customWidth="1"/>
    <col min="1813" max="1829" width="4" customWidth="1"/>
    <col min="1830" max="1830" width="6" bestFit="1" customWidth="1"/>
    <col min="1831" max="1831" width="4.28515625" customWidth="1"/>
    <col min="1832" max="1832" width="4.140625" bestFit="1" customWidth="1"/>
    <col min="1833" max="1837" width="4" bestFit="1" customWidth="1"/>
    <col min="1838" max="1838" width="4.140625" bestFit="1" customWidth="1"/>
    <col min="1839" max="1847" width="4" bestFit="1" customWidth="1"/>
    <col min="1848" max="1848" width="4.28515625" customWidth="1"/>
    <col min="1849" max="1863" width="4.140625" bestFit="1" customWidth="1"/>
    <col min="1864" max="1864" width="4.85546875" customWidth="1"/>
    <col min="1865" max="1865" width="13.42578125" customWidth="1"/>
    <col min="2049" max="2049" width="6.28515625" customWidth="1"/>
    <col min="2050" max="2052" width="5.5703125" customWidth="1"/>
    <col min="2053" max="2068" width="4" bestFit="1" customWidth="1"/>
    <col min="2069" max="2085" width="4" customWidth="1"/>
    <col min="2086" max="2086" width="6" bestFit="1" customWidth="1"/>
    <col min="2087" max="2087" width="4.28515625" customWidth="1"/>
    <col min="2088" max="2088" width="4.140625" bestFit="1" customWidth="1"/>
    <col min="2089" max="2093" width="4" bestFit="1" customWidth="1"/>
    <col min="2094" max="2094" width="4.140625" bestFit="1" customWidth="1"/>
    <col min="2095" max="2103" width="4" bestFit="1" customWidth="1"/>
    <col min="2104" max="2104" width="4.28515625" customWidth="1"/>
    <col min="2105" max="2119" width="4.140625" bestFit="1" customWidth="1"/>
    <col min="2120" max="2120" width="4.85546875" customWidth="1"/>
    <col min="2121" max="2121" width="13.42578125" customWidth="1"/>
    <col min="2305" max="2305" width="6.28515625" customWidth="1"/>
    <col min="2306" max="2308" width="5.5703125" customWidth="1"/>
    <col min="2309" max="2324" width="4" bestFit="1" customWidth="1"/>
    <col min="2325" max="2341" width="4" customWidth="1"/>
    <col min="2342" max="2342" width="6" bestFit="1" customWidth="1"/>
    <col min="2343" max="2343" width="4.28515625" customWidth="1"/>
    <col min="2344" max="2344" width="4.140625" bestFit="1" customWidth="1"/>
    <col min="2345" max="2349" width="4" bestFit="1" customWidth="1"/>
    <col min="2350" max="2350" width="4.140625" bestFit="1" customWidth="1"/>
    <col min="2351" max="2359" width="4" bestFit="1" customWidth="1"/>
    <col min="2360" max="2360" width="4.28515625" customWidth="1"/>
    <col min="2361" max="2375" width="4.140625" bestFit="1" customWidth="1"/>
    <col min="2376" max="2376" width="4.85546875" customWidth="1"/>
    <col min="2377" max="2377" width="13.42578125" customWidth="1"/>
    <col min="2561" max="2561" width="6.28515625" customWidth="1"/>
    <col min="2562" max="2564" width="5.5703125" customWidth="1"/>
    <col min="2565" max="2580" width="4" bestFit="1" customWidth="1"/>
    <col min="2581" max="2597" width="4" customWidth="1"/>
    <col min="2598" max="2598" width="6" bestFit="1" customWidth="1"/>
    <col min="2599" max="2599" width="4.28515625" customWidth="1"/>
    <col min="2600" max="2600" width="4.140625" bestFit="1" customWidth="1"/>
    <col min="2601" max="2605" width="4" bestFit="1" customWidth="1"/>
    <col min="2606" max="2606" width="4.140625" bestFit="1" customWidth="1"/>
    <col min="2607" max="2615" width="4" bestFit="1" customWidth="1"/>
    <col min="2616" max="2616" width="4.28515625" customWidth="1"/>
    <col min="2617" max="2631" width="4.140625" bestFit="1" customWidth="1"/>
    <col min="2632" max="2632" width="4.85546875" customWidth="1"/>
    <col min="2633" max="2633" width="13.42578125" customWidth="1"/>
    <col min="2817" max="2817" width="6.28515625" customWidth="1"/>
    <col min="2818" max="2820" width="5.5703125" customWidth="1"/>
    <col min="2821" max="2836" width="4" bestFit="1" customWidth="1"/>
    <col min="2837" max="2853" width="4" customWidth="1"/>
    <col min="2854" max="2854" width="6" bestFit="1" customWidth="1"/>
    <col min="2855" max="2855" width="4.28515625" customWidth="1"/>
    <col min="2856" max="2856" width="4.140625" bestFit="1" customWidth="1"/>
    <col min="2857" max="2861" width="4" bestFit="1" customWidth="1"/>
    <col min="2862" max="2862" width="4.140625" bestFit="1" customWidth="1"/>
    <col min="2863" max="2871" width="4" bestFit="1" customWidth="1"/>
    <col min="2872" max="2872" width="4.28515625" customWidth="1"/>
    <col min="2873" max="2887" width="4.140625" bestFit="1" customWidth="1"/>
    <col min="2888" max="2888" width="4.85546875" customWidth="1"/>
    <col min="2889" max="2889" width="13.42578125" customWidth="1"/>
    <col min="3073" max="3073" width="6.28515625" customWidth="1"/>
    <col min="3074" max="3076" width="5.5703125" customWidth="1"/>
    <col min="3077" max="3092" width="4" bestFit="1" customWidth="1"/>
    <col min="3093" max="3109" width="4" customWidth="1"/>
    <col min="3110" max="3110" width="6" bestFit="1" customWidth="1"/>
    <col min="3111" max="3111" width="4.28515625" customWidth="1"/>
    <col min="3112" max="3112" width="4.140625" bestFit="1" customWidth="1"/>
    <col min="3113" max="3117" width="4" bestFit="1" customWidth="1"/>
    <col min="3118" max="3118" width="4.140625" bestFit="1" customWidth="1"/>
    <col min="3119" max="3127" width="4" bestFit="1" customWidth="1"/>
    <col min="3128" max="3128" width="4.28515625" customWidth="1"/>
    <col min="3129" max="3143" width="4.140625" bestFit="1" customWidth="1"/>
    <col min="3144" max="3144" width="4.85546875" customWidth="1"/>
    <col min="3145" max="3145" width="13.42578125" customWidth="1"/>
    <col min="3329" max="3329" width="6.28515625" customWidth="1"/>
    <col min="3330" max="3332" width="5.5703125" customWidth="1"/>
    <col min="3333" max="3348" width="4" bestFit="1" customWidth="1"/>
    <col min="3349" max="3365" width="4" customWidth="1"/>
    <col min="3366" max="3366" width="6" bestFit="1" customWidth="1"/>
    <col min="3367" max="3367" width="4.28515625" customWidth="1"/>
    <col min="3368" max="3368" width="4.140625" bestFit="1" customWidth="1"/>
    <col min="3369" max="3373" width="4" bestFit="1" customWidth="1"/>
    <col min="3374" max="3374" width="4.140625" bestFit="1" customWidth="1"/>
    <col min="3375" max="3383" width="4" bestFit="1" customWidth="1"/>
    <col min="3384" max="3384" width="4.28515625" customWidth="1"/>
    <col min="3385" max="3399" width="4.140625" bestFit="1" customWidth="1"/>
    <col min="3400" max="3400" width="4.85546875" customWidth="1"/>
    <col min="3401" max="3401" width="13.42578125" customWidth="1"/>
    <col min="3585" max="3585" width="6.28515625" customWidth="1"/>
    <col min="3586" max="3588" width="5.5703125" customWidth="1"/>
    <col min="3589" max="3604" width="4" bestFit="1" customWidth="1"/>
    <col min="3605" max="3621" width="4" customWidth="1"/>
    <col min="3622" max="3622" width="6" bestFit="1" customWidth="1"/>
    <col min="3623" max="3623" width="4.28515625" customWidth="1"/>
    <col min="3624" max="3624" width="4.140625" bestFit="1" customWidth="1"/>
    <col min="3625" max="3629" width="4" bestFit="1" customWidth="1"/>
    <col min="3630" max="3630" width="4.140625" bestFit="1" customWidth="1"/>
    <col min="3631" max="3639" width="4" bestFit="1" customWidth="1"/>
    <col min="3640" max="3640" width="4.28515625" customWidth="1"/>
    <col min="3641" max="3655" width="4.140625" bestFit="1" customWidth="1"/>
    <col min="3656" max="3656" width="4.85546875" customWidth="1"/>
    <col min="3657" max="3657" width="13.42578125" customWidth="1"/>
    <col min="3841" max="3841" width="6.28515625" customWidth="1"/>
    <col min="3842" max="3844" width="5.5703125" customWidth="1"/>
    <col min="3845" max="3860" width="4" bestFit="1" customWidth="1"/>
    <col min="3861" max="3877" width="4" customWidth="1"/>
    <col min="3878" max="3878" width="6" bestFit="1" customWidth="1"/>
    <col min="3879" max="3879" width="4.28515625" customWidth="1"/>
    <col min="3880" max="3880" width="4.140625" bestFit="1" customWidth="1"/>
    <col min="3881" max="3885" width="4" bestFit="1" customWidth="1"/>
    <col min="3886" max="3886" width="4.140625" bestFit="1" customWidth="1"/>
    <col min="3887" max="3895" width="4" bestFit="1" customWidth="1"/>
    <col min="3896" max="3896" width="4.28515625" customWidth="1"/>
    <col min="3897" max="3911" width="4.140625" bestFit="1" customWidth="1"/>
    <col min="3912" max="3912" width="4.85546875" customWidth="1"/>
    <col min="3913" max="3913" width="13.42578125" customWidth="1"/>
    <col min="4097" max="4097" width="6.28515625" customWidth="1"/>
    <col min="4098" max="4100" width="5.5703125" customWidth="1"/>
    <col min="4101" max="4116" width="4" bestFit="1" customWidth="1"/>
    <col min="4117" max="4133" width="4" customWidth="1"/>
    <col min="4134" max="4134" width="6" bestFit="1" customWidth="1"/>
    <col min="4135" max="4135" width="4.28515625" customWidth="1"/>
    <col min="4136" max="4136" width="4.140625" bestFit="1" customWidth="1"/>
    <col min="4137" max="4141" width="4" bestFit="1" customWidth="1"/>
    <col min="4142" max="4142" width="4.140625" bestFit="1" customWidth="1"/>
    <col min="4143" max="4151" width="4" bestFit="1" customWidth="1"/>
    <col min="4152" max="4152" width="4.28515625" customWidth="1"/>
    <col min="4153" max="4167" width="4.140625" bestFit="1" customWidth="1"/>
    <col min="4168" max="4168" width="4.85546875" customWidth="1"/>
    <col min="4169" max="4169" width="13.42578125" customWidth="1"/>
    <col min="4353" max="4353" width="6.28515625" customWidth="1"/>
    <col min="4354" max="4356" width="5.5703125" customWidth="1"/>
    <col min="4357" max="4372" width="4" bestFit="1" customWidth="1"/>
    <col min="4373" max="4389" width="4" customWidth="1"/>
    <col min="4390" max="4390" width="6" bestFit="1" customWidth="1"/>
    <col min="4391" max="4391" width="4.28515625" customWidth="1"/>
    <col min="4392" max="4392" width="4.140625" bestFit="1" customWidth="1"/>
    <col min="4393" max="4397" width="4" bestFit="1" customWidth="1"/>
    <col min="4398" max="4398" width="4.140625" bestFit="1" customWidth="1"/>
    <col min="4399" max="4407" width="4" bestFit="1" customWidth="1"/>
    <col min="4408" max="4408" width="4.28515625" customWidth="1"/>
    <col min="4409" max="4423" width="4.140625" bestFit="1" customWidth="1"/>
    <col min="4424" max="4424" width="4.85546875" customWidth="1"/>
    <col min="4425" max="4425" width="13.42578125" customWidth="1"/>
    <col min="4609" max="4609" width="6.28515625" customWidth="1"/>
    <col min="4610" max="4612" width="5.5703125" customWidth="1"/>
    <col min="4613" max="4628" width="4" bestFit="1" customWidth="1"/>
    <col min="4629" max="4645" width="4" customWidth="1"/>
    <col min="4646" max="4646" width="6" bestFit="1" customWidth="1"/>
    <col min="4647" max="4647" width="4.28515625" customWidth="1"/>
    <col min="4648" max="4648" width="4.140625" bestFit="1" customWidth="1"/>
    <col min="4649" max="4653" width="4" bestFit="1" customWidth="1"/>
    <col min="4654" max="4654" width="4.140625" bestFit="1" customWidth="1"/>
    <col min="4655" max="4663" width="4" bestFit="1" customWidth="1"/>
    <col min="4664" max="4664" width="4.28515625" customWidth="1"/>
    <col min="4665" max="4679" width="4.140625" bestFit="1" customWidth="1"/>
    <col min="4680" max="4680" width="4.85546875" customWidth="1"/>
    <col min="4681" max="4681" width="13.42578125" customWidth="1"/>
    <col min="4865" max="4865" width="6.28515625" customWidth="1"/>
    <col min="4866" max="4868" width="5.5703125" customWidth="1"/>
    <col min="4869" max="4884" width="4" bestFit="1" customWidth="1"/>
    <col min="4885" max="4901" width="4" customWidth="1"/>
    <col min="4902" max="4902" width="6" bestFit="1" customWidth="1"/>
    <col min="4903" max="4903" width="4.28515625" customWidth="1"/>
    <col min="4904" max="4904" width="4.140625" bestFit="1" customWidth="1"/>
    <col min="4905" max="4909" width="4" bestFit="1" customWidth="1"/>
    <col min="4910" max="4910" width="4.140625" bestFit="1" customWidth="1"/>
    <col min="4911" max="4919" width="4" bestFit="1" customWidth="1"/>
    <col min="4920" max="4920" width="4.28515625" customWidth="1"/>
    <col min="4921" max="4935" width="4.140625" bestFit="1" customWidth="1"/>
    <col min="4936" max="4936" width="4.85546875" customWidth="1"/>
    <col min="4937" max="4937" width="13.42578125" customWidth="1"/>
    <col min="5121" max="5121" width="6.28515625" customWidth="1"/>
    <col min="5122" max="5124" width="5.5703125" customWidth="1"/>
    <col min="5125" max="5140" width="4" bestFit="1" customWidth="1"/>
    <col min="5141" max="5157" width="4" customWidth="1"/>
    <col min="5158" max="5158" width="6" bestFit="1" customWidth="1"/>
    <col min="5159" max="5159" width="4.28515625" customWidth="1"/>
    <col min="5160" max="5160" width="4.140625" bestFit="1" customWidth="1"/>
    <col min="5161" max="5165" width="4" bestFit="1" customWidth="1"/>
    <col min="5166" max="5166" width="4.140625" bestFit="1" customWidth="1"/>
    <col min="5167" max="5175" width="4" bestFit="1" customWidth="1"/>
    <col min="5176" max="5176" width="4.28515625" customWidth="1"/>
    <col min="5177" max="5191" width="4.140625" bestFit="1" customWidth="1"/>
    <col min="5192" max="5192" width="4.85546875" customWidth="1"/>
    <col min="5193" max="5193" width="13.42578125" customWidth="1"/>
    <col min="5377" max="5377" width="6.28515625" customWidth="1"/>
    <col min="5378" max="5380" width="5.5703125" customWidth="1"/>
    <col min="5381" max="5396" width="4" bestFit="1" customWidth="1"/>
    <col min="5397" max="5413" width="4" customWidth="1"/>
    <col min="5414" max="5414" width="6" bestFit="1" customWidth="1"/>
    <col min="5415" max="5415" width="4.28515625" customWidth="1"/>
    <col min="5416" max="5416" width="4.140625" bestFit="1" customWidth="1"/>
    <col min="5417" max="5421" width="4" bestFit="1" customWidth="1"/>
    <col min="5422" max="5422" width="4.140625" bestFit="1" customWidth="1"/>
    <col min="5423" max="5431" width="4" bestFit="1" customWidth="1"/>
    <col min="5432" max="5432" width="4.28515625" customWidth="1"/>
    <col min="5433" max="5447" width="4.140625" bestFit="1" customWidth="1"/>
    <col min="5448" max="5448" width="4.85546875" customWidth="1"/>
    <col min="5449" max="5449" width="13.42578125" customWidth="1"/>
    <col min="5633" max="5633" width="6.28515625" customWidth="1"/>
    <col min="5634" max="5636" width="5.5703125" customWidth="1"/>
    <col min="5637" max="5652" width="4" bestFit="1" customWidth="1"/>
    <col min="5653" max="5669" width="4" customWidth="1"/>
    <col min="5670" max="5670" width="6" bestFit="1" customWidth="1"/>
    <col min="5671" max="5671" width="4.28515625" customWidth="1"/>
    <col min="5672" max="5672" width="4.140625" bestFit="1" customWidth="1"/>
    <col min="5673" max="5677" width="4" bestFit="1" customWidth="1"/>
    <col min="5678" max="5678" width="4.140625" bestFit="1" customWidth="1"/>
    <col min="5679" max="5687" width="4" bestFit="1" customWidth="1"/>
    <col min="5688" max="5688" width="4.28515625" customWidth="1"/>
    <col min="5689" max="5703" width="4.140625" bestFit="1" customWidth="1"/>
    <col min="5704" max="5704" width="4.85546875" customWidth="1"/>
    <col min="5705" max="5705" width="13.42578125" customWidth="1"/>
    <col min="5889" max="5889" width="6.28515625" customWidth="1"/>
    <col min="5890" max="5892" width="5.5703125" customWidth="1"/>
    <col min="5893" max="5908" width="4" bestFit="1" customWidth="1"/>
    <col min="5909" max="5925" width="4" customWidth="1"/>
    <col min="5926" max="5926" width="6" bestFit="1" customWidth="1"/>
    <col min="5927" max="5927" width="4.28515625" customWidth="1"/>
    <col min="5928" max="5928" width="4.140625" bestFit="1" customWidth="1"/>
    <col min="5929" max="5933" width="4" bestFit="1" customWidth="1"/>
    <col min="5934" max="5934" width="4.140625" bestFit="1" customWidth="1"/>
    <col min="5935" max="5943" width="4" bestFit="1" customWidth="1"/>
    <col min="5944" max="5944" width="4.28515625" customWidth="1"/>
    <col min="5945" max="5959" width="4.140625" bestFit="1" customWidth="1"/>
    <col min="5960" max="5960" width="4.85546875" customWidth="1"/>
    <col min="5961" max="5961" width="13.42578125" customWidth="1"/>
    <col min="6145" max="6145" width="6.28515625" customWidth="1"/>
    <col min="6146" max="6148" width="5.5703125" customWidth="1"/>
    <col min="6149" max="6164" width="4" bestFit="1" customWidth="1"/>
    <col min="6165" max="6181" width="4" customWidth="1"/>
    <col min="6182" max="6182" width="6" bestFit="1" customWidth="1"/>
    <col min="6183" max="6183" width="4.28515625" customWidth="1"/>
    <col min="6184" max="6184" width="4.140625" bestFit="1" customWidth="1"/>
    <col min="6185" max="6189" width="4" bestFit="1" customWidth="1"/>
    <col min="6190" max="6190" width="4.140625" bestFit="1" customWidth="1"/>
    <col min="6191" max="6199" width="4" bestFit="1" customWidth="1"/>
    <col min="6200" max="6200" width="4.28515625" customWidth="1"/>
    <col min="6201" max="6215" width="4.140625" bestFit="1" customWidth="1"/>
    <col min="6216" max="6216" width="4.85546875" customWidth="1"/>
    <col min="6217" max="6217" width="13.42578125" customWidth="1"/>
    <col min="6401" max="6401" width="6.28515625" customWidth="1"/>
    <col min="6402" max="6404" width="5.5703125" customWidth="1"/>
    <col min="6405" max="6420" width="4" bestFit="1" customWidth="1"/>
    <col min="6421" max="6437" width="4" customWidth="1"/>
    <col min="6438" max="6438" width="6" bestFit="1" customWidth="1"/>
    <col min="6439" max="6439" width="4.28515625" customWidth="1"/>
    <col min="6440" max="6440" width="4.140625" bestFit="1" customWidth="1"/>
    <col min="6441" max="6445" width="4" bestFit="1" customWidth="1"/>
    <col min="6446" max="6446" width="4.140625" bestFit="1" customWidth="1"/>
    <col min="6447" max="6455" width="4" bestFit="1" customWidth="1"/>
    <col min="6456" max="6456" width="4.28515625" customWidth="1"/>
    <col min="6457" max="6471" width="4.140625" bestFit="1" customWidth="1"/>
    <col min="6472" max="6472" width="4.85546875" customWidth="1"/>
    <col min="6473" max="6473" width="13.42578125" customWidth="1"/>
    <col min="6657" max="6657" width="6.28515625" customWidth="1"/>
    <col min="6658" max="6660" width="5.5703125" customWidth="1"/>
    <col min="6661" max="6676" width="4" bestFit="1" customWidth="1"/>
    <col min="6677" max="6693" width="4" customWidth="1"/>
    <col min="6694" max="6694" width="6" bestFit="1" customWidth="1"/>
    <col min="6695" max="6695" width="4.28515625" customWidth="1"/>
    <col min="6696" max="6696" width="4.140625" bestFit="1" customWidth="1"/>
    <col min="6697" max="6701" width="4" bestFit="1" customWidth="1"/>
    <col min="6702" max="6702" width="4.140625" bestFit="1" customWidth="1"/>
    <col min="6703" max="6711" width="4" bestFit="1" customWidth="1"/>
    <col min="6712" max="6712" width="4.28515625" customWidth="1"/>
    <col min="6713" max="6727" width="4.140625" bestFit="1" customWidth="1"/>
    <col min="6728" max="6728" width="4.85546875" customWidth="1"/>
    <col min="6729" max="6729" width="13.42578125" customWidth="1"/>
    <col min="6913" max="6913" width="6.28515625" customWidth="1"/>
    <col min="6914" max="6916" width="5.5703125" customWidth="1"/>
    <col min="6917" max="6932" width="4" bestFit="1" customWidth="1"/>
    <col min="6933" max="6949" width="4" customWidth="1"/>
    <col min="6950" max="6950" width="6" bestFit="1" customWidth="1"/>
    <col min="6951" max="6951" width="4.28515625" customWidth="1"/>
    <col min="6952" max="6952" width="4.140625" bestFit="1" customWidth="1"/>
    <col min="6953" max="6957" width="4" bestFit="1" customWidth="1"/>
    <col min="6958" max="6958" width="4.140625" bestFit="1" customWidth="1"/>
    <col min="6959" max="6967" width="4" bestFit="1" customWidth="1"/>
    <col min="6968" max="6968" width="4.28515625" customWidth="1"/>
    <col min="6969" max="6983" width="4.140625" bestFit="1" customWidth="1"/>
    <col min="6984" max="6984" width="4.85546875" customWidth="1"/>
    <col min="6985" max="6985" width="13.42578125" customWidth="1"/>
    <col min="7169" max="7169" width="6.28515625" customWidth="1"/>
    <col min="7170" max="7172" width="5.5703125" customWidth="1"/>
    <col min="7173" max="7188" width="4" bestFit="1" customWidth="1"/>
    <col min="7189" max="7205" width="4" customWidth="1"/>
    <col min="7206" max="7206" width="6" bestFit="1" customWidth="1"/>
    <col min="7207" max="7207" width="4.28515625" customWidth="1"/>
    <col min="7208" max="7208" width="4.140625" bestFit="1" customWidth="1"/>
    <col min="7209" max="7213" width="4" bestFit="1" customWidth="1"/>
    <col min="7214" max="7214" width="4.140625" bestFit="1" customWidth="1"/>
    <col min="7215" max="7223" width="4" bestFit="1" customWidth="1"/>
    <col min="7224" max="7224" width="4.28515625" customWidth="1"/>
    <col min="7225" max="7239" width="4.140625" bestFit="1" customWidth="1"/>
    <col min="7240" max="7240" width="4.85546875" customWidth="1"/>
    <col min="7241" max="7241" width="13.42578125" customWidth="1"/>
    <col min="7425" max="7425" width="6.28515625" customWidth="1"/>
    <col min="7426" max="7428" width="5.5703125" customWidth="1"/>
    <col min="7429" max="7444" width="4" bestFit="1" customWidth="1"/>
    <col min="7445" max="7461" width="4" customWidth="1"/>
    <col min="7462" max="7462" width="6" bestFit="1" customWidth="1"/>
    <col min="7463" max="7463" width="4.28515625" customWidth="1"/>
    <col min="7464" max="7464" width="4.140625" bestFit="1" customWidth="1"/>
    <col min="7465" max="7469" width="4" bestFit="1" customWidth="1"/>
    <col min="7470" max="7470" width="4.140625" bestFit="1" customWidth="1"/>
    <col min="7471" max="7479" width="4" bestFit="1" customWidth="1"/>
    <col min="7480" max="7480" width="4.28515625" customWidth="1"/>
    <col min="7481" max="7495" width="4.140625" bestFit="1" customWidth="1"/>
    <col min="7496" max="7496" width="4.85546875" customWidth="1"/>
    <col min="7497" max="7497" width="13.42578125" customWidth="1"/>
    <col min="7681" max="7681" width="6.28515625" customWidth="1"/>
    <col min="7682" max="7684" width="5.5703125" customWidth="1"/>
    <col min="7685" max="7700" width="4" bestFit="1" customWidth="1"/>
    <col min="7701" max="7717" width="4" customWidth="1"/>
    <col min="7718" max="7718" width="6" bestFit="1" customWidth="1"/>
    <col min="7719" max="7719" width="4.28515625" customWidth="1"/>
    <col min="7720" max="7720" width="4.140625" bestFit="1" customWidth="1"/>
    <col min="7721" max="7725" width="4" bestFit="1" customWidth="1"/>
    <col min="7726" max="7726" width="4.140625" bestFit="1" customWidth="1"/>
    <col min="7727" max="7735" width="4" bestFit="1" customWidth="1"/>
    <col min="7736" max="7736" width="4.28515625" customWidth="1"/>
    <col min="7737" max="7751" width="4.140625" bestFit="1" customWidth="1"/>
    <col min="7752" max="7752" width="4.85546875" customWidth="1"/>
    <col min="7753" max="7753" width="13.42578125" customWidth="1"/>
    <col min="7937" max="7937" width="6.28515625" customWidth="1"/>
    <col min="7938" max="7940" width="5.5703125" customWidth="1"/>
    <col min="7941" max="7956" width="4" bestFit="1" customWidth="1"/>
    <col min="7957" max="7973" width="4" customWidth="1"/>
    <col min="7974" max="7974" width="6" bestFit="1" customWidth="1"/>
    <col min="7975" max="7975" width="4.28515625" customWidth="1"/>
    <col min="7976" max="7976" width="4.140625" bestFit="1" customWidth="1"/>
    <col min="7977" max="7981" width="4" bestFit="1" customWidth="1"/>
    <col min="7982" max="7982" width="4.140625" bestFit="1" customWidth="1"/>
    <col min="7983" max="7991" width="4" bestFit="1" customWidth="1"/>
    <col min="7992" max="7992" width="4.28515625" customWidth="1"/>
    <col min="7993" max="8007" width="4.140625" bestFit="1" customWidth="1"/>
    <col min="8008" max="8008" width="4.85546875" customWidth="1"/>
    <col min="8009" max="8009" width="13.42578125" customWidth="1"/>
    <col min="8193" max="8193" width="6.28515625" customWidth="1"/>
    <col min="8194" max="8196" width="5.5703125" customWidth="1"/>
    <col min="8197" max="8212" width="4" bestFit="1" customWidth="1"/>
    <col min="8213" max="8229" width="4" customWidth="1"/>
    <col min="8230" max="8230" width="6" bestFit="1" customWidth="1"/>
    <col min="8231" max="8231" width="4.28515625" customWidth="1"/>
    <col min="8232" max="8232" width="4.140625" bestFit="1" customWidth="1"/>
    <col min="8233" max="8237" width="4" bestFit="1" customWidth="1"/>
    <col min="8238" max="8238" width="4.140625" bestFit="1" customWidth="1"/>
    <col min="8239" max="8247" width="4" bestFit="1" customWidth="1"/>
    <col min="8248" max="8248" width="4.28515625" customWidth="1"/>
    <col min="8249" max="8263" width="4.140625" bestFit="1" customWidth="1"/>
    <col min="8264" max="8264" width="4.85546875" customWidth="1"/>
    <col min="8265" max="8265" width="13.42578125" customWidth="1"/>
    <col min="8449" max="8449" width="6.28515625" customWidth="1"/>
    <col min="8450" max="8452" width="5.5703125" customWidth="1"/>
    <col min="8453" max="8468" width="4" bestFit="1" customWidth="1"/>
    <col min="8469" max="8485" width="4" customWidth="1"/>
    <col min="8486" max="8486" width="6" bestFit="1" customWidth="1"/>
    <col min="8487" max="8487" width="4.28515625" customWidth="1"/>
    <col min="8488" max="8488" width="4.140625" bestFit="1" customWidth="1"/>
    <col min="8489" max="8493" width="4" bestFit="1" customWidth="1"/>
    <col min="8494" max="8494" width="4.140625" bestFit="1" customWidth="1"/>
    <col min="8495" max="8503" width="4" bestFit="1" customWidth="1"/>
    <col min="8504" max="8504" width="4.28515625" customWidth="1"/>
    <col min="8505" max="8519" width="4.140625" bestFit="1" customWidth="1"/>
    <col min="8520" max="8520" width="4.85546875" customWidth="1"/>
    <col min="8521" max="8521" width="13.42578125" customWidth="1"/>
    <col min="8705" max="8705" width="6.28515625" customWidth="1"/>
    <col min="8706" max="8708" width="5.5703125" customWidth="1"/>
    <col min="8709" max="8724" width="4" bestFit="1" customWidth="1"/>
    <col min="8725" max="8741" width="4" customWidth="1"/>
    <col min="8742" max="8742" width="6" bestFit="1" customWidth="1"/>
    <col min="8743" max="8743" width="4.28515625" customWidth="1"/>
    <col min="8744" max="8744" width="4.140625" bestFit="1" customWidth="1"/>
    <col min="8745" max="8749" width="4" bestFit="1" customWidth="1"/>
    <col min="8750" max="8750" width="4.140625" bestFit="1" customWidth="1"/>
    <col min="8751" max="8759" width="4" bestFit="1" customWidth="1"/>
    <col min="8760" max="8760" width="4.28515625" customWidth="1"/>
    <col min="8761" max="8775" width="4.140625" bestFit="1" customWidth="1"/>
    <col min="8776" max="8776" width="4.85546875" customWidth="1"/>
    <col min="8777" max="8777" width="13.42578125" customWidth="1"/>
    <col min="8961" max="8961" width="6.28515625" customWidth="1"/>
    <col min="8962" max="8964" width="5.5703125" customWidth="1"/>
    <col min="8965" max="8980" width="4" bestFit="1" customWidth="1"/>
    <col min="8981" max="8997" width="4" customWidth="1"/>
    <col min="8998" max="8998" width="6" bestFit="1" customWidth="1"/>
    <col min="8999" max="8999" width="4.28515625" customWidth="1"/>
    <col min="9000" max="9000" width="4.140625" bestFit="1" customWidth="1"/>
    <col min="9001" max="9005" width="4" bestFit="1" customWidth="1"/>
    <col min="9006" max="9006" width="4.140625" bestFit="1" customWidth="1"/>
    <col min="9007" max="9015" width="4" bestFit="1" customWidth="1"/>
    <col min="9016" max="9016" width="4.28515625" customWidth="1"/>
    <col min="9017" max="9031" width="4.140625" bestFit="1" customWidth="1"/>
    <col min="9032" max="9032" width="4.85546875" customWidth="1"/>
    <col min="9033" max="9033" width="13.42578125" customWidth="1"/>
    <col min="9217" max="9217" width="6.28515625" customWidth="1"/>
    <col min="9218" max="9220" width="5.5703125" customWidth="1"/>
    <col min="9221" max="9236" width="4" bestFit="1" customWidth="1"/>
    <col min="9237" max="9253" width="4" customWidth="1"/>
    <col min="9254" max="9254" width="6" bestFit="1" customWidth="1"/>
    <col min="9255" max="9255" width="4.28515625" customWidth="1"/>
    <col min="9256" max="9256" width="4.140625" bestFit="1" customWidth="1"/>
    <col min="9257" max="9261" width="4" bestFit="1" customWidth="1"/>
    <col min="9262" max="9262" width="4.140625" bestFit="1" customWidth="1"/>
    <col min="9263" max="9271" width="4" bestFit="1" customWidth="1"/>
    <col min="9272" max="9272" width="4.28515625" customWidth="1"/>
    <col min="9273" max="9287" width="4.140625" bestFit="1" customWidth="1"/>
    <col min="9288" max="9288" width="4.85546875" customWidth="1"/>
    <col min="9289" max="9289" width="13.42578125" customWidth="1"/>
    <col min="9473" max="9473" width="6.28515625" customWidth="1"/>
    <col min="9474" max="9476" width="5.5703125" customWidth="1"/>
    <col min="9477" max="9492" width="4" bestFit="1" customWidth="1"/>
    <col min="9493" max="9509" width="4" customWidth="1"/>
    <col min="9510" max="9510" width="6" bestFit="1" customWidth="1"/>
    <col min="9511" max="9511" width="4.28515625" customWidth="1"/>
    <col min="9512" max="9512" width="4.140625" bestFit="1" customWidth="1"/>
    <col min="9513" max="9517" width="4" bestFit="1" customWidth="1"/>
    <col min="9518" max="9518" width="4.140625" bestFit="1" customWidth="1"/>
    <col min="9519" max="9527" width="4" bestFit="1" customWidth="1"/>
    <col min="9528" max="9528" width="4.28515625" customWidth="1"/>
    <col min="9529" max="9543" width="4.140625" bestFit="1" customWidth="1"/>
    <col min="9544" max="9544" width="4.85546875" customWidth="1"/>
    <col min="9545" max="9545" width="13.42578125" customWidth="1"/>
    <col min="9729" max="9729" width="6.28515625" customWidth="1"/>
    <col min="9730" max="9732" width="5.5703125" customWidth="1"/>
    <col min="9733" max="9748" width="4" bestFit="1" customWidth="1"/>
    <col min="9749" max="9765" width="4" customWidth="1"/>
    <col min="9766" max="9766" width="6" bestFit="1" customWidth="1"/>
    <col min="9767" max="9767" width="4.28515625" customWidth="1"/>
    <col min="9768" max="9768" width="4.140625" bestFit="1" customWidth="1"/>
    <col min="9769" max="9773" width="4" bestFit="1" customWidth="1"/>
    <col min="9774" max="9774" width="4.140625" bestFit="1" customWidth="1"/>
    <col min="9775" max="9783" width="4" bestFit="1" customWidth="1"/>
    <col min="9784" max="9784" width="4.28515625" customWidth="1"/>
    <col min="9785" max="9799" width="4.140625" bestFit="1" customWidth="1"/>
    <col min="9800" max="9800" width="4.85546875" customWidth="1"/>
    <col min="9801" max="9801" width="13.42578125" customWidth="1"/>
    <col min="9985" max="9985" width="6.28515625" customWidth="1"/>
    <col min="9986" max="9988" width="5.5703125" customWidth="1"/>
    <col min="9989" max="10004" width="4" bestFit="1" customWidth="1"/>
    <col min="10005" max="10021" width="4" customWidth="1"/>
    <col min="10022" max="10022" width="6" bestFit="1" customWidth="1"/>
    <col min="10023" max="10023" width="4.28515625" customWidth="1"/>
    <col min="10024" max="10024" width="4.140625" bestFit="1" customWidth="1"/>
    <col min="10025" max="10029" width="4" bestFit="1" customWidth="1"/>
    <col min="10030" max="10030" width="4.140625" bestFit="1" customWidth="1"/>
    <col min="10031" max="10039" width="4" bestFit="1" customWidth="1"/>
    <col min="10040" max="10040" width="4.28515625" customWidth="1"/>
    <col min="10041" max="10055" width="4.140625" bestFit="1" customWidth="1"/>
    <col min="10056" max="10056" width="4.85546875" customWidth="1"/>
    <col min="10057" max="10057" width="13.42578125" customWidth="1"/>
    <col min="10241" max="10241" width="6.28515625" customWidth="1"/>
    <col min="10242" max="10244" width="5.5703125" customWidth="1"/>
    <col min="10245" max="10260" width="4" bestFit="1" customWidth="1"/>
    <col min="10261" max="10277" width="4" customWidth="1"/>
    <col min="10278" max="10278" width="6" bestFit="1" customWidth="1"/>
    <col min="10279" max="10279" width="4.28515625" customWidth="1"/>
    <col min="10280" max="10280" width="4.140625" bestFit="1" customWidth="1"/>
    <col min="10281" max="10285" width="4" bestFit="1" customWidth="1"/>
    <col min="10286" max="10286" width="4.140625" bestFit="1" customWidth="1"/>
    <col min="10287" max="10295" width="4" bestFit="1" customWidth="1"/>
    <col min="10296" max="10296" width="4.28515625" customWidth="1"/>
    <col min="10297" max="10311" width="4.140625" bestFit="1" customWidth="1"/>
    <col min="10312" max="10312" width="4.85546875" customWidth="1"/>
    <col min="10313" max="10313" width="13.42578125" customWidth="1"/>
    <col min="10497" max="10497" width="6.28515625" customWidth="1"/>
    <col min="10498" max="10500" width="5.5703125" customWidth="1"/>
    <col min="10501" max="10516" width="4" bestFit="1" customWidth="1"/>
    <col min="10517" max="10533" width="4" customWidth="1"/>
    <col min="10534" max="10534" width="6" bestFit="1" customWidth="1"/>
    <col min="10535" max="10535" width="4.28515625" customWidth="1"/>
    <col min="10536" max="10536" width="4.140625" bestFit="1" customWidth="1"/>
    <col min="10537" max="10541" width="4" bestFit="1" customWidth="1"/>
    <col min="10542" max="10542" width="4.140625" bestFit="1" customWidth="1"/>
    <col min="10543" max="10551" width="4" bestFit="1" customWidth="1"/>
    <col min="10552" max="10552" width="4.28515625" customWidth="1"/>
    <col min="10553" max="10567" width="4.140625" bestFit="1" customWidth="1"/>
    <col min="10568" max="10568" width="4.85546875" customWidth="1"/>
    <col min="10569" max="10569" width="13.42578125" customWidth="1"/>
    <col min="10753" max="10753" width="6.28515625" customWidth="1"/>
    <col min="10754" max="10756" width="5.5703125" customWidth="1"/>
    <col min="10757" max="10772" width="4" bestFit="1" customWidth="1"/>
    <col min="10773" max="10789" width="4" customWidth="1"/>
    <col min="10790" max="10790" width="6" bestFit="1" customWidth="1"/>
    <col min="10791" max="10791" width="4.28515625" customWidth="1"/>
    <col min="10792" max="10792" width="4.140625" bestFit="1" customWidth="1"/>
    <col min="10793" max="10797" width="4" bestFit="1" customWidth="1"/>
    <col min="10798" max="10798" width="4.140625" bestFit="1" customWidth="1"/>
    <col min="10799" max="10807" width="4" bestFit="1" customWidth="1"/>
    <col min="10808" max="10808" width="4.28515625" customWidth="1"/>
    <col min="10809" max="10823" width="4.140625" bestFit="1" customWidth="1"/>
    <col min="10824" max="10824" width="4.85546875" customWidth="1"/>
    <col min="10825" max="10825" width="13.42578125" customWidth="1"/>
    <col min="11009" max="11009" width="6.28515625" customWidth="1"/>
    <col min="11010" max="11012" width="5.5703125" customWidth="1"/>
    <col min="11013" max="11028" width="4" bestFit="1" customWidth="1"/>
    <col min="11029" max="11045" width="4" customWidth="1"/>
    <col min="11046" max="11046" width="6" bestFit="1" customWidth="1"/>
    <col min="11047" max="11047" width="4.28515625" customWidth="1"/>
    <col min="11048" max="11048" width="4.140625" bestFit="1" customWidth="1"/>
    <col min="11049" max="11053" width="4" bestFit="1" customWidth="1"/>
    <col min="11054" max="11054" width="4.140625" bestFit="1" customWidth="1"/>
    <col min="11055" max="11063" width="4" bestFit="1" customWidth="1"/>
    <col min="11064" max="11064" width="4.28515625" customWidth="1"/>
    <col min="11065" max="11079" width="4.140625" bestFit="1" customWidth="1"/>
    <col min="11080" max="11080" width="4.85546875" customWidth="1"/>
    <col min="11081" max="11081" width="13.42578125" customWidth="1"/>
    <col min="11265" max="11265" width="6.28515625" customWidth="1"/>
    <col min="11266" max="11268" width="5.5703125" customWidth="1"/>
    <col min="11269" max="11284" width="4" bestFit="1" customWidth="1"/>
    <col min="11285" max="11301" width="4" customWidth="1"/>
    <col min="11302" max="11302" width="6" bestFit="1" customWidth="1"/>
    <col min="11303" max="11303" width="4.28515625" customWidth="1"/>
    <col min="11304" max="11304" width="4.140625" bestFit="1" customWidth="1"/>
    <col min="11305" max="11309" width="4" bestFit="1" customWidth="1"/>
    <col min="11310" max="11310" width="4.140625" bestFit="1" customWidth="1"/>
    <col min="11311" max="11319" width="4" bestFit="1" customWidth="1"/>
    <col min="11320" max="11320" width="4.28515625" customWidth="1"/>
    <col min="11321" max="11335" width="4.140625" bestFit="1" customWidth="1"/>
    <col min="11336" max="11336" width="4.85546875" customWidth="1"/>
    <col min="11337" max="11337" width="13.42578125" customWidth="1"/>
    <col min="11521" max="11521" width="6.28515625" customWidth="1"/>
    <col min="11522" max="11524" width="5.5703125" customWidth="1"/>
    <col min="11525" max="11540" width="4" bestFit="1" customWidth="1"/>
    <col min="11541" max="11557" width="4" customWidth="1"/>
    <col min="11558" max="11558" width="6" bestFit="1" customWidth="1"/>
    <col min="11559" max="11559" width="4.28515625" customWidth="1"/>
    <col min="11560" max="11560" width="4.140625" bestFit="1" customWidth="1"/>
    <col min="11561" max="11565" width="4" bestFit="1" customWidth="1"/>
    <col min="11566" max="11566" width="4.140625" bestFit="1" customWidth="1"/>
    <col min="11567" max="11575" width="4" bestFit="1" customWidth="1"/>
    <col min="11576" max="11576" width="4.28515625" customWidth="1"/>
    <col min="11577" max="11591" width="4.140625" bestFit="1" customWidth="1"/>
    <col min="11592" max="11592" width="4.85546875" customWidth="1"/>
    <col min="11593" max="11593" width="13.42578125" customWidth="1"/>
    <col min="11777" max="11777" width="6.28515625" customWidth="1"/>
    <col min="11778" max="11780" width="5.5703125" customWidth="1"/>
    <col min="11781" max="11796" width="4" bestFit="1" customWidth="1"/>
    <col min="11797" max="11813" width="4" customWidth="1"/>
    <col min="11814" max="11814" width="6" bestFit="1" customWidth="1"/>
    <col min="11815" max="11815" width="4.28515625" customWidth="1"/>
    <col min="11816" max="11816" width="4.140625" bestFit="1" customWidth="1"/>
    <col min="11817" max="11821" width="4" bestFit="1" customWidth="1"/>
    <col min="11822" max="11822" width="4.140625" bestFit="1" customWidth="1"/>
    <col min="11823" max="11831" width="4" bestFit="1" customWidth="1"/>
    <col min="11832" max="11832" width="4.28515625" customWidth="1"/>
    <col min="11833" max="11847" width="4.140625" bestFit="1" customWidth="1"/>
    <col min="11848" max="11848" width="4.85546875" customWidth="1"/>
    <col min="11849" max="11849" width="13.42578125" customWidth="1"/>
    <col min="12033" max="12033" width="6.28515625" customWidth="1"/>
    <col min="12034" max="12036" width="5.5703125" customWidth="1"/>
    <col min="12037" max="12052" width="4" bestFit="1" customWidth="1"/>
    <col min="12053" max="12069" width="4" customWidth="1"/>
    <col min="12070" max="12070" width="6" bestFit="1" customWidth="1"/>
    <col min="12071" max="12071" width="4.28515625" customWidth="1"/>
    <col min="12072" max="12072" width="4.140625" bestFit="1" customWidth="1"/>
    <col min="12073" max="12077" width="4" bestFit="1" customWidth="1"/>
    <col min="12078" max="12078" width="4.140625" bestFit="1" customWidth="1"/>
    <col min="12079" max="12087" width="4" bestFit="1" customWidth="1"/>
    <col min="12088" max="12088" width="4.28515625" customWidth="1"/>
    <col min="12089" max="12103" width="4.140625" bestFit="1" customWidth="1"/>
    <col min="12104" max="12104" width="4.85546875" customWidth="1"/>
    <col min="12105" max="12105" width="13.42578125" customWidth="1"/>
    <col min="12289" max="12289" width="6.28515625" customWidth="1"/>
    <col min="12290" max="12292" width="5.5703125" customWidth="1"/>
    <col min="12293" max="12308" width="4" bestFit="1" customWidth="1"/>
    <col min="12309" max="12325" width="4" customWidth="1"/>
    <col min="12326" max="12326" width="6" bestFit="1" customWidth="1"/>
    <col min="12327" max="12327" width="4.28515625" customWidth="1"/>
    <col min="12328" max="12328" width="4.140625" bestFit="1" customWidth="1"/>
    <col min="12329" max="12333" width="4" bestFit="1" customWidth="1"/>
    <col min="12334" max="12334" width="4.140625" bestFit="1" customWidth="1"/>
    <col min="12335" max="12343" width="4" bestFit="1" customWidth="1"/>
    <col min="12344" max="12344" width="4.28515625" customWidth="1"/>
    <col min="12345" max="12359" width="4.140625" bestFit="1" customWidth="1"/>
    <col min="12360" max="12360" width="4.85546875" customWidth="1"/>
    <col min="12361" max="12361" width="13.42578125" customWidth="1"/>
    <col min="12545" max="12545" width="6.28515625" customWidth="1"/>
    <col min="12546" max="12548" width="5.5703125" customWidth="1"/>
    <col min="12549" max="12564" width="4" bestFit="1" customWidth="1"/>
    <col min="12565" max="12581" width="4" customWidth="1"/>
    <col min="12582" max="12582" width="6" bestFit="1" customWidth="1"/>
    <col min="12583" max="12583" width="4.28515625" customWidth="1"/>
    <col min="12584" max="12584" width="4.140625" bestFit="1" customWidth="1"/>
    <col min="12585" max="12589" width="4" bestFit="1" customWidth="1"/>
    <col min="12590" max="12590" width="4.140625" bestFit="1" customWidth="1"/>
    <col min="12591" max="12599" width="4" bestFit="1" customWidth="1"/>
    <col min="12600" max="12600" width="4.28515625" customWidth="1"/>
    <col min="12601" max="12615" width="4.140625" bestFit="1" customWidth="1"/>
    <col min="12616" max="12616" width="4.85546875" customWidth="1"/>
    <col min="12617" max="12617" width="13.42578125" customWidth="1"/>
    <col min="12801" max="12801" width="6.28515625" customWidth="1"/>
    <col min="12802" max="12804" width="5.5703125" customWidth="1"/>
    <col min="12805" max="12820" width="4" bestFit="1" customWidth="1"/>
    <col min="12821" max="12837" width="4" customWidth="1"/>
    <col min="12838" max="12838" width="6" bestFit="1" customWidth="1"/>
    <col min="12839" max="12839" width="4.28515625" customWidth="1"/>
    <col min="12840" max="12840" width="4.140625" bestFit="1" customWidth="1"/>
    <col min="12841" max="12845" width="4" bestFit="1" customWidth="1"/>
    <col min="12846" max="12846" width="4.140625" bestFit="1" customWidth="1"/>
    <col min="12847" max="12855" width="4" bestFit="1" customWidth="1"/>
    <col min="12856" max="12856" width="4.28515625" customWidth="1"/>
    <col min="12857" max="12871" width="4.140625" bestFit="1" customWidth="1"/>
    <col min="12872" max="12872" width="4.85546875" customWidth="1"/>
    <col min="12873" max="12873" width="13.42578125" customWidth="1"/>
    <col min="13057" max="13057" width="6.28515625" customWidth="1"/>
    <col min="13058" max="13060" width="5.5703125" customWidth="1"/>
    <col min="13061" max="13076" width="4" bestFit="1" customWidth="1"/>
    <col min="13077" max="13093" width="4" customWidth="1"/>
    <col min="13094" max="13094" width="6" bestFit="1" customWidth="1"/>
    <col min="13095" max="13095" width="4.28515625" customWidth="1"/>
    <col min="13096" max="13096" width="4.140625" bestFit="1" customWidth="1"/>
    <col min="13097" max="13101" width="4" bestFit="1" customWidth="1"/>
    <col min="13102" max="13102" width="4.140625" bestFit="1" customWidth="1"/>
    <col min="13103" max="13111" width="4" bestFit="1" customWidth="1"/>
    <col min="13112" max="13112" width="4.28515625" customWidth="1"/>
    <col min="13113" max="13127" width="4.140625" bestFit="1" customWidth="1"/>
    <col min="13128" max="13128" width="4.85546875" customWidth="1"/>
    <col min="13129" max="13129" width="13.42578125" customWidth="1"/>
    <col min="13313" max="13313" width="6.28515625" customWidth="1"/>
    <col min="13314" max="13316" width="5.5703125" customWidth="1"/>
    <col min="13317" max="13332" width="4" bestFit="1" customWidth="1"/>
    <col min="13333" max="13349" width="4" customWidth="1"/>
    <col min="13350" max="13350" width="6" bestFit="1" customWidth="1"/>
    <col min="13351" max="13351" width="4.28515625" customWidth="1"/>
    <col min="13352" max="13352" width="4.140625" bestFit="1" customWidth="1"/>
    <col min="13353" max="13357" width="4" bestFit="1" customWidth="1"/>
    <col min="13358" max="13358" width="4.140625" bestFit="1" customWidth="1"/>
    <col min="13359" max="13367" width="4" bestFit="1" customWidth="1"/>
    <col min="13368" max="13368" width="4.28515625" customWidth="1"/>
    <col min="13369" max="13383" width="4.140625" bestFit="1" customWidth="1"/>
    <col min="13384" max="13384" width="4.85546875" customWidth="1"/>
    <col min="13385" max="13385" width="13.42578125" customWidth="1"/>
    <col min="13569" max="13569" width="6.28515625" customWidth="1"/>
    <col min="13570" max="13572" width="5.5703125" customWidth="1"/>
    <col min="13573" max="13588" width="4" bestFit="1" customWidth="1"/>
    <col min="13589" max="13605" width="4" customWidth="1"/>
    <col min="13606" max="13606" width="6" bestFit="1" customWidth="1"/>
    <col min="13607" max="13607" width="4.28515625" customWidth="1"/>
    <col min="13608" max="13608" width="4.140625" bestFit="1" customWidth="1"/>
    <col min="13609" max="13613" width="4" bestFit="1" customWidth="1"/>
    <col min="13614" max="13614" width="4.140625" bestFit="1" customWidth="1"/>
    <col min="13615" max="13623" width="4" bestFit="1" customWidth="1"/>
    <col min="13624" max="13624" width="4.28515625" customWidth="1"/>
    <col min="13625" max="13639" width="4.140625" bestFit="1" customWidth="1"/>
    <col min="13640" max="13640" width="4.85546875" customWidth="1"/>
    <col min="13641" max="13641" width="13.42578125" customWidth="1"/>
    <col min="13825" max="13825" width="6.28515625" customWidth="1"/>
    <col min="13826" max="13828" width="5.5703125" customWidth="1"/>
    <col min="13829" max="13844" width="4" bestFit="1" customWidth="1"/>
    <col min="13845" max="13861" width="4" customWidth="1"/>
    <col min="13862" max="13862" width="6" bestFit="1" customWidth="1"/>
    <col min="13863" max="13863" width="4.28515625" customWidth="1"/>
    <col min="13864" max="13864" width="4.140625" bestFit="1" customWidth="1"/>
    <col min="13865" max="13869" width="4" bestFit="1" customWidth="1"/>
    <col min="13870" max="13870" width="4.140625" bestFit="1" customWidth="1"/>
    <col min="13871" max="13879" width="4" bestFit="1" customWidth="1"/>
    <col min="13880" max="13880" width="4.28515625" customWidth="1"/>
    <col min="13881" max="13895" width="4.140625" bestFit="1" customWidth="1"/>
    <col min="13896" max="13896" width="4.85546875" customWidth="1"/>
    <col min="13897" max="13897" width="13.42578125" customWidth="1"/>
    <col min="14081" max="14081" width="6.28515625" customWidth="1"/>
    <col min="14082" max="14084" width="5.5703125" customWidth="1"/>
    <col min="14085" max="14100" width="4" bestFit="1" customWidth="1"/>
    <col min="14101" max="14117" width="4" customWidth="1"/>
    <col min="14118" max="14118" width="6" bestFit="1" customWidth="1"/>
    <col min="14119" max="14119" width="4.28515625" customWidth="1"/>
    <col min="14120" max="14120" width="4.140625" bestFit="1" customWidth="1"/>
    <col min="14121" max="14125" width="4" bestFit="1" customWidth="1"/>
    <col min="14126" max="14126" width="4.140625" bestFit="1" customWidth="1"/>
    <col min="14127" max="14135" width="4" bestFit="1" customWidth="1"/>
    <col min="14136" max="14136" width="4.28515625" customWidth="1"/>
    <col min="14137" max="14151" width="4.140625" bestFit="1" customWidth="1"/>
    <col min="14152" max="14152" width="4.85546875" customWidth="1"/>
    <col min="14153" max="14153" width="13.42578125" customWidth="1"/>
    <col min="14337" max="14337" width="6.28515625" customWidth="1"/>
    <col min="14338" max="14340" width="5.5703125" customWidth="1"/>
    <col min="14341" max="14356" width="4" bestFit="1" customWidth="1"/>
    <col min="14357" max="14373" width="4" customWidth="1"/>
    <col min="14374" max="14374" width="6" bestFit="1" customWidth="1"/>
    <col min="14375" max="14375" width="4.28515625" customWidth="1"/>
    <col min="14376" max="14376" width="4.140625" bestFit="1" customWidth="1"/>
    <col min="14377" max="14381" width="4" bestFit="1" customWidth="1"/>
    <col min="14382" max="14382" width="4.140625" bestFit="1" customWidth="1"/>
    <col min="14383" max="14391" width="4" bestFit="1" customWidth="1"/>
    <col min="14392" max="14392" width="4.28515625" customWidth="1"/>
    <col min="14393" max="14407" width="4.140625" bestFit="1" customWidth="1"/>
    <col min="14408" max="14408" width="4.85546875" customWidth="1"/>
    <col min="14409" max="14409" width="13.42578125" customWidth="1"/>
    <col min="14593" max="14593" width="6.28515625" customWidth="1"/>
    <col min="14594" max="14596" width="5.5703125" customWidth="1"/>
    <col min="14597" max="14612" width="4" bestFit="1" customWidth="1"/>
    <col min="14613" max="14629" width="4" customWidth="1"/>
    <col min="14630" max="14630" width="6" bestFit="1" customWidth="1"/>
    <col min="14631" max="14631" width="4.28515625" customWidth="1"/>
    <col min="14632" max="14632" width="4.140625" bestFit="1" customWidth="1"/>
    <col min="14633" max="14637" width="4" bestFit="1" customWidth="1"/>
    <col min="14638" max="14638" width="4.140625" bestFit="1" customWidth="1"/>
    <col min="14639" max="14647" width="4" bestFit="1" customWidth="1"/>
    <col min="14648" max="14648" width="4.28515625" customWidth="1"/>
    <col min="14649" max="14663" width="4.140625" bestFit="1" customWidth="1"/>
    <col min="14664" max="14664" width="4.85546875" customWidth="1"/>
    <col min="14665" max="14665" width="13.42578125" customWidth="1"/>
    <col min="14849" max="14849" width="6.28515625" customWidth="1"/>
    <col min="14850" max="14852" width="5.5703125" customWidth="1"/>
    <col min="14853" max="14868" width="4" bestFit="1" customWidth="1"/>
    <col min="14869" max="14885" width="4" customWidth="1"/>
    <col min="14886" max="14886" width="6" bestFit="1" customWidth="1"/>
    <col min="14887" max="14887" width="4.28515625" customWidth="1"/>
    <col min="14888" max="14888" width="4.140625" bestFit="1" customWidth="1"/>
    <col min="14889" max="14893" width="4" bestFit="1" customWidth="1"/>
    <col min="14894" max="14894" width="4.140625" bestFit="1" customWidth="1"/>
    <col min="14895" max="14903" width="4" bestFit="1" customWidth="1"/>
    <col min="14904" max="14904" width="4.28515625" customWidth="1"/>
    <col min="14905" max="14919" width="4.140625" bestFit="1" customWidth="1"/>
    <col min="14920" max="14920" width="4.85546875" customWidth="1"/>
    <col min="14921" max="14921" width="13.42578125" customWidth="1"/>
    <col min="15105" max="15105" width="6.28515625" customWidth="1"/>
    <col min="15106" max="15108" width="5.5703125" customWidth="1"/>
    <col min="15109" max="15124" width="4" bestFit="1" customWidth="1"/>
    <col min="15125" max="15141" width="4" customWidth="1"/>
    <col min="15142" max="15142" width="6" bestFit="1" customWidth="1"/>
    <col min="15143" max="15143" width="4.28515625" customWidth="1"/>
    <col min="15144" max="15144" width="4.140625" bestFit="1" customWidth="1"/>
    <col min="15145" max="15149" width="4" bestFit="1" customWidth="1"/>
    <col min="15150" max="15150" width="4.140625" bestFit="1" customWidth="1"/>
    <col min="15151" max="15159" width="4" bestFit="1" customWidth="1"/>
    <col min="15160" max="15160" width="4.28515625" customWidth="1"/>
    <col min="15161" max="15175" width="4.140625" bestFit="1" customWidth="1"/>
    <col min="15176" max="15176" width="4.85546875" customWidth="1"/>
    <col min="15177" max="15177" width="13.42578125" customWidth="1"/>
    <col min="15361" max="15361" width="6.28515625" customWidth="1"/>
    <col min="15362" max="15364" width="5.5703125" customWidth="1"/>
    <col min="15365" max="15380" width="4" bestFit="1" customWidth="1"/>
    <col min="15381" max="15397" width="4" customWidth="1"/>
    <col min="15398" max="15398" width="6" bestFit="1" customWidth="1"/>
    <col min="15399" max="15399" width="4.28515625" customWidth="1"/>
    <col min="15400" max="15400" width="4.140625" bestFit="1" customWidth="1"/>
    <col min="15401" max="15405" width="4" bestFit="1" customWidth="1"/>
    <col min="15406" max="15406" width="4.140625" bestFit="1" customWidth="1"/>
    <col min="15407" max="15415" width="4" bestFit="1" customWidth="1"/>
    <col min="15416" max="15416" width="4.28515625" customWidth="1"/>
    <col min="15417" max="15431" width="4.140625" bestFit="1" customWidth="1"/>
    <col min="15432" max="15432" width="4.85546875" customWidth="1"/>
    <col min="15433" max="15433" width="13.42578125" customWidth="1"/>
    <col min="15617" max="15617" width="6.28515625" customWidth="1"/>
    <col min="15618" max="15620" width="5.5703125" customWidth="1"/>
    <col min="15621" max="15636" width="4" bestFit="1" customWidth="1"/>
    <col min="15637" max="15653" width="4" customWidth="1"/>
    <col min="15654" max="15654" width="6" bestFit="1" customWidth="1"/>
    <col min="15655" max="15655" width="4.28515625" customWidth="1"/>
    <col min="15656" max="15656" width="4.140625" bestFit="1" customWidth="1"/>
    <col min="15657" max="15661" width="4" bestFit="1" customWidth="1"/>
    <col min="15662" max="15662" width="4.140625" bestFit="1" customWidth="1"/>
    <col min="15663" max="15671" width="4" bestFit="1" customWidth="1"/>
    <col min="15672" max="15672" width="4.28515625" customWidth="1"/>
    <col min="15673" max="15687" width="4.140625" bestFit="1" customWidth="1"/>
    <col min="15688" max="15688" width="4.85546875" customWidth="1"/>
    <col min="15689" max="15689" width="13.42578125" customWidth="1"/>
    <col min="15873" max="15873" width="6.28515625" customWidth="1"/>
    <col min="15874" max="15876" width="5.5703125" customWidth="1"/>
    <col min="15877" max="15892" width="4" bestFit="1" customWidth="1"/>
    <col min="15893" max="15909" width="4" customWidth="1"/>
    <col min="15910" max="15910" width="6" bestFit="1" customWidth="1"/>
    <col min="15911" max="15911" width="4.28515625" customWidth="1"/>
    <col min="15912" max="15912" width="4.140625" bestFit="1" customWidth="1"/>
    <col min="15913" max="15917" width="4" bestFit="1" customWidth="1"/>
    <col min="15918" max="15918" width="4.140625" bestFit="1" customWidth="1"/>
    <col min="15919" max="15927" width="4" bestFit="1" customWidth="1"/>
    <col min="15928" max="15928" width="4.28515625" customWidth="1"/>
    <col min="15929" max="15943" width="4.140625" bestFit="1" customWidth="1"/>
    <col min="15944" max="15944" width="4.85546875" customWidth="1"/>
    <col min="15945" max="15945" width="13.42578125" customWidth="1"/>
    <col min="16129" max="16129" width="6.28515625" customWidth="1"/>
    <col min="16130" max="16132" width="5.5703125" customWidth="1"/>
    <col min="16133" max="16148" width="4" bestFit="1" customWidth="1"/>
    <col min="16149" max="16165" width="4" customWidth="1"/>
    <col min="16166" max="16166" width="6" bestFit="1" customWidth="1"/>
    <col min="16167" max="16167" width="4.28515625" customWidth="1"/>
    <col min="16168" max="16168" width="4.140625" bestFit="1" customWidth="1"/>
    <col min="16169" max="16173" width="4" bestFit="1" customWidth="1"/>
    <col min="16174" max="16174" width="4.140625" bestFit="1" customWidth="1"/>
    <col min="16175" max="16183" width="4" bestFit="1" customWidth="1"/>
    <col min="16184" max="16184" width="4.28515625" customWidth="1"/>
    <col min="16185" max="16199" width="4.140625" bestFit="1" customWidth="1"/>
    <col min="16200" max="16200" width="4.85546875" customWidth="1"/>
    <col min="16201" max="16201" width="13.42578125" customWidth="1"/>
  </cols>
  <sheetData>
    <row r="2" spans="2:72">
      <c r="C2" t="s">
        <v>262</v>
      </c>
      <c r="E2">
        <v>1</v>
      </c>
      <c r="F2">
        <v>2</v>
      </c>
      <c r="G2">
        <v>3</v>
      </c>
      <c r="H2">
        <v>4</v>
      </c>
      <c r="I2">
        <v>5</v>
      </c>
      <c r="J2">
        <v>6</v>
      </c>
      <c r="K2">
        <v>7</v>
      </c>
      <c r="L2">
        <v>8</v>
      </c>
      <c r="M2">
        <v>9</v>
      </c>
      <c r="N2">
        <v>10</v>
      </c>
      <c r="O2">
        <v>11</v>
      </c>
      <c r="P2">
        <v>12</v>
      </c>
      <c r="Q2">
        <v>13</v>
      </c>
      <c r="R2">
        <v>14</v>
      </c>
      <c r="S2">
        <v>15</v>
      </c>
      <c r="T2">
        <v>16</v>
      </c>
      <c r="U2">
        <v>17</v>
      </c>
      <c r="V2">
        <v>18</v>
      </c>
      <c r="W2">
        <v>19</v>
      </c>
      <c r="X2">
        <v>20</v>
      </c>
      <c r="Y2">
        <v>21</v>
      </c>
      <c r="Z2">
        <v>22</v>
      </c>
      <c r="AA2">
        <v>23</v>
      </c>
      <c r="AB2">
        <v>24</v>
      </c>
      <c r="AC2">
        <v>25</v>
      </c>
      <c r="AD2">
        <v>26</v>
      </c>
      <c r="AE2">
        <v>27</v>
      </c>
      <c r="AF2">
        <v>28</v>
      </c>
      <c r="AG2">
        <v>29</v>
      </c>
      <c r="AH2">
        <v>30</v>
      </c>
      <c r="AI2">
        <v>31</v>
      </c>
      <c r="AJ2">
        <v>32</v>
      </c>
      <c r="AL2" t="s">
        <v>262</v>
      </c>
      <c r="AN2">
        <v>33</v>
      </c>
      <c r="AO2">
        <v>34</v>
      </c>
      <c r="AP2">
        <v>35</v>
      </c>
      <c r="AQ2">
        <v>36</v>
      </c>
      <c r="AR2">
        <v>37</v>
      </c>
      <c r="AS2">
        <v>38</v>
      </c>
      <c r="AT2">
        <v>39</v>
      </c>
      <c r="AU2">
        <v>40</v>
      </c>
      <c r="AV2">
        <v>41</v>
      </c>
      <c r="AW2">
        <v>42</v>
      </c>
      <c r="AX2">
        <v>43</v>
      </c>
      <c r="AY2">
        <v>44</v>
      </c>
      <c r="AZ2">
        <v>45</v>
      </c>
      <c r="BA2">
        <v>46</v>
      </c>
      <c r="BB2">
        <v>47</v>
      </c>
      <c r="BC2">
        <v>48</v>
      </c>
      <c r="BD2">
        <v>49</v>
      </c>
      <c r="BE2">
        <v>50</v>
      </c>
      <c r="BF2">
        <v>51</v>
      </c>
      <c r="BG2">
        <v>52</v>
      </c>
      <c r="BH2">
        <v>53</v>
      </c>
      <c r="BI2">
        <v>54</v>
      </c>
      <c r="BJ2">
        <v>55</v>
      </c>
      <c r="BK2">
        <v>56</v>
      </c>
      <c r="BL2">
        <v>57</v>
      </c>
      <c r="BM2">
        <v>58</v>
      </c>
      <c r="BN2">
        <v>59</v>
      </c>
      <c r="BO2">
        <v>60</v>
      </c>
      <c r="BP2">
        <v>61</v>
      </c>
      <c r="BQ2">
        <v>62</v>
      </c>
      <c r="BR2">
        <v>63</v>
      </c>
      <c r="BS2">
        <v>64</v>
      </c>
    </row>
    <row r="3" spans="2:72" ht="12.75" thickBot="1">
      <c r="C3" t="s">
        <v>7973</v>
      </c>
      <c r="D3" s="223" t="s">
        <v>7670</v>
      </c>
      <c r="E3">
        <v>1</v>
      </c>
      <c r="AL3" t="s">
        <v>7973</v>
      </c>
      <c r="AM3" s="223" t="s">
        <v>7670</v>
      </c>
      <c r="AN3">
        <v>5</v>
      </c>
    </row>
    <row r="4" spans="2:72" ht="12.75" thickBot="1">
      <c r="B4" s="245" t="s">
        <v>7807</v>
      </c>
      <c r="C4" s="223">
        <v>1</v>
      </c>
      <c r="D4" s="245" t="s">
        <v>7807</v>
      </c>
      <c r="E4" s="246">
        <v>83</v>
      </c>
      <c r="F4" s="246">
        <v>96</v>
      </c>
      <c r="G4" s="246">
        <v>79</v>
      </c>
      <c r="H4" s="246">
        <v>125</v>
      </c>
      <c r="I4" s="246">
        <v>90</v>
      </c>
      <c r="J4" s="246">
        <v>65</v>
      </c>
      <c r="K4" s="246">
        <v>46</v>
      </c>
      <c r="L4" s="246">
        <v>88</v>
      </c>
      <c r="M4" s="246">
        <v>41</v>
      </c>
      <c r="N4" s="246">
        <v>28</v>
      </c>
      <c r="O4" s="246">
        <v>97</v>
      </c>
      <c r="P4" s="246">
        <v>107</v>
      </c>
      <c r="Q4" s="246">
        <v>67</v>
      </c>
      <c r="R4" s="246">
        <v>27</v>
      </c>
      <c r="S4" s="246">
        <v>19</v>
      </c>
      <c r="T4" s="246">
        <v>120</v>
      </c>
      <c r="U4" s="247">
        <v>84</v>
      </c>
      <c r="V4" s="248">
        <v>128</v>
      </c>
      <c r="W4" s="249">
        <v>68</v>
      </c>
      <c r="X4" s="246">
        <v>58</v>
      </c>
      <c r="Y4" s="246">
        <v>100</v>
      </c>
      <c r="Z4" s="246">
        <v>47</v>
      </c>
      <c r="AA4" s="246">
        <v>45</v>
      </c>
      <c r="AB4" s="246">
        <v>9</v>
      </c>
      <c r="AC4" s="246">
        <v>78</v>
      </c>
      <c r="AD4" s="246">
        <v>110</v>
      </c>
      <c r="AE4" s="246">
        <v>6</v>
      </c>
      <c r="AF4" s="246">
        <v>116</v>
      </c>
      <c r="AG4" s="246">
        <v>101</v>
      </c>
      <c r="AH4" s="246">
        <v>35</v>
      </c>
      <c r="AI4" s="246">
        <v>92</v>
      </c>
      <c r="AJ4" s="246">
        <v>30</v>
      </c>
      <c r="AK4" s="245" t="s">
        <v>7807</v>
      </c>
      <c r="AL4" s="223">
        <v>1</v>
      </c>
      <c r="AM4" s="245" t="s">
        <v>7807</v>
      </c>
      <c r="AN4" s="246">
        <v>16</v>
      </c>
      <c r="AO4" s="246">
        <v>66</v>
      </c>
      <c r="AP4" s="246">
        <v>100</v>
      </c>
      <c r="AQ4" s="246">
        <v>38</v>
      </c>
      <c r="AR4" s="246">
        <v>90</v>
      </c>
      <c r="AS4" s="246">
        <v>50</v>
      </c>
      <c r="AT4" s="246">
        <v>74</v>
      </c>
      <c r="AU4" s="246">
        <v>76</v>
      </c>
      <c r="AV4" s="246">
        <v>35</v>
      </c>
      <c r="AW4" s="246">
        <v>96</v>
      </c>
      <c r="AX4" s="246">
        <v>12</v>
      </c>
      <c r="AY4" s="246">
        <v>8</v>
      </c>
      <c r="AZ4" s="246">
        <v>18</v>
      </c>
      <c r="BA4" s="246">
        <v>80</v>
      </c>
      <c r="BB4" s="246">
        <v>31</v>
      </c>
      <c r="BC4" s="247">
        <v>58</v>
      </c>
      <c r="BD4" s="248">
        <v>127</v>
      </c>
      <c r="BE4" s="249">
        <v>116</v>
      </c>
      <c r="BF4" s="246">
        <v>86</v>
      </c>
      <c r="BG4" s="246">
        <v>40</v>
      </c>
      <c r="BH4" s="246">
        <v>106</v>
      </c>
      <c r="BI4" s="246">
        <v>57</v>
      </c>
      <c r="BJ4" s="246">
        <v>71</v>
      </c>
      <c r="BK4" s="246">
        <v>10</v>
      </c>
      <c r="BL4" s="246">
        <v>124</v>
      </c>
      <c r="BM4" s="246">
        <v>107</v>
      </c>
      <c r="BN4" s="246">
        <v>62</v>
      </c>
      <c r="BO4" s="246">
        <v>11</v>
      </c>
      <c r="BP4" s="246">
        <v>73</v>
      </c>
      <c r="BQ4" s="246">
        <v>108</v>
      </c>
      <c r="BR4" s="246">
        <v>70</v>
      </c>
      <c r="BS4" s="246">
        <v>26</v>
      </c>
      <c r="BT4" s="245" t="s">
        <v>7807</v>
      </c>
    </row>
    <row r="5" spans="2:72" ht="12.75" thickBot="1">
      <c r="B5" s="245" t="s">
        <v>7807</v>
      </c>
      <c r="C5" s="223">
        <v>2</v>
      </c>
      <c r="D5" s="245" t="s">
        <v>7807</v>
      </c>
      <c r="E5" s="250">
        <v>77</v>
      </c>
      <c r="F5" s="246">
        <v>76</v>
      </c>
      <c r="G5" s="246">
        <v>109</v>
      </c>
      <c r="H5" s="246">
        <v>55</v>
      </c>
      <c r="I5" s="246">
        <v>39</v>
      </c>
      <c r="J5" s="246">
        <v>71</v>
      </c>
      <c r="K5" s="246">
        <v>38</v>
      </c>
      <c r="L5" s="246">
        <v>94</v>
      </c>
      <c r="M5" s="246">
        <v>66</v>
      </c>
      <c r="N5" s="246">
        <v>119</v>
      </c>
      <c r="O5" s="246">
        <v>23</v>
      </c>
      <c r="P5" s="246">
        <v>42</v>
      </c>
      <c r="Q5" s="246">
        <v>72</v>
      </c>
      <c r="R5" s="246">
        <v>16</v>
      </c>
      <c r="S5" s="246">
        <v>53</v>
      </c>
      <c r="T5" s="246">
        <v>8</v>
      </c>
      <c r="U5" s="246">
        <v>63</v>
      </c>
      <c r="V5" s="251">
        <v>21</v>
      </c>
      <c r="W5" s="246">
        <v>15</v>
      </c>
      <c r="X5" s="246">
        <v>86</v>
      </c>
      <c r="Y5" s="246">
        <v>14</v>
      </c>
      <c r="Z5" s="246">
        <v>104</v>
      </c>
      <c r="AA5" s="246">
        <v>20</v>
      </c>
      <c r="AB5" s="246">
        <v>82</v>
      </c>
      <c r="AC5" s="246">
        <v>95</v>
      </c>
      <c r="AD5" s="246">
        <v>74</v>
      </c>
      <c r="AE5" s="246">
        <v>44</v>
      </c>
      <c r="AF5" s="246">
        <v>87</v>
      </c>
      <c r="AG5" s="246">
        <v>32</v>
      </c>
      <c r="AH5" s="246">
        <v>26</v>
      </c>
      <c r="AI5" s="246">
        <v>113</v>
      </c>
      <c r="AJ5" s="246">
        <v>123</v>
      </c>
      <c r="AK5" s="245" t="s">
        <v>7807</v>
      </c>
      <c r="AL5" s="223">
        <v>2</v>
      </c>
      <c r="AM5" s="245" t="s">
        <v>7807</v>
      </c>
      <c r="AN5" s="246">
        <v>22</v>
      </c>
      <c r="AO5" s="246">
        <v>126</v>
      </c>
      <c r="AP5" s="246">
        <v>23</v>
      </c>
      <c r="AQ5" s="246">
        <v>63</v>
      </c>
      <c r="AR5" s="246">
        <v>115</v>
      </c>
      <c r="AS5" s="246">
        <v>84</v>
      </c>
      <c r="AT5" s="246">
        <v>55</v>
      </c>
      <c r="AU5" s="246">
        <v>104</v>
      </c>
      <c r="AV5" s="246">
        <v>4</v>
      </c>
      <c r="AW5" s="246">
        <v>44</v>
      </c>
      <c r="AX5" s="246">
        <v>77</v>
      </c>
      <c r="AY5" s="246">
        <v>47</v>
      </c>
      <c r="AZ5" s="246">
        <v>109</v>
      </c>
      <c r="BA5" s="250">
        <v>93</v>
      </c>
      <c r="BB5" s="246">
        <v>39</v>
      </c>
      <c r="BC5" s="246">
        <v>121</v>
      </c>
      <c r="BD5" s="251">
        <v>75</v>
      </c>
      <c r="BE5" s="246">
        <v>81</v>
      </c>
      <c r="BF5" s="246">
        <v>3</v>
      </c>
      <c r="BG5" s="246">
        <v>87</v>
      </c>
      <c r="BH5" s="246">
        <v>59</v>
      </c>
      <c r="BI5" s="246">
        <v>99</v>
      </c>
      <c r="BJ5" s="246">
        <v>42</v>
      </c>
      <c r="BK5" s="246">
        <v>95</v>
      </c>
      <c r="BL5" s="246">
        <v>65</v>
      </c>
      <c r="BM5" s="246">
        <v>1</v>
      </c>
      <c r="BN5" s="246">
        <v>53</v>
      </c>
      <c r="BO5" s="246">
        <v>68</v>
      </c>
      <c r="BP5" s="246">
        <v>5</v>
      </c>
      <c r="BQ5" s="246">
        <v>24</v>
      </c>
      <c r="BR5" s="246">
        <v>56</v>
      </c>
      <c r="BS5" s="246">
        <v>25</v>
      </c>
      <c r="BT5" s="245" t="s">
        <v>7807</v>
      </c>
    </row>
    <row r="6" spans="2:72" ht="12.75" thickBot="1">
      <c r="B6" s="245" t="s">
        <v>7807</v>
      </c>
      <c r="C6" s="223">
        <v>3</v>
      </c>
      <c r="D6" s="252" t="s">
        <v>7807</v>
      </c>
      <c r="E6" s="248">
        <v>127</v>
      </c>
      <c r="F6" s="249">
        <v>122</v>
      </c>
      <c r="G6" s="246">
        <v>126</v>
      </c>
      <c r="H6" s="246">
        <v>52</v>
      </c>
      <c r="I6" s="246">
        <v>10</v>
      </c>
      <c r="J6" s="246">
        <v>73</v>
      </c>
      <c r="K6" s="246">
        <v>103</v>
      </c>
      <c r="L6" s="246">
        <v>81</v>
      </c>
      <c r="M6" s="246">
        <v>51</v>
      </c>
      <c r="N6" s="246">
        <v>34</v>
      </c>
      <c r="O6" s="246">
        <v>18</v>
      </c>
      <c r="P6" s="246">
        <v>56</v>
      </c>
      <c r="Q6" s="246">
        <v>25</v>
      </c>
      <c r="R6" s="246">
        <v>85</v>
      </c>
      <c r="S6" s="246">
        <v>115</v>
      </c>
      <c r="T6" s="246">
        <v>3</v>
      </c>
      <c r="U6" s="246">
        <v>106</v>
      </c>
      <c r="V6" s="246">
        <v>48</v>
      </c>
      <c r="W6" s="246">
        <v>7</v>
      </c>
      <c r="X6" s="246">
        <v>57</v>
      </c>
      <c r="Y6" s="246">
        <v>121</v>
      </c>
      <c r="Z6" s="246">
        <v>40</v>
      </c>
      <c r="AA6" s="246">
        <v>50</v>
      </c>
      <c r="AB6" s="246">
        <v>43</v>
      </c>
      <c r="AC6" s="246">
        <v>17</v>
      </c>
      <c r="AD6" s="246">
        <v>54</v>
      </c>
      <c r="AE6" s="246">
        <v>29</v>
      </c>
      <c r="AF6" s="246">
        <v>5</v>
      </c>
      <c r="AG6" s="246">
        <v>59</v>
      </c>
      <c r="AH6" s="246">
        <v>89</v>
      </c>
      <c r="AI6" s="246">
        <v>124</v>
      </c>
      <c r="AJ6" s="246">
        <v>114</v>
      </c>
      <c r="AK6" s="245" t="s">
        <v>7807</v>
      </c>
      <c r="AL6" s="223">
        <v>3</v>
      </c>
      <c r="AM6" s="245" t="s">
        <v>7807</v>
      </c>
      <c r="AN6" s="246">
        <v>29</v>
      </c>
      <c r="AO6" s="246">
        <v>114</v>
      </c>
      <c r="AP6" s="246">
        <v>125</v>
      </c>
      <c r="AQ6" s="246">
        <v>32</v>
      </c>
      <c r="AR6" s="246">
        <v>79</v>
      </c>
      <c r="AS6" s="246">
        <v>97</v>
      </c>
      <c r="AT6" s="246">
        <v>48</v>
      </c>
      <c r="AU6" s="246">
        <v>15</v>
      </c>
      <c r="AV6" s="246">
        <v>51</v>
      </c>
      <c r="AW6" s="246">
        <v>45</v>
      </c>
      <c r="AX6" s="246">
        <v>64</v>
      </c>
      <c r="AY6" s="246">
        <v>94</v>
      </c>
      <c r="AZ6" s="247">
        <v>103</v>
      </c>
      <c r="BA6" s="248">
        <v>128</v>
      </c>
      <c r="BB6" s="249">
        <v>92</v>
      </c>
      <c r="BC6" s="246">
        <v>13</v>
      </c>
      <c r="BD6" s="246">
        <v>113</v>
      </c>
      <c r="BE6" s="246">
        <v>117</v>
      </c>
      <c r="BF6" s="246">
        <v>54</v>
      </c>
      <c r="BG6" s="246">
        <v>78</v>
      </c>
      <c r="BH6" s="246">
        <v>88</v>
      </c>
      <c r="BI6" s="246">
        <v>85</v>
      </c>
      <c r="BJ6" s="246">
        <v>67</v>
      </c>
      <c r="BK6" s="246">
        <v>120</v>
      </c>
      <c r="BL6" s="246">
        <v>122</v>
      </c>
      <c r="BM6" s="246">
        <v>7</v>
      </c>
      <c r="BN6" s="246">
        <v>20</v>
      </c>
      <c r="BO6" s="246">
        <v>83</v>
      </c>
      <c r="BP6" s="246">
        <v>33</v>
      </c>
      <c r="BQ6" s="246">
        <v>91</v>
      </c>
      <c r="BR6" s="246">
        <v>72</v>
      </c>
      <c r="BS6" s="246">
        <v>36</v>
      </c>
      <c r="BT6" s="245" t="s">
        <v>7807</v>
      </c>
    </row>
    <row r="7" spans="2:72" ht="15.75" thickBot="1">
      <c r="B7" s="252" t="s">
        <v>7807</v>
      </c>
      <c r="C7" s="253">
        <v>4</v>
      </c>
      <c r="D7" s="254" t="s">
        <v>7807</v>
      </c>
      <c r="E7" s="251">
        <v>70</v>
      </c>
      <c r="F7" s="246">
        <v>37</v>
      </c>
      <c r="G7" s="246">
        <v>22</v>
      </c>
      <c r="H7" s="246">
        <v>4</v>
      </c>
      <c r="I7" s="246">
        <v>49</v>
      </c>
      <c r="J7" s="246">
        <v>98</v>
      </c>
      <c r="K7" s="246">
        <v>105</v>
      </c>
      <c r="L7" s="246">
        <v>112</v>
      </c>
      <c r="M7" s="246">
        <v>64</v>
      </c>
      <c r="N7" s="246">
        <v>2</v>
      </c>
      <c r="O7" s="246">
        <v>11</v>
      </c>
      <c r="P7" s="246">
        <v>102</v>
      </c>
      <c r="Q7" s="246">
        <v>1</v>
      </c>
      <c r="R7" s="246">
        <v>69</v>
      </c>
      <c r="S7" s="246">
        <v>33</v>
      </c>
      <c r="T7" s="246">
        <v>61</v>
      </c>
      <c r="U7" s="246">
        <v>80</v>
      </c>
      <c r="V7" s="246">
        <v>117</v>
      </c>
      <c r="W7" s="246">
        <v>13</v>
      </c>
      <c r="X7" s="246">
        <v>12</v>
      </c>
      <c r="Y7" s="246">
        <v>62</v>
      </c>
      <c r="Z7" s="246">
        <v>111</v>
      </c>
      <c r="AA7" s="246">
        <v>75</v>
      </c>
      <c r="AB7" s="246">
        <v>36</v>
      </c>
      <c r="AC7" s="246">
        <v>91</v>
      </c>
      <c r="AD7" s="246">
        <v>118</v>
      </c>
      <c r="AE7" s="246">
        <v>108</v>
      </c>
      <c r="AF7" s="246">
        <v>99</v>
      </c>
      <c r="AG7" s="246">
        <v>93</v>
      </c>
      <c r="AH7" s="246">
        <v>31</v>
      </c>
      <c r="AI7" s="246">
        <v>60</v>
      </c>
      <c r="AJ7" s="246">
        <v>24</v>
      </c>
      <c r="AK7" s="245" t="s">
        <v>7807</v>
      </c>
      <c r="AL7" s="223">
        <v>4</v>
      </c>
      <c r="AM7" s="245" t="s">
        <v>7807</v>
      </c>
      <c r="AN7" s="246">
        <v>112</v>
      </c>
      <c r="AO7" s="246">
        <v>49</v>
      </c>
      <c r="AP7" s="246">
        <v>101</v>
      </c>
      <c r="AQ7" s="246">
        <v>27</v>
      </c>
      <c r="AR7" s="246">
        <v>6</v>
      </c>
      <c r="AS7" s="246">
        <v>61</v>
      </c>
      <c r="AT7" s="246">
        <v>60</v>
      </c>
      <c r="AU7" s="246">
        <v>69</v>
      </c>
      <c r="AV7" s="246">
        <v>82</v>
      </c>
      <c r="AW7" s="246">
        <v>30</v>
      </c>
      <c r="AX7" s="246">
        <v>119</v>
      </c>
      <c r="AY7" s="246">
        <v>110</v>
      </c>
      <c r="AZ7" s="246">
        <v>52</v>
      </c>
      <c r="BA7" s="251">
        <v>9</v>
      </c>
      <c r="BB7" s="246">
        <v>98</v>
      </c>
      <c r="BC7" s="246">
        <v>28</v>
      </c>
      <c r="BD7" s="246">
        <v>34</v>
      </c>
      <c r="BE7" s="246">
        <v>19</v>
      </c>
      <c r="BF7" s="246">
        <v>37</v>
      </c>
      <c r="BG7" s="246">
        <v>111</v>
      </c>
      <c r="BH7" s="246">
        <v>17</v>
      </c>
      <c r="BI7" s="246">
        <v>43</v>
      </c>
      <c r="BJ7" s="246">
        <v>105</v>
      </c>
      <c r="BK7" s="246">
        <v>118</v>
      </c>
      <c r="BL7" s="246">
        <v>21</v>
      </c>
      <c r="BM7" s="246">
        <v>14</v>
      </c>
      <c r="BN7" s="246">
        <v>89</v>
      </c>
      <c r="BO7" s="246">
        <v>102</v>
      </c>
      <c r="BP7" s="246">
        <v>123</v>
      </c>
      <c r="BQ7" s="246">
        <v>46</v>
      </c>
      <c r="BR7" s="246">
        <v>2</v>
      </c>
      <c r="BS7" s="246">
        <v>41</v>
      </c>
      <c r="BT7" s="245" t="s">
        <v>7807</v>
      </c>
    </row>
    <row r="8" spans="2:72">
      <c r="AL8"/>
    </row>
    <row r="9" spans="2:72" ht="12.75" thickBot="1">
      <c r="B9" s="224"/>
      <c r="C9" t="s">
        <v>7973</v>
      </c>
      <c r="D9" s="223" t="s">
        <v>7670</v>
      </c>
      <c r="E9">
        <v>2</v>
      </c>
      <c r="AK9" s="224"/>
      <c r="AL9" t="s">
        <v>7973</v>
      </c>
      <c r="AM9" s="223" t="s">
        <v>7670</v>
      </c>
      <c r="AN9">
        <v>6</v>
      </c>
      <c r="BT9" s="224"/>
    </row>
    <row r="10" spans="2:72" ht="15.75" thickBot="1">
      <c r="B10" s="245" t="s">
        <v>7807</v>
      </c>
      <c r="C10" s="253">
        <v>5</v>
      </c>
      <c r="D10" s="245" t="s">
        <v>7807</v>
      </c>
      <c r="E10" s="250">
        <v>5</v>
      </c>
      <c r="F10" s="246">
        <v>81</v>
      </c>
      <c r="G10" s="246">
        <v>119</v>
      </c>
      <c r="H10" s="246">
        <v>26</v>
      </c>
      <c r="I10" s="246">
        <v>28</v>
      </c>
      <c r="J10" s="246">
        <v>59</v>
      </c>
      <c r="K10" s="246">
        <v>69</v>
      </c>
      <c r="L10" s="246">
        <v>99</v>
      </c>
      <c r="M10" s="246">
        <v>24</v>
      </c>
      <c r="N10" s="246">
        <v>39</v>
      </c>
      <c r="O10" s="247">
        <v>120</v>
      </c>
      <c r="P10" s="248">
        <v>127</v>
      </c>
      <c r="Q10" s="249">
        <v>124</v>
      </c>
      <c r="R10" s="246">
        <v>63</v>
      </c>
      <c r="S10" s="246">
        <v>12</v>
      </c>
      <c r="T10" s="246">
        <v>20</v>
      </c>
      <c r="U10" s="246">
        <v>54</v>
      </c>
      <c r="V10" s="246">
        <v>29</v>
      </c>
      <c r="W10" s="246">
        <v>108</v>
      </c>
      <c r="X10" s="246">
        <v>47</v>
      </c>
      <c r="Y10" s="246">
        <v>61</v>
      </c>
      <c r="Z10" s="246">
        <v>89</v>
      </c>
      <c r="AA10" s="246">
        <v>101</v>
      </c>
      <c r="AB10" s="246">
        <v>122</v>
      </c>
      <c r="AC10" s="246">
        <v>84</v>
      </c>
      <c r="AD10" s="246">
        <v>111</v>
      </c>
      <c r="AE10" s="246">
        <v>33</v>
      </c>
      <c r="AF10" s="246">
        <v>38</v>
      </c>
      <c r="AG10" s="246">
        <v>27</v>
      </c>
      <c r="AH10" s="246">
        <v>21</v>
      </c>
      <c r="AI10" s="246">
        <v>80</v>
      </c>
      <c r="AJ10" s="246">
        <v>97</v>
      </c>
      <c r="AK10" s="245" t="s">
        <v>7807</v>
      </c>
      <c r="AL10" s="223">
        <v>5</v>
      </c>
      <c r="AM10" s="245" t="s">
        <v>7807</v>
      </c>
      <c r="AN10" s="246">
        <v>43</v>
      </c>
      <c r="AO10" s="246">
        <v>110</v>
      </c>
      <c r="AP10" s="246">
        <v>25</v>
      </c>
      <c r="AQ10" s="246">
        <v>31</v>
      </c>
      <c r="AR10" s="246">
        <v>91</v>
      </c>
      <c r="AS10" s="246">
        <v>83</v>
      </c>
      <c r="AT10" s="246">
        <v>12</v>
      </c>
      <c r="AU10" s="246">
        <v>45</v>
      </c>
      <c r="AV10" s="246">
        <v>46</v>
      </c>
      <c r="AW10" s="246">
        <v>55</v>
      </c>
      <c r="AX10" s="246">
        <v>92</v>
      </c>
      <c r="AY10" s="246">
        <v>54</v>
      </c>
      <c r="AZ10" s="246">
        <v>65</v>
      </c>
      <c r="BA10" s="246">
        <v>57</v>
      </c>
      <c r="BB10" s="246">
        <v>114</v>
      </c>
      <c r="BC10" s="246">
        <v>118</v>
      </c>
      <c r="BD10" s="246">
        <v>72</v>
      </c>
      <c r="BE10" s="246">
        <v>24</v>
      </c>
      <c r="BF10" s="246">
        <v>80</v>
      </c>
      <c r="BG10" s="246">
        <v>105</v>
      </c>
      <c r="BH10" s="246">
        <v>7</v>
      </c>
      <c r="BI10" s="246">
        <v>51</v>
      </c>
      <c r="BJ10" s="247">
        <v>126</v>
      </c>
      <c r="BK10" s="248">
        <v>127</v>
      </c>
      <c r="BL10" s="249">
        <v>26</v>
      </c>
      <c r="BM10" s="246">
        <v>93</v>
      </c>
      <c r="BN10" s="246">
        <v>74</v>
      </c>
      <c r="BO10" s="246">
        <v>48</v>
      </c>
      <c r="BP10" s="246">
        <v>75</v>
      </c>
      <c r="BQ10" s="246">
        <v>27</v>
      </c>
      <c r="BR10" s="246">
        <v>23</v>
      </c>
      <c r="BS10" s="246">
        <v>50</v>
      </c>
      <c r="BT10" s="245" t="s">
        <v>7807</v>
      </c>
    </row>
    <row r="11" spans="2:72" ht="12.75" thickBot="1">
      <c r="B11" s="245" t="s">
        <v>7807</v>
      </c>
      <c r="C11" s="223">
        <v>6</v>
      </c>
      <c r="D11" s="252" t="s">
        <v>7807</v>
      </c>
      <c r="E11" s="248">
        <v>128</v>
      </c>
      <c r="F11" s="249">
        <v>41</v>
      </c>
      <c r="G11" s="246">
        <v>90</v>
      </c>
      <c r="H11" s="246">
        <v>66</v>
      </c>
      <c r="I11" s="246">
        <v>6</v>
      </c>
      <c r="J11" s="246">
        <v>4</v>
      </c>
      <c r="K11" s="246">
        <v>116</v>
      </c>
      <c r="L11" s="246">
        <v>30</v>
      </c>
      <c r="M11" s="246">
        <v>37</v>
      </c>
      <c r="N11" s="246">
        <v>79</v>
      </c>
      <c r="O11" s="246">
        <v>55</v>
      </c>
      <c r="P11" s="251">
        <v>31</v>
      </c>
      <c r="Q11" s="246">
        <v>94</v>
      </c>
      <c r="R11" s="246">
        <v>9</v>
      </c>
      <c r="S11" s="246">
        <v>42</v>
      </c>
      <c r="T11" s="246">
        <v>83</v>
      </c>
      <c r="U11" s="246">
        <v>45</v>
      </c>
      <c r="V11" s="246">
        <v>93</v>
      </c>
      <c r="W11" s="246">
        <v>87</v>
      </c>
      <c r="X11" s="246">
        <v>105</v>
      </c>
      <c r="Y11" s="246">
        <v>15</v>
      </c>
      <c r="Z11" s="246">
        <v>114</v>
      </c>
      <c r="AA11" s="246">
        <v>18</v>
      </c>
      <c r="AB11" s="246">
        <v>68</v>
      </c>
      <c r="AC11" s="246">
        <v>109</v>
      </c>
      <c r="AD11" s="246">
        <v>85</v>
      </c>
      <c r="AE11" s="246">
        <v>46</v>
      </c>
      <c r="AF11" s="246">
        <v>58</v>
      </c>
      <c r="AG11" s="246">
        <v>7</v>
      </c>
      <c r="AH11" s="246">
        <v>14</v>
      </c>
      <c r="AI11" s="246">
        <v>22</v>
      </c>
      <c r="AJ11" s="246">
        <v>107</v>
      </c>
      <c r="AK11" s="245" t="s">
        <v>7807</v>
      </c>
      <c r="AL11" s="223">
        <v>6</v>
      </c>
      <c r="AM11" s="245" t="s">
        <v>7807</v>
      </c>
      <c r="AN11" s="246">
        <v>122</v>
      </c>
      <c r="AO11" s="246">
        <v>89</v>
      </c>
      <c r="AP11" s="246">
        <v>4</v>
      </c>
      <c r="AQ11" s="246">
        <v>77</v>
      </c>
      <c r="AR11" s="246">
        <v>125</v>
      </c>
      <c r="AS11" s="246">
        <v>32</v>
      </c>
      <c r="AT11" s="246">
        <v>56</v>
      </c>
      <c r="AU11" s="246">
        <v>19</v>
      </c>
      <c r="AV11" s="246">
        <v>84</v>
      </c>
      <c r="AW11" s="246">
        <v>85</v>
      </c>
      <c r="AX11" s="246">
        <v>108</v>
      </c>
      <c r="AY11" s="246">
        <v>76</v>
      </c>
      <c r="AZ11" s="246">
        <v>8</v>
      </c>
      <c r="BA11" s="246">
        <v>20</v>
      </c>
      <c r="BB11" s="246">
        <v>42</v>
      </c>
      <c r="BC11" s="246">
        <v>94</v>
      </c>
      <c r="BD11" s="246">
        <v>33</v>
      </c>
      <c r="BE11" s="246">
        <v>96</v>
      </c>
      <c r="BF11" s="246">
        <v>107</v>
      </c>
      <c r="BG11" s="246">
        <v>124</v>
      </c>
      <c r="BH11" s="246">
        <v>16</v>
      </c>
      <c r="BI11" s="246">
        <v>62</v>
      </c>
      <c r="BJ11" s="246">
        <v>121</v>
      </c>
      <c r="BK11" s="251">
        <v>21</v>
      </c>
      <c r="BL11" s="246">
        <v>95</v>
      </c>
      <c r="BM11" s="246">
        <v>117</v>
      </c>
      <c r="BN11" s="246">
        <v>66</v>
      </c>
      <c r="BO11" s="246">
        <v>67</v>
      </c>
      <c r="BP11" s="246">
        <v>97</v>
      </c>
      <c r="BQ11" s="246">
        <v>81</v>
      </c>
      <c r="BR11" s="246">
        <v>15</v>
      </c>
      <c r="BS11" s="246">
        <v>35</v>
      </c>
      <c r="BT11" s="245" t="s">
        <v>7807</v>
      </c>
    </row>
    <row r="12" spans="2:72" ht="12.75" thickBot="1">
      <c r="B12" s="245" t="s">
        <v>7807</v>
      </c>
      <c r="C12" s="223">
        <v>7</v>
      </c>
      <c r="D12" s="245" t="s">
        <v>7807</v>
      </c>
      <c r="E12" s="251">
        <v>92</v>
      </c>
      <c r="F12" s="246">
        <v>104</v>
      </c>
      <c r="G12" s="246">
        <v>82</v>
      </c>
      <c r="H12" s="246">
        <v>100</v>
      </c>
      <c r="I12" s="246">
        <v>96</v>
      </c>
      <c r="J12" s="246">
        <v>95</v>
      </c>
      <c r="K12" s="246">
        <v>11</v>
      </c>
      <c r="L12" s="246">
        <v>106</v>
      </c>
      <c r="M12" s="246">
        <v>35</v>
      </c>
      <c r="N12" s="246">
        <v>78</v>
      </c>
      <c r="O12" s="246">
        <v>1</v>
      </c>
      <c r="P12" s="246">
        <v>73</v>
      </c>
      <c r="Q12" s="246">
        <v>103</v>
      </c>
      <c r="R12" s="246">
        <v>71</v>
      </c>
      <c r="S12" s="246">
        <v>121</v>
      </c>
      <c r="T12" s="246">
        <v>88</v>
      </c>
      <c r="U12" s="246">
        <v>43</v>
      </c>
      <c r="V12" s="246">
        <v>102</v>
      </c>
      <c r="W12" s="246">
        <v>75</v>
      </c>
      <c r="X12" s="246">
        <v>2</v>
      </c>
      <c r="Y12" s="246">
        <v>113</v>
      </c>
      <c r="Z12" s="246">
        <v>34</v>
      </c>
      <c r="AA12" s="246">
        <v>57</v>
      </c>
      <c r="AB12" s="246">
        <v>23</v>
      </c>
      <c r="AC12" s="246">
        <v>67</v>
      </c>
      <c r="AD12" s="246">
        <v>53</v>
      </c>
      <c r="AE12" s="246">
        <v>112</v>
      </c>
      <c r="AF12" s="246">
        <v>76</v>
      </c>
      <c r="AG12" s="246">
        <v>86</v>
      </c>
      <c r="AH12" s="246">
        <v>64</v>
      </c>
      <c r="AI12" s="246">
        <v>110</v>
      </c>
      <c r="AJ12" s="246">
        <v>117</v>
      </c>
      <c r="AK12" s="245" t="s">
        <v>7807</v>
      </c>
      <c r="AL12" s="223">
        <v>7</v>
      </c>
      <c r="AM12" s="245" t="s">
        <v>7807</v>
      </c>
      <c r="AN12" s="246">
        <v>69</v>
      </c>
      <c r="AO12" s="246">
        <v>90</v>
      </c>
      <c r="AP12" s="246">
        <v>104</v>
      </c>
      <c r="AQ12" s="246">
        <v>9</v>
      </c>
      <c r="AR12" s="246">
        <v>47</v>
      </c>
      <c r="AS12" s="246">
        <v>18</v>
      </c>
      <c r="AT12" s="246">
        <v>82</v>
      </c>
      <c r="AU12" s="246">
        <v>28</v>
      </c>
      <c r="AV12" s="246">
        <v>115</v>
      </c>
      <c r="AW12" s="246">
        <v>2</v>
      </c>
      <c r="AX12" s="246">
        <v>63</v>
      </c>
      <c r="AY12" s="246">
        <v>41</v>
      </c>
      <c r="AZ12" s="246">
        <v>123</v>
      </c>
      <c r="BA12" s="246">
        <v>34</v>
      </c>
      <c r="BB12" s="246">
        <v>88</v>
      </c>
      <c r="BC12" s="246">
        <v>106</v>
      </c>
      <c r="BD12" s="250">
        <v>68</v>
      </c>
      <c r="BE12" s="246">
        <v>98</v>
      </c>
      <c r="BF12" s="246">
        <v>61</v>
      </c>
      <c r="BG12" s="246">
        <v>30</v>
      </c>
      <c r="BH12" s="246">
        <v>70</v>
      </c>
      <c r="BI12" s="246">
        <v>37</v>
      </c>
      <c r="BJ12" s="246">
        <v>3</v>
      </c>
      <c r="BK12" s="246">
        <v>111</v>
      </c>
      <c r="BL12" s="246">
        <v>29</v>
      </c>
      <c r="BM12" s="246">
        <v>73</v>
      </c>
      <c r="BN12" s="246">
        <v>79</v>
      </c>
      <c r="BO12" s="246">
        <v>22</v>
      </c>
      <c r="BP12" s="246">
        <v>101</v>
      </c>
      <c r="BQ12" s="246">
        <v>17</v>
      </c>
      <c r="BR12" s="246">
        <v>53</v>
      </c>
      <c r="BS12" s="246">
        <v>100</v>
      </c>
      <c r="BT12" s="245" t="s">
        <v>7807</v>
      </c>
    </row>
    <row r="13" spans="2:72" ht="12.75" thickBot="1">
      <c r="B13" s="245" t="s">
        <v>7807</v>
      </c>
      <c r="C13" s="223">
        <v>8</v>
      </c>
      <c r="D13" s="245" t="s">
        <v>7807</v>
      </c>
      <c r="E13" s="246">
        <v>51</v>
      </c>
      <c r="F13" s="246">
        <v>3</v>
      </c>
      <c r="G13" s="246">
        <v>19</v>
      </c>
      <c r="H13" s="246">
        <v>44</v>
      </c>
      <c r="I13" s="246">
        <v>125</v>
      </c>
      <c r="J13" s="246">
        <v>48</v>
      </c>
      <c r="K13" s="246">
        <v>74</v>
      </c>
      <c r="L13" s="246">
        <v>60</v>
      </c>
      <c r="M13" s="246">
        <v>36</v>
      </c>
      <c r="N13" s="246">
        <v>25</v>
      </c>
      <c r="O13" s="246">
        <v>70</v>
      </c>
      <c r="P13" s="246">
        <v>115</v>
      </c>
      <c r="Q13" s="246">
        <v>10</v>
      </c>
      <c r="R13" s="246">
        <v>52</v>
      </c>
      <c r="S13" s="246">
        <v>65</v>
      </c>
      <c r="T13" s="246">
        <v>13</v>
      </c>
      <c r="U13" s="246">
        <v>16</v>
      </c>
      <c r="V13" s="246">
        <v>62</v>
      </c>
      <c r="W13" s="246">
        <v>123</v>
      </c>
      <c r="X13" s="246">
        <v>32</v>
      </c>
      <c r="Y13" s="246">
        <v>72</v>
      </c>
      <c r="Z13" s="246">
        <v>56</v>
      </c>
      <c r="AA13" s="246">
        <v>77</v>
      </c>
      <c r="AB13" s="246">
        <v>91</v>
      </c>
      <c r="AC13" s="246">
        <v>49</v>
      </c>
      <c r="AD13" s="246">
        <v>40</v>
      </c>
      <c r="AE13" s="246">
        <v>126</v>
      </c>
      <c r="AF13" s="246">
        <v>8</v>
      </c>
      <c r="AG13" s="246">
        <v>17</v>
      </c>
      <c r="AH13" s="246">
        <v>118</v>
      </c>
      <c r="AI13" s="246">
        <v>50</v>
      </c>
      <c r="AJ13" s="246">
        <v>98</v>
      </c>
      <c r="AK13" s="245" t="s">
        <v>7807</v>
      </c>
      <c r="AL13" s="223">
        <v>8</v>
      </c>
      <c r="AM13" s="245" t="s">
        <v>7807</v>
      </c>
      <c r="AN13" s="246">
        <v>64</v>
      </c>
      <c r="AO13" s="246">
        <v>60</v>
      </c>
      <c r="AP13" s="246">
        <v>103</v>
      </c>
      <c r="AQ13" s="246">
        <v>13</v>
      </c>
      <c r="AR13" s="246">
        <v>119</v>
      </c>
      <c r="AS13" s="246">
        <v>112</v>
      </c>
      <c r="AT13" s="246">
        <v>38</v>
      </c>
      <c r="AU13" s="246">
        <v>109</v>
      </c>
      <c r="AV13" s="246">
        <v>5</v>
      </c>
      <c r="AW13" s="246">
        <v>6</v>
      </c>
      <c r="AX13" s="246">
        <v>36</v>
      </c>
      <c r="AY13" s="246">
        <v>99</v>
      </c>
      <c r="AZ13" s="246">
        <v>10</v>
      </c>
      <c r="BA13" s="246">
        <v>71</v>
      </c>
      <c r="BB13" s="246">
        <v>40</v>
      </c>
      <c r="BC13" s="247">
        <v>113</v>
      </c>
      <c r="BD13" s="248">
        <v>128</v>
      </c>
      <c r="BE13" s="249">
        <v>52</v>
      </c>
      <c r="BF13" s="246">
        <v>11</v>
      </c>
      <c r="BG13" s="246">
        <v>59</v>
      </c>
      <c r="BH13" s="246">
        <v>49</v>
      </c>
      <c r="BI13" s="246">
        <v>58</v>
      </c>
      <c r="BJ13" s="246">
        <v>44</v>
      </c>
      <c r="BK13" s="246">
        <v>102</v>
      </c>
      <c r="BL13" s="246">
        <v>86</v>
      </c>
      <c r="BM13" s="246">
        <v>87</v>
      </c>
      <c r="BN13" s="246">
        <v>120</v>
      </c>
      <c r="BO13" s="246">
        <v>39</v>
      </c>
      <c r="BP13" s="246">
        <v>78</v>
      </c>
      <c r="BQ13" s="246">
        <v>1</v>
      </c>
      <c r="BR13" s="246">
        <v>14</v>
      </c>
      <c r="BS13" s="246">
        <v>116</v>
      </c>
      <c r="BT13" s="245" t="s">
        <v>7807</v>
      </c>
    </row>
    <row r="14" spans="2:72">
      <c r="C14" s="223"/>
    </row>
    <row r="15" spans="2:72" ht="12.75" thickBot="1">
      <c r="C15" t="s">
        <v>7973</v>
      </c>
      <c r="D15" s="223" t="s">
        <v>7670</v>
      </c>
      <c r="E15">
        <v>3</v>
      </c>
      <c r="AL15" t="s">
        <v>7973</v>
      </c>
      <c r="AM15" s="223" t="s">
        <v>7670</v>
      </c>
      <c r="AN15">
        <v>7</v>
      </c>
    </row>
    <row r="16" spans="2:72" ht="12.75" thickBot="1">
      <c r="B16" s="245" t="s">
        <v>7807</v>
      </c>
      <c r="C16" s="223">
        <v>9</v>
      </c>
      <c r="D16" s="245" t="s">
        <v>7807</v>
      </c>
      <c r="E16" s="246">
        <v>114</v>
      </c>
      <c r="F16" s="246">
        <v>115</v>
      </c>
      <c r="G16" s="246">
        <v>36</v>
      </c>
      <c r="H16" s="246">
        <v>73</v>
      </c>
      <c r="I16" s="246">
        <v>7</v>
      </c>
      <c r="J16" s="246">
        <v>13</v>
      </c>
      <c r="K16" s="246">
        <v>122</v>
      </c>
      <c r="L16" s="246">
        <v>83</v>
      </c>
      <c r="M16" s="246">
        <v>60</v>
      </c>
      <c r="N16" s="246">
        <v>103</v>
      </c>
      <c r="O16" s="246">
        <v>75</v>
      </c>
      <c r="P16" s="246">
        <v>86</v>
      </c>
      <c r="Q16" s="246">
        <v>116</v>
      </c>
      <c r="R16" s="247">
        <v>102</v>
      </c>
      <c r="S16" s="248">
        <v>128</v>
      </c>
      <c r="T16" s="249">
        <v>105</v>
      </c>
      <c r="U16" s="246">
        <v>31</v>
      </c>
      <c r="V16" s="246">
        <v>18</v>
      </c>
      <c r="W16" s="246">
        <v>17</v>
      </c>
      <c r="X16" s="246">
        <v>25</v>
      </c>
      <c r="Y16" s="246">
        <v>55</v>
      </c>
      <c r="Z16" s="246">
        <v>110</v>
      </c>
      <c r="AA16" s="246">
        <v>107</v>
      </c>
      <c r="AB16" s="246">
        <v>76</v>
      </c>
      <c r="AC16" s="246">
        <v>81</v>
      </c>
      <c r="AD16" s="246">
        <v>100</v>
      </c>
      <c r="AE16" s="246">
        <v>88</v>
      </c>
      <c r="AF16" s="246">
        <v>40</v>
      </c>
      <c r="AG16" s="246">
        <v>119</v>
      </c>
      <c r="AH16" s="246">
        <v>125</v>
      </c>
      <c r="AI16" s="246">
        <v>44</v>
      </c>
      <c r="AJ16" s="246">
        <v>51</v>
      </c>
      <c r="AK16" s="245" t="s">
        <v>7807</v>
      </c>
      <c r="AL16" s="223">
        <v>9</v>
      </c>
      <c r="AM16" s="245" t="s">
        <v>7807</v>
      </c>
      <c r="AN16" s="246">
        <v>108</v>
      </c>
      <c r="AO16" s="246">
        <v>93</v>
      </c>
      <c r="AP16" s="246">
        <v>82</v>
      </c>
      <c r="AQ16" s="246">
        <v>91</v>
      </c>
      <c r="AR16" s="246">
        <v>31</v>
      </c>
      <c r="AS16" s="246">
        <v>35</v>
      </c>
      <c r="AT16" s="246">
        <v>1</v>
      </c>
      <c r="AU16" s="246">
        <v>33</v>
      </c>
      <c r="AV16" s="250">
        <v>114</v>
      </c>
      <c r="AW16" s="246">
        <v>40</v>
      </c>
      <c r="AX16" s="246">
        <v>50</v>
      </c>
      <c r="AY16" s="246">
        <v>104</v>
      </c>
      <c r="AZ16" s="246">
        <v>86</v>
      </c>
      <c r="BA16" s="246">
        <v>124</v>
      </c>
      <c r="BB16" s="246">
        <v>38</v>
      </c>
      <c r="BC16" s="246">
        <v>83</v>
      </c>
      <c r="BD16" s="246">
        <v>95</v>
      </c>
      <c r="BE16" s="246">
        <v>56</v>
      </c>
      <c r="BF16" s="246">
        <v>14</v>
      </c>
      <c r="BG16" s="246">
        <v>6</v>
      </c>
      <c r="BH16" s="246">
        <v>116</v>
      </c>
      <c r="BI16" s="246">
        <v>30</v>
      </c>
      <c r="BJ16" s="246">
        <v>77</v>
      </c>
      <c r="BK16" s="246">
        <v>4</v>
      </c>
      <c r="BL16" s="246">
        <v>43</v>
      </c>
      <c r="BM16" s="246">
        <v>17</v>
      </c>
      <c r="BN16" s="246">
        <v>16</v>
      </c>
      <c r="BO16" s="246">
        <v>97</v>
      </c>
      <c r="BP16" s="246">
        <v>119</v>
      </c>
      <c r="BQ16" s="246">
        <v>61</v>
      </c>
      <c r="BR16" s="246">
        <v>110</v>
      </c>
      <c r="BS16" s="246">
        <v>111</v>
      </c>
      <c r="BT16" s="245" t="s">
        <v>7807</v>
      </c>
    </row>
    <row r="17" spans="2:72" ht="12.75" thickBot="1">
      <c r="B17" s="245" t="s">
        <v>7807</v>
      </c>
      <c r="C17" s="223">
        <v>10</v>
      </c>
      <c r="D17" s="245" t="s">
        <v>7807</v>
      </c>
      <c r="E17" s="246">
        <v>67</v>
      </c>
      <c r="F17" s="246">
        <v>118</v>
      </c>
      <c r="G17" s="246">
        <v>65</v>
      </c>
      <c r="H17" s="246">
        <v>89</v>
      </c>
      <c r="I17" s="246">
        <v>37</v>
      </c>
      <c r="J17" s="246">
        <v>21</v>
      </c>
      <c r="K17" s="246">
        <v>123</v>
      </c>
      <c r="L17" s="246">
        <v>54</v>
      </c>
      <c r="M17" s="246">
        <v>45</v>
      </c>
      <c r="N17" s="246">
        <v>61</v>
      </c>
      <c r="O17" s="246">
        <v>3</v>
      </c>
      <c r="P17" s="246">
        <v>9</v>
      </c>
      <c r="Q17" s="246">
        <v>41</v>
      </c>
      <c r="R17" s="246">
        <v>23</v>
      </c>
      <c r="S17" s="251">
        <v>74</v>
      </c>
      <c r="T17" s="246">
        <v>108</v>
      </c>
      <c r="U17" s="246">
        <v>14</v>
      </c>
      <c r="V17" s="246">
        <v>24</v>
      </c>
      <c r="W17" s="250">
        <v>101</v>
      </c>
      <c r="X17" s="246">
        <v>42</v>
      </c>
      <c r="Y17" s="246">
        <v>80</v>
      </c>
      <c r="Z17" s="246">
        <v>29</v>
      </c>
      <c r="AA17" s="246">
        <v>66</v>
      </c>
      <c r="AB17" s="246">
        <v>124</v>
      </c>
      <c r="AC17" s="246">
        <v>32</v>
      </c>
      <c r="AD17" s="246">
        <v>117</v>
      </c>
      <c r="AE17" s="246">
        <v>96</v>
      </c>
      <c r="AF17" s="246">
        <v>19</v>
      </c>
      <c r="AG17" s="246">
        <v>70</v>
      </c>
      <c r="AH17" s="246">
        <v>57</v>
      </c>
      <c r="AI17" s="246">
        <v>5</v>
      </c>
      <c r="AJ17" s="246">
        <v>58</v>
      </c>
      <c r="AK17" s="245" t="s">
        <v>7807</v>
      </c>
      <c r="AL17" s="223">
        <v>10</v>
      </c>
      <c r="AM17" s="245" t="s">
        <v>7807</v>
      </c>
      <c r="AN17" s="246">
        <v>123</v>
      </c>
      <c r="AO17" s="246">
        <v>84</v>
      </c>
      <c r="AP17" s="246">
        <v>79</v>
      </c>
      <c r="AQ17" s="246">
        <v>92</v>
      </c>
      <c r="AR17" s="246">
        <v>29</v>
      </c>
      <c r="AS17" s="246">
        <v>46</v>
      </c>
      <c r="AT17" s="246">
        <v>121</v>
      </c>
      <c r="AU17" s="247">
        <v>23</v>
      </c>
      <c r="AV17" s="248">
        <v>128</v>
      </c>
      <c r="AW17" s="249">
        <v>109</v>
      </c>
      <c r="AX17" s="246">
        <v>101</v>
      </c>
      <c r="AY17" s="246">
        <v>19</v>
      </c>
      <c r="AZ17" s="246">
        <v>60</v>
      </c>
      <c r="BA17" s="246">
        <v>37</v>
      </c>
      <c r="BB17" s="246">
        <v>51</v>
      </c>
      <c r="BC17" s="246">
        <v>64</v>
      </c>
      <c r="BD17" s="246">
        <v>55</v>
      </c>
      <c r="BE17" s="246">
        <v>15</v>
      </c>
      <c r="BF17" s="246">
        <v>26</v>
      </c>
      <c r="BG17" s="246">
        <v>62</v>
      </c>
      <c r="BH17" s="246">
        <v>53</v>
      </c>
      <c r="BI17" s="246">
        <v>98</v>
      </c>
      <c r="BJ17" s="246">
        <v>24</v>
      </c>
      <c r="BK17" s="246">
        <v>66</v>
      </c>
      <c r="BL17" s="246">
        <v>32</v>
      </c>
      <c r="BM17" s="246">
        <v>113</v>
      </c>
      <c r="BN17" s="246">
        <v>122</v>
      </c>
      <c r="BO17" s="250">
        <v>88</v>
      </c>
      <c r="BP17" s="246">
        <v>21</v>
      </c>
      <c r="BQ17" s="246">
        <v>49</v>
      </c>
      <c r="BR17" s="246">
        <v>69</v>
      </c>
      <c r="BS17" s="246">
        <v>22</v>
      </c>
      <c r="BT17" s="245" t="s">
        <v>7807</v>
      </c>
    </row>
    <row r="18" spans="2:72" ht="15.75" thickBot="1">
      <c r="B18" s="245" t="s">
        <v>7807</v>
      </c>
      <c r="C18" s="253">
        <v>11</v>
      </c>
      <c r="D18" s="245" t="s">
        <v>7807</v>
      </c>
      <c r="E18" s="246">
        <v>28</v>
      </c>
      <c r="F18" s="246">
        <v>27</v>
      </c>
      <c r="G18" s="246">
        <v>85</v>
      </c>
      <c r="H18" s="246">
        <v>120</v>
      </c>
      <c r="I18" s="246">
        <v>64</v>
      </c>
      <c r="J18" s="246">
        <v>38</v>
      </c>
      <c r="K18" s="246">
        <v>56</v>
      </c>
      <c r="L18" s="246">
        <v>126</v>
      </c>
      <c r="M18" s="246">
        <v>98</v>
      </c>
      <c r="N18" s="246">
        <v>71</v>
      </c>
      <c r="O18" s="246">
        <v>69</v>
      </c>
      <c r="P18" s="246">
        <v>68</v>
      </c>
      <c r="Q18" s="246">
        <v>111</v>
      </c>
      <c r="R18" s="246">
        <v>95</v>
      </c>
      <c r="S18" s="246">
        <v>106</v>
      </c>
      <c r="T18" s="246">
        <v>15</v>
      </c>
      <c r="U18" s="246">
        <v>11</v>
      </c>
      <c r="V18" s="247">
        <v>39</v>
      </c>
      <c r="W18" s="248">
        <v>127</v>
      </c>
      <c r="X18" s="249">
        <v>94</v>
      </c>
      <c r="Y18" s="246">
        <v>8</v>
      </c>
      <c r="Z18" s="246">
        <v>92</v>
      </c>
      <c r="AA18" s="246">
        <v>12</v>
      </c>
      <c r="AB18" s="246">
        <v>52</v>
      </c>
      <c r="AC18" s="246">
        <v>22</v>
      </c>
      <c r="AD18" s="246">
        <v>77</v>
      </c>
      <c r="AE18" s="246">
        <v>121</v>
      </c>
      <c r="AF18" s="246">
        <v>59</v>
      </c>
      <c r="AG18" s="246">
        <v>43</v>
      </c>
      <c r="AH18" s="246">
        <v>109</v>
      </c>
      <c r="AI18" s="246">
        <v>78</v>
      </c>
      <c r="AJ18" s="246">
        <v>49</v>
      </c>
      <c r="AK18" s="245" t="s">
        <v>7807</v>
      </c>
      <c r="AL18" s="223">
        <v>11</v>
      </c>
      <c r="AM18" s="245" t="s">
        <v>7807</v>
      </c>
      <c r="AN18" s="246">
        <v>106</v>
      </c>
      <c r="AO18" s="246">
        <v>45</v>
      </c>
      <c r="AP18" s="246">
        <v>18</v>
      </c>
      <c r="AQ18" s="246">
        <v>57</v>
      </c>
      <c r="AR18" s="246">
        <v>96</v>
      </c>
      <c r="AS18" s="246">
        <v>34</v>
      </c>
      <c r="AT18" s="246">
        <v>73</v>
      </c>
      <c r="AU18" s="246">
        <v>89</v>
      </c>
      <c r="AV18" s="251">
        <v>118</v>
      </c>
      <c r="AW18" s="246">
        <v>10</v>
      </c>
      <c r="AX18" s="246">
        <v>58</v>
      </c>
      <c r="AY18" s="246">
        <v>52</v>
      </c>
      <c r="AZ18" s="246">
        <v>107</v>
      </c>
      <c r="BA18" s="246">
        <v>63</v>
      </c>
      <c r="BB18" s="246">
        <v>67</v>
      </c>
      <c r="BC18" s="246">
        <v>44</v>
      </c>
      <c r="BD18" s="246">
        <v>47</v>
      </c>
      <c r="BE18" s="246">
        <v>94</v>
      </c>
      <c r="BF18" s="246">
        <v>2</v>
      </c>
      <c r="BG18" s="246">
        <v>76</v>
      </c>
      <c r="BH18" s="246">
        <v>36</v>
      </c>
      <c r="BI18" s="246">
        <v>87</v>
      </c>
      <c r="BJ18" s="246">
        <v>54</v>
      </c>
      <c r="BK18" s="246">
        <v>8</v>
      </c>
      <c r="BL18" s="246">
        <v>71</v>
      </c>
      <c r="BM18" s="246">
        <v>105</v>
      </c>
      <c r="BN18" s="247">
        <v>90</v>
      </c>
      <c r="BO18" s="248">
        <v>127</v>
      </c>
      <c r="BP18" s="249">
        <v>85</v>
      </c>
      <c r="BQ18" s="246">
        <v>102</v>
      </c>
      <c r="BR18" s="246">
        <v>100</v>
      </c>
      <c r="BS18" s="246">
        <v>120</v>
      </c>
      <c r="BT18" s="245" t="s">
        <v>7807</v>
      </c>
    </row>
    <row r="19" spans="2:72">
      <c r="B19" s="245" t="s">
        <v>7807</v>
      </c>
      <c r="C19" s="223">
        <v>12</v>
      </c>
      <c r="D19" s="245" t="s">
        <v>7807</v>
      </c>
      <c r="E19" s="246">
        <v>46</v>
      </c>
      <c r="F19" s="246">
        <v>72</v>
      </c>
      <c r="G19" s="246">
        <v>30</v>
      </c>
      <c r="H19" s="246">
        <v>91</v>
      </c>
      <c r="I19" s="246">
        <v>26</v>
      </c>
      <c r="J19" s="246">
        <v>1</v>
      </c>
      <c r="K19" s="246">
        <v>79</v>
      </c>
      <c r="L19" s="246">
        <v>93</v>
      </c>
      <c r="M19" s="246">
        <v>10</v>
      </c>
      <c r="N19" s="246">
        <v>82</v>
      </c>
      <c r="O19" s="246">
        <v>63</v>
      </c>
      <c r="P19" s="246">
        <v>62</v>
      </c>
      <c r="Q19" s="246">
        <v>6</v>
      </c>
      <c r="R19" s="246">
        <v>90</v>
      </c>
      <c r="S19" s="246">
        <v>112</v>
      </c>
      <c r="T19" s="246">
        <v>99</v>
      </c>
      <c r="U19" s="246">
        <v>97</v>
      </c>
      <c r="V19" s="246">
        <v>20</v>
      </c>
      <c r="W19" s="251">
        <v>33</v>
      </c>
      <c r="X19" s="246">
        <v>113</v>
      </c>
      <c r="Y19" s="246">
        <v>87</v>
      </c>
      <c r="Z19" s="246">
        <v>84</v>
      </c>
      <c r="AA19" s="246">
        <v>35</v>
      </c>
      <c r="AB19" s="246">
        <v>53</v>
      </c>
      <c r="AC19" s="246">
        <v>4</v>
      </c>
      <c r="AD19" s="246">
        <v>16</v>
      </c>
      <c r="AE19" s="246">
        <v>47</v>
      </c>
      <c r="AF19" s="246">
        <v>50</v>
      </c>
      <c r="AG19" s="246">
        <v>48</v>
      </c>
      <c r="AH19" s="246">
        <v>2</v>
      </c>
      <c r="AI19" s="246">
        <v>104</v>
      </c>
      <c r="AJ19" s="246">
        <v>34</v>
      </c>
      <c r="AK19" s="245" t="s">
        <v>7807</v>
      </c>
      <c r="AL19" s="223">
        <v>12</v>
      </c>
      <c r="AM19" s="245" t="s">
        <v>7807</v>
      </c>
      <c r="AN19" s="246">
        <v>20</v>
      </c>
      <c r="AO19" s="246">
        <v>41</v>
      </c>
      <c r="AP19" s="246">
        <v>48</v>
      </c>
      <c r="AQ19" s="246">
        <v>65</v>
      </c>
      <c r="AR19" s="246">
        <v>103</v>
      </c>
      <c r="AS19" s="246">
        <v>25</v>
      </c>
      <c r="AT19" s="246">
        <v>78</v>
      </c>
      <c r="AU19" s="246">
        <v>39</v>
      </c>
      <c r="AV19" s="246">
        <v>13</v>
      </c>
      <c r="AW19" s="246">
        <v>80</v>
      </c>
      <c r="AX19" s="246">
        <v>42</v>
      </c>
      <c r="AY19" s="246">
        <v>70</v>
      </c>
      <c r="AZ19" s="246">
        <v>126</v>
      </c>
      <c r="BA19" s="246">
        <v>12</v>
      </c>
      <c r="BB19" s="246">
        <v>117</v>
      </c>
      <c r="BC19" s="246">
        <v>59</v>
      </c>
      <c r="BD19" s="246">
        <v>28</v>
      </c>
      <c r="BE19" s="246">
        <v>74</v>
      </c>
      <c r="BF19" s="246">
        <v>99</v>
      </c>
      <c r="BG19" s="246">
        <v>5</v>
      </c>
      <c r="BH19" s="246">
        <v>72</v>
      </c>
      <c r="BI19" s="246">
        <v>68</v>
      </c>
      <c r="BJ19" s="246">
        <v>11</v>
      </c>
      <c r="BK19" s="246">
        <v>9</v>
      </c>
      <c r="BL19" s="246">
        <v>75</v>
      </c>
      <c r="BM19" s="246">
        <v>3</v>
      </c>
      <c r="BN19" s="246">
        <v>81</v>
      </c>
      <c r="BO19" s="251">
        <v>27</v>
      </c>
      <c r="BP19" s="246">
        <v>112</v>
      </c>
      <c r="BQ19" s="246">
        <v>115</v>
      </c>
      <c r="BR19" s="246">
        <v>7</v>
      </c>
      <c r="BS19" s="246">
        <v>125</v>
      </c>
      <c r="BT19" s="245" t="s">
        <v>7807</v>
      </c>
    </row>
    <row r="20" spans="2:72">
      <c r="C20" s="223"/>
      <c r="D20" s="223"/>
      <c r="AM20" s="223"/>
    </row>
    <row r="21" spans="2:72" ht="12.75" thickBot="1">
      <c r="C21" t="s">
        <v>7973</v>
      </c>
      <c r="D21" s="223" t="s">
        <v>7670</v>
      </c>
      <c r="E21">
        <v>4</v>
      </c>
      <c r="AL21" t="s">
        <v>7973</v>
      </c>
      <c r="AM21" s="223" t="s">
        <v>7670</v>
      </c>
      <c r="AN21">
        <v>8</v>
      </c>
    </row>
    <row r="22" spans="2:72" ht="12.75" thickBot="1">
      <c r="B22" s="245" t="s">
        <v>7807</v>
      </c>
      <c r="C22" s="223">
        <v>13</v>
      </c>
      <c r="D22" s="245" t="s">
        <v>7807</v>
      </c>
      <c r="E22" s="246">
        <v>98</v>
      </c>
      <c r="F22" s="246">
        <v>34</v>
      </c>
      <c r="G22" s="246">
        <v>110</v>
      </c>
      <c r="H22" s="246">
        <v>124</v>
      </c>
      <c r="I22" s="246">
        <v>24</v>
      </c>
      <c r="J22" s="246">
        <v>115</v>
      </c>
      <c r="K22" s="246">
        <v>120</v>
      </c>
      <c r="L22" s="250">
        <v>16</v>
      </c>
      <c r="M22" s="246">
        <v>72</v>
      </c>
      <c r="N22" s="246">
        <v>43</v>
      </c>
      <c r="O22" s="246">
        <v>113</v>
      </c>
      <c r="P22" s="246">
        <v>94</v>
      </c>
      <c r="Q22" s="246">
        <v>46</v>
      </c>
      <c r="R22" s="246">
        <v>36</v>
      </c>
      <c r="S22" s="246">
        <v>96</v>
      </c>
      <c r="T22" s="246">
        <v>126</v>
      </c>
      <c r="U22" s="246">
        <v>64</v>
      </c>
      <c r="V22" s="246">
        <v>69</v>
      </c>
      <c r="W22" s="246">
        <v>111</v>
      </c>
      <c r="X22" s="246">
        <v>121</v>
      </c>
      <c r="Y22" s="246">
        <v>41</v>
      </c>
      <c r="Z22" s="246">
        <v>70</v>
      </c>
      <c r="AA22" s="246">
        <v>5</v>
      </c>
      <c r="AB22" s="246">
        <v>108</v>
      </c>
      <c r="AC22" s="246">
        <v>106</v>
      </c>
      <c r="AD22" s="246">
        <v>89</v>
      </c>
      <c r="AE22" s="246">
        <v>14</v>
      </c>
      <c r="AF22" s="246">
        <v>90</v>
      </c>
      <c r="AG22" s="246">
        <v>81</v>
      </c>
      <c r="AH22" s="246">
        <v>125</v>
      </c>
      <c r="AI22" s="246">
        <v>55</v>
      </c>
      <c r="AJ22" s="246">
        <v>4</v>
      </c>
      <c r="AK22" s="245" t="s">
        <v>7807</v>
      </c>
      <c r="AL22" s="223">
        <v>13</v>
      </c>
      <c r="AM22" s="245" t="s">
        <v>7807</v>
      </c>
      <c r="AN22" s="246">
        <v>70</v>
      </c>
      <c r="AO22" s="246">
        <v>12</v>
      </c>
      <c r="AP22" s="246">
        <v>115</v>
      </c>
      <c r="AQ22" s="246">
        <v>35</v>
      </c>
      <c r="AR22" s="246">
        <v>40</v>
      </c>
      <c r="AS22" s="246">
        <v>63</v>
      </c>
      <c r="AT22" s="246">
        <v>65</v>
      </c>
      <c r="AU22" s="246">
        <v>92</v>
      </c>
      <c r="AV22" s="246">
        <v>116</v>
      </c>
      <c r="AW22" s="246">
        <v>111</v>
      </c>
      <c r="AX22" s="247">
        <v>24</v>
      </c>
      <c r="AY22" s="248">
        <v>127</v>
      </c>
      <c r="AZ22" s="249">
        <v>87</v>
      </c>
      <c r="BA22" s="246">
        <v>29</v>
      </c>
      <c r="BB22" s="246">
        <v>82</v>
      </c>
      <c r="BC22" s="246">
        <v>45</v>
      </c>
      <c r="BD22" s="246">
        <v>73</v>
      </c>
      <c r="BE22" s="246">
        <v>109</v>
      </c>
      <c r="BF22" s="246">
        <v>83</v>
      </c>
      <c r="BG22" s="246">
        <v>58</v>
      </c>
      <c r="BH22" s="246">
        <v>22</v>
      </c>
      <c r="BI22" s="246">
        <v>114</v>
      </c>
      <c r="BJ22" s="246">
        <v>81</v>
      </c>
      <c r="BK22" s="246">
        <v>80</v>
      </c>
      <c r="BL22" s="246">
        <v>91</v>
      </c>
      <c r="BM22" s="246">
        <v>106</v>
      </c>
      <c r="BN22" s="246">
        <v>48</v>
      </c>
      <c r="BO22" s="246">
        <v>25</v>
      </c>
      <c r="BP22" s="246">
        <v>105</v>
      </c>
      <c r="BQ22" s="246">
        <v>76</v>
      </c>
      <c r="BR22" s="246">
        <v>54</v>
      </c>
      <c r="BS22" s="246">
        <v>66</v>
      </c>
      <c r="BT22" s="245" t="s">
        <v>7807</v>
      </c>
    </row>
    <row r="23" spans="2:72" ht="15.75" thickBot="1">
      <c r="B23" s="245" t="s">
        <v>7807</v>
      </c>
      <c r="C23" s="253">
        <v>14</v>
      </c>
      <c r="D23" s="245" t="s">
        <v>7807</v>
      </c>
      <c r="E23" s="246">
        <v>49</v>
      </c>
      <c r="F23" s="246">
        <v>10</v>
      </c>
      <c r="G23" s="246">
        <v>103</v>
      </c>
      <c r="H23" s="246">
        <v>116</v>
      </c>
      <c r="I23" s="246">
        <v>85</v>
      </c>
      <c r="J23" s="246">
        <v>22</v>
      </c>
      <c r="K23" s="247">
        <v>117</v>
      </c>
      <c r="L23" s="248">
        <v>128</v>
      </c>
      <c r="M23" s="249">
        <v>105</v>
      </c>
      <c r="N23" s="246">
        <v>20</v>
      </c>
      <c r="O23" s="246">
        <v>104</v>
      </c>
      <c r="P23" s="246">
        <v>93</v>
      </c>
      <c r="Q23" s="246">
        <v>56</v>
      </c>
      <c r="R23" s="246">
        <v>100</v>
      </c>
      <c r="S23" s="246">
        <v>91</v>
      </c>
      <c r="T23" s="246">
        <v>62</v>
      </c>
      <c r="U23" s="246">
        <v>1</v>
      </c>
      <c r="V23" s="246">
        <v>6</v>
      </c>
      <c r="W23" s="246">
        <v>35</v>
      </c>
      <c r="X23" s="246">
        <v>71</v>
      </c>
      <c r="Y23" s="246">
        <v>42</v>
      </c>
      <c r="Z23" s="246">
        <v>25</v>
      </c>
      <c r="AA23" s="246">
        <v>31</v>
      </c>
      <c r="AB23" s="246">
        <v>118</v>
      </c>
      <c r="AC23" s="246">
        <v>114</v>
      </c>
      <c r="AD23" s="246">
        <v>21</v>
      </c>
      <c r="AE23" s="246">
        <v>26</v>
      </c>
      <c r="AF23" s="246">
        <v>11</v>
      </c>
      <c r="AG23" s="246">
        <v>77</v>
      </c>
      <c r="AH23" s="246">
        <v>76</v>
      </c>
      <c r="AI23" s="246">
        <v>40</v>
      </c>
      <c r="AJ23" s="246">
        <v>84</v>
      </c>
      <c r="AK23" s="245" t="s">
        <v>7807</v>
      </c>
      <c r="AL23" s="223">
        <v>14</v>
      </c>
      <c r="AM23" s="245" t="s">
        <v>7807</v>
      </c>
      <c r="AN23" s="246">
        <v>53</v>
      </c>
      <c r="AO23" s="246">
        <v>88</v>
      </c>
      <c r="AP23" s="246">
        <v>10</v>
      </c>
      <c r="AQ23" s="246">
        <v>39</v>
      </c>
      <c r="AR23" s="246">
        <v>101</v>
      </c>
      <c r="AS23" s="246">
        <v>5</v>
      </c>
      <c r="AT23" s="246">
        <v>64</v>
      </c>
      <c r="AU23" s="246">
        <v>117</v>
      </c>
      <c r="AV23" s="246">
        <v>37</v>
      </c>
      <c r="AW23" s="246">
        <v>61</v>
      </c>
      <c r="AX23" s="246">
        <v>112</v>
      </c>
      <c r="AY23" s="251">
        <v>78</v>
      </c>
      <c r="AZ23" s="246">
        <v>62</v>
      </c>
      <c r="BA23" s="246">
        <v>43</v>
      </c>
      <c r="BB23" s="246">
        <v>32</v>
      </c>
      <c r="BC23" s="246">
        <v>77</v>
      </c>
      <c r="BD23" s="246">
        <v>50</v>
      </c>
      <c r="BE23" s="246">
        <v>118</v>
      </c>
      <c r="BF23" s="250">
        <v>36</v>
      </c>
      <c r="BG23" s="246">
        <v>7</v>
      </c>
      <c r="BH23" s="246">
        <v>107</v>
      </c>
      <c r="BI23" s="246">
        <v>110</v>
      </c>
      <c r="BJ23" s="246">
        <v>113</v>
      </c>
      <c r="BK23" s="246">
        <v>41</v>
      </c>
      <c r="BL23" s="246">
        <v>33</v>
      </c>
      <c r="BM23" s="246">
        <v>126</v>
      </c>
      <c r="BN23" s="246">
        <v>125</v>
      </c>
      <c r="BO23" s="246">
        <v>9</v>
      </c>
      <c r="BP23" s="246">
        <v>95</v>
      </c>
      <c r="BQ23" s="246">
        <v>47</v>
      </c>
      <c r="BR23" s="246">
        <v>84</v>
      </c>
      <c r="BS23" s="246">
        <v>99</v>
      </c>
      <c r="BT23" s="245" t="s">
        <v>7807</v>
      </c>
    </row>
    <row r="24" spans="2:72" ht="12.75" thickBot="1">
      <c r="B24" s="245" t="s">
        <v>7807</v>
      </c>
      <c r="C24" s="223">
        <v>15</v>
      </c>
      <c r="D24" s="245" t="s">
        <v>7807</v>
      </c>
      <c r="E24" s="246">
        <v>23</v>
      </c>
      <c r="F24" s="246">
        <v>53</v>
      </c>
      <c r="G24" s="246">
        <v>99</v>
      </c>
      <c r="H24" s="246">
        <v>112</v>
      </c>
      <c r="I24" s="246">
        <v>58</v>
      </c>
      <c r="J24" s="246">
        <v>51</v>
      </c>
      <c r="K24" s="246">
        <v>32</v>
      </c>
      <c r="L24" s="251">
        <v>33</v>
      </c>
      <c r="M24" s="246">
        <v>52</v>
      </c>
      <c r="N24" s="246">
        <v>80</v>
      </c>
      <c r="O24" s="246">
        <v>122</v>
      </c>
      <c r="P24" s="246">
        <v>27</v>
      </c>
      <c r="Q24" s="246">
        <v>54</v>
      </c>
      <c r="R24" s="246">
        <v>87</v>
      </c>
      <c r="S24" s="246">
        <v>39</v>
      </c>
      <c r="T24" s="246">
        <v>66</v>
      </c>
      <c r="U24" s="246">
        <v>61</v>
      </c>
      <c r="V24" s="246">
        <v>38</v>
      </c>
      <c r="W24" s="246">
        <v>78</v>
      </c>
      <c r="X24" s="246">
        <v>95</v>
      </c>
      <c r="Y24" s="246">
        <v>63</v>
      </c>
      <c r="Z24" s="246">
        <v>97</v>
      </c>
      <c r="AA24" s="246">
        <v>17</v>
      </c>
      <c r="AB24" s="246">
        <v>102</v>
      </c>
      <c r="AC24" s="246">
        <v>92</v>
      </c>
      <c r="AD24" s="246">
        <v>123</v>
      </c>
      <c r="AE24" s="246">
        <v>30</v>
      </c>
      <c r="AF24" s="246">
        <v>12</v>
      </c>
      <c r="AG24" s="246">
        <v>79</v>
      </c>
      <c r="AH24" s="246">
        <v>45</v>
      </c>
      <c r="AI24" s="250">
        <v>82</v>
      </c>
      <c r="AJ24" s="246">
        <v>28</v>
      </c>
      <c r="AK24" s="245" t="s">
        <v>7807</v>
      </c>
      <c r="AL24" s="223">
        <v>15</v>
      </c>
      <c r="AM24" s="245" t="s">
        <v>7807</v>
      </c>
      <c r="AN24" s="246">
        <v>17</v>
      </c>
      <c r="AO24" s="246">
        <v>8</v>
      </c>
      <c r="AP24" s="246">
        <v>42</v>
      </c>
      <c r="AQ24" s="246">
        <v>120</v>
      </c>
      <c r="AR24" s="246">
        <v>26</v>
      </c>
      <c r="AS24" s="246">
        <v>20</v>
      </c>
      <c r="AT24" s="246">
        <v>123</v>
      </c>
      <c r="AU24" s="246">
        <v>14</v>
      </c>
      <c r="AV24" s="246">
        <v>98</v>
      </c>
      <c r="AW24" s="246">
        <v>34</v>
      </c>
      <c r="AX24" s="246">
        <v>28</v>
      </c>
      <c r="AY24" s="246">
        <v>56</v>
      </c>
      <c r="AZ24" s="246">
        <v>11</v>
      </c>
      <c r="BA24" s="246">
        <v>4</v>
      </c>
      <c r="BB24" s="246">
        <v>68</v>
      </c>
      <c r="BC24" s="246">
        <v>90</v>
      </c>
      <c r="BD24" s="246">
        <v>21</v>
      </c>
      <c r="BE24" s="247">
        <v>51</v>
      </c>
      <c r="BF24" s="248">
        <v>128</v>
      </c>
      <c r="BG24" s="249">
        <v>97</v>
      </c>
      <c r="BH24" s="246">
        <v>94</v>
      </c>
      <c r="BI24" s="246">
        <v>100</v>
      </c>
      <c r="BJ24" s="246">
        <v>13</v>
      </c>
      <c r="BK24" s="246">
        <v>104</v>
      </c>
      <c r="BL24" s="246">
        <v>15</v>
      </c>
      <c r="BM24" s="246">
        <v>31</v>
      </c>
      <c r="BN24" s="246">
        <v>23</v>
      </c>
      <c r="BO24" s="246">
        <v>57</v>
      </c>
      <c r="BP24" s="246">
        <v>96</v>
      </c>
      <c r="BQ24" s="246">
        <v>30</v>
      </c>
      <c r="BR24" s="246">
        <v>124</v>
      </c>
      <c r="BS24" s="246">
        <v>55</v>
      </c>
      <c r="BT24" s="245" t="s">
        <v>7807</v>
      </c>
    </row>
    <row r="25" spans="2:72" ht="12.75" thickBot="1">
      <c r="B25" s="245" t="s">
        <v>7807</v>
      </c>
      <c r="C25" s="223">
        <v>16</v>
      </c>
      <c r="D25" s="245" t="s">
        <v>7807</v>
      </c>
      <c r="E25" s="246">
        <v>74</v>
      </c>
      <c r="F25" s="246">
        <v>107</v>
      </c>
      <c r="G25" s="246">
        <v>59</v>
      </c>
      <c r="H25" s="246">
        <v>60</v>
      </c>
      <c r="I25" s="246">
        <v>44</v>
      </c>
      <c r="J25" s="246">
        <v>2</v>
      </c>
      <c r="K25" s="246">
        <v>109</v>
      </c>
      <c r="L25" s="246">
        <v>86</v>
      </c>
      <c r="M25" s="246">
        <v>65</v>
      </c>
      <c r="N25" s="246">
        <v>15</v>
      </c>
      <c r="O25" s="246">
        <v>57</v>
      </c>
      <c r="P25" s="246">
        <v>48</v>
      </c>
      <c r="Q25" s="246">
        <v>47</v>
      </c>
      <c r="R25" s="246">
        <v>68</v>
      </c>
      <c r="S25" s="246">
        <v>29</v>
      </c>
      <c r="T25" s="246">
        <v>75</v>
      </c>
      <c r="U25" s="246">
        <v>50</v>
      </c>
      <c r="V25" s="246">
        <v>9</v>
      </c>
      <c r="W25" s="246">
        <v>88</v>
      </c>
      <c r="X25" s="246">
        <v>8</v>
      </c>
      <c r="Y25" s="246">
        <v>19</v>
      </c>
      <c r="Z25" s="246">
        <v>3</v>
      </c>
      <c r="AA25" s="246">
        <v>119</v>
      </c>
      <c r="AB25" s="246">
        <v>67</v>
      </c>
      <c r="AC25" s="246">
        <v>7</v>
      </c>
      <c r="AD25" s="246">
        <v>101</v>
      </c>
      <c r="AE25" s="246">
        <v>83</v>
      </c>
      <c r="AF25" s="246">
        <v>13</v>
      </c>
      <c r="AG25" s="246">
        <v>37</v>
      </c>
      <c r="AH25" s="247">
        <v>18</v>
      </c>
      <c r="AI25" s="248">
        <v>127</v>
      </c>
      <c r="AJ25" s="249">
        <v>73</v>
      </c>
      <c r="AK25" s="245" t="s">
        <v>7807</v>
      </c>
      <c r="AL25" s="223">
        <v>16</v>
      </c>
      <c r="AM25" s="245" t="s">
        <v>7807</v>
      </c>
      <c r="AN25" s="246">
        <v>67</v>
      </c>
      <c r="AO25" s="246">
        <v>46</v>
      </c>
      <c r="AP25" s="246">
        <v>1</v>
      </c>
      <c r="AQ25" s="246">
        <v>71</v>
      </c>
      <c r="AR25" s="246">
        <v>52</v>
      </c>
      <c r="AS25" s="246">
        <v>122</v>
      </c>
      <c r="AT25" s="246">
        <v>2</v>
      </c>
      <c r="AU25" s="246">
        <v>27</v>
      </c>
      <c r="AV25" s="246">
        <v>38</v>
      </c>
      <c r="AW25" s="246">
        <v>18</v>
      </c>
      <c r="AX25" s="246">
        <v>103</v>
      </c>
      <c r="AY25" s="246">
        <v>60</v>
      </c>
      <c r="AZ25" s="246">
        <v>79</v>
      </c>
      <c r="BA25" s="246">
        <v>19</v>
      </c>
      <c r="BB25" s="246">
        <v>6</v>
      </c>
      <c r="BC25" s="246">
        <v>3</v>
      </c>
      <c r="BD25" s="246">
        <v>44</v>
      </c>
      <c r="BE25" s="246">
        <v>85</v>
      </c>
      <c r="BF25" s="251">
        <v>119</v>
      </c>
      <c r="BG25" s="246">
        <v>102</v>
      </c>
      <c r="BH25" s="246">
        <v>108</v>
      </c>
      <c r="BI25" s="246">
        <v>93</v>
      </c>
      <c r="BJ25" s="246">
        <v>86</v>
      </c>
      <c r="BK25" s="246">
        <v>75</v>
      </c>
      <c r="BL25" s="246">
        <v>59</v>
      </c>
      <c r="BM25" s="246">
        <v>121</v>
      </c>
      <c r="BN25" s="246">
        <v>69</v>
      </c>
      <c r="BO25" s="246">
        <v>49</v>
      </c>
      <c r="BP25" s="246">
        <v>16</v>
      </c>
      <c r="BQ25" s="246">
        <v>74</v>
      </c>
      <c r="BR25" s="246">
        <v>89</v>
      </c>
      <c r="BS25" s="246">
        <v>72</v>
      </c>
      <c r="BT25" s="245" t="s">
        <v>7807</v>
      </c>
    </row>
    <row r="26" spans="2:72">
      <c r="AL26"/>
    </row>
    <row r="27" spans="2:72">
      <c r="C27" s="246">
        <v>1</v>
      </c>
      <c r="D27" s="255" t="s">
        <v>7440</v>
      </c>
      <c r="H27" s="246">
        <v>2</v>
      </c>
      <c r="I27" t="s">
        <v>7439</v>
      </c>
      <c r="AL27"/>
    </row>
    <row r="28" spans="2:72">
      <c r="C28" s="246">
        <v>123</v>
      </c>
      <c r="D28" s="255" t="s">
        <v>7440</v>
      </c>
      <c r="H28" s="246">
        <v>124</v>
      </c>
      <c r="I28" t="s">
        <v>7439</v>
      </c>
      <c r="AL28"/>
    </row>
    <row r="29" spans="2:72">
      <c r="C29" s="246">
        <v>125</v>
      </c>
      <c r="D29" s="255" t="s">
        <v>7440</v>
      </c>
      <c r="H29" s="246">
        <v>126</v>
      </c>
      <c r="I29" t="s">
        <v>7439</v>
      </c>
      <c r="AL29"/>
    </row>
    <row r="30" spans="2:72">
      <c r="C30" s="246">
        <v>127</v>
      </c>
      <c r="D30" s="255" t="s">
        <v>7440</v>
      </c>
      <c r="H30" s="246">
        <v>128</v>
      </c>
      <c r="I30" t="s">
        <v>7439</v>
      </c>
    </row>
    <row r="31" spans="2:72">
      <c r="D31" s="256"/>
    </row>
    <row r="32" spans="2:72">
      <c r="C32" s="246">
        <v>121</v>
      </c>
      <c r="D32" s="255" t="s">
        <v>7974</v>
      </c>
      <c r="H32" s="246">
        <v>122</v>
      </c>
      <c r="I32" t="s">
        <v>7975</v>
      </c>
    </row>
    <row r="33" spans="3:56" ht="12.75" thickBot="1"/>
    <row r="34" spans="3:56" ht="12.75" thickBot="1">
      <c r="C34" s="257" t="s">
        <v>7976</v>
      </c>
      <c r="AJ34" s="223"/>
      <c r="AL34"/>
      <c r="BB34" s="223"/>
      <c r="BD34"/>
    </row>
    <row r="35" spans="3:56">
      <c r="F35" t="s">
        <v>7977</v>
      </c>
      <c r="AJ35" s="223"/>
      <c r="AL35"/>
      <c r="BB35" s="223"/>
      <c r="BD35"/>
    </row>
    <row r="36" spans="3:56" ht="12.75" thickBot="1">
      <c r="AJ36" s="223"/>
      <c r="AL36"/>
      <c r="BB36" s="223"/>
      <c r="BD36"/>
    </row>
    <row r="37" spans="3:56">
      <c r="D37" t="s">
        <v>7978</v>
      </c>
      <c r="G37" s="258"/>
      <c r="H37" s="259"/>
      <c r="I37" s="259" t="s">
        <v>172</v>
      </c>
      <c r="J37" s="259" t="s">
        <v>257</v>
      </c>
      <c r="K37" s="260" t="s">
        <v>259</v>
      </c>
      <c r="AJ37" s="223"/>
      <c r="AL37"/>
      <c r="BB37" s="223"/>
      <c r="BD37"/>
    </row>
    <row r="38" spans="3:56">
      <c r="G38" s="261" t="s">
        <v>7440</v>
      </c>
      <c r="H38" s="262"/>
      <c r="I38" s="246">
        <v>2</v>
      </c>
      <c r="J38" s="246">
        <v>4</v>
      </c>
      <c r="K38" s="263">
        <v>4</v>
      </c>
      <c r="AJ38" s="223"/>
      <c r="AL38"/>
      <c r="BB38" s="223"/>
      <c r="BD38"/>
    </row>
    <row r="39" spans="3:56">
      <c r="G39" s="264" t="s">
        <v>7979</v>
      </c>
      <c r="H39" s="265"/>
      <c r="I39" s="246">
        <v>2</v>
      </c>
      <c r="J39" s="246">
        <v>4</v>
      </c>
      <c r="K39" s="263">
        <v>4</v>
      </c>
      <c r="AJ39" s="223"/>
      <c r="AL39"/>
      <c r="BB39" s="223"/>
      <c r="BD39"/>
    </row>
    <row r="40" spans="3:56">
      <c r="G40" s="266"/>
      <c r="H40" s="246"/>
      <c r="I40" s="246"/>
      <c r="J40" s="246"/>
      <c r="K40" s="263"/>
      <c r="AJ40" s="223"/>
      <c r="AL40"/>
      <c r="BB40" s="223"/>
      <c r="BD40"/>
    </row>
    <row r="41" spans="3:56">
      <c r="G41" s="267" t="s">
        <v>7808</v>
      </c>
      <c r="H41" s="268"/>
      <c r="I41" s="246">
        <v>2</v>
      </c>
      <c r="J41" s="269">
        <v>2</v>
      </c>
      <c r="K41" s="270">
        <v>2</v>
      </c>
      <c r="AJ41" s="223"/>
      <c r="AL41"/>
      <c r="BB41" s="223"/>
      <c r="BD41"/>
    </row>
    <row r="42" spans="3:56">
      <c r="G42" s="266" t="s">
        <v>7980</v>
      </c>
      <c r="H42" s="246"/>
      <c r="I42" s="246"/>
      <c r="J42" s="246"/>
      <c r="K42" s="263">
        <f>SUM(I38:K39,I41:K41)</f>
        <v>26</v>
      </c>
      <c r="AJ42" s="223"/>
      <c r="AL42"/>
      <c r="BB42" s="223"/>
      <c r="BD42"/>
    </row>
    <row r="43" spans="3:56" ht="12.75" thickBot="1">
      <c r="G43" s="271" t="s">
        <v>7981</v>
      </c>
      <c r="H43" s="272"/>
      <c r="I43" s="272"/>
      <c r="J43" s="272"/>
      <c r="K43" s="273">
        <f>3*K42</f>
        <v>78</v>
      </c>
      <c r="AJ43" s="223"/>
      <c r="AL43"/>
      <c r="BB43" s="223"/>
      <c r="BD43"/>
    </row>
  </sheetData>
  <sheetProtection selectLockedCells="1" selectUnlockedCells="1"/>
  <conditionalFormatting sqref="BD22:BS25 AK22:AM29 BD16:BS19 AK16:AM19 BD14 AK14 C4:C6 E9:T25 U14:AJ29 AL9:AL15 U10:AK13 AM10:BS13 AN14:BC25 AK9 AM9:BC9 AM15 AL20:AM21 D9:D19 AM2:AM3 D3 AL1:AL7 B4:B7 D4:AK7 AM4:BS7 C9 C11:C17 B10:B25 D21:D25 C19:C22 C24:C25 C27:D30 H27:H30 C32:D32 H32">
    <cfRule type="cellIs" dxfId="9" priority="7" operator="equal">
      <formula>122</formula>
    </cfRule>
    <cfRule type="cellIs" dxfId="8" priority="8" operator="equal">
      <formula>121</formula>
    </cfRule>
    <cfRule type="cellIs" dxfId="7" priority="9" operator="equal">
      <formula>127</formula>
    </cfRule>
    <cfRule type="cellIs" dxfId="6" priority="10" operator="equal">
      <formula>128</formula>
    </cfRule>
  </conditionalFormatting>
  <conditionalFormatting sqref="BD22:BT25 AK22:AM29 BD16:BT19 AK16:AM19 AN14:BD14 A14 U20:AJ29 BT9 U2:AJ2 BD4:BT7 U10:BT13 AN15:BC25 A4:A7 AK9:BC9 C1:C6 U4:AN7 F1:T7 D2:E7 AL15:AM15 AK1:AL3 AO1:BC1 AO3:BC7 AN3 AM2:AM3 AN2:BS2 AK14:AL14 AL20:AM21 B1:B7 A9:B13 D9:T13 C9 D14:AJ19 C11:C17 B14:B25 D20:T25 C19:C22 C24:C25 C27:D30 H27:H30 C32:D32 H32">
    <cfRule type="cellIs" dxfId="5" priority="3" operator="equal">
      <formula>124</formula>
    </cfRule>
    <cfRule type="cellIs" dxfId="4" priority="4" operator="equal">
      <formula>126</formula>
    </cfRule>
    <cfRule type="cellIs" dxfId="3" priority="5" operator="equal">
      <formula>123</formula>
    </cfRule>
    <cfRule type="cellIs" dxfId="2" priority="6" operator="equal">
      <formula>125</formula>
    </cfRule>
  </conditionalFormatting>
  <conditionalFormatting sqref="AK26:AM29 U22:AJ29 E22:T25 B4:B7 B10:B13 C19 E4:AK7 E10:AK13 AN4:BS7 AN10:BS13 AN16:BS19 AN22:BS25 B16:B19 C16:C17 B22:B25 C22 C24:C25 C27:C30 H27:H30 C32 H32 E16:AL19 AK22:AL25">
    <cfRule type="cellIs" dxfId="1" priority="1" operator="equal">
      <formula>2</formula>
    </cfRule>
    <cfRule type="cellIs" dxfId="0" priority="2" operator="equal">
      <formula>1</formula>
    </cfRule>
  </conditionalFormatting>
  <pageMargins left="0.78749999999999998" right="0.78749999999999998" top="1.0527777777777778" bottom="1.0527777777777778" header="0.78749999999999998" footer="0.78749999999999998"/>
  <pageSetup paperSize="9" firstPageNumber="0" orientation="portrait" horizontalDpi="300" verticalDpi="300" r:id="rId1"/>
  <headerFooter alignWithMargins="0">
    <oddHeader>&amp;C&amp;"Times New Roman,Regular"&amp;12&amp;A</oddHeader>
    <oddFooter>&amp;C&amp;"Times New Roman,Regular"&amp;12Page &amp;P</oddFooter>
  </headerFooter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Feuil17"/>
  <dimension ref="A1:E33"/>
  <sheetViews>
    <sheetView tabSelected="1" zoomScale="80" zoomScaleNormal="80" workbookViewId="0">
      <selection activeCell="D22" sqref="D22"/>
    </sheetView>
  </sheetViews>
  <sheetFormatPr baseColWidth="10" defaultRowHeight="12"/>
  <cols>
    <col min="1" max="1" width="21.5703125" style="216" bestFit="1" customWidth="1"/>
    <col min="2" max="2" width="14.85546875" style="216" customWidth="1"/>
    <col min="3" max="3" width="24.5703125" style="216" bestFit="1" customWidth="1"/>
    <col min="4" max="4" width="13.7109375" style="216" customWidth="1"/>
    <col min="5" max="5" width="29.5703125" style="216" customWidth="1"/>
    <col min="6" max="16384" width="11.42578125" style="210"/>
  </cols>
  <sheetData>
    <row r="1" spans="1:5" ht="15.75">
      <c r="A1" s="209" t="s">
        <v>7700</v>
      </c>
      <c r="B1" s="209" t="s">
        <v>213</v>
      </c>
      <c r="C1" s="209" t="s">
        <v>7701</v>
      </c>
      <c r="D1" s="209" t="s">
        <v>7702</v>
      </c>
      <c r="E1" s="209" t="s">
        <v>7703</v>
      </c>
    </row>
    <row r="2" spans="1:5" ht="15.75">
      <c r="A2" s="211" t="s">
        <v>7983</v>
      </c>
      <c r="B2" s="212">
        <v>40732</v>
      </c>
      <c r="C2" s="213"/>
      <c r="D2" s="221"/>
      <c r="E2" s="213"/>
    </row>
    <row r="3" spans="1:5" ht="15.75">
      <c r="A3" s="211" t="s">
        <v>7804</v>
      </c>
      <c r="B3" s="212">
        <v>40732</v>
      </c>
      <c r="C3" s="213"/>
      <c r="D3" s="221"/>
      <c r="E3" s="213"/>
    </row>
    <row r="4" spans="1:5" ht="15.75">
      <c r="A4" s="211" t="s">
        <v>7983</v>
      </c>
      <c r="B4" s="212">
        <v>40766</v>
      </c>
      <c r="C4" s="213"/>
      <c r="D4" s="221"/>
      <c r="E4" s="213"/>
    </row>
    <row r="5" spans="1:5" ht="15.75">
      <c r="A5" s="211" t="s">
        <v>7984</v>
      </c>
      <c r="B5" s="212">
        <v>40785</v>
      </c>
      <c r="C5" s="213"/>
      <c r="D5" s="221"/>
      <c r="E5" s="213" t="s">
        <v>7994</v>
      </c>
    </row>
    <row r="6" spans="1:5" ht="15.75">
      <c r="A6" s="211" t="s">
        <v>7984</v>
      </c>
      <c r="B6" s="212">
        <v>40787</v>
      </c>
      <c r="C6" s="213"/>
      <c r="D6" s="221"/>
      <c r="E6" s="213"/>
    </row>
    <row r="7" spans="1:5" ht="15.75">
      <c r="A7" s="211" t="s">
        <v>7985</v>
      </c>
      <c r="B7" s="212">
        <v>40787</v>
      </c>
      <c r="C7" s="214"/>
      <c r="D7" s="221"/>
      <c r="E7" s="213"/>
    </row>
    <row r="8" spans="1:5" ht="15.75">
      <c r="A8" s="211" t="s">
        <v>7983</v>
      </c>
      <c r="B8" s="217">
        <v>40799</v>
      </c>
      <c r="C8" s="213"/>
      <c r="D8" s="221"/>
      <c r="E8" s="213"/>
    </row>
    <row r="9" spans="1:5" ht="15.75">
      <c r="A9" s="211" t="s">
        <v>7804</v>
      </c>
      <c r="B9" s="217">
        <v>40799</v>
      </c>
      <c r="C9" s="213"/>
      <c r="D9" s="221"/>
      <c r="E9" s="213"/>
    </row>
    <row r="10" spans="1:5" ht="15.75">
      <c r="A10" s="211" t="s">
        <v>7983</v>
      </c>
      <c r="B10" s="212">
        <v>40799</v>
      </c>
      <c r="C10" s="213"/>
      <c r="D10" s="221"/>
      <c r="E10" s="213"/>
    </row>
    <row r="11" spans="1:5" ht="15.75">
      <c r="A11" s="211" t="s">
        <v>7986</v>
      </c>
      <c r="B11" s="212">
        <v>40800</v>
      </c>
      <c r="C11" s="213"/>
      <c r="D11" s="221"/>
      <c r="E11" s="213"/>
    </row>
    <row r="12" spans="1:5" ht="15.75">
      <c r="A12" s="211" t="s">
        <v>7987</v>
      </c>
      <c r="B12" s="212">
        <v>40802</v>
      </c>
      <c r="C12" s="215" t="s">
        <v>7995</v>
      </c>
      <c r="D12" s="221"/>
      <c r="E12" s="218" t="s">
        <v>7996</v>
      </c>
    </row>
    <row r="13" spans="1:5" ht="15.75">
      <c r="A13" s="211" t="s">
        <v>7988</v>
      </c>
      <c r="B13" s="212">
        <v>40805</v>
      </c>
      <c r="C13" s="213" t="s">
        <v>7997</v>
      </c>
      <c r="D13" s="221"/>
      <c r="E13" s="213" t="s">
        <v>7998</v>
      </c>
    </row>
    <row r="14" spans="1:5" ht="15.75">
      <c r="A14" s="211" t="s">
        <v>7988</v>
      </c>
      <c r="B14" s="212">
        <v>40807</v>
      </c>
      <c r="C14" s="213" t="s">
        <v>7999</v>
      </c>
      <c r="D14" s="221"/>
      <c r="E14" s="213" t="s">
        <v>8000</v>
      </c>
    </row>
    <row r="15" spans="1:5" ht="15.75">
      <c r="A15" s="211" t="s">
        <v>7987</v>
      </c>
      <c r="B15" s="212">
        <v>40807</v>
      </c>
      <c r="C15" s="213" t="s">
        <v>8001</v>
      </c>
      <c r="D15" s="221"/>
      <c r="E15" s="213" t="s">
        <v>8002</v>
      </c>
    </row>
    <row r="16" spans="1:5" ht="15.75">
      <c r="A16" s="211" t="s">
        <v>7987</v>
      </c>
      <c r="B16" s="212">
        <v>40808</v>
      </c>
      <c r="C16" s="213" t="s">
        <v>8003</v>
      </c>
      <c r="D16" s="221"/>
      <c r="E16" s="213" t="s">
        <v>8004</v>
      </c>
    </row>
    <row r="17" spans="1:5" ht="15.75">
      <c r="A17" s="211" t="s">
        <v>7989</v>
      </c>
      <c r="B17" s="212">
        <v>40809</v>
      </c>
      <c r="C17" s="213"/>
      <c r="D17" s="221"/>
      <c r="E17" s="213"/>
    </row>
    <row r="18" spans="1:5" ht="15.75">
      <c r="A18" s="211" t="s">
        <v>7988</v>
      </c>
      <c r="B18" s="212">
        <v>40813</v>
      </c>
      <c r="C18" s="213" t="s">
        <v>7997</v>
      </c>
      <c r="D18" s="221"/>
      <c r="E18" s="213" t="s">
        <v>8005</v>
      </c>
    </row>
    <row r="19" spans="1:5" ht="15.75">
      <c r="A19" s="211" t="s">
        <v>7987</v>
      </c>
      <c r="B19" s="212">
        <v>40816</v>
      </c>
      <c r="C19" s="213" t="s">
        <v>8006</v>
      </c>
      <c r="D19" s="221"/>
      <c r="E19" s="213" t="s">
        <v>8007</v>
      </c>
    </row>
    <row r="20" spans="1:5" ht="15.75">
      <c r="A20" s="211" t="s">
        <v>7987</v>
      </c>
      <c r="B20" s="212">
        <v>40836</v>
      </c>
      <c r="C20" s="213" t="s">
        <v>8008</v>
      </c>
      <c r="D20" s="221"/>
      <c r="E20" s="213" t="s">
        <v>8009</v>
      </c>
    </row>
    <row r="21" spans="1:5" ht="15.75">
      <c r="A21" s="211" t="s">
        <v>7987</v>
      </c>
      <c r="B21" s="212">
        <v>40864</v>
      </c>
      <c r="C21" s="213" t="s">
        <v>8033</v>
      </c>
      <c r="D21" s="221"/>
      <c r="E21" s="213" t="s">
        <v>8010</v>
      </c>
    </row>
    <row r="22" spans="1:5" ht="15.75">
      <c r="A22" s="211" t="s">
        <v>7984</v>
      </c>
      <c r="B22" s="212">
        <v>40960</v>
      </c>
      <c r="C22" s="213" t="s">
        <v>8011</v>
      </c>
      <c r="D22" s="221"/>
      <c r="E22" s="213" t="s">
        <v>8012</v>
      </c>
    </row>
    <row r="23" spans="1:5" ht="15.75">
      <c r="A23" s="211" t="s">
        <v>7984</v>
      </c>
      <c r="B23" s="212">
        <v>40962</v>
      </c>
      <c r="C23" s="213" t="s">
        <v>8013</v>
      </c>
      <c r="D23" s="221"/>
      <c r="E23" s="213" t="s">
        <v>8014</v>
      </c>
    </row>
    <row r="24" spans="1:5" ht="15.75">
      <c r="A24" s="211" t="s">
        <v>7984</v>
      </c>
      <c r="B24" s="212">
        <v>40982</v>
      </c>
      <c r="C24" s="213" t="s">
        <v>8011</v>
      </c>
      <c r="D24" s="221"/>
      <c r="E24" s="213" t="s">
        <v>8015</v>
      </c>
    </row>
    <row r="25" spans="1:5" ht="15.75">
      <c r="A25" s="211" t="s">
        <v>7987</v>
      </c>
      <c r="B25" s="212">
        <v>40984</v>
      </c>
      <c r="C25" s="213" t="s">
        <v>8016</v>
      </c>
      <c r="D25" s="221"/>
      <c r="E25" s="213" t="s">
        <v>8017</v>
      </c>
    </row>
    <row r="26" spans="1:5" ht="15.75">
      <c r="A26" s="211" t="s">
        <v>7987</v>
      </c>
      <c r="B26" s="212">
        <v>40997</v>
      </c>
      <c r="C26" s="213" t="s">
        <v>8006</v>
      </c>
      <c r="D26" s="221"/>
      <c r="E26" s="213" t="s">
        <v>8018</v>
      </c>
    </row>
    <row r="27" spans="1:5" ht="15.75">
      <c r="A27" s="211" t="s">
        <v>7987</v>
      </c>
      <c r="B27" s="212">
        <v>41012</v>
      </c>
      <c r="C27" s="213" t="s">
        <v>8008</v>
      </c>
      <c r="D27" s="221"/>
      <c r="E27" s="213" t="s">
        <v>8019</v>
      </c>
    </row>
    <row r="28" spans="1:5" ht="15.75">
      <c r="A28" s="211" t="s">
        <v>7987</v>
      </c>
      <c r="B28" s="212">
        <v>41032</v>
      </c>
      <c r="C28" s="214" t="s">
        <v>7806</v>
      </c>
      <c r="D28" s="221"/>
      <c r="E28" s="213" t="s">
        <v>8020</v>
      </c>
    </row>
    <row r="29" spans="1:5" ht="15.75">
      <c r="A29" s="211" t="s">
        <v>7991</v>
      </c>
      <c r="B29" s="212">
        <v>41058</v>
      </c>
      <c r="C29" s="214"/>
      <c r="D29" s="221"/>
      <c r="E29" s="213"/>
    </row>
    <row r="30" spans="1:5" ht="15.75">
      <c r="A30" s="211" t="s">
        <v>7992</v>
      </c>
      <c r="B30" s="212" t="s">
        <v>7993</v>
      </c>
      <c r="C30" s="213"/>
      <c r="D30" s="222"/>
      <c r="E30" s="222"/>
    </row>
    <row r="31" spans="1:5" ht="15.75">
      <c r="A31" s="211" t="s">
        <v>7990</v>
      </c>
      <c r="B31" s="212">
        <v>41127</v>
      </c>
      <c r="C31" s="213"/>
      <c r="D31" s="222"/>
      <c r="E31" s="222"/>
    </row>
    <row r="32" spans="1:5" ht="15.75">
      <c r="A32" s="211" t="s">
        <v>7985</v>
      </c>
      <c r="B32" s="212">
        <v>41128</v>
      </c>
      <c r="C32" s="213"/>
      <c r="D32" s="222"/>
      <c r="E32" s="222"/>
    </row>
    <row r="33" spans="1:5" ht="15.75">
      <c r="A33" s="211" t="s">
        <v>7987</v>
      </c>
      <c r="B33" s="212">
        <v>41158</v>
      </c>
      <c r="C33" s="213" t="s">
        <v>8032</v>
      </c>
      <c r="D33" s="222"/>
      <c r="E33" s="213" t="s">
        <v>8021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otalTime>154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17</vt:i4>
      </vt:variant>
      <vt:variant>
        <vt:lpstr>Plages nommées</vt:lpstr>
      </vt:variant>
      <vt:variant>
        <vt:i4>5</vt:i4>
      </vt:variant>
    </vt:vector>
  </HeadingPairs>
  <TitlesOfParts>
    <vt:vector size="22" baseType="lpstr">
      <vt:lpstr>README</vt:lpstr>
      <vt:lpstr>Trial</vt:lpstr>
      <vt:lpstr>Site</vt:lpstr>
      <vt:lpstr>Contact</vt:lpstr>
      <vt:lpstr>Variable</vt:lpstr>
      <vt:lpstr>PlantMaterial</vt:lpstr>
      <vt:lpstr>Treatment</vt:lpstr>
      <vt:lpstr>Level</vt:lpstr>
      <vt:lpstr>Data</vt:lpstr>
      <vt:lpstr>Files</vt:lpstr>
      <vt:lpstr>ForestComplementaryInfo</vt:lpstr>
      <vt:lpstr>StaticData</vt:lpstr>
      <vt:lpstr>Meteo_Data</vt:lpstr>
      <vt:lpstr>Soil_data</vt:lpstr>
      <vt:lpstr>INN_Data</vt:lpstr>
      <vt:lpstr>Parcellaire_data</vt:lpstr>
      <vt:lpstr>ITK_data</vt:lpstr>
      <vt:lpstr>HoldingInstitution</vt:lpstr>
      <vt:lpstr>InstitutionName</vt:lpstr>
      <vt:lpstr>ProjectAcronym</vt:lpstr>
      <vt:lpstr>SiteName</vt:lpstr>
      <vt:lpstr>TaxonScientificName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cmichotey</dc:creator>
  <cp:lastModifiedBy>Tyfanie Bourlet</cp:lastModifiedBy>
  <cp:revision>11</cp:revision>
  <cp:lastPrinted>1601-01-01T00:00:00Z</cp:lastPrinted>
  <dcterms:created xsi:type="dcterms:W3CDTF">2013-10-04T13:51:10Z</dcterms:created>
  <dcterms:modified xsi:type="dcterms:W3CDTF">2015-02-12T07:58:10Z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14.0300</vt:lpwstr>
  </property>
  <property fmtid="{D5CDD505-2E9C-101B-9397-08002B2CF9AE}" pid="3" name="DocSecurity">
    <vt:i4>0</vt:i4>
  </property>
  <property fmtid="{D5CDD505-2E9C-101B-9397-08002B2CF9AE}" pid="4" name="HyperlinksChanged">
    <vt:bool>false</vt:bool>
  </property>
  <property fmtid="{D5CDD505-2E9C-101B-9397-08002B2CF9AE}" pid="5" name="LinksUpToDate">
    <vt:bool>false</vt:bool>
  </property>
  <property fmtid="{D5CDD505-2E9C-101B-9397-08002B2CF9AE}" pid="6" name="ScaleCrop">
    <vt:bool>false</vt:bool>
  </property>
  <property fmtid="{D5CDD505-2E9C-101B-9397-08002B2CF9AE}" pid="7" name="ShareDoc">
    <vt:bool>false</vt:bool>
  </property>
</Properties>
</file>