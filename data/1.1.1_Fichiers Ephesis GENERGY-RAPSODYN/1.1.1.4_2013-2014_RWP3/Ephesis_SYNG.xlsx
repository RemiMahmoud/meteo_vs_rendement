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240" windowWidth="16380" windowHeight="7950" tabRatio="927" firstSheet="4" activeTab="8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definedNames>
    <definedName name="_xlnm._FilterDatabase" localSheetId="8" hidden="1">Data!$A$1:$CM$865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Y3" i="9" l="1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2" i="9"/>
  <c r="T24" i="16" l="1"/>
  <c r="H24" i="16"/>
  <c r="J27" i="15" l="1"/>
  <c r="J26" i="15"/>
  <c r="J28" i="15"/>
  <c r="J29" i="15"/>
  <c r="J30" i="15"/>
  <c r="J31" i="15"/>
  <c r="J32" i="15"/>
  <c r="J33" i="15"/>
  <c r="S33" i="15" s="1"/>
  <c r="T33" i="15" s="1"/>
  <c r="J34" i="15"/>
  <c r="S27" i="15"/>
  <c r="S28" i="15"/>
  <c r="S29" i="15"/>
  <c r="S30" i="15"/>
  <c r="T30" i="15" s="1"/>
  <c r="S31" i="15"/>
  <c r="T31" i="15" s="1"/>
  <c r="S32" i="15"/>
  <c r="T32" i="15" s="1"/>
  <c r="S34" i="15"/>
  <c r="T27" i="15"/>
  <c r="T28" i="15"/>
  <c r="T29" i="15"/>
  <c r="T34" i="15"/>
  <c r="L28" i="15"/>
  <c r="L29" i="15"/>
  <c r="L30" i="15"/>
  <c r="L31" i="15"/>
  <c r="L32" i="15"/>
  <c r="L33" i="15"/>
  <c r="L34" i="15"/>
  <c r="L27" i="15"/>
  <c r="W19" i="15"/>
  <c r="X19" i="15" s="1"/>
  <c r="W20" i="15"/>
  <c r="X20" i="15" s="1"/>
  <c r="W21" i="15"/>
  <c r="X21" i="15" s="1"/>
  <c r="W22" i="15"/>
  <c r="W23" i="15"/>
  <c r="X23" i="15" s="1"/>
  <c r="W24" i="15"/>
  <c r="W25" i="15"/>
  <c r="W26" i="15"/>
  <c r="X22" i="15"/>
  <c r="X26" i="15"/>
  <c r="R20" i="15"/>
  <c r="R21" i="15"/>
  <c r="R22" i="15"/>
  <c r="R23" i="15"/>
  <c r="R24" i="15"/>
  <c r="R25" i="15"/>
  <c r="R26" i="15"/>
  <c r="R19" i="15"/>
  <c r="L19" i="15" s="1"/>
  <c r="J19" i="15" s="1"/>
  <c r="S19" i="15" s="1"/>
  <c r="O20" i="15"/>
  <c r="O21" i="15"/>
  <c r="O22" i="15"/>
  <c r="O23" i="15"/>
  <c r="L23" i="15" s="1"/>
  <c r="J23" i="15" s="1"/>
  <c r="O24" i="15"/>
  <c r="L24" i="15" s="1"/>
  <c r="J24" i="15" s="1"/>
  <c r="O25" i="15"/>
  <c r="L25" i="15" s="1"/>
  <c r="J25" i="15" s="1"/>
  <c r="O26" i="15"/>
  <c r="L26" i="15" s="1"/>
  <c r="O19" i="15"/>
  <c r="L12" i="15"/>
  <c r="J12" i="15" s="1"/>
  <c r="L13" i="15"/>
  <c r="J13" i="15" s="1"/>
  <c r="L14" i="15"/>
  <c r="J14" i="15" s="1"/>
  <c r="L15" i="15"/>
  <c r="J15" i="15" s="1"/>
  <c r="S15" i="15" s="1"/>
  <c r="L16" i="15"/>
  <c r="J16" i="15" s="1"/>
  <c r="S16" i="15" s="1"/>
  <c r="L17" i="15"/>
  <c r="J17" i="15" s="1"/>
  <c r="S17" i="15" s="1"/>
  <c r="L18" i="15"/>
  <c r="J18" i="15" s="1"/>
  <c r="S18" i="15" s="1"/>
  <c r="L4" i="15"/>
  <c r="J4" i="15" s="1"/>
  <c r="S4" i="15" s="1"/>
  <c r="T4" i="15" s="1"/>
  <c r="Y4" i="15" s="1"/>
  <c r="L5" i="15"/>
  <c r="J5" i="15" s="1"/>
  <c r="S5" i="15" s="1"/>
  <c r="T5" i="15" s="1"/>
  <c r="Y5" i="15" s="1"/>
  <c r="L6" i="15"/>
  <c r="J6" i="15" s="1"/>
  <c r="S6" i="15" s="1"/>
  <c r="T6" i="15" s="1"/>
  <c r="Y6" i="15" s="1"/>
  <c r="L7" i="15"/>
  <c r="J7" i="15" s="1"/>
  <c r="S7" i="15" s="1"/>
  <c r="T7" i="15" s="1"/>
  <c r="Y7" i="15" s="1"/>
  <c r="L8" i="15"/>
  <c r="J8" i="15" s="1"/>
  <c r="S8" i="15" s="1"/>
  <c r="T8" i="15" s="1"/>
  <c r="Y8" i="15" s="1"/>
  <c r="L9" i="15"/>
  <c r="J9" i="15" s="1"/>
  <c r="S9" i="15" s="1"/>
  <c r="T9" i="15" s="1"/>
  <c r="Y9" i="15" s="1"/>
  <c r="L10" i="15"/>
  <c r="J10" i="15" s="1"/>
  <c r="S10" i="15" s="1"/>
  <c r="T10" i="15" s="1"/>
  <c r="Y10" i="15" s="1"/>
  <c r="L11" i="15"/>
  <c r="J11" i="15" s="1"/>
  <c r="S11" i="15" s="1"/>
  <c r="T11" i="15" s="1"/>
  <c r="Y11" i="15" s="1"/>
  <c r="L3" i="15"/>
  <c r="L22" i="15" l="1"/>
  <c r="J22" i="15" s="1"/>
  <c r="L21" i="15"/>
  <c r="J21" i="15" s="1"/>
  <c r="S21" i="15" s="1"/>
  <c r="T21" i="15" s="1"/>
  <c r="Y21" i="15" s="1"/>
  <c r="L20" i="15"/>
  <c r="J20" i="15" s="1"/>
  <c r="S20" i="15" s="1"/>
  <c r="T20" i="15" s="1"/>
  <c r="Y20" i="15" s="1"/>
  <c r="X24" i="15"/>
  <c r="X25" i="15"/>
  <c r="S25" i="15"/>
  <c r="T25" i="15" s="1"/>
  <c r="S24" i="15"/>
  <c r="T24" i="15" s="1"/>
  <c r="S23" i="15"/>
  <c r="T23" i="15" s="1"/>
  <c r="Y23" i="15" s="1"/>
  <c r="S14" i="15"/>
  <c r="T14" i="15" s="1"/>
  <c r="Y14" i="15" s="1"/>
  <c r="S13" i="15"/>
  <c r="T13" i="15" s="1"/>
  <c r="Y13" i="15" s="1"/>
  <c r="T18" i="15"/>
  <c r="Y18" i="15" s="1"/>
  <c r="S12" i="15"/>
  <c r="T12" i="15" s="1"/>
  <c r="Y12" i="15" s="1"/>
  <c r="S26" i="15"/>
  <c r="T26" i="15" s="1"/>
  <c r="Y26" i="15" s="1"/>
  <c r="S22" i="15"/>
  <c r="T22" i="15" s="1"/>
  <c r="Y22" i="15" s="1"/>
  <c r="T19" i="15"/>
  <c r="Y19" i="15" s="1"/>
  <c r="T16" i="15"/>
  <c r="Y16" i="15" s="1"/>
  <c r="T15" i="15"/>
  <c r="Y15" i="15" s="1"/>
  <c r="T17" i="15"/>
  <c r="Y17" i="15" s="1"/>
  <c r="Y24" i="15" l="1"/>
  <c r="Y25" i="15"/>
  <c r="J3" i="15"/>
  <c r="S3" i="15" s="1"/>
  <c r="T3" i="15" s="1"/>
  <c r="Y3" i="15" s="1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E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<sst xmlns="http://schemas.openxmlformats.org/spreadsheetml/2006/main" count="11708" uniqueCount="8230">
  <si>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</si>
  <si>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</si>
  <si>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</si>
  <si>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</si>
  <si>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</si>
  <si>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</si>
  <si>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</si>
  <si>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</si>
  <si>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</si>
  <si>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</si>
  <si>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</si>
  <si>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</si>
  <si>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</si>
  <si>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</si>
  <si>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</si>
  <si>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</si>
  <si>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</si>
  <si>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</si>
  <si>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</si>
  <si>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</si>
  <si>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</si>
  <si>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</si>
  <si>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</si>
  <si>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</si>
  <si>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</si>
  <si>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</si>
  <si>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</si>
  <si>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</si>
  <si>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</si>
  <si>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</si>
  <si>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</si>
  <si>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</si>
  <si>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</si>
  <si>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</si>
  <si>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</si>
  <si>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</si>
  <si>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</si>
  <si>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</si>
  <si>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</si>
  <si>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</si>
  <si>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</si>
  <si>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</si>
  <si>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</si>
  <si>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</si>
  <si>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</si>
  <si>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</si>
  <si>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</si>
  <si>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</si>
  <si>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</si>
  <si>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</si>
  <si>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</si>
  <si>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</si>
  <si>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</si>
  <si>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</si>
  <si>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</si>
  <si>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</si>
  <si>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</si>
  <si>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</si>
  <si>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</si>
  <si>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</si>
  <si>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</si>
  <si>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</si>
  <si>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</si>
  <si>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</si>
  <si>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</si>
  <si>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</si>
  <si>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</si>
  <si>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</si>
  <si>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</si>
  <si>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</si>
  <si>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</si>
  <si>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</si>
  <si>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</si>
  <si>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</si>
  <si>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</si>
  <si>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</si>
  <si>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</si>
  <si>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</si>
  <si>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</si>
  <si>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</si>
  <si>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</si>
  <si>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</si>
  <si>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</si>
  <si>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</si>
  <si>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</si>
  <si>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</si>
  <si>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</si>
  <si>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</si>
  <si>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</si>
  <si>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</si>
  <si>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</si>
  <si>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</si>
  <si>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</si>
  <si>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</si>
  <si>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</si>
  <si>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</si>
  <si>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</si>
  <si>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</si>
  <si>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</si>
  <si>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</si>
  <si>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</si>
  <si>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</si>
  <si>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</si>
  <si>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</si>
  <si>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</si>
  <si>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</si>
  <si>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</si>
  <si>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</si>
  <si>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</si>
  <si>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</si>
  <si>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</si>
  <si>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</si>
  <si>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</si>
  <si>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</si>
  <si>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</si>
  <si>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</si>
  <si>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</si>
  <si>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</si>
  <si>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</si>
  <si>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</si>
  <si>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</si>
  <si>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</si>
  <si>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</si>
  <si>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</si>
  <si>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</si>
  <si>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</si>
  <si>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</si>
  <si>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</si>
  <si>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</si>
  <si>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</si>
  <si>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</si>
  <si>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</si>
  <si>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</si>
  <si>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</si>
  <si>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</si>
  <si>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</si>
  <si>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</si>
  <si>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</si>
  <si>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</si>
  <si>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</si>
  <si>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</si>
  <si>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</si>
  <si>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</si>
  <si>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</si>
  <si>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</si>
  <si>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</si>
  <si>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</si>
  <si>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</si>
  <si>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</si>
  <si>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</si>
  <si>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</si>
  <si>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</si>
  <si>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</si>
  <si>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</si>
  <si>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</si>
  <si>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</si>
  <si>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</si>
  <si>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</si>
  <si>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</si>
  <si>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</si>
  <si>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</si>
  <si>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</si>
  <si>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</si>
  <si>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</si>
  <si>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</si>
  <si>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</si>
  <si>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</si>
  <si>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</si>
  <si>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</si>
  <si>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</si>
  <si>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</si>
  <si>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</si>
  <si>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</si>
  <si>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</si>
  <si>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</si>
  <si>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</si>
  <si>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</si>
  <si>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</si>
  <si>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</si>
  <si>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</si>
  <si>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</si>
  <si>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</si>
  <si>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</si>
  <si>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</si>
  <si>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</si>
  <si>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</si>
  <si>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</si>
  <si>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</si>
  <si>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</si>
  <si>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</si>
  <si>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</si>
  <si>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</si>
  <si>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</si>
  <si>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</si>
  <si>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</si>
  <si>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</si>
  <si>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</si>
  <si>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</si>
  <si>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</si>
  <si>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</si>
  <si>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</si>
  <si>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</si>
  <si>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</si>
  <si>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</si>
  <si>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</si>
  <si>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</si>
  <si>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</si>
  <si>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</si>
  <si>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Nesi</t>
  </si>
  <si>
    <t>Nathalie</t>
  </si>
  <si>
    <t>nathalie.nesi@rennes.inra.fr</t>
  </si>
  <si>
    <t>IGEPP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</si>
  <si>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</si>
  <si>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</si>
  <si>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</si>
  <si>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</si>
  <si>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</si>
  <si>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</si>
  <si>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</si>
  <si>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</si>
  <si>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</si>
  <si>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</si>
  <si>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</si>
  <si>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</si>
  <si>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Warzanwski</t>
  </si>
  <si>
    <t>Forto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</si>
  <si>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</si>
  <si>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</si>
  <si>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</si>
  <si>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</si>
  <si>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</si>
  <si>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</si>
  <si>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</si>
  <si>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</si>
  <si>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</si>
  <si>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</si>
  <si>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</si>
  <si>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</si>
  <si>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</si>
  <si>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</si>
  <si>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</si>
  <si>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</si>
  <si>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</si>
  <si>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</si>
  <si>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</si>
  <si>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</si>
  <si>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</si>
  <si>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</si>
  <si>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</si>
  <si>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</si>
  <si>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</si>
  <si>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</si>
  <si>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</si>
  <si>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</si>
  <si>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</si>
  <si>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</si>
  <si>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</si>
  <si>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</si>
  <si>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</si>
  <si>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</si>
  <si>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</si>
  <si>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</si>
  <si>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</si>
  <si>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</si>
  <si>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</si>
  <si>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</si>
  <si>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</si>
  <si>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</si>
  <si>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</si>
  <si>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</si>
  <si>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</si>
  <si>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</si>
  <si>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</si>
  <si>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</si>
  <si>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</si>
  <si>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</si>
  <si>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</si>
  <si>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</si>
  <si>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</si>
  <si>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</si>
  <si>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</si>
  <si>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</si>
  <si>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</si>
  <si>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</si>
  <si>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</si>
  <si>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</si>
  <si>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</si>
  <si>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</si>
  <si>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</si>
  <si>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</si>
  <si>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</si>
  <si>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</si>
  <si>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</si>
  <si>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</si>
  <si>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</si>
  <si>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</si>
  <si>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</si>
  <si>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</si>
  <si>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</si>
  <si>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</si>
  <si>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</si>
  <si>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</si>
  <si>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</si>
  <si>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</si>
  <si>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</si>
  <si>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</si>
  <si>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</si>
  <si>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</si>
  <si>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</si>
  <si>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</si>
  <si>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</si>
  <si>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</si>
  <si>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</si>
  <si>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</si>
  <si>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</si>
  <si>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</si>
  <si>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</si>
  <si>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</si>
  <si>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</si>
  <si>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</si>
  <si>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</si>
  <si>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</si>
  <si>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</si>
  <si>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</si>
  <si>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</si>
  <si>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</si>
  <si>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</si>
  <si>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</si>
  <si>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</si>
  <si>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</si>
  <si>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</si>
  <si>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</si>
  <si>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</si>
  <si>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</si>
  <si>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</si>
  <si>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</si>
  <si>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</si>
  <si>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</si>
  <si>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</si>
  <si>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</si>
  <si>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</si>
  <si>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</si>
  <si>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</si>
  <si>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</si>
  <si>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</si>
  <si>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</si>
  <si>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</si>
  <si>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</si>
  <si>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</si>
  <si>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</si>
  <si>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</si>
  <si>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</si>
  <si>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</si>
  <si>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</si>
  <si>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</si>
  <si>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</si>
  <si>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</si>
  <si>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</si>
  <si>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</si>
  <si>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</si>
  <si>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</si>
  <si>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</si>
  <si>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</si>
  <si>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</si>
  <si>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</si>
  <si>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</si>
  <si>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</si>
  <si>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</si>
  <si>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</si>
  <si>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</si>
  <si>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</si>
  <si>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</si>
  <si>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</si>
  <si>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</si>
  <si>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</si>
  <si>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</si>
  <si>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</si>
  <si>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</si>
  <si>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</si>
  <si>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</si>
  <si>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</si>
  <si>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</si>
  <si>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</si>
  <si>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</si>
  <si>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</si>
  <si>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</si>
  <si>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</si>
  <si>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</si>
  <si>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</si>
  <si>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</si>
  <si>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</si>
  <si>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</si>
  <si>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</si>
  <si>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</si>
  <si>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</si>
  <si>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</si>
  <si>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</si>
  <si>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</si>
  <si>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</si>
  <si>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</si>
  <si>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</si>
  <si>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</si>
  <si>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</si>
  <si>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</si>
  <si>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</si>
  <si>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</si>
  <si>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</si>
  <si>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</si>
  <si>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</si>
  <si>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</si>
  <si>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</si>
  <si>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</si>
  <si>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</si>
  <si>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</si>
  <si>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</si>
  <si>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</si>
  <si>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</si>
  <si>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</si>
  <si>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</si>
  <si>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</si>
  <si>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</si>
  <si>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</si>
  <si>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</si>
  <si>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</si>
  <si>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</si>
  <si>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</si>
  <si>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</si>
  <si>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</si>
  <si>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</si>
  <si>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</si>
  <si>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</si>
  <si>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</si>
  <si>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</si>
  <si>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</si>
  <si>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</si>
  <si>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</si>
  <si>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</si>
  <si>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</si>
  <si>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</si>
  <si>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</si>
  <si>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</si>
  <si>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</si>
  <si>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</si>
  <si>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</si>
  <si>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</si>
  <si>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</si>
  <si>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</si>
  <si>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</si>
  <si>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</si>
  <si>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</si>
  <si>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</si>
  <si>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</si>
  <si>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</si>
  <si>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</si>
  <si>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</si>
  <si>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</si>
  <si>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</si>
  <si>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</si>
  <si>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</si>
  <si>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</si>
  <si>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</si>
  <si>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</si>
  <si>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</si>
  <si>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</si>
  <si>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</si>
  <si>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</si>
  <si>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</si>
  <si>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</si>
  <si>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</si>
  <si>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</si>
  <si>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</si>
  <si>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</si>
  <si>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</si>
  <si>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</si>
  <si>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</si>
  <si>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</si>
  <si>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</si>
  <si>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</si>
  <si>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</si>
  <si>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</si>
  <si>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</si>
  <si>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</si>
  <si>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</si>
  <si>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</si>
  <si>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</si>
  <si>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</si>
  <si>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</si>
  <si>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</si>
  <si>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</si>
  <si>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</si>
  <si>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</si>
  <si>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</si>
  <si>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</si>
  <si>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</si>
  <si>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</si>
  <si>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</si>
  <si>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</si>
  <si>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</si>
  <si>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</si>
  <si>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</si>
  <si>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</si>
  <si>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</si>
  <si>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</si>
  <si>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</si>
  <si>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</si>
  <si>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</si>
  <si>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</si>
  <si>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</si>
  <si>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</si>
  <si>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</si>
  <si>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</si>
  <si>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</si>
  <si>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</si>
  <si>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</si>
  <si>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</si>
  <si>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</si>
  <si>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</si>
  <si>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</si>
  <si>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</si>
  <si>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</si>
  <si>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</si>
  <si>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</si>
  <si>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</si>
  <si>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</si>
  <si>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</si>
  <si>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</si>
  <si>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</si>
  <si>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</si>
  <si>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</si>
  <si>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</si>
  <si>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</si>
  <si>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</si>
  <si>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</si>
  <si>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</si>
  <si>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</si>
  <si>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</si>
  <si>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</si>
  <si>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</si>
  <si>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</si>
  <si>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</si>
  <si>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</si>
  <si>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</si>
  <si>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</si>
  <si>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</si>
  <si>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</si>
  <si>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</si>
  <si>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</si>
  <si>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</si>
  <si>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</si>
  <si>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</si>
  <si>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</si>
  <si>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</si>
  <si>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</si>
  <si>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</si>
  <si>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</si>
  <si>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</si>
  <si>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</si>
  <si>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</si>
  <si>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</si>
  <si>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</si>
  <si>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</si>
  <si>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</si>
  <si>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</si>
  <si>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</si>
  <si>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</si>
  <si>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</si>
  <si>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</si>
  <si>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</si>
  <si>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</si>
  <si>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</si>
  <si>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</si>
  <si>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</si>
  <si>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</si>
  <si>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</si>
  <si>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</si>
  <si>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</si>
  <si>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</si>
  <si>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</si>
  <si>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</si>
  <si>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</si>
  <si>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</si>
  <si>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</si>
  <si>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</si>
  <si>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</si>
  <si>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</si>
  <si>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</si>
  <si>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</si>
  <si>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</si>
  <si>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</si>
  <si>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</si>
  <si>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</si>
  <si>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</si>
  <si>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</si>
  <si>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</si>
  <si>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</si>
  <si>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</si>
  <si>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</si>
  <si>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</si>
  <si>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</si>
  <si>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</si>
  <si>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</si>
  <si>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</si>
  <si>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</si>
  <si>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</si>
  <si>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</si>
  <si>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</si>
  <si>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</si>
  <si>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</si>
  <si>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</si>
  <si>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</si>
  <si>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</si>
  <si>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</si>
  <si>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</si>
  <si>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</si>
  <si>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</si>
  <si>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</si>
  <si>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</si>
  <si>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</si>
  <si>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</si>
  <si>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</si>
  <si>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</si>
  <si>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</si>
  <si>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</si>
  <si>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</si>
  <si>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</si>
  <si>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</si>
  <si>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</si>
  <si>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</si>
  <si>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</si>
  <si>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</si>
  <si>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</si>
  <si>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</si>
  <si>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</si>
  <si>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</si>
  <si>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</si>
  <si>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</si>
  <si>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</si>
  <si>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</si>
  <si>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</si>
  <si>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</si>
  <si>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</si>
  <si>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</si>
  <si>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</si>
  <si>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</si>
  <si>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</si>
  <si>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</si>
  <si>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</si>
  <si>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</si>
  <si>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</si>
  <si>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</si>
  <si>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</si>
  <si>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</si>
  <si>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</si>
  <si>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</si>
  <si>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</si>
  <si>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</si>
  <si>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</si>
  <si>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</si>
  <si>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</si>
  <si>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</si>
  <si>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</si>
  <si>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</si>
  <si>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</si>
  <si>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</si>
  <si>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</si>
  <si>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</si>
  <si>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</si>
  <si>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</si>
  <si>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</si>
  <si>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</si>
  <si>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</si>
  <si>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</si>
  <si>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</si>
  <si>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</si>
  <si>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</si>
  <si>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</si>
  <si>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</si>
  <si>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</si>
  <si>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</si>
  <si>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</si>
  <si>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</si>
  <si>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</si>
  <si>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</si>
  <si>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</si>
  <si>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</si>
  <si>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</si>
  <si>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</si>
  <si>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</si>
  <si>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</si>
  <si>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</si>
  <si>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</si>
  <si>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</si>
  <si>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</si>
  <si>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</si>
  <si>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</si>
  <si>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</si>
  <si>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</si>
  <si>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</si>
  <si>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</si>
  <si>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</si>
  <si>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</si>
  <si>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</si>
  <si>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</si>
  <si>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</si>
  <si>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</si>
  <si>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</si>
  <si>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</si>
  <si>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</si>
  <si>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</si>
  <si>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</si>
  <si>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</si>
  <si>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</si>
  <si>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</si>
  <si>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</si>
  <si>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</si>
  <si>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</si>
  <si>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</si>
  <si>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</si>
  <si>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</si>
  <si>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</si>
  <si>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</si>
  <si>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</si>
  <si>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</si>
  <si>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</si>
  <si>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</si>
  <si>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</si>
  <si>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</si>
  <si>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</si>
  <si>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</si>
  <si>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</si>
  <si>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</si>
  <si>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</si>
  <si>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</si>
  <si>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</si>
  <si>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</si>
  <si>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</si>
  <si>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</si>
  <si>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</si>
  <si>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</si>
  <si>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</si>
  <si>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</si>
  <si>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</si>
  <si>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</si>
  <si>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</si>
  <si>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</si>
  <si>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</si>
  <si>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</si>
  <si>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</si>
  <si>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</si>
  <si>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</si>
  <si>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</si>
  <si>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</si>
  <si>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</si>
  <si>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</si>
  <si>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</si>
  <si>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</si>
  <si>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</si>
  <si>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</si>
  <si>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</si>
  <si>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</si>
  <si>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</si>
  <si>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</si>
  <si>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</si>
  <si>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</si>
  <si>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</si>
  <si>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</si>
  <si>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</si>
  <si>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</si>
  <si>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</si>
  <si>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</si>
  <si>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</si>
  <si>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</si>
  <si>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</si>
  <si>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</si>
  <si>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</si>
  <si>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</si>
  <si>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</si>
  <si>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</si>
  <si>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</si>
  <si>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</si>
  <si>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</si>
  <si>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</si>
  <si>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</si>
  <si>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</si>
  <si>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</si>
  <si>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</si>
  <si>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</si>
  <si>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</si>
  <si>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</si>
  <si>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</si>
  <si>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</si>
  <si>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</si>
  <si>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</si>
  <si>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</si>
  <si>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</si>
  <si>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</si>
  <si>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</si>
  <si>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</si>
  <si>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</si>
  <si>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</si>
  <si>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</si>
  <si>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</si>
  <si>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</si>
  <si>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</si>
  <si>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</si>
  <si>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</si>
  <si>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</si>
  <si>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</si>
  <si>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</si>
  <si>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</si>
  <si>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</si>
  <si>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</si>
  <si>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</si>
  <si>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</si>
  <si>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</si>
  <si>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</si>
  <si>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</si>
  <si>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</si>
  <si>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</si>
  <si>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</si>
  <si>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</si>
  <si>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</si>
  <si>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</si>
  <si>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</si>
  <si>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</si>
  <si>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</si>
  <si>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</si>
  <si>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</si>
  <si>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</si>
  <si>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</si>
  <si>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</si>
  <si>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</si>
  <si>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</si>
  <si>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</si>
  <si>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</si>
  <si>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</si>
  <si>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</si>
  <si>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</si>
  <si>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</si>
  <si>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</si>
  <si>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</si>
  <si>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</si>
  <si>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</si>
  <si>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</si>
  <si>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</si>
  <si>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</si>
  <si>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</si>
  <si>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</si>
  <si>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</si>
  <si>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</si>
  <si>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</si>
  <si>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</si>
  <si>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</si>
  <si>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</si>
  <si>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</si>
  <si>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</si>
  <si>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</si>
  <si>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</si>
  <si>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</si>
  <si>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</si>
  <si>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</si>
  <si>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</si>
  <si>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</si>
  <si>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</si>
  <si>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</si>
  <si>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</si>
  <si>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</si>
  <si>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</si>
  <si>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</si>
  <si>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</si>
  <si>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</si>
  <si>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</si>
  <si>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</si>
  <si>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</si>
  <si>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</si>
  <si>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</si>
  <si>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</si>
  <si>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</si>
  <si>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</si>
  <si>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</si>
  <si>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</si>
  <si>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</si>
  <si>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</si>
  <si>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</si>
  <si>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</si>
  <si>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</si>
  <si>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</si>
  <si>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</si>
  <si>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</si>
  <si>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</si>
  <si>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</si>
  <si>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</si>
  <si>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</si>
  <si>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</si>
  <si>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</si>
  <si>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</si>
  <si>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</si>
  <si>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</si>
  <si>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</si>
  <si>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</si>
  <si>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</si>
  <si>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</si>
  <si>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</si>
  <si>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</si>
  <si>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</si>
  <si>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</si>
  <si>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</si>
  <si>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</si>
  <si>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</si>
  <si>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</si>
  <si>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</si>
  <si>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</si>
  <si>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</si>
  <si>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</si>
  <si>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</si>
  <si>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</si>
  <si>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</si>
  <si>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</si>
  <si>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</si>
  <si>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</si>
  <si>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</si>
  <si>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</si>
  <si>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</si>
  <si>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</si>
  <si>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</si>
  <si>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</si>
  <si>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</si>
  <si>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</si>
  <si>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</si>
  <si>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</si>
  <si>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</si>
  <si>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</si>
  <si>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</si>
  <si>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</si>
  <si>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</si>
  <si>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</si>
  <si>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</si>
  <si>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</si>
  <si>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</si>
  <si>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</si>
  <si>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</si>
  <si>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</si>
  <si>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</si>
  <si>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</si>
  <si>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</si>
  <si>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</si>
  <si>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</si>
  <si>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</si>
  <si>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</si>
  <si>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</si>
  <si>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</si>
  <si>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</si>
  <si>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</si>
  <si>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</si>
  <si>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</si>
  <si>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</si>
  <si>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</si>
  <si>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</si>
  <si>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</si>
  <si>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</si>
  <si>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</si>
  <si>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</si>
  <si>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</si>
  <si>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</si>
  <si>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</si>
  <si>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</si>
  <si>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</si>
  <si>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</si>
  <si>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</si>
  <si>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</si>
  <si>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</si>
  <si>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</si>
  <si>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</si>
  <si>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</si>
  <si>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</si>
  <si>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</si>
  <si>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</si>
  <si>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</si>
  <si>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</si>
  <si>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</si>
  <si>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</si>
  <si>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</si>
  <si>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</si>
  <si>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</si>
  <si>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</si>
  <si>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</si>
  <si>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</si>
  <si>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</si>
  <si>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</si>
  <si>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</si>
  <si>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</si>
  <si>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</si>
  <si>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</si>
  <si>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</si>
  <si>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</si>
  <si>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</si>
  <si>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</si>
  <si>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</si>
  <si>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</si>
  <si>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</si>
  <si>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</si>
  <si>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</si>
  <si>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</si>
  <si>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</si>
  <si>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</si>
  <si>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</si>
  <si>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</si>
  <si>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</si>
  <si>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</si>
  <si>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</si>
  <si>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</si>
  <si>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</si>
  <si>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</si>
  <si>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</si>
  <si>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</si>
  <si>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</si>
  <si>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</si>
  <si>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</si>
  <si>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</si>
  <si>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</si>
  <si>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</si>
  <si>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</si>
  <si>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</si>
  <si>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</si>
  <si>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</si>
  <si>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</si>
  <si>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</si>
  <si>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</si>
  <si>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</si>
  <si>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</si>
  <si>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</si>
  <si>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</si>
  <si>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</si>
  <si>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</si>
  <si>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</si>
  <si>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</si>
  <si>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</si>
  <si>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</si>
  <si>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</si>
  <si>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</si>
  <si>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</si>
  <si>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</si>
  <si>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</si>
  <si>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</si>
  <si>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</si>
  <si>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</si>
  <si>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</si>
  <si>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</si>
  <si>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</si>
  <si>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</si>
  <si>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</si>
  <si>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</si>
  <si>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</si>
  <si>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</si>
  <si>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</si>
  <si>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</si>
  <si>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</si>
  <si>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</si>
  <si>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</si>
  <si>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</si>
  <si>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</si>
  <si>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</si>
  <si>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</si>
  <si>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</si>
  <si>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</si>
  <si>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</si>
  <si>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</si>
  <si>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</si>
  <si>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</si>
  <si>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</si>
  <si>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</si>
  <si>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</si>
  <si>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</si>
  <si>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</si>
  <si>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</si>
  <si>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</si>
  <si>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</si>
  <si>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</si>
  <si>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</si>
  <si>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</si>
  <si>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</si>
  <si>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</si>
  <si>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</si>
  <si>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</si>
  <si>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</si>
  <si>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</si>
  <si>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</si>
  <si>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</si>
  <si>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</si>
  <si>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</si>
  <si>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</si>
  <si>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</si>
  <si>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</si>
  <si>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</si>
  <si>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</si>
  <si>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</si>
  <si>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</si>
  <si>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</si>
  <si>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</si>
  <si>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</si>
  <si>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</si>
  <si>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</si>
  <si>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</si>
  <si>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</si>
  <si>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</si>
  <si>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</si>
  <si>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</si>
  <si>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</si>
  <si>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</si>
  <si>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</si>
  <si>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</si>
  <si>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</si>
  <si>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</si>
  <si>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</si>
  <si>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</si>
  <si>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</si>
  <si>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</si>
  <si>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</si>
  <si>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</si>
  <si>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</si>
  <si>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</si>
  <si>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</si>
  <si>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</si>
  <si>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</si>
  <si>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</si>
  <si>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</si>
  <si>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</si>
  <si>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</si>
  <si>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</si>
  <si>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</si>
  <si>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</si>
  <si>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</si>
  <si>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</si>
  <si>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</si>
  <si>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</si>
  <si>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</si>
  <si>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</si>
  <si>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</si>
  <si>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</si>
  <si>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</si>
  <si>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</si>
  <si>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</si>
  <si>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</si>
  <si>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</si>
  <si>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</si>
  <si>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</si>
  <si>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</si>
  <si>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</si>
  <si>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</si>
  <si>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</si>
  <si>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</si>
  <si>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</si>
  <si>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</si>
  <si>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</si>
  <si>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</si>
  <si>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</si>
  <si>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</si>
  <si>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</si>
  <si>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</si>
  <si>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</si>
  <si>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</si>
  <si>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</si>
  <si>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</si>
  <si>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</si>
  <si>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</si>
  <si>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</si>
  <si>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</si>
  <si>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</si>
  <si>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</si>
  <si>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</si>
  <si>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</si>
  <si>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</si>
  <si>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</si>
  <si>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</si>
  <si>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</si>
  <si>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</si>
  <si>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</si>
  <si>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</si>
  <si>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</si>
  <si>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</si>
  <si>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</si>
  <si>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</si>
  <si>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</si>
  <si>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</si>
  <si>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</si>
  <si>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</si>
  <si>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</si>
  <si>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</si>
  <si>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</si>
  <si>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</si>
  <si>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</si>
  <si>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</si>
  <si>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</si>
  <si>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</si>
  <si>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</si>
  <si>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</si>
  <si>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</si>
  <si>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</si>
  <si>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</si>
  <si>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</si>
  <si>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</si>
  <si>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</si>
  <si>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</si>
  <si>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</si>
  <si>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</si>
  <si>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</si>
  <si>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</si>
  <si>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</si>
  <si>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</si>
  <si>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</si>
  <si>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</si>
  <si>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</si>
  <si>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</si>
  <si>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</si>
  <si>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</si>
  <si>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</si>
  <si>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</si>
  <si>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</si>
  <si>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</si>
  <si>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</si>
  <si>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</si>
  <si>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</si>
  <si>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</si>
  <si>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</si>
  <si>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</si>
  <si>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</si>
  <si>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</si>
  <si>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</si>
  <si>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</si>
  <si>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</si>
  <si>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</si>
  <si>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</si>
  <si>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</si>
  <si>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</si>
  <si>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</si>
  <si>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</si>
  <si>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</si>
  <si>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</si>
  <si>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</si>
  <si>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</si>
  <si>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</si>
  <si>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</si>
  <si>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</si>
  <si>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</si>
  <si>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</si>
  <si>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</si>
  <si>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</si>
  <si>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</si>
  <si>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</si>
  <si>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</si>
  <si>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</si>
  <si>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</si>
  <si>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</si>
  <si>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</si>
  <si>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</si>
  <si>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</si>
  <si>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</si>
  <si>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</si>
  <si>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</si>
  <si>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</si>
  <si>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</si>
  <si>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</si>
  <si>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</si>
  <si>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</si>
  <si>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</si>
  <si>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</si>
  <si>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</si>
  <si>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</si>
  <si>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</si>
  <si>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</si>
  <si>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</si>
  <si>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</si>
  <si>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</si>
  <si>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</si>
  <si>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</si>
  <si>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</si>
  <si>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</si>
  <si>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</si>
  <si>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</si>
  <si>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</si>
  <si>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</si>
  <si>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</si>
  <si>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</si>
  <si>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</si>
  <si>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</si>
  <si>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</si>
  <si>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</si>
  <si>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</si>
  <si>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</si>
  <si>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</si>
  <si>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</si>
  <si>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</si>
  <si>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</si>
  <si>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</si>
  <si>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</si>
  <si>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</si>
  <si>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</si>
  <si>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</si>
  <si>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</si>
  <si>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</si>
  <si>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</si>
  <si>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</si>
  <si>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</si>
  <si>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</si>
  <si>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</si>
  <si>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</si>
  <si>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</si>
  <si>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</si>
  <si>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</si>
  <si>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</si>
  <si>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</si>
  <si>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</si>
  <si>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</si>
  <si>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</si>
  <si>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</si>
  <si>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</si>
  <si>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</si>
  <si>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</si>
  <si>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</si>
  <si>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</si>
  <si>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</si>
  <si>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</si>
  <si>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</si>
  <si>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</si>
  <si>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</si>
  <si>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</si>
  <si>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</si>
  <si>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</si>
  <si>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</si>
  <si>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</si>
  <si>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</si>
  <si>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</si>
  <si>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</si>
  <si>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</si>
  <si>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</si>
  <si>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</si>
  <si>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</si>
  <si>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</si>
  <si>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</si>
  <si>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</si>
  <si>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</si>
  <si>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</si>
  <si>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</si>
  <si>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</si>
  <si>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</si>
  <si>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</si>
  <si>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</si>
  <si>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</si>
  <si>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</si>
  <si>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</si>
  <si>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</si>
  <si>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</si>
  <si>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</si>
  <si>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</si>
  <si>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</si>
  <si>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</si>
  <si>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</si>
  <si>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</si>
  <si>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</si>
  <si>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</si>
  <si>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</si>
  <si>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</si>
  <si>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</si>
  <si>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</si>
  <si>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</si>
  <si>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</si>
  <si>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</si>
  <si>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</si>
  <si>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</si>
  <si>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</si>
  <si>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</si>
  <si>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</si>
  <si>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</si>
  <si>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</si>
  <si>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</si>
  <si>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</si>
  <si>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</si>
  <si>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</si>
  <si>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</si>
  <si>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</si>
  <si>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</si>
  <si>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</si>
  <si>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</si>
  <si>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</si>
  <si>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</si>
  <si>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</si>
  <si>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</si>
  <si>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</si>
  <si>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</si>
  <si>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</si>
  <si>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</si>
  <si>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</si>
  <si>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</si>
  <si>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</si>
  <si>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</si>
  <si>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</si>
  <si>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</si>
  <si>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</si>
  <si>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</si>
  <si>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</si>
  <si>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</si>
  <si>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</si>
  <si>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</si>
  <si>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</si>
  <si>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</si>
  <si>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</si>
  <si>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</si>
  <si>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</si>
  <si>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</si>
  <si>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</si>
  <si>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</si>
  <si>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</si>
  <si>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</si>
  <si>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</si>
  <si>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</si>
  <si>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</si>
  <si>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</si>
  <si>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</si>
  <si>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</si>
  <si>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</si>
  <si>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</si>
  <si>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</si>
  <si>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</si>
  <si>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</si>
  <si>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</si>
  <si>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</si>
  <si>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</si>
  <si>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</si>
  <si>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</si>
  <si>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</si>
  <si>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</si>
  <si>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</si>
  <si>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</si>
  <si>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</si>
  <si>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</si>
  <si>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</si>
  <si>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</si>
  <si>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</si>
  <si>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</si>
  <si>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</si>
  <si>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</si>
  <si>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</si>
  <si>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</si>
  <si>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</si>
  <si>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</si>
  <si>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</si>
  <si>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</si>
  <si>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</si>
  <si>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</si>
  <si>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</si>
  <si>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</si>
  <si>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</si>
  <si>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</si>
  <si>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</si>
  <si>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</si>
  <si>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</si>
  <si>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</si>
  <si>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</si>
  <si>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</si>
  <si>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</si>
  <si>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</si>
  <si>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</si>
  <si>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</si>
  <si>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</si>
  <si>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</si>
  <si>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</si>
  <si>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</si>
  <si>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</si>
  <si>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</si>
  <si>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</si>
  <si>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</si>
  <si>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</si>
  <si>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</si>
  <si>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</si>
  <si>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</si>
  <si>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</si>
  <si>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</si>
  <si>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</si>
  <si>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</si>
  <si>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</si>
  <si>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</si>
  <si>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</si>
  <si>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</si>
  <si>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</si>
  <si>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</si>
  <si>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</si>
  <si>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</si>
  <si>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</si>
  <si>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</si>
  <si>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</si>
  <si>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</si>
  <si>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</si>
  <si>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</si>
  <si>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</si>
  <si>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</si>
  <si>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</si>
  <si>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</si>
  <si>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</si>
  <si>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</si>
  <si>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</si>
  <si>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</si>
  <si>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</si>
  <si>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</si>
  <si>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</si>
  <si>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</si>
  <si>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</si>
  <si>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</si>
  <si>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</si>
  <si>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</si>
  <si>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</si>
  <si>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</si>
  <si>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</si>
  <si>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</si>
  <si>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</si>
  <si>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</si>
  <si>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</si>
  <si>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</si>
  <si>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</si>
  <si>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</si>
  <si>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</si>
  <si>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</si>
  <si>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</si>
  <si>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</si>
  <si>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</si>
  <si>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</si>
  <si>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</si>
  <si>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</si>
  <si>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</si>
  <si>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</si>
  <si>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</si>
  <si>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</si>
  <si>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</si>
  <si>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</si>
  <si>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</si>
  <si>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</si>
  <si>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</si>
  <si>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</si>
  <si>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</si>
  <si>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</si>
  <si>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</si>
  <si>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</si>
  <si>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</si>
  <si>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</si>
  <si>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</si>
  <si>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</si>
  <si>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</si>
  <si>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</si>
  <si>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</si>
  <si>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</si>
  <si>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</si>
  <si>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</si>
  <si>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</si>
  <si>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</si>
  <si>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</si>
  <si>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</si>
  <si>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</si>
  <si>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</si>
  <si>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</si>
  <si>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</si>
  <si>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</si>
  <si>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</si>
  <si>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</si>
  <si>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</si>
  <si>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</si>
  <si>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</si>
  <si>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</si>
  <si>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</si>
  <si>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</si>
  <si>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</si>
  <si>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</si>
  <si>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</si>
  <si>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</si>
  <si>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</si>
  <si>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</si>
  <si>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</si>
  <si>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</si>
  <si>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</si>
  <si>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</si>
  <si>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</si>
  <si>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</si>
  <si>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</si>
  <si>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</si>
  <si>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</si>
  <si>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</si>
  <si>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</si>
  <si>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</si>
  <si>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</si>
  <si>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</si>
  <si>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</si>
  <si>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</si>
  <si>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</si>
  <si>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</si>
  <si>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</si>
  <si>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</si>
  <si>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</si>
  <si>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</si>
  <si>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</si>
  <si>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</si>
  <si>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</si>
  <si>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</si>
  <si>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</si>
  <si>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</si>
  <si>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</si>
  <si>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</si>
  <si>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</si>
  <si>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</si>
  <si>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</si>
  <si>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</si>
  <si>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</si>
  <si>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</si>
  <si>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</si>
  <si>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</si>
  <si>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</si>
  <si>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</si>
  <si>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</si>
  <si>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</si>
  <si>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</si>
  <si>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</si>
  <si>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</si>
  <si>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</si>
  <si>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</si>
  <si>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</si>
  <si>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</si>
  <si>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</si>
  <si>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</si>
  <si>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</si>
  <si>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</si>
  <si>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</si>
  <si>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</si>
  <si>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</si>
  <si>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</si>
  <si>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</si>
  <si>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</si>
  <si>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</si>
  <si>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</si>
  <si>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</si>
  <si>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</si>
  <si>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</si>
  <si>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</si>
  <si>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</si>
  <si>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</si>
  <si>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</si>
  <si>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</si>
  <si>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</si>
  <si>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</si>
  <si>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</si>
  <si>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</si>
  <si>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</si>
  <si>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</si>
  <si>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</si>
  <si>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</si>
  <si>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</si>
  <si>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</si>
  <si>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</si>
  <si>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</si>
  <si>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</si>
  <si>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</si>
  <si>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</si>
  <si>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</si>
  <si>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</si>
  <si>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</si>
  <si>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</si>
  <si>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</si>
  <si>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</si>
  <si>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</si>
  <si>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</si>
  <si>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</si>
  <si>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</si>
  <si>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</si>
  <si>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</si>
  <si>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</si>
  <si>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</si>
  <si>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</si>
  <si>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</si>
  <si>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</si>
  <si>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</si>
  <si>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</si>
  <si>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</si>
  <si>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</si>
  <si>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</si>
  <si>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</si>
  <si>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</si>
  <si>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</si>
  <si>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</si>
  <si>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</si>
  <si>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</si>
  <si>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</si>
  <si>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</si>
  <si>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</si>
  <si>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</si>
  <si>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</si>
  <si>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</si>
  <si>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</si>
  <si>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</si>
  <si>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</si>
  <si>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</si>
  <si>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</si>
  <si>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</si>
  <si>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</si>
  <si>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</si>
  <si>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</si>
  <si>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</si>
  <si>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</si>
  <si>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</si>
  <si>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</si>
  <si>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</si>
  <si>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</si>
  <si>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</si>
  <si>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</si>
  <si>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</si>
  <si>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</si>
  <si>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</si>
  <si>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</si>
  <si>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</si>
  <si>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</si>
  <si>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</si>
  <si>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</si>
  <si>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</si>
  <si>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</si>
  <si>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</si>
  <si>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</si>
  <si>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</si>
  <si>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</si>
  <si>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</si>
  <si>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</si>
  <si>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</si>
  <si>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</si>
  <si>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</si>
  <si>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</si>
  <si>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</si>
  <si>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</si>
  <si>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</si>
  <si>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</si>
  <si>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</si>
  <si>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</si>
  <si>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</si>
  <si>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</si>
  <si>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</si>
  <si>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</si>
  <si>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</si>
  <si>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</si>
  <si>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</si>
  <si>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</si>
  <si>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</si>
  <si>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</si>
  <si>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</si>
  <si>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</si>
  <si>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</si>
  <si>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</si>
  <si>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</si>
  <si>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</si>
  <si>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</si>
  <si>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</si>
  <si>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</si>
  <si>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</si>
  <si>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</si>
  <si>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</si>
  <si>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</si>
  <si>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</si>
  <si>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</si>
  <si>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</si>
  <si>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</si>
  <si>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</si>
  <si>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</si>
  <si>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</si>
  <si>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</si>
  <si>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</si>
  <si>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</si>
  <si>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</si>
  <si>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</si>
  <si>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</si>
  <si>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</si>
  <si>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</si>
  <si>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</si>
  <si>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</si>
  <si>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</si>
  <si>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</si>
  <si>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</si>
  <si>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</si>
  <si>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</si>
  <si>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</si>
  <si>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</si>
  <si>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</si>
  <si>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</si>
  <si>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</si>
  <si>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</si>
  <si>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</si>
  <si>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</si>
  <si>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</si>
  <si>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</si>
  <si>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</si>
  <si>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</si>
  <si>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</si>
  <si>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</si>
  <si>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</si>
  <si>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</si>
  <si>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</si>
  <si>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</si>
  <si>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</si>
  <si>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</si>
  <si>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</si>
  <si>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</si>
  <si>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</si>
  <si>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</si>
  <si>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</si>
  <si>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</si>
  <si>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</si>
  <si>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</si>
  <si>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</si>
  <si>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</si>
  <si>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</si>
  <si>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</si>
  <si>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</si>
  <si>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</si>
  <si>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</si>
  <si>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</si>
  <si>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</si>
  <si>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</si>
  <si>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</si>
  <si>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</si>
  <si>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</si>
  <si>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</si>
  <si>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</si>
  <si>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</si>
  <si>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</si>
  <si>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</si>
  <si>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</si>
  <si>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</si>
  <si>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</si>
  <si>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</si>
  <si>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</si>
  <si>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</si>
  <si>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</si>
  <si>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</si>
  <si>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</si>
  <si>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</si>
  <si>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</si>
  <si>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</si>
  <si>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</si>
  <si>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</si>
  <si>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</si>
  <si>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</si>
  <si>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</si>
  <si>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</si>
  <si>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</si>
  <si>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</si>
  <si>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</si>
  <si>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</si>
  <si>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</si>
  <si>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</si>
  <si>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</si>
  <si>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</si>
  <si>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</si>
  <si>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</si>
  <si>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</si>
  <si>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</si>
  <si>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</si>
  <si>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</si>
  <si>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</si>
  <si>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</si>
  <si>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</si>
  <si>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</si>
  <si>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</si>
  <si>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</si>
  <si>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</si>
  <si>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</si>
  <si>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</si>
  <si>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</si>
  <si>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</si>
  <si>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</si>
  <si>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</si>
  <si>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</si>
  <si>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</si>
  <si>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</si>
  <si>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</si>
  <si>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</si>
  <si>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</si>
  <si>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</si>
  <si>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</si>
  <si>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</si>
  <si>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</si>
  <si>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</si>
  <si>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</si>
  <si>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</si>
  <si>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</si>
  <si>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</si>
  <si>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</si>
  <si>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</si>
  <si>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</si>
  <si>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</si>
  <si>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</si>
  <si>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</si>
  <si>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</si>
  <si>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</si>
  <si>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</si>
  <si>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</si>
  <si>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</si>
  <si>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</si>
  <si>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</si>
  <si>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</si>
  <si>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</si>
  <si>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</si>
  <si>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</si>
  <si>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</si>
  <si>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</si>
  <si>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</si>
  <si>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</si>
  <si>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</si>
  <si>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</si>
  <si>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</si>
  <si>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</si>
  <si>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</si>
  <si>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</si>
  <si>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</si>
  <si>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</si>
  <si>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</si>
  <si>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</si>
  <si>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</si>
  <si>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</si>
  <si>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</si>
  <si>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</si>
  <si>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</si>
  <si>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</si>
  <si>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</si>
  <si>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</si>
  <si>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</si>
  <si>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</si>
  <si>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</si>
  <si>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</si>
  <si>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</si>
  <si>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</si>
  <si>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</si>
  <si>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</si>
  <si>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</si>
  <si>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</si>
  <si>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</si>
  <si>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</si>
  <si>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</si>
  <si>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</si>
  <si>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</si>
  <si>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</si>
  <si>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</si>
  <si>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</si>
  <si>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</si>
  <si>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</si>
  <si>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</si>
  <si>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</si>
  <si>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</si>
  <si>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</si>
  <si>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</si>
  <si>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</si>
  <si>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</si>
  <si>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</si>
  <si>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</si>
  <si>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</si>
  <si>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</si>
  <si>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</si>
  <si>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</si>
  <si>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</si>
  <si>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</si>
  <si>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</si>
  <si>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</si>
  <si>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</si>
  <si>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</si>
  <si>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</si>
  <si>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</si>
  <si>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</si>
  <si>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</si>
  <si>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</si>
  <si>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</si>
  <si>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</si>
  <si>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</si>
  <si>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</si>
  <si>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</si>
  <si>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</si>
  <si>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</si>
  <si>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</si>
  <si>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</si>
  <si>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</si>
  <si>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</si>
  <si>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</si>
  <si>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</si>
  <si>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</si>
  <si>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</si>
  <si>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</si>
  <si>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</si>
  <si>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</si>
  <si>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</si>
  <si>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</si>
  <si>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</si>
  <si>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</si>
  <si>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</si>
  <si>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</si>
  <si>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</si>
  <si>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</si>
  <si>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</si>
  <si>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</si>
  <si>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</si>
  <si>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</si>
  <si>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</si>
  <si>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</si>
  <si>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</si>
  <si>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</si>
  <si>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</si>
  <si>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</si>
  <si>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</si>
  <si>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</si>
  <si>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</si>
  <si>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</si>
  <si>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</si>
  <si>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</si>
  <si>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</si>
  <si>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</si>
  <si>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</si>
  <si>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</si>
  <si>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</si>
  <si>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</si>
  <si>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</si>
  <si>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</si>
  <si>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</si>
  <si>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</si>
  <si>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</si>
  <si>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</si>
  <si>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</si>
  <si>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</si>
  <si>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</si>
  <si>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</si>
  <si>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</si>
  <si>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</si>
  <si>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</si>
  <si>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</si>
  <si>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</si>
  <si>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</si>
  <si>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</si>
  <si>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</si>
  <si>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</si>
  <si>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</si>
  <si>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</si>
  <si>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</si>
  <si>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</si>
  <si>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</si>
  <si>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</si>
  <si>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</si>
  <si>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</si>
  <si>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</si>
  <si>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</si>
  <si>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</si>
  <si>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</si>
  <si>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</si>
  <si>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</si>
  <si>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</si>
  <si>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</si>
  <si>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</si>
  <si>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</si>
  <si>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</si>
  <si>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</si>
  <si>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</si>
  <si>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</si>
  <si>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</si>
  <si>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</si>
  <si>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</si>
  <si>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</si>
  <si>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</si>
  <si>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</si>
  <si>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</si>
  <si>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</si>
  <si>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</si>
  <si>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</si>
  <si>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</si>
  <si>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</si>
  <si>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</si>
  <si>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</si>
  <si>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</si>
  <si>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</si>
  <si>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</si>
  <si>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</si>
  <si>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</si>
  <si>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</si>
  <si>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</si>
  <si>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</si>
  <si>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</si>
  <si>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</si>
  <si>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</si>
  <si>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</si>
  <si>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</si>
  <si>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</si>
  <si>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</si>
  <si>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</si>
  <si>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</si>
  <si>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</si>
  <si>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</si>
  <si>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</si>
  <si>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</si>
  <si>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</si>
  <si>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</si>
  <si>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</si>
  <si>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</si>
  <si>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</si>
  <si>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</si>
  <si>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</si>
  <si>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</si>
  <si>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</si>
  <si>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</si>
  <si>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</si>
  <si>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</si>
  <si>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</si>
  <si>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</si>
  <si>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</si>
  <si>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</si>
  <si>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</si>
  <si>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</si>
  <si>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</si>
  <si>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</si>
  <si>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</si>
  <si>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</si>
  <si>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</si>
  <si>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</si>
  <si>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</si>
  <si>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</si>
  <si>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</si>
  <si>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</si>
  <si>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</si>
  <si>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</si>
  <si>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</si>
  <si>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</si>
  <si>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</si>
  <si>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</si>
  <si>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</si>
  <si>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</si>
  <si>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</si>
  <si>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</si>
  <si>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</si>
  <si>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</si>
  <si>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</si>
  <si>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</si>
  <si>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</si>
  <si>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</si>
  <si>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</si>
  <si>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</si>
  <si>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</si>
  <si>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</si>
  <si>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</si>
  <si>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</si>
  <si>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</si>
  <si>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</si>
  <si>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</si>
  <si>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</si>
  <si>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</si>
  <si>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</si>
  <si>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</si>
  <si>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</si>
  <si>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</si>
  <si>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</si>
  <si>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</si>
  <si>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</si>
  <si>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</si>
  <si>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</si>
  <si>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</si>
  <si>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</si>
  <si>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</si>
  <si>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</si>
  <si>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</si>
  <si>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</si>
  <si>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</si>
  <si>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</si>
  <si>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</si>
  <si>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</si>
  <si>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</si>
  <si>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</si>
  <si>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</si>
  <si>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</si>
  <si>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</si>
  <si>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</si>
  <si>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</si>
  <si>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</si>
  <si>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</si>
  <si>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</si>
  <si>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</si>
  <si>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</si>
  <si>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</si>
  <si>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</si>
  <si>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</si>
  <si>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</si>
  <si>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</si>
  <si>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</si>
  <si>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</si>
  <si>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</si>
  <si>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</si>
  <si>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</si>
  <si>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</si>
  <si>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</si>
  <si>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</si>
  <si>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</si>
  <si>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</si>
  <si>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</si>
  <si>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</si>
  <si>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</si>
  <si>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</si>
  <si>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</si>
  <si>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</si>
  <si>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</si>
  <si>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</si>
  <si>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</si>
  <si>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</si>
  <si>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</si>
  <si>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</si>
  <si>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</si>
  <si>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</si>
  <si>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</si>
  <si>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</si>
  <si>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</si>
  <si>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</si>
  <si>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</si>
  <si>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</si>
  <si>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</si>
  <si>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</si>
  <si>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</si>
  <si>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</si>
  <si>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</si>
  <si>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</si>
  <si>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</si>
  <si>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</si>
  <si>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</si>
  <si>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</si>
  <si>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</si>
  <si>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</si>
  <si>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</si>
  <si>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</si>
  <si>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</si>
  <si>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</si>
  <si>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</si>
  <si>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</si>
  <si>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</si>
  <si>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</si>
  <si>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</si>
  <si>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</si>
  <si>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</si>
  <si>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</si>
  <si>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</si>
  <si>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</si>
  <si>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</si>
  <si>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</si>
  <si>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</si>
  <si>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</si>
  <si>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</si>
  <si>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</si>
  <si>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</si>
  <si>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</si>
  <si>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</si>
  <si>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</si>
  <si>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</si>
  <si>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</si>
  <si>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</si>
  <si>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</si>
  <si>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</si>
  <si>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</si>
  <si>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</si>
  <si>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</si>
  <si>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</si>
  <si>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</si>
  <si>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</si>
  <si>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</si>
  <si>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</si>
  <si>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</si>
  <si>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</si>
  <si>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</si>
  <si>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</si>
  <si>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</si>
  <si>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</si>
  <si>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</si>
  <si>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</si>
  <si>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</si>
  <si>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</si>
  <si>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</si>
  <si>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</si>
  <si>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</si>
  <si>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</si>
  <si>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</si>
  <si>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</si>
  <si>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</si>
  <si>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</si>
  <si>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</si>
  <si>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</si>
  <si>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</si>
  <si>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</si>
  <si>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</si>
  <si>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</si>
  <si>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</si>
  <si>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</si>
  <si>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</si>
  <si>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</si>
  <si>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</si>
  <si>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</si>
  <si>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</si>
  <si>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</si>
  <si>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</si>
  <si>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</si>
  <si>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</si>
  <si>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</si>
  <si>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</si>
  <si>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</si>
  <si>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</si>
  <si>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</si>
  <si>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</si>
  <si>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</si>
  <si>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</si>
  <si>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</si>
  <si>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</si>
  <si>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</si>
  <si>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</si>
  <si>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</si>
  <si>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</si>
  <si>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</si>
  <si>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</si>
  <si>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</si>
  <si>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</si>
  <si>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</si>
  <si>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</si>
  <si>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</si>
  <si>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</si>
  <si>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</si>
  <si>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</si>
  <si>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</si>
  <si>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</si>
  <si>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</si>
  <si>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</si>
  <si>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</si>
  <si>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</si>
  <si>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</si>
  <si>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</si>
  <si>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</si>
  <si>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</si>
  <si>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</si>
  <si>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</si>
  <si>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</si>
  <si>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</si>
  <si>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</si>
  <si>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</si>
  <si>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</si>
  <si>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</si>
  <si>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</si>
  <si>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</si>
  <si>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</si>
  <si>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</si>
  <si>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</si>
  <si>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</si>
  <si>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</si>
  <si>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</si>
  <si>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</si>
  <si>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</si>
  <si>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</si>
  <si>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</si>
  <si>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</si>
  <si>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</si>
  <si>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</si>
  <si>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</si>
  <si>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</si>
  <si>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</si>
  <si>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</si>
  <si>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</si>
  <si>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</si>
  <si>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</si>
  <si>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</si>
  <si>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</si>
  <si>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</si>
  <si>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</si>
  <si>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</si>
  <si>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</si>
  <si>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</si>
  <si>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</si>
  <si>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</si>
  <si>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</si>
  <si>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</si>
  <si>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</si>
  <si>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</si>
  <si>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</si>
  <si>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</si>
  <si>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</si>
  <si>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</si>
  <si>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</si>
  <si>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</si>
  <si>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</si>
  <si>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</si>
  <si>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</si>
  <si>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</si>
  <si>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</si>
  <si>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</si>
  <si>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</si>
  <si>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</si>
  <si>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</si>
  <si>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</si>
  <si>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</si>
  <si>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</si>
  <si>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</si>
  <si>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</si>
  <si>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</si>
  <si>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</si>
  <si>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</si>
  <si>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</si>
  <si>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</si>
  <si>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</si>
  <si>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</si>
  <si>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</si>
  <si>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</si>
  <si>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</si>
  <si>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</si>
  <si>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</si>
  <si>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</si>
  <si>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</si>
  <si>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</si>
  <si>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</si>
  <si>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</si>
  <si>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</si>
  <si>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</si>
  <si>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</si>
  <si>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</si>
  <si>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</si>
  <si>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</si>
  <si>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</si>
  <si>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</si>
  <si>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</si>
  <si>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</si>
  <si>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</si>
  <si>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</si>
  <si>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</si>
  <si>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</si>
  <si>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</si>
  <si>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</si>
  <si>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</si>
  <si>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</si>
  <si>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</si>
  <si>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</si>
  <si>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</si>
  <si>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</si>
  <si>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</si>
  <si>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</si>
  <si>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</si>
  <si>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</si>
  <si>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</si>
  <si>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</si>
  <si>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</si>
  <si>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</si>
  <si>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</si>
  <si>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</si>
  <si>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</si>
  <si>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</si>
  <si>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</si>
  <si>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</si>
  <si>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</si>
  <si>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</si>
  <si>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</si>
  <si>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</si>
  <si>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</si>
  <si>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</si>
  <si>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</si>
  <si>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</si>
  <si>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</si>
  <si>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</si>
  <si>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</si>
  <si>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</si>
  <si>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</si>
  <si>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</si>
  <si>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</si>
  <si>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</si>
  <si>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</si>
  <si>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</si>
  <si>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</si>
  <si>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</si>
  <si>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</si>
  <si>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</si>
  <si>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</si>
  <si>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</si>
  <si>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</si>
  <si>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</si>
  <si>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</si>
  <si>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</si>
  <si>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</si>
  <si>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</si>
  <si>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</si>
  <si>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</si>
  <si>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</si>
  <si>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</si>
  <si>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</si>
  <si>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</si>
  <si>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</si>
  <si>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</si>
  <si>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</si>
  <si>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</si>
  <si>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</si>
  <si>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</si>
  <si>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</si>
  <si>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</si>
  <si>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</si>
  <si>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</si>
  <si>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</si>
  <si>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</si>
  <si>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</si>
  <si>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</si>
  <si>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</si>
  <si>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</si>
  <si>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</si>
  <si>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</si>
  <si>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</si>
  <si>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</si>
  <si>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</si>
  <si>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</si>
  <si>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</si>
  <si>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</si>
  <si>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</si>
  <si>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</si>
  <si>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</si>
  <si>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</si>
  <si>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</si>
  <si>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</si>
  <si>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</si>
  <si>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</si>
  <si>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</si>
  <si>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</si>
  <si>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</si>
  <si>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</si>
  <si>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</si>
  <si>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</si>
  <si>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</si>
  <si>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</si>
  <si>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</si>
  <si>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</si>
  <si>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</si>
  <si>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</si>
  <si>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</si>
  <si>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</si>
  <si>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</si>
  <si>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</si>
  <si>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</si>
  <si>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</si>
  <si>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</si>
  <si>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</si>
  <si>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</si>
  <si>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</si>
  <si>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</si>
  <si>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</si>
  <si>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</si>
  <si>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</si>
  <si>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</si>
  <si>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</si>
  <si>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</si>
  <si>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</si>
  <si>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</si>
  <si>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</si>
  <si>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</si>
  <si>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</si>
  <si>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</si>
  <si>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</si>
  <si>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</si>
  <si>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</si>
  <si>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</si>
  <si>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</si>
  <si>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</si>
  <si>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</si>
  <si>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</si>
  <si>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</si>
  <si>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</si>
  <si>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</si>
  <si>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</si>
  <si>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</si>
  <si>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</si>
  <si>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</si>
  <si>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</si>
  <si>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</si>
  <si>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</si>
  <si>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</si>
  <si>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</si>
  <si>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</si>
  <si>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</si>
  <si>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</si>
  <si>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</si>
  <si>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</si>
  <si>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</si>
  <si>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</si>
  <si>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</si>
  <si>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</si>
  <si>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</si>
  <si>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</si>
  <si>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</si>
  <si>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</si>
  <si>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</si>
  <si>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</si>
  <si>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</si>
  <si>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</si>
  <si>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</si>
  <si>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</si>
  <si>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</si>
  <si>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</si>
  <si>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</si>
  <si>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</si>
  <si>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</si>
  <si>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</si>
  <si>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</si>
  <si>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</si>
  <si>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</si>
  <si>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</si>
  <si>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</si>
  <si>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</si>
  <si>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</si>
  <si>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</si>
  <si>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</si>
  <si>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</si>
  <si>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</si>
  <si>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</si>
  <si>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</si>
  <si>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</si>
  <si>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</si>
  <si>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</si>
  <si>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</si>
  <si>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</si>
  <si>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</si>
  <si>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</si>
  <si>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</si>
  <si>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</si>
  <si>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</si>
  <si>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</si>
  <si>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</si>
  <si>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</si>
  <si>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</si>
  <si>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</si>
  <si>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</si>
  <si>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</si>
  <si>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</si>
  <si>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</si>
  <si>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</si>
  <si>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</si>
  <si>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</si>
  <si>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</si>
  <si>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</si>
  <si>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</si>
  <si>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</si>
  <si>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</si>
  <si>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</si>
  <si>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</si>
  <si>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</si>
  <si>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</si>
  <si>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</si>
  <si>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</si>
  <si>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</si>
  <si>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</si>
  <si>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</si>
  <si>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</si>
  <si>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</si>
  <si>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</si>
  <si>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</si>
  <si>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</si>
  <si>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</si>
  <si>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</si>
  <si>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</si>
  <si>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</si>
  <si>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</si>
  <si>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</si>
  <si>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</si>
  <si>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</si>
  <si>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</si>
  <si>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</si>
  <si>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</si>
  <si>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</si>
  <si>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</si>
  <si>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</si>
  <si>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</si>
  <si>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</si>
  <si>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</si>
  <si>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</si>
  <si>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</si>
  <si>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</si>
  <si>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</si>
  <si>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</si>
  <si>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</si>
  <si>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</si>
  <si>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</si>
  <si>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</si>
  <si>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</si>
  <si>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</si>
  <si>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</si>
  <si>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</si>
  <si>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</si>
  <si>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</si>
  <si>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</si>
  <si>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</si>
  <si>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</si>
  <si>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</si>
  <si>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</si>
  <si>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</si>
  <si>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</si>
  <si>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</si>
  <si>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</si>
  <si>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</si>
  <si>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</si>
  <si>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</si>
  <si>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</si>
  <si>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</si>
  <si>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</si>
  <si>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</si>
  <si>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</si>
  <si>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</si>
  <si>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</si>
  <si>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</si>
  <si>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</si>
  <si>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</si>
  <si>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</si>
  <si>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</si>
  <si>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</si>
  <si>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</si>
  <si>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</si>
  <si>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</si>
  <si>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</si>
  <si>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</si>
  <si>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</si>
  <si>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</si>
  <si>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</si>
  <si>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</si>
  <si>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</si>
  <si>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</si>
  <si>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</si>
  <si>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</si>
  <si>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</si>
  <si>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</si>
  <si>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</si>
  <si>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</si>
  <si>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</si>
  <si>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</si>
  <si>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</si>
  <si>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</si>
  <si>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</si>
  <si>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</si>
  <si>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</si>
  <si>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</si>
  <si>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</si>
  <si>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</si>
  <si>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</si>
  <si>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</si>
  <si>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</si>
  <si>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</si>
  <si>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</si>
  <si>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</si>
  <si>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</si>
  <si>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</si>
  <si>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</si>
  <si>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</si>
  <si>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</si>
  <si>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</si>
  <si>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</si>
  <si>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</si>
  <si>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</si>
  <si>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</si>
  <si>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</si>
  <si>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</si>
  <si>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</si>
  <si>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</si>
  <si>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</si>
  <si>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</si>
  <si>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</si>
  <si>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</si>
  <si>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</si>
  <si>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</si>
  <si>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</si>
  <si>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</si>
  <si>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</si>
  <si>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</si>
  <si>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</si>
  <si>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</si>
  <si>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</si>
  <si>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</si>
  <si>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</si>
  <si>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</si>
  <si>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</si>
  <si>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</si>
  <si>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</si>
  <si>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</si>
  <si>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</si>
  <si>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</si>
  <si>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</si>
  <si>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</si>
  <si>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</si>
  <si>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</si>
  <si>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</si>
  <si>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</si>
  <si>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</si>
  <si>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</si>
  <si>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</si>
  <si>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</si>
  <si>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</si>
  <si>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</si>
  <si>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</si>
  <si>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</si>
  <si>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</si>
  <si>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</si>
  <si>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</si>
  <si>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</si>
  <si>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</si>
  <si>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</si>
  <si>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</si>
  <si>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</si>
  <si>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</si>
  <si>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</si>
  <si>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</si>
  <si>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</si>
  <si>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</si>
  <si>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</si>
  <si>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</si>
  <si>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</si>
  <si>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</si>
  <si>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</si>
  <si>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</si>
  <si>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</si>
  <si>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</si>
  <si>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</si>
  <si>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</si>
  <si>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</si>
  <si>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</si>
  <si>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</si>
  <si>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</si>
  <si>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</si>
  <si>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</si>
  <si>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</si>
  <si>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</si>
  <si>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</si>
  <si>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</si>
  <si>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</si>
  <si>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</si>
  <si>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</si>
  <si>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</si>
  <si>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</si>
  <si>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</si>
  <si>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</si>
  <si>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</si>
  <si>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</si>
  <si>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</si>
  <si>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</si>
  <si>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</si>
  <si>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</si>
  <si>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</si>
  <si>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</si>
  <si>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</si>
  <si>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</si>
  <si>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</si>
  <si>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</si>
  <si>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</si>
  <si>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</si>
  <si>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</si>
  <si>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</si>
  <si>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</si>
  <si>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</si>
  <si>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</si>
  <si>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</si>
  <si>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</si>
  <si>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</si>
  <si>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</si>
  <si>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</si>
  <si>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</si>
  <si>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</si>
  <si>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</si>
  <si>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</si>
  <si>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</si>
  <si>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</si>
  <si>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</si>
  <si>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</si>
  <si>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</si>
  <si>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</si>
  <si>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</si>
  <si>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</si>
  <si>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</si>
  <si>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</si>
  <si>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</si>
  <si>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</si>
  <si>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</si>
  <si>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</si>
  <si>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</si>
  <si>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</si>
  <si>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</si>
  <si>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</si>
  <si>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</si>
  <si>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</si>
  <si>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</si>
  <si>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</si>
  <si>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</si>
  <si>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</si>
  <si>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</si>
  <si>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</si>
  <si>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</si>
  <si>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</si>
  <si>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</si>
  <si>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</si>
  <si>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</si>
  <si>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</si>
  <si>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</si>
  <si>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</si>
  <si>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</si>
  <si>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</si>
  <si>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</si>
  <si>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</si>
  <si>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</si>
  <si>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</si>
  <si>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</si>
  <si>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</si>
  <si>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</si>
  <si>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</si>
  <si>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</si>
  <si>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</si>
  <si>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</si>
  <si>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</si>
  <si>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</si>
  <si>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</si>
  <si>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</si>
  <si>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</si>
  <si>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</si>
  <si>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</si>
  <si>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</si>
  <si>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</si>
  <si>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</si>
  <si>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</si>
  <si>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</si>
  <si>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</si>
  <si>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</si>
  <si>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</si>
  <si>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</si>
  <si>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</si>
  <si>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</si>
  <si>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</si>
  <si>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</si>
  <si>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</si>
  <si>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</si>
  <si>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</si>
  <si>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</si>
  <si>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</si>
  <si>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</si>
  <si>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</si>
  <si>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</si>
  <si>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</si>
  <si>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</si>
  <si>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</si>
  <si>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</si>
  <si>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</si>
  <si>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</si>
  <si>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</si>
  <si>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</si>
  <si>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</si>
  <si>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</si>
  <si>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</si>
  <si>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</si>
  <si>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</si>
  <si>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</si>
  <si>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</si>
  <si>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</si>
  <si>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</si>
  <si>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</si>
  <si>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</si>
  <si>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</si>
  <si>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</si>
  <si>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</si>
  <si>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</si>
  <si>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</si>
  <si>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</si>
  <si>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</si>
  <si>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</si>
  <si>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</si>
  <si>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</si>
  <si>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</si>
  <si>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</si>
  <si>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</si>
  <si>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</si>
  <si>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</si>
  <si>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</si>
  <si>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</si>
  <si>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</si>
  <si>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</si>
  <si>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</si>
  <si>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</si>
  <si>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</si>
  <si>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</si>
  <si>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</si>
  <si>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</si>
  <si>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</si>
  <si>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</si>
  <si>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</si>
  <si>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</si>
  <si>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</si>
  <si>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</si>
  <si>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</si>
  <si>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</si>
  <si>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</si>
  <si>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</si>
  <si>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</si>
  <si>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</si>
  <si>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</si>
  <si>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</si>
  <si>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</si>
  <si>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</si>
  <si>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</si>
  <si>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</si>
  <si>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</si>
  <si>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</si>
  <si>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</si>
  <si>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</si>
  <si>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</si>
  <si>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</si>
  <si>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</si>
  <si>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</si>
  <si>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</si>
  <si>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</si>
  <si>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</si>
  <si>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</si>
  <si>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</si>
  <si>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</si>
  <si>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</si>
  <si>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</si>
  <si>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</si>
  <si>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</si>
  <si>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</si>
  <si>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</si>
  <si>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</si>
  <si>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</si>
  <si>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</si>
  <si>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</si>
  <si>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</si>
  <si>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</si>
  <si>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</si>
  <si>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</si>
  <si>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</si>
  <si>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</si>
  <si>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</si>
  <si>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</si>
  <si>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</si>
  <si>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</si>
  <si>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</si>
  <si>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</si>
  <si>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</si>
  <si>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</si>
  <si>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</si>
  <si>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</si>
  <si>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</si>
  <si>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</si>
  <si>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</si>
  <si>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</si>
  <si>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</si>
  <si>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</si>
  <si>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</si>
  <si>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</si>
  <si>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</si>
  <si>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</si>
  <si>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</si>
  <si>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</si>
  <si>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</si>
  <si>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</si>
  <si>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</si>
  <si>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</si>
  <si>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</si>
  <si>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</si>
  <si>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</si>
  <si>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</si>
  <si>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</si>
  <si>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</si>
  <si>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</si>
  <si>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</si>
  <si>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</si>
  <si>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</si>
  <si>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</si>
  <si>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</si>
  <si>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</si>
  <si>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</si>
  <si>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</si>
  <si>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</si>
  <si>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</si>
  <si>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</si>
  <si>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</si>
  <si>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</si>
  <si>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</si>
  <si>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</si>
  <si>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</si>
  <si>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</si>
  <si>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</si>
  <si>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</si>
  <si>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</si>
  <si>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</si>
  <si>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</si>
  <si>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</si>
  <si>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</si>
  <si>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</si>
  <si>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</si>
  <si>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</si>
  <si>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</si>
  <si>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</si>
  <si>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</si>
  <si>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</si>
  <si>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</si>
  <si>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</si>
  <si>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</si>
  <si>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</si>
  <si>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</si>
  <si>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</si>
  <si>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</si>
  <si>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</si>
  <si>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</si>
  <si>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</si>
  <si>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</si>
  <si>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</si>
  <si>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</si>
  <si>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</si>
  <si>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</si>
  <si>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</si>
  <si>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</si>
  <si>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</si>
  <si>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</si>
  <si>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</si>
  <si>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</si>
  <si>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</si>
  <si>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</si>
  <si>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</si>
  <si>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</si>
  <si>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</si>
  <si>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</si>
  <si>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</si>
  <si>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</si>
  <si>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</si>
  <si>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</si>
  <si>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</si>
  <si>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</si>
  <si>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</si>
  <si>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</si>
  <si>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</si>
  <si>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</si>
  <si>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</si>
  <si>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</si>
  <si>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</si>
  <si>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</si>
  <si>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</si>
  <si>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</si>
  <si>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</si>
  <si>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</si>
  <si>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</si>
  <si>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</si>
  <si>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</si>
  <si>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</si>
  <si>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</si>
  <si>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</si>
  <si>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</si>
  <si>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</si>
  <si>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</si>
  <si>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</si>
  <si>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</si>
  <si>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</si>
  <si>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</si>
  <si>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</si>
  <si>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</si>
  <si>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</si>
  <si>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</si>
  <si>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</si>
  <si>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</si>
  <si>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</si>
  <si>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</si>
  <si>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</si>
  <si>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</si>
  <si>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</si>
  <si>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</si>
  <si>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</si>
  <si>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</si>
  <si>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</si>
  <si>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</si>
  <si>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</si>
  <si>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</si>
  <si>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</si>
  <si>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</si>
  <si>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</si>
  <si>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</si>
  <si>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</si>
  <si>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</si>
  <si>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</si>
  <si>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</si>
  <si>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</si>
  <si>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</si>
  <si>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</si>
  <si>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</si>
  <si>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</si>
  <si>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</si>
  <si>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</si>
  <si>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</si>
  <si>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</si>
  <si>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</si>
  <si>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</si>
  <si>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</si>
  <si>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</si>
  <si>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</si>
  <si>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</si>
  <si>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</si>
  <si>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</si>
  <si>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</si>
  <si>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</si>
  <si>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</si>
  <si>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</si>
  <si>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</si>
  <si>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</si>
  <si>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</si>
  <si>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</si>
  <si>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</si>
  <si>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</si>
  <si>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</si>
  <si>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</si>
  <si>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</si>
  <si>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</si>
  <si>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</si>
  <si>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</si>
  <si>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</si>
  <si>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</si>
  <si>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</si>
  <si>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</si>
  <si>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</si>
  <si>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</si>
  <si>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</si>
  <si>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</si>
  <si>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</si>
  <si>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</si>
  <si>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</si>
  <si>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</si>
  <si>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</si>
  <si>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</si>
  <si>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</si>
  <si>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</si>
  <si>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</si>
  <si>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</si>
  <si>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</si>
  <si>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</si>
  <si>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</si>
  <si>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</si>
  <si>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</si>
  <si>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</si>
  <si>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</si>
  <si>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</si>
  <si>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</si>
  <si>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</si>
  <si>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</si>
  <si>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</si>
  <si>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</si>
  <si>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</si>
  <si>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</si>
  <si>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</si>
  <si>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</si>
  <si>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</si>
  <si>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</si>
  <si>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</si>
  <si>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</si>
  <si>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</si>
  <si>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</si>
  <si>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</si>
  <si>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</si>
  <si>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</si>
  <si>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</si>
  <si>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</si>
  <si>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</si>
  <si>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</si>
  <si>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</si>
  <si>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</si>
  <si>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</si>
  <si>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</si>
  <si>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</si>
  <si>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</si>
  <si>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</si>
  <si>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</si>
  <si>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</si>
  <si>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</si>
  <si>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</si>
  <si>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</si>
  <si>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</si>
  <si>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</si>
  <si>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</si>
  <si>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</si>
  <si>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</si>
  <si>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</si>
  <si>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</si>
  <si>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</si>
  <si>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</si>
  <si>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</si>
  <si>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</si>
  <si>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</si>
  <si>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</si>
  <si>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</si>
  <si>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</si>
  <si>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</si>
  <si>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</si>
  <si>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</si>
  <si>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</si>
  <si>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</si>
  <si>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</si>
  <si>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</si>
  <si>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</si>
  <si>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</si>
  <si>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</si>
  <si>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</si>
  <si>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</si>
  <si>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</si>
  <si>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</si>
  <si>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</si>
  <si>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</si>
  <si>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</si>
  <si>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</si>
  <si>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</si>
  <si>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</si>
  <si>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</si>
  <si>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</si>
  <si>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</si>
  <si>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</si>
  <si>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</si>
  <si>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</si>
  <si>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</si>
  <si>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</si>
  <si>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</si>
  <si>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</si>
  <si>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</si>
  <si>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</si>
  <si>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</si>
  <si>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</si>
  <si>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</si>
  <si>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</si>
  <si>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</si>
  <si>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</si>
  <si>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</si>
  <si>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</si>
  <si>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</si>
  <si>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</si>
  <si>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</si>
  <si>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</si>
  <si>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</si>
  <si>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</si>
  <si>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</si>
  <si>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</si>
  <si>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</si>
  <si>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</si>
  <si>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</si>
  <si>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</si>
  <si>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</si>
  <si>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</si>
  <si>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</si>
  <si>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</si>
  <si>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</si>
  <si>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</si>
  <si>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</si>
  <si>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</si>
  <si>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</si>
  <si>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</si>
  <si>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</si>
  <si>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</si>
  <si>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</si>
  <si>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</si>
  <si>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</si>
  <si>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</si>
  <si>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</si>
  <si>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</si>
  <si>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</si>
  <si>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</si>
  <si>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</si>
  <si>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</si>
  <si>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</si>
  <si>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</si>
  <si>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</si>
  <si>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</si>
  <si>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</si>
  <si>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</si>
  <si>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</si>
  <si>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</si>
  <si>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</si>
  <si>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</si>
  <si>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</si>
  <si>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</si>
  <si>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</si>
  <si>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</si>
  <si>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</si>
  <si>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</si>
  <si>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</si>
  <si>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</si>
  <si>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</si>
  <si>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</si>
  <si>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</si>
  <si>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</si>
  <si>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</si>
  <si>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</si>
  <si>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</si>
  <si>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</si>
  <si>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</si>
  <si>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</si>
  <si>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</si>
  <si>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</si>
  <si>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</si>
  <si>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</si>
  <si>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</si>
  <si>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</si>
  <si>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</si>
  <si>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</si>
  <si>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</si>
  <si>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</si>
  <si>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</si>
  <si>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</si>
  <si>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</si>
  <si>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</si>
  <si>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</si>
  <si>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</si>
  <si>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</si>
  <si>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</si>
  <si>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</si>
  <si>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</si>
  <si>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</si>
  <si>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</si>
  <si>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</si>
  <si>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</si>
  <si>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</si>
  <si>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</si>
  <si>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</si>
  <si>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</si>
  <si>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</si>
  <si>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</si>
  <si>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</si>
  <si>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</si>
  <si>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</si>
  <si>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</si>
  <si>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</si>
  <si>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</si>
  <si>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</si>
  <si>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</si>
  <si>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</si>
  <si>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</si>
  <si>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</si>
  <si>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</si>
  <si>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</si>
  <si>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</si>
  <si>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</si>
  <si>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</si>
  <si>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</si>
  <si>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</si>
  <si>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</si>
  <si>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</si>
  <si>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</si>
  <si>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</si>
  <si>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</si>
  <si>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</si>
  <si>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</si>
  <si>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</si>
  <si>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</si>
  <si>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</si>
  <si>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</si>
  <si>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</si>
  <si>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</si>
  <si>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</si>
  <si>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</si>
  <si>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</si>
  <si>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</si>
  <si>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</si>
  <si>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</si>
  <si>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</si>
  <si>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</si>
  <si>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</si>
  <si>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</si>
  <si>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</si>
  <si>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</si>
  <si>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</si>
  <si>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</si>
  <si>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</si>
  <si>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</si>
  <si>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</si>
  <si>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</si>
  <si>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</si>
  <si>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</si>
  <si>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</si>
  <si>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</si>
  <si>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</si>
  <si>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</si>
  <si>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</si>
  <si>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</si>
  <si>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</si>
  <si>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</si>
  <si>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</si>
  <si>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</si>
  <si>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</si>
  <si>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</si>
  <si>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</si>
  <si>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</si>
  <si>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</si>
  <si>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</si>
  <si>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</si>
  <si>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</si>
  <si>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</si>
  <si>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</si>
  <si>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</si>
  <si>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</si>
  <si>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</si>
  <si>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</si>
  <si>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</si>
  <si>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</si>
  <si>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</si>
  <si>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</si>
  <si>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</si>
  <si>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</si>
  <si>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</si>
  <si>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</si>
  <si>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</si>
  <si>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</si>
  <si>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</si>
  <si>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</si>
  <si>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</si>
  <si>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</si>
  <si>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</si>
  <si>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</si>
  <si>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</si>
  <si>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</si>
  <si>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</si>
  <si>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</si>
  <si>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</si>
  <si>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</si>
  <si>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</si>
  <si>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</si>
  <si>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</si>
  <si>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</si>
  <si>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</si>
  <si>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</si>
  <si>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</si>
  <si>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</si>
  <si>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</si>
  <si>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</si>
  <si>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</si>
  <si>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</si>
  <si>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</si>
  <si>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</si>
  <si>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</si>
  <si>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</si>
  <si>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</si>
  <si>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</si>
  <si>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</si>
  <si>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</si>
  <si>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</si>
  <si>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</si>
  <si>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</si>
  <si>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</si>
  <si>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</si>
  <si>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</si>
  <si>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</si>
  <si>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</si>
  <si>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</si>
  <si>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</si>
  <si>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</si>
  <si>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</si>
  <si>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</si>
  <si>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</si>
  <si>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</si>
  <si>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</si>
  <si>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</si>
  <si>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</si>
  <si>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</si>
  <si>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</si>
  <si>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</si>
  <si>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</si>
  <si>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</si>
  <si>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</si>
  <si>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</si>
  <si>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</si>
  <si>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</si>
  <si>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</si>
  <si>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</si>
  <si>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</si>
  <si>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</si>
  <si>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</si>
  <si>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</si>
  <si>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</si>
  <si>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</si>
  <si>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</si>
  <si>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</si>
  <si>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</si>
  <si>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</si>
  <si>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</si>
  <si>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</si>
  <si>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</si>
  <si>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</si>
  <si>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</si>
  <si>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</si>
  <si>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</si>
  <si>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</si>
  <si>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</si>
  <si>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</si>
  <si>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</si>
  <si>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</si>
  <si>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</si>
  <si>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</si>
  <si>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</si>
  <si>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</si>
  <si>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</si>
  <si>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</si>
  <si>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</si>
  <si>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</si>
  <si>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</si>
  <si>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</si>
  <si>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</si>
  <si>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</si>
  <si>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</si>
  <si>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</si>
  <si>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</si>
  <si>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</si>
  <si>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</si>
  <si>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</si>
  <si>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</si>
  <si>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</si>
  <si>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</si>
  <si>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</si>
  <si>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</si>
  <si>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</si>
  <si>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</si>
  <si>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</si>
  <si>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</si>
  <si>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</si>
  <si>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</si>
  <si>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</si>
  <si>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</si>
  <si>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</si>
  <si>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</si>
  <si>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</si>
  <si>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</si>
  <si>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</si>
  <si>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</si>
  <si>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</si>
  <si>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</si>
  <si>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</si>
  <si>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</si>
  <si>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</si>
  <si>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</si>
  <si>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</si>
  <si>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</si>
  <si>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</si>
  <si>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</si>
  <si>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</si>
  <si>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</si>
  <si>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</si>
  <si>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</si>
  <si>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</si>
  <si>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</si>
  <si>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</si>
  <si>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</si>
  <si>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</si>
  <si>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</si>
  <si>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</si>
  <si>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</si>
  <si>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</si>
  <si>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</si>
  <si>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</si>
  <si>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</si>
  <si>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</si>
  <si>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</si>
  <si>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</si>
  <si>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</si>
  <si>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</si>
  <si>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</si>
  <si>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</si>
  <si>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</si>
  <si>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</si>
  <si>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</si>
  <si>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</si>
  <si>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</si>
  <si>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</si>
  <si>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</si>
  <si>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</si>
  <si>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</si>
  <si>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</si>
  <si>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</si>
  <si>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</si>
  <si>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</si>
  <si>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</si>
  <si>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</si>
  <si>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</si>
  <si>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</si>
  <si>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</si>
  <si>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</si>
  <si>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</si>
  <si>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</si>
  <si>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</si>
  <si>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</si>
  <si>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</si>
  <si>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</si>
  <si>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</si>
  <si>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</si>
  <si>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</si>
  <si>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</si>
  <si>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</si>
  <si>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</si>
  <si>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</si>
  <si>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</si>
  <si>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</si>
  <si>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</si>
  <si>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</si>
  <si>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</si>
  <si>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</si>
  <si>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</si>
  <si>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</si>
  <si>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</si>
  <si>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</si>
  <si>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</si>
  <si>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</si>
  <si>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</si>
  <si>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</si>
  <si>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</si>
  <si>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</si>
  <si>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</si>
  <si>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</si>
  <si>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</si>
  <si>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</si>
  <si>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</si>
  <si>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</si>
  <si>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</si>
  <si>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</si>
  <si>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</si>
  <si>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</si>
  <si>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</si>
  <si>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</si>
  <si>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</si>
  <si>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</si>
  <si>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</si>
  <si>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</si>
  <si>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</si>
  <si>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</si>
  <si>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</si>
  <si>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</si>
  <si>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</si>
  <si>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</si>
  <si>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</si>
  <si>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</si>
  <si>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</si>
  <si>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</si>
  <si>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</si>
  <si>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</si>
  <si>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</si>
  <si>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</si>
  <si>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</si>
  <si>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</si>
  <si>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</si>
  <si>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</si>
  <si>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</si>
  <si>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</si>
  <si>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</si>
  <si>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</si>
  <si>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</si>
  <si>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</si>
  <si>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</si>
  <si>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</si>
  <si>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</si>
  <si>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</si>
  <si>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</si>
  <si>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</si>
  <si>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</si>
  <si>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</si>
  <si>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</si>
  <si>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</si>
  <si>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</si>
  <si>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</si>
  <si>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</si>
  <si>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</si>
  <si>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</si>
  <si>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</si>
  <si>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</si>
  <si>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</si>
  <si>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</si>
  <si>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</si>
  <si>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</si>
  <si>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</si>
  <si>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</si>
  <si>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</si>
  <si>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</si>
  <si>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</si>
  <si>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</si>
  <si>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</si>
  <si>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</si>
  <si>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</si>
  <si>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</si>
  <si>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</si>
  <si>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</si>
  <si>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</si>
  <si>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</si>
  <si>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</si>
  <si>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</si>
  <si>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</si>
  <si>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</si>
  <si>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</si>
  <si>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</si>
  <si>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</si>
  <si>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</si>
  <si>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</si>
  <si>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</si>
  <si>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</si>
  <si>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</si>
  <si>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</si>
  <si>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</si>
  <si>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</si>
  <si>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</si>
  <si>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</si>
  <si>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</si>
  <si>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</si>
  <si>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</si>
  <si>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</si>
  <si>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</si>
  <si>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</si>
  <si>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</si>
  <si>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</si>
  <si>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</si>
  <si>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</si>
  <si>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</si>
  <si>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</si>
  <si>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</si>
  <si>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</si>
  <si>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</si>
  <si>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</si>
  <si>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</si>
  <si>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</si>
  <si>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</si>
  <si>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</si>
  <si>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</si>
  <si>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</si>
  <si>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</si>
  <si>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</si>
  <si>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</si>
  <si>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</si>
  <si>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</si>
  <si>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</si>
  <si>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</si>
  <si>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</si>
  <si>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</si>
  <si>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</si>
  <si>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</si>
  <si>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</si>
  <si>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</si>
  <si>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</si>
  <si>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</si>
  <si>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</si>
  <si>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</si>
  <si>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</si>
  <si>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</si>
  <si>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</si>
  <si>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</si>
  <si>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</si>
  <si>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</si>
  <si>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</si>
  <si>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</si>
  <si>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</si>
  <si>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</si>
  <si>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</si>
  <si>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</si>
  <si>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</si>
  <si>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</si>
  <si>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</si>
  <si>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</si>
  <si>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</si>
  <si>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</si>
  <si>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</si>
  <si>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</si>
  <si>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</si>
  <si>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</si>
  <si>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</si>
  <si>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</si>
  <si>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</si>
  <si>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</si>
  <si>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</si>
  <si>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</si>
  <si>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</si>
  <si>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</si>
  <si>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</si>
  <si>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</si>
  <si>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</si>
  <si>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</si>
  <si>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</si>
  <si>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</si>
  <si>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</si>
  <si>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</si>
  <si>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</si>
  <si>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</si>
  <si>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</si>
  <si>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</si>
  <si>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</si>
  <si>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</si>
  <si>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</si>
  <si>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</si>
  <si>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</si>
  <si>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</si>
  <si>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</si>
  <si>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</si>
  <si>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</si>
  <si>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</si>
  <si>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</si>
  <si>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</si>
  <si>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</si>
  <si>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</si>
  <si>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</si>
  <si>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</si>
  <si>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</si>
  <si>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</si>
  <si>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</si>
  <si>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</si>
  <si>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</si>
  <si>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</si>
  <si>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</si>
  <si>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</si>
  <si>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</si>
  <si>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</si>
  <si>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</si>
  <si>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</si>
  <si>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</si>
  <si>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</si>
  <si>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</si>
  <si>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</si>
  <si>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</si>
  <si>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</si>
  <si>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</si>
  <si>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</si>
  <si>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</si>
  <si>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</si>
  <si>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</si>
  <si>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</si>
  <si>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</si>
  <si>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</si>
  <si>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</si>
  <si>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</si>
  <si>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</si>
  <si>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</si>
  <si>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</si>
  <si>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</si>
  <si>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</si>
  <si>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</si>
  <si>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</si>
  <si>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</si>
  <si>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</si>
  <si>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</si>
  <si>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</si>
  <si>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</si>
  <si>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</si>
  <si>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</si>
  <si>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</si>
  <si>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</si>
  <si>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</si>
  <si>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</si>
  <si>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</si>
  <si>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</si>
  <si>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</si>
  <si>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</si>
  <si>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</si>
  <si>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</si>
  <si>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</si>
  <si>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</si>
  <si>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</si>
  <si>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</si>
  <si>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</si>
  <si>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</si>
  <si>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</si>
  <si>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</si>
  <si>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</si>
  <si>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</si>
  <si>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</si>
  <si>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</si>
  <si>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</si>
  <si>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</si>
  <si>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</si>
  <si>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</si>
  <si>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</si>
  <si>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</si>
  <si>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</si>
  <si>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</si>
  <si>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</si>
  <si>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</si>
  <si>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</si>
  <si>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</si>
  <si>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</si>
  <si>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</si>
  <si>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</si>
  <si>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</si>
  <si>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</si>
  <si>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</si>
  <si>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</si>
  <si>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</si>
  <si>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</si>
  <si>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</si>
  <si>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</si>
  <si>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</si>
  <si>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</si>
  <si>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</si>
  <si>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</si>
  <si>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</si>
  <si>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</si>
  <si>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</si>
  <si>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</si>
  <si>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</si>
  <si>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</si>
  <si>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</si>
  <si>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</si>
  <si>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</si>
  <si>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</si>
  <si>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</si>
  <si>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</si>
  <si>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</si>
  <si>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</si>
  <si>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</si>
  <si>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</si>
  <si>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</si>
  <si>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</si>
  <si>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</si>
  <si>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</si>
  <si>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</si>
  <si>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</si>
  <si>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</si>
  <si>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</si>
  <si>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</si>
  <si>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</si>
  <si>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</si>
  <si>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</si>
  <si>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</si>
  <si>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</si>
  <si>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</si>
  <si>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</si>
  <si>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</si>
  <si>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</si>
  <si>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</si>
  <si>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</si>
  <si>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</si>
  <si>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</si>
  <si>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</si>
  <si>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</si>
  <si>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</si>
  <si>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</si>
  <si>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</si>
  <si>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</si>
  <si>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</si>
  <si>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</si>
  <si>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</si>
  <si>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</si>
  <si>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</si>
  <si>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</si>
  <si>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</si>
  <si>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</si>
  <si>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</si>
  <si>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</si>
  <si>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</si>
  <si>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</si>
  <si>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</si>
  <si>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</si>
  <si>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</si>
  <si>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</si>
  <si>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</si>
  <si>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</si>
  <si>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</si>
  <si>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</si>
  <si>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</si>
  <si>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</si>
  <si>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</si>
  <si>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</si>
  <si>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</si>
  <si>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</si>
  <si>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</si>
  <si>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</si>
  <si>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</si>
  <si>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</si>
  <si>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</si>
  <si>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</si>
  <si>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</si>
  <si>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</si>
  <si>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</si>
  <si>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</si>
  <si>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</si>
  <si>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</si>
  <si>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</si>
  <si>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</si>
  <si>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</si>
  <si>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</si>
  <si>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</si>
  <si>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</si>
  <si>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</si>
  <si>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</si>
  <si>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</si>
  <si>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</si>
  <si>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</si>
  <si>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</si>
  <si>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</si>
  <si>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</si>
  <si>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</si>
  <si>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</si>
  <si>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</si>
  <si>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</si>
  <si>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</si>
  <si>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</si>
  <si>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</si>
  <si>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</si>
  <si>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</si>
  <si>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</si>
  <si>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</si>
  <si>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</si>
  <si>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</si>
  <si>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</si>
  <si>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</si>
  <si>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</si>
  <si>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</si>
  <si>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</si>
  <si>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</si>
  <si>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</si>
  <si>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</si>
  <si>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</si>
  <si>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</si>
  <si>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</si>
  <si>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</si>
  <si>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</si>
  <si>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</si>
  <si>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</si>
  <si>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</si>
  <si>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</si>
  <si>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</si>
  <si>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</si>
  <si>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</si>
  <si>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</si>
  <si>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</si>
  <si>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</si>
  <si>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</si>
  <si>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</si>
  <si>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</si>
  <si>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</si>
  <si>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</si>
  <si>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</si>
  <si>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</si>
  <si>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</si>
  <si>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</si>
  <si>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</si>
  <si>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</si>
  <si>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</si>
  <si>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</si>
  <si>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</si>
  <si>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</si>
  <si>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</si>
  <si>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</si>
  <si>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</si>
  <si>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</si>
  <si>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</si>
  <si>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</si>
  <si>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</si>
  <si>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</si>
  <si>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</si>
  <si>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</si>
  <si>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</si>
  <si>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</si>
  <si>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</si>
  <si>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</si>
  <si>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</si>
  <si>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</si>
  <si>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</si>
  <si>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</si>
  <si>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</si>
  <si>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</si>
  <si>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</si>
  <si>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</si>
  <si>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</si>
  <si>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</si>
  <si>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</si>
  <si>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</si>
  <si>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</si>
  <si>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</si>
  <si>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</si>
  <si>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</si>
  <si>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</si>
  <si>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</si>
  <si>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</si>
  <si>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</si>
  <si>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</si>
  <si>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</si>
  <si>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</si>
  <si>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</si>
  <si>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</si>
  <si>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</si>
  <si>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</si>
  <si>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</si>
  <si>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</si>
  <si>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</si>
  <si>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</si>
  <si>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</si>
  <si>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</si>
  <si>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</si>
  <si>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</si>
  <si>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</si>
  <si>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</si>
  <si>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</si>
  <si>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</si>
  <si>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</si>
  <si>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</si>
  <si>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</si>
  <si>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</si>
  <si>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</si>
  <si>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</si>
  <si>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</si>
  <si>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</si>
  <si>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</si>
  <si>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</si>
  <si>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</si>
  <si>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</si>
  <si>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</si>
  <si>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</si>
  <si>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</si>
  <si>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</si>
  <si>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</si>
  <si>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</si>
  <si>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</si>
  <si>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</si>
  <si>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</si>
  <si>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</si>
  <si>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</si>
  <si>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</si>
  <si>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</si>
  <si>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</si>
  <si>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</si>
  <si>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</si>
  <si>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</si>
  <si>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</si>
  <si>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</si>
  <si>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</si>
  <si>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</si>
  <si>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</si>
  <si>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</si>
  <si>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</si>
  <si>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</si>
  <si>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</si>
  <si>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</si>
  <si>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</si>
  <si>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</si>
  <si>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</si>
  <si>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</si>
  <si>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</si>
  <si>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</si>
  <si>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</si>
  <si>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</si>
  <si>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</si>
  <si>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</si>
  <si>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</si>
  <si>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</si>
  <si>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</si>
  <si>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</si>
  <si>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</si>
  <si>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</si>
  <si>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</si>
  <si>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</si>
  <si>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</si>
  <si>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</si>
  <si>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</si>
  <si>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</si>
  <si>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</si>
  <si>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</si>
  <si>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</si>
  <si>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</si>
  <si>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</si>
  <si>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</si>
  <si>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</si>
  <si>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</si>
  <si>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</si>
  <si>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</si>
  <si>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</si>
  <si>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</si>
  <si>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</si>
  <si>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</si>
  <si>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</si>
  <si>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</si>
  <si>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</si>
  <si>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</si>
  <si>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</si>
  <si>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</si>
  <si>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</si>
  <si>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</si>
  <si>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</si>
  <si>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</si>
  <si>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</si>
  <si>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</si>
  <si>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</si>
  <si>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</si>
  <si>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</si>
  <si>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</si>
  <si>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</si>
  <si>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</si>
  <si>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</si>
  <si>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</si>
  <si>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</si>
  <si>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</si>
  <si>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</si>
  <si>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</si>
  <si>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</si>
  <si>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</si>
  <si>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</si>
  <si>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</si>
  <si>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</si>
  <si>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</si>
  <si>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</si>
  <si>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</si>
  <si>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</si>
  <si>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</si>
  <si>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</si>
  <si>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</si>
  <si>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</si>
  <si>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</si>
  <si>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</si>
  <si>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</si>
  <si>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</si>
  <si>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</si>
  <si>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</si>
  <si>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</si>
  <si>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</si>
  <si>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</si>
  <si>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</si>
  <si>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</si>
  <si>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</si>
  <si>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</si>
  <si>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</si>
  <si>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</si>
  <si>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</si>
  <si>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</si>
  <si>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</si>
  <si>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</si>
  <si>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</si>
  <si>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</si>
  <si>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</si>
  <si>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</si>
  <si>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</si>
  <si>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</si>
  <si>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</si>
  <si>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</si>
  <si>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</si>
  <si>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</si>
  <si>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</si>
  <si>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</si>
  <si>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</si>
  <si>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</si>
  <si>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</si>
  <si>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</si>
  <si>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</si>
  <si>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</si>
  <si>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</si>
  <si>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</si>
  <si>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</si>
  <si>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</si>
  <si>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</si>
  <si>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</si>
  <si>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</si>
  <si>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</si>
  <si>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</si>
  <si>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</si>
  <si>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</si>
  <si>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</si>
  <si>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</si>
  <si>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</si>
  <si>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</si>
  <si>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</si>
  <si>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</si>
  <si>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</si>
  <si>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</si>
  <si>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</si>
  <si>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</si>
  <si>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</si>
  <si>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</si>
  <si>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</si>
  <si>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</si>
  <si>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</si>
  <si>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</si>
  <si>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</si>
  <si>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</si>
  <si>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</si>
  <si>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</si>
  <si>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</si>
  <si>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</si>
  <si>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</si>
  <si>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</si>
  <si>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</si>
  <si>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</si>
  <si>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</si>
  <si>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</si>
  <si>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</si>
  <si>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</si>
  <si>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</si>
  <si>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</si>
  <si>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</si>
  <si>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</si>
  <si>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</si>
  <si>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</si>
  <si>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</si>
  <si>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</si>
  <si>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</si>
  <si>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</si>
  <si>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</si>
  <si>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</si>
  <si>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</si>
  <si>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</si>
  <si>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</si>
  <si>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</si>
  <si>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</si>
  <si>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</si>
  <si>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</si>
  <si>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</si>
  <si>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</si>
  <si>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</si>
  <si>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</si>
  <si>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</si>
  <si>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</si>
  <si>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</si>
  <si>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</si>
  <si>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</si>
  <si>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</si>
  <si>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</si>
  <si>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</si>
  <si>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</si>
  <si>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</si>
  <si>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</si>
  <si>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</si>
  <si>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</si>
  <si>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</si>
  <si>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</si>
  <si>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</si>
  <si>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</si>
  <si>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</si>
  <si>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</si>
  <si>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</si>
  <si>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</si>
  <si>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</si>
  <si>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</si>
  <si>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</si>
  <si>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</si>
  <si>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</si>
  <si>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</si>
  <si>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</si>
  <si>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</si>
  <si>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</si>
  <si>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</si>
  <si>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</si>
  <si>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</si>
  <si>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</si>
  <si>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</si>
  <si>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</si>
  <si>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</si>
  <si>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</si>
  <si>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</si>
  <si>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</si>
  <si>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</si>
  <si>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</si>
  <si>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</si>
  <si>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</si>
  <si>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</si>
  <si>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</si>
  <si>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</si>
  <si>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</si>
  <si>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</si>
  <si>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</si>
  <si>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</si>
  <si>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</si>
  <si>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</si>
  <si>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</si>
  <si>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</si>
  <si>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</si>
  <si>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</si>
  <si>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</si>
  <si>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</si>
  <si>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</si>
  <si>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</si>
  <si>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</si>
  <si>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</si>
  <si>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</si>
  <si>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</si>
  <si>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</si>
  <si>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</si>
  <si>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</si>
  <si>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</si>
  <si>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</si>
  <si>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</si>
  <si>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</si>
  <si>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</si>
  <si>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</si>
  <si>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</si>
  <si>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</si>
  <si>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</si>
  <si>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</si>
  <si>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</si>
  <si>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</si>
  <si>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</si>
  <si>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</si>
  <si>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</si>
  <si>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</si>
  <si>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</si>
  <si>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</si>
  <si>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</si>
  <si>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</si>
  <si>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</si>
  <si>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</si>
  <si>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</si>
  <si>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</si>
  <si>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</si>
  <si>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</si>
  <si>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</si>
  <si>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</si>
  <si>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</si>
  <si>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</si>
  <si>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</si>
  <si>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</si>
  <si>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</si>
  <si>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</si>
  <si>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</si>
  <si>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</si>
  <si>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</si>
  <si>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</si>
  <si>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</si>
  <si>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</si>
  <si>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</si>
  <si>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</si>
  <si>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</si>
  <si>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</si>
  <si>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</si>
  <si>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</si>
  <si>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</si>
  <si>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</si>
  <si>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</si>
  <si>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</si>
  <si>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</si>
  <si>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</si>
  <si>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</si>
  <si>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</si>
  <si>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</si>
  <si>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</si>
  <si>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</si>
  <si>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</si>
  <si>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</si>
  <si>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</si>
  <si>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</si>
  <si>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</si>
  <si>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</si>
  <si>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</si>
  <si>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</si>
  <si>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</si>
  <si>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</si>
  <si>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</si>
  <si>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</si>
  <si>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</si>
  <si>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</si>
  <si>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</si>
  <si>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</si>
  <si>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</si>
  <si>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</si>
  <si>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</si>
  <si>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</si>
  <si>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</si>
  <si>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</si>
  <si>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</si>
  <si>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</si>
  <si>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</si>
  <si>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</si>
  <si>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</si>
  <si>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</si>
  <si>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</si>
  <si>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</si>
  <si>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</si>
  <si>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</si>
  <si>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</si>
  <si>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</si>
  <si>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</si>
  <si>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</si>
  <si>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</si>
  <si>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</si>
  <si>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</si>
  <si>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</si>
  <si>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</si>
  <si>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</si>
  <si>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</si>
  <si>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</si>
  <si>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</si>
  <si>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</si>
  <si>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</si>
  <si>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</si>
  <si>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</si>
  <si>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</si>
  <si>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</si>
  <si>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</si>
  <si>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</si>
  <si>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</si>
  <si>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</si>
  <si>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</si>
  <si>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</si>
  <si>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</si>
  <si>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</si>
  <si>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</si>
  <si>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</si>
  <si>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</si>
  <si>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</si>
  <si>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</si>
  <si>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</si>
  <si>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</si>
  <si>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</si>
  <si>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</si>
  <si>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</si>
  <si>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</si>
  <si>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</si>
  <si>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</si>
  <si>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</si>
  <si>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</si>
  <si>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</si>
  <si>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</si>
  <si>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</si>
  <si>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</si>
  <si>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</si>
  <si>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</si>
  <si>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</si>
  <si>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</si>
  <si>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</si>
  <si>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</si>
  <si>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</si>
  <si>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</si>
  <si>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</si>
  <si>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</si>
  <si>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</si>
  <si>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</si>
  <si>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</si>
  <si>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</si>
  <si>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</si>
  <si>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</si>
  <si>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</si>
  <si>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</si>
  <si>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</si>
  <si>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</si>
  <si>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</si>
  <si>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</si>
  <si>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</si>
  <si>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</si>
  <si>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</si>
  <si>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</si>
  <si>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</si>
  <si>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</si>
  <si>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</si>
  <si>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</si>
  <si>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</si>
  <si>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</si>
  <si>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</si>
  <si>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</si>
  <si>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</si>
  <si>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</si>
  <si>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</si>
  <si>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</si>
  <si>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</si>
  <si>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</si>
  <si>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</si>
  <si>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</si>
  <si>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</si>
  <si>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</si>
  <si>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</si>
  <si>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</si>
  <si>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</si>
  <si>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</si>
  <si>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</si>
  <si>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</si>
  <si>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</si>
  <si>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</si>
  <si>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</si>
  <si>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</si>
  <si>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</si>
  <si>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</si>
  <si>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</si>
  <si>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</si>
  <si>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</si>
  <si>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</si>
  <si>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</si>
  <si>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</si>
  <si>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</si>
  <si>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</si>
  <si>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</si>
  <si>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</si>
  <si>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</si>
  <si>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</si>
  <si>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</si>
  <si>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</si>
  <si>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</si>
  <si>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</si>
  <si>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</si>
  <si>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</si>
  <si>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</si>
  <si>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</si>
  <si>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</si>
  <si>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</si>
  <si>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</si>
  <si>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</si>
  <si>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</si>
  <si>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</si>
  <si>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</si>
  <si>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</si>
  <si>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</si>
  <si>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</si>
  <si>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</si>
  <si>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</si>
  <si>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</si>
  <si>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</si>
  <si>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</si>
  <si>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</si>
  <si>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</si>
  <si>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</si>
  <si>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</si>
  <si>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</si>
  <si>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</si>
  <si>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</si>
  <si>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</si>
  <si>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</si>
  <si>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</si>
  <si>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</si>
  <si>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</si>
  <si>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</si>
  <si>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</si>
  <si>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</si>
  <si>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</si>
  <si>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</si>
  <si>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</si>
  <si>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</si>
  <si>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</si>
  <si>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</si>
  <si>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</si>
  <si>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</si>
  <si>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</si>
  <si>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</si>
  <si>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</si>
  <si>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</si>
  <si>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</si>
  <si>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</si>
  <si>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</si>
  <si>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</si>
  <si>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</si>
  <si>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</si>
  <si>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</si>
  <si>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</si>
  <si>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</si>
  <si>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</si>
  <si>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</si>
  <si>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</si>
  <si>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</si>
  <si>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</si>
  <si>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</si>
  <si>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</si>
  <si>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</si>
  <si>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</si>
  <si>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</si>
  <si>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</si>
  <si>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</si>
  <si>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</si>
  <si>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</si>
  <si>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</si>
  <si>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</si>
  <si>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</si>
  <si>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</si>
  <si>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</si>
  <si>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</si>
  <si>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</si>
  <si>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</si>
  <si>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</si>
  <si>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</si>
  <si>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</si>
  <si>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</si>
  <si>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</si>
  <si>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</si>
  <si>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</si>
  <si>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</si>
  <si>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</si>
  <si>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</si>
  <si>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</si>
  <si>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</si>
  <si>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</si>
  <si>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</si>
  <si>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</si>
  <si>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</si>
  <si>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</si>
  <si>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</si>
  <si>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</si>
  <si>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</si>
  <si>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</si>
  <si>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</si>
  <si>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</si>
  <si>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</si>
  <si>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</si>
  <si>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</si>
  <si>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</si>
  <si>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</si>
  <si>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</si>
  <si>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</si>
  <si>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</si>
  <si>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</si>
  <si>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</si>
  <si>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</si>
  <si>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</si>
  <si>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</si>
  <si>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</si>
  <si>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</si>
  <si>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</si>
  <si>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</si>
  <si>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</si>
  <si>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</si>
  <si>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</si>
  <si>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</si>
  <si>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</si>
  <si>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</si>
  <si>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</si>
  <si>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</si>
  <si>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</si>
  <si>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</si>
  <si>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</si>
  <si>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</si>
  <si>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</si>
  <si>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</si>
  <si>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</si>
  <si>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</si>
  <si>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</si>
  <si>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</si>
  <si>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</si>
  <si>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</si>
  <si>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</si>
  <si>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</si>
  <si>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</si>
  <si>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</si>
  <si>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</si>
  <si>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</si>
  <si>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</si>
  <si>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</si>
  <si>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</si>
  <si>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</si>
  <si>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</si>
  <si>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</si>
  <si>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</si>
  <si>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</si>
  <si>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</si>
  <si>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</si>
  <si>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</si>
  <si>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</si>
  <si>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</si>
  <si>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</si>
  <si>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</si>
  <si>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</si>
  <si>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</si>
  <si>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</si>
  <si>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</si>
  <si>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</si>
  <si>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</si>
  <si>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</si>
  <si>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</si>
  <si>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</si>
  <si>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</si>
  <si>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</si>
  <si>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</si>
  <si>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</si>
  <si>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</si>
  <si>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</si>
  <si>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</si>
  <si>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</si>
  <si>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</si>
  <si>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</si>
  <si>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</si>
  <si>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</si>
  <si>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</si>
  <si>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</si>
  <si>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</si>
  <si>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</si>
  <si>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</si>
  <si>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</si>
  <si>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</si>
  <si>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</si>
  <si>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</si>
  <si>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</si>
  <si>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</si>
  <si>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</si>
  <si>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</si>
  <si>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</si>
  <si>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</si>
  <si>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</si>
  <si>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</si>
  <si>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</si>
  <si>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</si>
  <si>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</si>
  <si>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</si>
  <si>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</si>
  <si>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</si>
  <si>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</si>
  <si>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</si>
  <si>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</si>
  <si>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</si>
  <si>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</si>
  <si>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</si>
  <si>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</si>
  <si>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</si>
  <si>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</si>
  <si>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</si>
  <si>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</si>
  <si>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</si>
  <si>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</si>
  <si>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</si>
  <si>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</si>
  <si>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</si>
  <si>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</si>
  <si>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</si>
  <si>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</si>
  <si>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</si>
  <si>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</si>
  <si>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</si>
  <si>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</si>
  <si>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</si>
  <si>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</si>
  <si>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</si>
  <si>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</si>
  <si>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</si>
  <si>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</si>
  <si>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</si>
  <si>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</si>
  <si>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</si>
  <si>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</si>
  <si>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</si>
  <si>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</si>
  <si>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</si>
  <si>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</si>
  <si>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</si>
  <si>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</si>
  <si>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</si>
  <si>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</si>
  <si>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</si>
  <si>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</si>
  <si>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</si>
  <si>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</si>
  <si>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</si>
  <si>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</si>
  <si>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</si>
  <si>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</si>
  <si>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</si>
  <si>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</si>
  <si>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</si>
  <si>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</si>
  <si>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</si>
  <si>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</si>
  <si>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</si>
  <si>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</si>
  <si>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</si>
  <si>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</si>
  <si>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</si>
  <si>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</si>
  <si>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</si>
  <si>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</si>
  <si>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</si>
  <si>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</si>
  <si>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</si>
  <si>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</si>
  <si>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</si>
  <si>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</si>
  <si>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</si>
  <si>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</si>
  <si>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</si>
  <si>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</si>
  <si>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</si>
  <si>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</si>
  <si>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</si>
  <si>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</si>
  <si>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</si>
  <si>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</si>
  <si>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</si>
  <si>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</si>
  <si>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</si>
  <si>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</si>
  <si>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</si>
  <si>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</si>
  <si>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</si>
  <si>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</si>
  <si>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</si>
  <si>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</si>
  <si>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</si>
  <si>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</si>
  <si>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</si>
  <si>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</si>
  <si>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</si>
  <si>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</si>
  <si>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</si>
  <si>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</si>
  <si>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</si>
  <si>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</si>
  <si>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</si>
  <si>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</si>
  <si>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</si>
  <si>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</si>
  <si>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</si>
  <si>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</si>
  <si>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</si>
  <si>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</si>
  <si>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</si>
  <si>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</si>
  <si>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</si>
  <si>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</si>
  <si>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</si>
  <si>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</si>
  <si>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</si>
  <si>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</si>
  <si>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</si>
  <si>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</si>
  <si>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</si>
  <si>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</si>
  <si>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</si>
  <si>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</si>
  <si>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</si>
  <si>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</si>
  <si>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</si>
  <si>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</si>
  <si>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</si>
  <si>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</si>
  <si>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</si>
  <si>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</si>
  <si>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</si>
  <si>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</si>
  <si>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</si>
  <si>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</si>
  <si>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</si>
  <si>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</si>
  <si>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</si>
  <si>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</si>
  <si>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</si>
  <si>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</si>
  <si>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</si>
  <si>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</si>
  <si>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</si>
  <si>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</si>
  <si>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</si>
  <si>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</si>
  <si>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</si>
  <si>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</si>
  <si>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</si>
  <si>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</si>
  <si>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</si>
  <si>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</si>
  <si>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</si>
  <si>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</si>
  <si>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</si>
  <si>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</si>
  <si>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</si>
  <si>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</si>
  <si>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</si>
  <si>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</si>
  <si>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</si>
  <si>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</si>
  <si>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</si>
  <si>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</si>
  <si>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</si>
  <si>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</si>
  <si>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</si>
  <si>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</si>
  <si>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</si>
  <si>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</si>
  <si>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</si>
  <si>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</si>
  <si>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</si>
  <si>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</si>
  <si>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</si>
  <si>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</si>
  <si>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</si>
  <si>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</si>
  <si>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</si>
  <si>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</si>
  <si>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</si>
  <si>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</si>
  <si>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</si>
  <si>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</si>
  <si>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</si>
  <si>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</si>
  <si>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</si>
  <si>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</si>
  <si>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</si>
  <si>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</si>
  <si>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</si>
  <si>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</si>
  <si>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</si>
  <si>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</si>
  <si>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</si>
  <si>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</si>
  <si>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</si>
  <si>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</si>
  <si>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</si>
  <si>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</si>
  <si>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</si>
  <si>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</si>
  <si>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</si>
  <si>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</si>
  <si>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</si>
  <si>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</si>
  <si>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</si>
  <si>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</si>
  <si>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</si>
  <si>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</si>
  <si>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</si>
  <si>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</si>
  <si>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</si>
  <si>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</si>
  <si>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</si>
  <si>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</si>
  <si>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</si>
  <si>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</si>
  <si>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</si>
  <si>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</si>
  <si>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</si>
  <si>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</si>
  <si>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</si>
  <si>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</si>
  <si>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</si>
  <si>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</si>
  <si>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</si>
  <si>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</si>
  <si>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</si>
  <si>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</si>
  <si>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</si>
  <si>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</si>
  <si>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</si>
  <si>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</si>
  <si>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</si>
  <si>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</si>
  <si>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</si>
  <si>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</si>
  <si>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</si>
  <si>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</si>
  <si>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</si>
  <si>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</si>
  <si>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</si>
  <si>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</si>
  <si>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</si>
  <si>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</si>
  <si>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</si>
  <si>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</si>
  <si>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</si>
  <si>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</si>
  <si>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</si>
  <si>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</si>
  <si>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</si>
  <si>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</si>
  <si>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</si>
  <si>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</si>
  <si>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</si>
  <si>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</si>
  <si>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</si>
  <si>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</si>
  <si>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</si>
  <si>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</si>
  <si>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</si>
  <si>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</si>
  <si>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</si>
  <si>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</si>
  <si>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</si>
  <si>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</si>
  <si>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</si>
  <si>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</si>
  <si>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</si>
  <si>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</si>
  <si>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</si>
  <si>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</si>
  <si>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</si>
  <si>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</si>
  <si>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</si>
  <si>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</si>
  <si>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</si>
  <si>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</si>
  <si>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</si>
  <si>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</si>
  <si>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</si>
  <si>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</si>
  <si>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</si>
  <si>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</si>
  <si>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</si>
  <si>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</si>
  <si>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</si>
  <si>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</si>
  <si>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</si>
  <si>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</si>
  <si>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</si>
  <si>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</si>
  <si>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</si>
  <si>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</si>
  <si>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</si>
  <si>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</si>
  <si>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</si>
  <si>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</si>
  <si>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</si>
  <si>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</si>
  <si>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</si>
  <si>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</si>
  <si>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</si>
  <si>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</si>
  <si>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</si>
  <si>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</si>
  <si>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</si>
  <si>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</si>
  <si>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</si>
  <si>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</si>
  <si>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</si>
  <si>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</si>
  <si>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</si>
  <si>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</si>
  <si>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</si>
  <si>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</si>
  <si>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</si>
  <si>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</si>
  <si>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</si>
  <si>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</si>
  <si>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</si>
  <si>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</si>
  <si>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</si>
  <si>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</si>
  <si>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</si>
  <si>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</si>
  <si>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</si>
  <si>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</si>
  <si>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</si>
  <si>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</si>
  <si>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</si>
  <si>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</si>
  <si>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</si>
  <si>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</si>
  <si>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</si>
  <si>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</si>
  <si>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</si>
  <si>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</si>
  <si>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</si>
  <si>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</si>
  <si>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</si>
  <si>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</si>
  <si>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</si>
  <si>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</si>
  <si>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</si>
  <si>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</si>
  <si>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</si>
  <si>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</si>
  <si>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</si>
  <si>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</si>
  <si>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</si>
  <si>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</si>
  <si>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</si>
  <si>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</si>
  <si>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</si>
  <si>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</si>
  <si>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</si>
  <si>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</si>
  <si>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</si>
  <si>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</si>
  <si>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</si>
  <si>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</si>
  <si>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</si>
  <si>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</si>
  <si>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</si>
  <si>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</si>
  <si>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</si>
  <si>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</si>
  <si>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</si>
  <si>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</si>
  <si>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</si>
  <si>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</si>
  <si>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</si>
  <si>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</si>
  <si>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</si>
  <si>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</si>
  <si>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</si>
  <si>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</si>
  <si>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</si>
  <si>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</si>
  <si>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</si>
  <si>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</si>
  <si>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</si>
  <si>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</si>
  <si>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</si>
  <si>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</si>
  <si>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</si>
  <si>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</si>
  <si>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</si>
  <si>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</si>
  <si>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</si>
  <si>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</si>
  <si>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</si>
  <si>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</si>
  <si>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</si>
  <si>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</si>
  <si>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</si>
  <si>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</si>
  <si>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</si>
  <si>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</si>
  <si>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</si>
  <si>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</si>
  <si>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</si>
  <si>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</si>
  <si>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</si>
  <si>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</si>
  <si>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</si>
  <si>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</si>
  <si>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</si>
  <si>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</si>
  <si>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</si>
  <si>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</si>
  <si>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</si>
  <si>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</si>
  <si>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</si>
  <si>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</si>
  <si>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</si>
  <si>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</si>
  <si>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</si>
  <si>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</si>
  <si>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</si>
  <si>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</si>
  <si>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</si>
  <si>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</si>
  <si>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</si>
  <si>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</si>
  <si>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</si>
  <si>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</si>
  <si>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</si>
  <si>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</si>
  <si>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</si>
  <si>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</si>
  <si>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</si>
  <si>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</si>
  <si>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</si>
  <si>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</si>
  <si>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</si>
  <si>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</si>
  <si>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</si>
  <si>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</si>
  <si>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</si>
  <si>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</si>
  <si>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</si>
  <si>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</si>
  <si>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</si>
  <si>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</si>
  <si>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</si>
  <si>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</si>
  <si>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</si>
  <si>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</si>
  <si>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</si>
  <si>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</si>
  <si>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</si>
  <si>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</si>
  <si>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</si>
  <si>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</si>
  <si>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</si>
  <si>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</si>
  <si>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</si>
  <si>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</si>
  <si>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</si>
  <si>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</si>
  <si>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</si>
  <si>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</si>
  <si>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</si>
  <si>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</si>
  <si>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</si>
  <si>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</si>
  <si>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</si>
  <si>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</si>
  <si>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</si>
  <si>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</si>
  <si>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</si>
  <si>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</si>
  <si>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</si>
  <si>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</si>
  <si>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</si>
  <si>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</si>
  <si>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</si>
  <si>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</si>
  <si>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</si>
  <si>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</si>
  <si>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</si>
  <si>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</si>
  <si>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</si>
  <si>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</si>
  <si>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</si>
  <si>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</si>
  <si>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</si>
  <si>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</si>
  <si>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</si>
  <si>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</si>
  <si>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</si>
  <si>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</si>
  <si>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</si>
  <si>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</si>
  <si>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</si>
  <si>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</si>
  <si>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</si>
  <si>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</si>
  <si>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</si>
  <si>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</si>
  <si>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</si>
  <si>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</si>
  <si>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</si>
  <si>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</si>
  <si>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</si>
  <si>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</si>
  <si>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</si>
  <si>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</si>
  <si>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</si>
  <si>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</si>
  <si>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</si>
  <si>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</si>
  <si>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</si>
  <si>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</si>
  <si>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</si>
  <si>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</si>
  <si>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</si>
  <si>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</si>
  <si>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</si>
  <si>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</si>
  <si>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</si>
  <si>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</si>
  <si>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</si>
  <si>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</si>
  <si>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</si>
  <si>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</si>
  <si>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</si>
  <si>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</si>
  <si>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</si>
  <si>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</si>
  <si>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</si>
  <si>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</si>
  <si>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</si>
  <si>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</si>
  <si>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</si>
  <si>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</si>
  <si>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</si>
  <si>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</si>
  <si>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</si>
  <si>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</si>
  <si>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</si>
  <si>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</si>
  <si>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</si>
  <si>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</si>
  <si>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</si>
  <si>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</si>
  <si>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</si>
  <si>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</si>
  <si>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</si>
  <si>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</si>
  <si>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</si>
  <si>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</si>
  <si>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</si>
  <si>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</si>
  <si>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</si>
  <si>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</si>
  <si>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</si>
  <si>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</si>
  <si>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</si>
  <si>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</si>
  <si>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</si>
  <si>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</si>
  <si>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</si>
  <si>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</si>
  <si>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</si>
  <si>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</si>
  <si>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</si>
  <si>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</si>
  <si>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</si>
  <si>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</si>
  <si>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</si>
  <si>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</si>
  <si>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</si>
  <si>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</si>
  <si>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</si>
  <si>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</si>
  <si>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</si>
  <si>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</si>
  <si>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</si>
  <si>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</si>
  <si>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</si>
  <si>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</si>
  <si>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</si>
  <si>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</si>
  <si>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</si>
  <si>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</si>
  <si>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</si>
  <si>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</si>
  <si>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</si>
  <si>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</si>
  <si>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</si>
  <si>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</si>
  <si>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</si>
  <si>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</si>
  <si>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</si>
  <si>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</si>
  <si>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</si>
  <si>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</si>
  <si>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</si>
  <si>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</si>
  <si>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</si>
  <si>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</si>
  <si>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</si>
  <si>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</si>
  <si>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</si>
  <si>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</si>
  <si>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</si>
  <si>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</si>
  <si>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</si>
  <si>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</si>
  <si>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</si>
  <si>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</si>
  <si>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</si>
  <si>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</si>
  <si>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</si>
  <si>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</si>
  <si>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</si>
  <si>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</si>
  <si>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</si>
  <si>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</si>
  <si>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</si>
  <si>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</si>
  <si>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</si>
  <si>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</si>
  <si>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</si>
  <si>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</si>
  <si>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</si>
  <si>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</si>
  <si>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</si>
  <si>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</si>
  <si>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</si>
  <si>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</si>
  <si>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</si>
  <si>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</si>
  <si>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</si>
  <si>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</si>
  <si>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</si>
  <si>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</si>
  <si>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</si>
  <si>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</si>
  <si>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</si>
  <si>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</si>
  <si>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</si>
  <si>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</si>
  <si>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</si>
  <si>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</si>
  <si>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</si>
  <si>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</si>
  <si>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</si>
  <si>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</si>
  <si>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</si>
  <si>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</si>
  <si>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</si>
  <si>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</si>
  <si>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</si>
  <si>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</si>
  <si>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</si>
  <si>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</si>
  <si>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</si>
  <si>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</si>
  <si>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</si>
  <si>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</si>
  <si>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</si>
  <si>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</si>
  <si>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</si>
  <si>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</si>
  <si>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</si>
  <si>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</si>
  <si>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</si>
  <si>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</si>
  <si>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</si>
  <si>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</si>
  <si>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</si>
  <si>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</si>
  <si>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</si>
  <si>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</si>
  <si>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</si>
  <si>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</si>
  <si>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</si>
  <si>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</si>
  <si>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</si>
  <si>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</si>
  <si>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</si>
  <si>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</si>
  <si>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</si>
  <si>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</si>
  <si>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</si>
  <si>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</si>
  <si>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</si>
  <si>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</si>
  <si>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</si>
  <si>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</si>
  <si>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</si>
  <si>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</si>
  <si>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</si>
  <si>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</si>
  <si>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</si>
  <si>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</si>
  <si>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</si>
  <si>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</si>
  <si>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</si>
  <si>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</si>
  <si>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</si>
  <si>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</si>
  <si>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</si>
  <si>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</si>
  <si>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</si>
  <si>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</si>
  <si>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</si>
  <si>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</si>
  <si>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</si>
  <si>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</si>
  <si>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</si>
  <si>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</si>
  <si>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</si>
  <si>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</si>
  <si>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</si>
  <si>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</si>
  <si>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</si>
  <si>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</si>
  <si>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</si>
  <si>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</si>
  <si>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</si>
  <si>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</si>
  <si>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</si>
  <si>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</si>
  <si>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</si>
  <si>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</si>
  <si>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</si>
  <si>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</si>
  <si>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</si>
  <si>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</si>
  <si>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</si>
  <si>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</si>
  <si>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</si>
  <si>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</si>
  <si>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</si>
  <si>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</si>
  <si>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</si>
  <si>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</si>
  <si>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</si>
  <si>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</si>
  <si>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</si>
  <si>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</si>
  <si>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</si>
  <si>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</si>
  <si>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</si>
  <si>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</si>
  <si>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</si>
  <si>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</si>
  <si>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</si>
  <si>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</si>
  <si>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</si>
  <si>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</si>
  <si>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</si>
  <si>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</si>
  <si>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</si>
  <si>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</si>
  <si>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</si>
  <si>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</si>
  <si>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</si>
  <si>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</si>
  <si>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</si>
  <si>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</si>
  <si>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</si>
  <si>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</si>
  <si>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</si>
  <si>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</si>
  <si>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</si>
  <si>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</si>
  <si>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</si>
  <si>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</si>
  <si>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</si>
  <si>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</si>
  <si>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</si>
  <si>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</si>
  <si>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</si>
  <si>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</si>
  <si>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</si>
  <si>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</si>
  <si>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</si>
  <si>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</si>
  <si>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</si>
  <si>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</si>
  <si>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</si>
  <si>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</si>
  <si>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</si>
  <si>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</si>
  <si>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</si>
  <si>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</si>
  <si>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</si>
  <si>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</si>
  <si>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</si>
  <si>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</si>
  <si>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</si>
  <si>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</si>
  <si>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</si>
  <si>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</si>
  <si>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</si>
  <si>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</si>
  <si>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</si>
  <si>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</si>
  <si>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</si>
  <si>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</si>
  <si>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</si>
  <si>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</si>
  <si>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</si>
  <si>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</si>
  <si>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</si>
  <si>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</si>
  <si>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</si>
  <si>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</si>
  <si>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</si>
  <si>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</si>
  <si>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</si>
  <si>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</si>
  <si>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</si>
  <si>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</si>
  <si>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</si>
  <si>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</si>
  <si>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</si>
  <si>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</si>
  <si>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</si>
  <si>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</si>
  <si>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</si>
  <si>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</si>
  <si>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</si>
  <si>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</si>
  <si>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</si>
  <si>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</si>
  <si>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</si>
  <si>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</si>
  <si>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</si>
  <si>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</si>
  <si>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</si>
  <si>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</si>
  <si>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</si>
  <si>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</si>
  <si>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</si>
  <si>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</si>
  <si>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</si>
  <si>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</si>
  <si>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</si>
  <si>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</si>
  <si>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</si>
  <si>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</si>
  <si>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</si>
  <si>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</si>
  <si>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</si>
  <si>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</si>
  <si>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</si>
  <si>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</si>
  <si>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</si>
  <si>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</si>
  <si>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</si>
  <si>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</si>
  <si>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</si>
  <si>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</si>
  <si>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</si>
  <si>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</si>
  <si>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</si>
  <si>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</si>
  <si>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</si>
  <si>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</si>
  <si>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</si>
  <si>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</si>
  <si>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</si>
  <si>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</si>
  <si>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</si>
  <si>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</si>
  <si>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</si>
  <si>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</si>
  <si>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</si>
  <si>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</si>
  <si>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</si>
  <si>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</si>
  <si>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</si>
  <si>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</si>
  <si>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</si>
  <si>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</si>
  <si>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</si>
  <si>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</si>
  <si>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</si>
  <si>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</si>
  <si>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</si>
  <si>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</si>
  <si>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</si>
  <si>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</si>
  <si>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</si>
  <si>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</si>
  <si>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</si>
  <si>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</si>
  <si>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</si>
  <si>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</si>
  <si>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</si>
  <si>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</si>
  <si>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</si>
  <si>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</si>
  <si>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</si>
  <si>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</si>
  <si>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</si>
  <si>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</si>
  <si>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</si>
  <si>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</si>
  <si>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</si>
  <si>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</si>
  <si>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</si>
  <si>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</si>
  <si>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</si>
  <si>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</si>
  <si>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</si>
  <si>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</si>
  <si>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</si>
  <si>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</si>
  <si>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</si>
  <si>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</si>
  <si>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</si>
  <si>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</si>
  <si>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</si>
  <si>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</si>
  <si>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</si>
  <si>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</si>
  <si>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</si>
  <si>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</si>
  <si>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</si>
  <si>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</si>
  <si>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</si>
  <si>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</si>
  <si>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</si>
  <si>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</si>
  <si>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</si>
  <si>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</si>
  <si>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</si>
  <si>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</si>
  <si>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</si>
  <si>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</si>
  <si>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</si>
  <si>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</si>
  <si>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</si>
  <si>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</si>
  <si>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</si>
  <si>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</si>
  <si>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</si>
  <si>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</si>
  <si>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</si>
  <si>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</si>
  <si>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</si>
  <si>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</si>
  <si>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</si>
  <si>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</si>
  <si>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</si>
  <si>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</si>
  <si>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</si>
  <si>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</si>
  <si>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</si>
  <si>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</si>
  <si>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</si>
  <si>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</si>
  <si>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</si>
  <si>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</si>
  <si>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</si>
  <si>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</si>
  <si>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</si>
  <si>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</si>
  <si>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</si>
  <si>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</si>
  <si>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</si>
  <si>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</si>
  <si>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</si>
  <si>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</si>
  <si>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</si>
  <si>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</si>
  <si>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</si>
  <si>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</si>
  <si>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</si>
  <si>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</si>
  <si>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</si>
  <si>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</si>
  <si>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</si>
  <si>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</si>
  <si>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</si>
  <si>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</si>
  <si>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</si>
  <si>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</si>
  <si>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</si>
  <si>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</si>
  <si>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</si>
  <si>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</si>
  <si>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</si>
  <si>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</si>
  <si>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</si>
  <si>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</si>
  <si>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</si>
  <si>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</si>
  <si>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</si>
  <si>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</si>
  <si>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</si>
  <si>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</si>
  <si>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</si>
  <si>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</si>
  <si>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</si>
  <si>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</si>
  <si>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</si>
  <si>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</si>
  <si>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</si>
  <si>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</si>
  <si>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</si>
  <si>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</si>
  <si>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</si>
  <si>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</si>
  <si>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</si>
  <si>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</si>
  <si>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</si>
  <si>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</si>
  <si>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</si>
  <si>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</si>
  <si>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</si>
  <si>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</si>
  <si>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</si>
  <si>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</si>
  <si>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</si>
  <si>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</si>
  <si>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</si>
  <si>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</si>
  <si>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</si>
  <si>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</si>
  <si>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</si>
  <si>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</si>
  <si>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</si>
  <si>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</si>
  <si>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</si>
  <si>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</si>
  <si>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</si>
  <si>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</si>
  <si>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</si>
  <si>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</si>
  <si>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</si>
  <si>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</si>
  <si>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</si>
  <si>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</si>
  <si>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</si>
  <si>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</si>
  <si>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</si>
  <si>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</si>
  <si>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</si>
  <si>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</si>
  <si>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</si>
  <si>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</si>
  <si>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</si>
  <si>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</si>
  <si>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</si>
  <si>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</si>
  <si>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</si>
  <si>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</si>
  <si>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</si>
  <si>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</si>
  <si>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</si>
  <si>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</si>
  <si>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</si>
  <si>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</si>
  <si>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</si>
  <si>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</si>
  <si>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</si>
  <si>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</si>
  <si>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</si>
  <si>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</si>
  <si>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</si>
  <si>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</si>
  <si>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</si>
  <si>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</si>
  <si>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</si>
  <si>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</si>
  <si>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</si>
  <si>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</si>
  <si>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</si>
  <si>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</si>
  <si>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</si>
  <si>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</si>
  <si>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</si>
  <si>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</si>
  <si>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</si>
  <si>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</si>
  <si>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</si>
  <si>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</si>
  <si>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</si>
  <si>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</si>
  <si>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</si>
  <si>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</si>
  <si>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</si>
  <si>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</si>
  <si>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</si>
  <si>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</si>
  <si>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</si>
  <si>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</si>
  <si>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</si>
  <si>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</si>
  <si>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</si>
  <si>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</si>
  <si>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</si>
  <si>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</si>
  <si>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</si>
  <si>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</si>
  <si>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</si>
  <si>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</si>
  <si>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</si>
  <si>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</si>
  <si>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</si>
  <si>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</si>
  <si>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</si>
  <si>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</si>
  <si>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</si>
  <si>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</si>
  <si>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</si>
  <si>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</si>
  <si>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</si>
  <si>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</si>
  <si>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</si>
  <si>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</si>
  <si>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</si>
  <si>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</si>
  <si>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</si>
  <si>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</si>
  <si>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</si>
  <si>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</si>
  <si>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</si>
  <si>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</si>
  <si>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</si>
  <si>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</si>
  <si>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</si>
  <si>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</si>
  <si>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</si>
  <si>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</si>
  <si>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</si>
  <si>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</si>
  <si>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</si>
  <si>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</si>
  <si>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</si>
  <si>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</si>
  <si>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</si>
  <si>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</si>
  <si>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</si>
  <si>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</si>
  <si>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</si>
  <si>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</si>
  <si>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</si>
  <si>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</si>
  <si>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</si>
  <si>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</si>
  <si>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</si>
  <si>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</si>
  <si>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</si>
  <si>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</si>
  <si>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</si>
  <si>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</si>
  <si>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</si>
  <si>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</si>
  <si>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</si>
  <si>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</si>
  <si>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</si>
  <si>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</si>
  <si>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</si>
  <si>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</si>
  <si>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</si>
  <si>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</si>
  <si>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</si>
  <si>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</si>
  <si>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</si>
  <si>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</si>
  <si>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</si>
  <si>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</si>
  <si>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</si>
  <si>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</si>
  <si>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</si>
  <si>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</si>
  <si>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</si>
  <si>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</si>
  <si>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</si>
  <si>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</si>
  <si>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</si>
  <si>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</si>
  <si>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</si>
  <si>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</si>
  <si>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</si>
  <si>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</si>
  <si>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</si>
  <si>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</si>
  <si>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</si>
  <si>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</si>
  <si>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</si>
  <si>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</si>
  <si>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</si>
  <si>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</si>
  <si>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</si>
  <si>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</si>
  <si>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</si>
  <si>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</si>
  <si>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</si>
  <si>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</si>
  <si>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</si>
  <si>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</si>
  <si>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</si>
  <si>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</si>
  <si>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</si>
  <si>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</si>
  <si>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</si>
  <si>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</si>
  <si>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</si>
  <si>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</si>
  <si>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</si>
  <si>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</si>
  <si>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</si>
  <si>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</si>
  <si>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</si>
  <si>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</si>
  <si>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</si>
  <si>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</si>
  <si>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</si>
  <si>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</si>
  <si>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</si>
  <si>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</si>
  <si>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</si>
  <si>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</si>
  <si>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</si>
  <si>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</si>
  <si>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</si>
  <si>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</si>
  <si>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</si>
  <si>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</si>
  <si>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</si>
  <si>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</si>
  <si>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</si>
  <si>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</si>
  <si>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</si>
  <si>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</si>
  <si>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</si>
  <si>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</si>
  <si>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</si>
  <si>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</si>
  <si>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</si>
  <si>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</si>
  <si>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</si>
  <si>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</si>
  <si>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</si>
  <si>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</si>
  <si>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</si>
  <si>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</si>
  <si>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</si>
  <si>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</si>
  <si>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</si>
  <si>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</si>
  <si>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</si>
  <si>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</si>
  <si>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</si>
  <si>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</si>
  <si>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</si>
  <si>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</si>
  <si>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</si>
  <si>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</si>
  <si>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</si>
  <si>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</si>
  <si>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</si>
  <si>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</si>
  <si>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</si>
  <si>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</si>
  <si>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</si>
  <si>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</si>
  <si>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</si>
  <si>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</si>
  <si>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</si>
  <si>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</si>
  <si>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</si>
  <si>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</si>
  <si>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</si>
  <si>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</si>
  <si>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</si>
  <si>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</si>
  <si>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</si>
  <si>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</si>
  <si>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</si>
  <si>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</si>
  <si>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</si>
  <si>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</si>
  <si>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</si>
  <si>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</si>
  <si>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</si>
  <si>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</si>
  <si>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</si>
  <si>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</si>
  <si>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</si>
  <si>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</si>
  <si>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</si>
  <si>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</si>
  <si>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</si>
  <si>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</si>
  <si>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</si>
  <si>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</si>
  <si>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</si>
  <si>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</si>
  <si>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</si>
  <si>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</si>
  <si>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</si>
  <si>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</si>
  <si>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</si>
  <si>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</si>
  <si>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</si>
  <si>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</si>
  <si>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</si>
  <si>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</si>
  <si>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</si>
  <si>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</si>
  <si>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</si>
  <si>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</si>
  <si>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</si>
  <si>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</si>
  <si>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</si>
  <si>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</si>
  <si>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</si>
  <si>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</si>
  <si>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</si>
  <si>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</si>
  <si>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</si>
  <si>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</si>
  <si>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</si>
  <si>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</si>
  <si>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</si>
  <si>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</si>
  <si>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</si>
  <si>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</si>
  <si>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</si>
  <si>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</si>
  <si>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</si>
  <si>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</si>
  <si>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</si>
  <si>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</si>
  <si>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</si>
  <si>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</si>
  <si>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</si>
  <si>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</si>
  <si>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</si>
  <si>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</si>
  <si>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</si>
  <si>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</si>
  <si>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</si>
  <si>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</si>
  <si>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</si>
  <si>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</si>
  <si>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</si>
  <si>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</si>
  <si>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</si>
  <si>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</si>
  <si>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</si>
  <si>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</si>
  <si>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</si>
  <si>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</si>
  <si>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</si>
  <si>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</si>
  <si>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</si>
  <si>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</si>
  <si>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</si>
  <si>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</si>
  <si>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</si>
  <si>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</si>
  <si>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</si>
  <si>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</si>
  <si>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</si>
  <si>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</si>
  <si>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</si>
  <si>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</si>
  <si>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</si>
  <si>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</si>
  <si>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</si>
  <si>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</si>
  <si>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</si>
  <si>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</si>
  <si>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</si>
  <si>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</si>
  <si>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</si>
  <si>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</si>
  <si>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</si>
  <si>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</si>
  <si>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</si>
  <si>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</si>
  <si>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</si>
  <si>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</si>
  <si>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</si>
  <si>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</si>
  <si>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</si>
  <si>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</si>
  <si>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</si>
  <si>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</si>
  <si>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</si>
  <si>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</si>
  <si>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</si>
  <si>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</si>
  <si>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</si>
  <si>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</si>
  <si>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</si>
  <si>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</si>
  <si>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</si>
  <si>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</si>
  <si>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</si>
  <si>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</si>
  <si>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</si>
  <si>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</si>
  <si>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</si>
  <si>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</si>
  <si>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</si>
  <si>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</si>
  <si>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</si>
  <si>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</si>
  <si>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</si>
  <si>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</si>
  <si>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</si>
  <si>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</si>
  <si>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</si>
  <si>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</si>
  <si>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</si>
  <si>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</si>
  <si>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</si>
  <si>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</si>
  <si>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</si>
  <si>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</si>
  <si>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</si>
  <si>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</si>
  <si>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</si>
  <si>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</si>
  <si>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</si>
  <si>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</si>
  <si>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</si>
  <si>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</si>
  <si>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</si>
  <si>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</si>
  <si>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</si>
  <si>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</si>
  <si>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</si>
  <si>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</si>
  <si>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</si>
  <si>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</si>
  <si>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</si>
  <si>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</si>
  <si>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</si>
  <si>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</si>
  <si>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</si>
  <si>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</si>
  <si>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</si>
  <si>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</si>
  <si>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</si>
  <si>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</si>
  <si>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</si>
  <si>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</si>
  <si>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</si>
  <si>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</si>
  <si>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</si>
  <si>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</si>
  <si>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</si>
  <si>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</si>
  <si>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</si>
  <si>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</si>
  <si>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</si>
  <si>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</si>
  <si>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</si>
  <si>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</si>
  <si>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</si>
  <si>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</si>
  <si>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</si>
  <si>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</si>
  <si>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</si>
  <si>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</si>
  <si>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</si>
  <si>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</si>
  <si>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</si>
  <si>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</si>
  <si>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</si>
  <si>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</si>
  <si>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</si>
  <si>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</si>
  <si>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</si>
  <si>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</si>
  <si>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</si>
  <si>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</si>
  <si>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</si>
  <si>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</si>
  <si>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</si>
  <si>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</si>
  <si>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</si>
  <si>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</si>
  <si>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</si>
  <si>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</si>
  <si>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</si>
  <si>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</si>
  <si>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</si>
  <si>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</si>
  <si>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</si>
  <si>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</si>
  <si>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</si>
  <si>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</si>
  <si>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</si>
  <si>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</si>
  <si>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</si>
  <si>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</si>
  <si>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</si>
  <si>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</si>
  <si>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</si>
  <si>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</si>
  <si>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</si>
  <si>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</si>
  <si>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</si>
  <si>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</si>
  <si>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</si>
  <si>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</si>
  <si>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</si>
  <si>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</si>
  <si>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</si>
  <si>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</si>
  <si>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</si>
  <si>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</si>
  <si>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</si>
  <si>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</si>
  <si>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</si>
  <si>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</si>
  <si>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</si>
  <si>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</si>
  <si>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</si>
  <si>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</si>
  <si>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</si>
  <si>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</si>
  <si>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</si>
  <si>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</si>
  <si>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</si>
  <si>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</si>
  <si>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</si>
  <si>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</si>
  <si>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</si>
  <si>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</si>
  <si>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</si>
  <si>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</si>
  <si>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</si>
  <si>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</si>
  <si>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</si>
  <si>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</si>
  <si>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</si>
  <si>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</si>
  <si>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</si>
  <si>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</si>
  <si>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</si>
  <si>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</si>
  <si>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</si>
  <si>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</si>
  <si>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</si>
  <si>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</si>
  <si>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</si>
  <si>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</si>
  <si>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</si>
  <si>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</si>
  <si>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</si>
  <si>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</si>
  <si>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</si>
  <si>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</si>
  <si>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</si>
  <si>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</si>
  <si>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</si>
  <si>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</si>
  <si>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</si>
  <si>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</si>
  <si>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</si>
  <si>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</si>
  <si>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</si>
  <si>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</si>
  <si>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</si>
  <si>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</si>
  <si>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</si>
  <si>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</si>
  <si>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</si>
  <si>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</si>
  <si>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</si>
  <si>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</si>
  <si>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</si>
  <si>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</si>
  <si>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</si>
  <si>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</si>
  <si>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</si>
  <si>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</si>
  <si>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</si>
  <si>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</si>
  <si>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</si>
  <si>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</si>
  <si>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</si>
  <si>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</si>
  <si>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</si>
  <si>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</si>
  <si>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</si>
  <si>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</si>
  <si>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</si>
  <si>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</si>
  <si>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</si>
  <si>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</si>
  <si>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</si>
  <si>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</si>
  <si>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</si>
  <si>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</si>
  <si>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</si>
  <si>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</si>
  <si>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</si>
  <si>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</si>
  <si>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</si>
  <si>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</si>
  <si>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</si>
  <si>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</si>
  <si>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</si>
  <si>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</si>
  <si>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</si>
  <si>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</si>
  <si>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</si>
  <si>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</si>
  <si>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</si>
  <si>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</si>
  <si>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</si>
  <si>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</si>
  <si>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</si>
  <si>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</si>
  <si>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</si>
  <si>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</si>
  <si>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</si>
  <si>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</si>
  <si>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</si>
  <si>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</si>
  <si>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</si>
  <si>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</si>
  <si>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</si>
  <si>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</si>
  <si>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</si>
  <si>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</si>
  <si>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</si>
  <si>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</si>
  <si>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</si>
  <si>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</si>
  <si>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</si>
  <si>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</si>
  <si>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</si>
  <si>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</si>
  <si>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</si>
  <si>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</si>
  <si>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</si>
  <si>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</si>
  <si>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</si>
  <si>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</si>
  <si>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</si>
  <si>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</si>
  <si>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</si>
  <si>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</si>
  <si>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</si>
  <si>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</si>
  <si>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</si>
  <si>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</si>
  <si>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</si>
  <si>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</si>
  <si>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</si>
  <si>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</si>
  <si>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</si>
  <si>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</si>
  <si>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</si>
  <si>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</si>
  <si>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</si>
  <si>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</si>
  <si>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</si>
  <si>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</si>
  <si>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</si>
  <si>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</si>
  <si>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</si>
  <si>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</si>
  <si>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</si>
  <si>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</si>
  <si>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</si>
  <si>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</si>
  <si>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</si>
  <si>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</si>
  <si>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</si>
  <si>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</si>
  <si>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</si>
  <si>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</si>
  <si>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</si>
  <si>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</si>
  <si>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</si>
  <si>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</si>
  <si>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</si>
  <si>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</si>
  <si>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</si>
  <si>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</si>
  <si>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</si>
  <si>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</si>
  <si>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</si>
  <si>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</si>
  <si>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</si>
  <si>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</si>
  <si>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</si>
  <si>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</si>
  <si>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</si>
  <si>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</si>
  <si>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</si>
  <si>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</si>
  <si>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</si>
  <si>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</si>
  <si>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</si>
  <si>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</si>
  <si>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</si>
  <si>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</si>
  <si>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</si>
  <si>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</si>
  <si>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</si>
  <si>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</si>
  <si>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</si>
  <si>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</si>
  <si>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</si>
  <si>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</si>
  <si>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</si>
  <si>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</si>
  <si>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</si>
  <si>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</si>
  <si>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</si>
  <si>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</si>
  <si>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</si>
  <si>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</si>
  <si>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</si>
  <si>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</si>
  <si>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</si>
  <si>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</si>
  <si>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</si>
  <si>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</si>
  <si>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</si>
  <si>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</si>
  <si>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</si>
  <si>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</si>
  <si>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</si>
  <si>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</si>
  <si>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</si>
  <si>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</si>
  <si>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</si>
  <si>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</si>
  <si>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</si>
  <si>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</si>
  <si>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</si>
  <si>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</si>
  <si>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</si>
  <si>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</si>
  <si>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</si>
  <si>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</si>
  <si>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</si>
  <si>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</si>
  <si>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</si>
  <si>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</si>
  <si>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</si>
  <si>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</si>
  <si>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</si>
  <si>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</si>
  <si>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</si>
  <si>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</si>
  <si>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</si>
  <si>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</si>
  <si>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</si>
  <si>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</si>
  <si>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</si>
  <si>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</si>
  <si>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</si>
  <si>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</si>
  <si>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</si>
  <si>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</si>
  <si>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</si>
  <si>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</si>
  <si>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</si>
  <si>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</si>
  <si>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</si>
  <si>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</si>
  <si>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</si>
  <si>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</si>
  <si>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</si>
  <si>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</si>
  <si>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</si>
  <si>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</si>
  <si>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</si>
  <si>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</si>
  <si>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</si>
  <si>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</si>
  <si>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</si>
  <si>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</si>
  <si>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</si>
  <si>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</si>
  <si>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</si>
  <si>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</si>
  <si>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</si>
  <si>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</si>
  <si>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</si>
  <si>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</si>
  <si>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</si>
  <si>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</si>
  <si>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</si>
  <si>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</si>
  <si>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</si>
  <si>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</si>
  <si>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</si>
  <si>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</si>
  <si>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</si>
  <si>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</si>
  <si>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</si>
  <si>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</si>
  <si>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</si>
  <si>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</si>
  <si>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</si>
  <si>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</si>
  <si>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</si>
  <si>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</si>
  <si>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</si>
  <si>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</si>
  <si>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</si>
  <si>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</si>
  <si>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</si>
  <si>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</si>
  <si>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</si>
  <si>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</si>
  <si>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</si>
  <si>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</si>
  <si>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</si>
  <si>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</si>
  <si>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</si>
  <si>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</si>
  <si>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</si>
  <si>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</si>
  <si>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</si>
  <si>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</si>
  <si>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</si>
  <si>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</si>
  <si>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</si>
  <si>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</si>
  <si>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</si>
  <si>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</si>
  <si>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</si>
  <si>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</si>
  <si>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</si>
  <si>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</si>
  <si>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</si>
  <si>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</si>
  <si>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</si>
  <si>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</si>
  <si>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</si>
  <si>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</si>
  <si>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</si>
  <si>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</si>
  <si>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</si>
  <si>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</si>
  <si>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</si>
  <si>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</si>
  <si>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</si>
  <si>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</si>
  <si>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</si>
  <si>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</si>
  <si>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</si>
  <si>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</si>
  <si>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</si>
  <si>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</si>
  <si>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</si>
  <si>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</si>
  <si>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</si>
  <si>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</si>
  <si>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</si>
  <si>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</si>
  <si>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</si>
  <si>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</si>
  <si>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</si>
  <si>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</si>
  <si>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</si>
  <si>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</si>
  <si>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</si>
  <si>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</si>
  <si>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</si>
  <si>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</si>
  <si>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</si>
  <si>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</si>
  <si>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</si>
  <si>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</si>
  <si>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</si>
  <si>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</si>
  <si>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</si>
  <si>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</si>
  <si>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</si>
  <si>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</si>
  <si>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</si>
  <si>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</si>
  <si>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</si>
  <si>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</si>
  <si>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</si>
  <si>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</si>
  <si>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</si>
  <si>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</si>
  <si>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</si>
  <si>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</si>
  <si>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</si>
  <si>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</si>
  <si>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</si>
  <si>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</si>
  <si>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</si>
  <si>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</si>
  <si>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</si>
  <si>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</si>
  <si>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</si>
  <si>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</si>
  <si>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</si>
  <si>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</si>
  <si>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</si>
  <si>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</si>
  <si>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</si>
  <si>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</si>
  <si>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</si>
  <si>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</si>
  <si>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</si>
  <si>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</si>
  <si>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</si>
  <si>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</si>
  <si>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</si>
  <si>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</si>
  <si>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</si>
  <si>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</si>
  <si>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</si>
  <si>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</si>
  <si>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</si>
  <si>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</si>
  <si>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</si>
  <si>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</si>
  <si>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</si>
  <si>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</si>
  <si>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</si>
  <si>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</si>
  <si>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</si>
  <si>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</si>
  <si>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</si>
  <si>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</si>
  <si>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</si>
  <si>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</si>
  <si>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</si>
  <si>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</si>
  <si>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</si>
  <si>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</si>
  <si>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</si>
  <si>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</si>
  <si>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</si>
  <si>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</si>
  <si>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</si>
  <si>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</si>
  <si>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</si>
  <si>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</si>
  <si>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</si>
  <si>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</si>
  <si>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</si>
  <si>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</si>
  <si>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</si>
  <si>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</si>
  <si>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</si>
  <si>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</si>
  <si>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</si>
  <si>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</si>
  <si>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</si>
  <si>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</si>
  <si>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</si>
  <si>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</si>
  <si>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</si>
  <si>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</si>
  <si>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</si>
  <si>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</si>
  <si>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</si>
  <si>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</si>
  <si>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</si>
  <si>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</si>
  <si>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</si>
  <si>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</si>
  <si>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</si>
  <si>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</si>
  <si>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</si>
  <si>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</si>
  <si>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</si>
  <si>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</si>
  <si>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</si>
  <si>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</si>
  <si>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</si>
  <si>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</si>
  <si>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</si>
  <si>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</si>
  <si>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</si>
  <si>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</si>
  <si>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</si>
  <si>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</si>
  <si>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</si>
  <si>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</si>
  <si>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</si>
  <si>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</si>
  <si>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</si>
  <si>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</si>
  <si>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</si>
  <si>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</si>
  <si>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</si>
  <si>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</si>
  <si>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</si>
  <si>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</si>
  <si>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</si>
  <si>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</si>
  <si>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</si>
  <si>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</si>
  <si>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</si>
  <si>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</si>
  <si>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</si>
  <si>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</si>
  <si>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</si>
  <si>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</si>
  <si>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</si>
  <si>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</si>
  <si>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</si>
  <si>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</si>
  <si>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</si>
  <si>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</si>
  <si>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</si>
  <si>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</si>
  <si>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</si>
  <si>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</si>
  <si>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</si>
  <si>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</si>
  <si>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</si>
  <si>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</si>
  <si>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</si>
  <si>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</si>
  <si>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</si>
  <si>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</si>
  <si>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</si>
  <si>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</si>
  <si>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</si>
  <si>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</si>
  <si>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</si>
  <si>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</si>
  <si>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</si>
  <si>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</si>
  <si>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</si>
  <si>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</si>
  <si>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</si>
  <si>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</si>
  <si>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</si>
  <si>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</si>
  <si>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</si>
  <si>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</si>
  <si>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</si>
  <si>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</si>
  <si>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</si>
  <si>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</si>
  <si>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</si>
  <si>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</si>
  <si>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</si>
  <si>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</si>
  <si>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</si>
  <si>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</si>
  <si>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</si>
  <si>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</si>
  <si>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</si>
  <si>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</si>
  <si>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</si>
  <si>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</si>
  <si>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</si>
  <si>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</si>
  <si>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</si>
  <si>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</si>
  <si>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</si>
  <si>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</si>
  <si>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</si>
  <si>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</si>
  <si>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</si>
  <si>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</si>
  <si>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</si>
  <si>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</si>
  <si>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</si>
  <si>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</si>
  <si>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</si>
  <si>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</si>
  <si>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</si>
  <si>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</si>
  <si>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</si>
  <si>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</si>
  <si>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</si>
  <si>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</si>
  <si>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</si>
  <si>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</si>
  <si>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</si>
  <si>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</si>
  <si>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</si>
  <si>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</si>
  <si>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</si>
  <si>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</si>
  <si>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</si>
  <si>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</si>
  <si>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</si>
  <si>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</si>
  <si>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</si>
  <si>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</si>
  <si>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</si>
  <si>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</si>
  <si>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</si>
  <si>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</si>
  <si>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</si>
  <si>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</si>
  <si>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</si>
  <si>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</si>
  <si>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</si>
  <si>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</si>
  <si>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</si>
  <si>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</si>
  <si>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</si>
  <si>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</si>
  <si>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</si>
  <si>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</si>
  <si>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</si>
  <si>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</si>
  <si>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</si>
  <si>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</si>
  <si>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</si>
  <si>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</si>
  <si>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</si>
  <si>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</si>
  <si>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</si>
  <si>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</si>
  <si>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</si>
  <si>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</si>
  <si>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</si>
  <si>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</si>
  <si>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</si>
  <si>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</si>
  <si>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</si>
  <si>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</si>
  <si>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</si>
  <si>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</si>
  <si>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</si>
  <si>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</si>
  <si>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</si>
  <si>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</si>
  <si>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</si>
  <si>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</si>
  <si>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</si>
  <si>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</si>
  <si>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</si>
  <si>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</si>
  <si>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</si>
  <si>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</si>
  <si>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</si>
  <si>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</si>
  <si>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</si>
  <si>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</si>
  <si>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</si>
  <si>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</si>
  <si>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</si>
  <si>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</si>
  <si>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</si>
  <si>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</si>
  <si>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</si>
  <si>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</si>
  <si>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</si>
  <si>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</si>
  <si>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</si>
  <si>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</si>
  <si>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</si>
  <si>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</si>
  <si>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</si>
  <si>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</si>
  <si>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</si>
  <si>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</si>
  <si>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</si>
  <si>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</si>
  <si>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</si>
  <si>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</si>
  <si>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</si>
  <si>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</si>
  <si>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</si>
  <si>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</si>
  <si>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</si>
  <si>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</si>
  <si>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</si>
  <si>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</si>
  <si>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</si>
  <si>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</si>
  <si>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</si>
  <si>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</si>
  <si>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</si>
  <si>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</si>
  <si>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</si>
  <si>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</si>
  <si>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</si>
  <si>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</si>
  <si>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</si>
  <si>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</si>
  <si>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</si>
  <si>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</si>
  <si>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</si>
  <si>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</si>
  <si>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</si>
  <si>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</si>
  <si>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</si>
  <si>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</si>
  <si>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</si>
  <si>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</si>
  <si>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</si>
  <si>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</si>
  <si>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</si>
  <si>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</si>
  <si>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</si>
  <si>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</si>
  <si>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</si>
  <si>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</si>
  <si>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</si>
  <si>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</si>
  <si>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</si>
  <si>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</si>
  <si>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</si>
  <si>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</si>
  <si>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</si>
  <si>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</si>
  <si>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</si>
  <si>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</si>
  <si>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</si>
  <si>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</si>
  <si>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</si>
  <si>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</si>
  <si>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</si>
  <si>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</si>
  <si>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</si>
  <si>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</si>
  <si>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</si>
  <si>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</si>
  <si>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</si>
  <si>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</si>
  <si>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</si>
  <si>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</si>
  <si>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</si>
  <si>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</si>
  <si>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</si>
  <si>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</si>
  <si>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</si>
  <si>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</si>
  <si>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</si>
  <si>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</si>
  <si>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</si>
  <si>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</si>
  <si>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</si>
  <si>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</si>
  <si>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</si>
  <si>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</si>
  <si>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</si>
  <si>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</si>
  <si>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</si>
  <si>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</si>
  <si>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</si>
  <si>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</si>
  <si>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</si>
  <si>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</si>
  <si>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</si>
  <si>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</si>
  <si>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</si>
  <si>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</si>
  <si>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</si>
  <si>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</si>
  <si>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</si>
  <si>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</si>
  <si>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</si>
  <si>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</si>
  <si>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</si>
  <si>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</si>
  <si>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</si>
  <si>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</si>
  <si>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</si>
  <si>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</si>
  <si>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</si>
  <si>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</si>
  <si>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</si>
  <si>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</si>
  <si>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</si>
  <si>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</si>
  <si>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</si>
  <si>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</si>
  <si>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</si>
  <si>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</si>
  <si>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</si>
  <si>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</si>
  <si>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</si>
  <si>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</si>
  <si>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</si>
  <si>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</si>
  <si>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</si>
  <si>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</si>
  <si>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</si>
  <si>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</si>
  <si>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</si>
  <si>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</si>
  <si>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</si>
  <si>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</si>
  <si>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</si>
  <si>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</si>
  <si>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</si>
  <si>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</si>
  <si>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</si>
  <si>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</si>
  <si>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</si>
  <si>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</si>
  <si>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</si>
  <si>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</si>
  <si>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</si>
  <si>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</si>
  <si>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</si>
  <si>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</si>
  <si>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</si>
  <si>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</si>
  <si>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</si>
  <si>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</si>
  <si>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</si>
  <si>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</si>
  <si>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</si>
  <si>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</si>
  <si>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</si>
  <si>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</si>
  <si>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</si>
  <si>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</si>
  <si>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</si>
  <si>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</si>
  <si>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</si>
  <si>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</si>
  <si>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</si>
  <si>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</si>
  <si>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</si>
  <si>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</si>
  <si>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</si>
  <si>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</si>
  <si>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</si>
  <si>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</si>
  <si>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</si>
  <si>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</si>
  <si>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</si>
  <si>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</si>
  <si>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</si>
  <si>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</si>
  <si>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</si>
  <si>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</si>
  <si>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</si>
  <si>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</si>
  <si>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</si>
  <si>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</si>
  <si>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</si>
  <si>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</si>
  <si>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</si>
  <si>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</si>
  <si>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</si>
  <si>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</si>
  <si>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</si>
  <si>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</si>
  <si>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</si>
  <si>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</si>
  <si>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</si>
  <si>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</si>
  <si>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</si>
  <si>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</si>
  <si>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</si>
  <si>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</si>
  <si>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</si>
  <si>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</si>
  <si>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</si>
  <si>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</si>
  <si>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</si>
  <si>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</si>
  <si>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</si>
  <si>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</si>
  <si>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</si>
  <si>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</si>
  <si>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</si>
  <si>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</si>
  <si>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</si>
  <si>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</si>
  <si>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</si>
  <si>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</si>
  <si>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</si>
  <si>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</si>
  <si>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</si>
  <si>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</si>
  <si>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</si>
  <si>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</si>
  <si>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</si>
  <si>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</si>
  <si>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</si>
  <si>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</si>
  <si>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</si>
  <si>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</si>
  <si>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</si>
  <si>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</si>
  <si>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</si>
  <si>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</si>
  <si>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</si>
  <si>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</si>
  <si>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</si>
  <si>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</si>
  <si>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</si>
  <si>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</si>
  <si>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</si>
  <si>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</si>
  <si>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</si>
  <si>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</si>
  <si>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</si>
  <si>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</si>
  <si>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</si>
  <si>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</si>
  <si>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</si>
  <si>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</si>
  <si>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</si>
  <si>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</si>
  <si>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</si>
  <si>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</si>
  <si>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</si>
  <si>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</si>
  <si>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</si>
  <si>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</si>
  <si>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</si>
  <si>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</si>
  <si>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</si>
  <si>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</si>
  <si>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</si>
  <si>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</si>
  <si>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</si>
  <si>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</si>
  <si>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</si>
  <si>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</si>
  <si>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</si>
  <si>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</si>
  <si>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</si>
  <si>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</si>
  <si>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</si>
  <si>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</si>
  <si>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</si>
  <si>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</si>
  <si>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</si>
  <si>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</si>
  <si>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</si>
  <si>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</si>
  <si>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</si>
  <si>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</si>
  <si>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</si>
  <si>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</si>
  <si>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</si>
  <si>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</si>
  <si>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</si>
  <si>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</si>
  <si>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</si>
  <si>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</si>
  <si>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</si>
  <si>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</si>
  <si>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</si>
  <si>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</si>
  <si>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</si>
  <si>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</si>
  <si>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</si>
  <si>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</si>
  <si>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</si>
  <si>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</si>
  <si>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</si>
  <si>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</si>
  <si>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</si>
  <si>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</si>
  <si>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</si>
  <si>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</si>
  <si>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</si>
  <si>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</si>
  <si>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</si>
  <si>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</si>
  <si>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</si>
  <si>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</si>
  <si>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</si>
  <si>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</si>
  <si>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</si>
  <si>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</si>
  <si>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</si>
  <si>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</si>
  <si>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</si>
  <si>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</si>
  <si>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</si>
  <si>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</si>
  <si>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</si>
  <si>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</si>
  <si>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</si>
  <si>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</si>
  <si>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</si>
  <si>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</si>
  <si>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</si>
  <si>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</si>
  <si>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</si>
  <si>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</si>
  <si>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</si>
  <si>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</si>
  <si>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</si>
  <si>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</si>
  <si>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</si>
  <si>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</si>
  <si>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</si>
  <si>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</si>
  <si>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</si>
  <si>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</si>
  <si>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</si>
  <si>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</si>
  <si>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</si>
  <si>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</si>
  <si>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</si>
  <si>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</si>
  <si>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</si>
  <si>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</si>
  <si>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</si>
  <si>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</si>
  <si>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</si>
  <si>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</si>
  <si>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</si>
  <si>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</si>
  <si>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</si>
  <si>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</si>
  <si>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</si>
  <si>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</si>
  <si>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</si>
  <si>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</si>
  <si>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</si>
  <si>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</si>
  <si>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</si>
  <si>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</si>
  <si>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</si>
  <si>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</si>
  <si>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</si>
  <si>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</si>
  <si>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</si>
  <si>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</si>
  <si>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</si>
  <si>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</si>
  <si>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</si>
  <si>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</si>
  <si>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</si>
  <si>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</si>
  <si>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</si>
  <si>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</si>
  <si>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</si>
  <si>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</si>
  <si>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</si>
  <si>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</si>
  <si>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</si>
  <si>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2013-2014</t>
  </si>
  <si>
    <t>Dublianski</t>
  </si>
  <si>
    <t>Gaspard</t>
  </si>
  <si>
    <t>Gesunder</t>
  </si>
  <si>
    <t>Gorczanski</t>
  </si>
  <si>
    <t>Major</t>
  </si>
  <si>
    <t>Markus</t>
  </si>
  <si>
    <t>Matador</t>
  </si>
  <si>
    <t>Moldavia</t>
  </si>
  <si>
    <t>Oleski</t>
  </si>
  <si>
    <t>Orléans</t>
  </si>
  <si>
    <t>Polux</t>
  </si>
  <si>
    <t>Pradel</t>
  </si>
  <si>
    <t>Prerouska</t>
  </si>
  <si>
    <t>Ramses</t>
  </si>
  <si>
    <t>Rapol</t>
  </si>
  <si>
    <t>Rochechouard</t>
  </si>
  <si>
    <t>Sinus</t>
  </si>
  <si>
    <t>Titus</t>
  </si>
  <si>
    <t>Tonus</t>
  </si>
  <si>
    <t>Victor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</si>
  <si>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</si>
  <si>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</si>
  <si>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</si>
  <si>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</si>
  <si>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</si>
  <si>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</si>
  <si>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</si>
  <si>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</si>
  <si>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</si>
  <si>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</si>
  <si>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Janpol</t>
  </si>
  <si>
    <t>Korina</t>
  </si>
  <si>
    <t>Kurander</t>
  </si>
  <si>
    <t>Lesira</t>
  </si>
  <si>
    <t>Ligora</t>
  </si>
  <si>
    <t>Primor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</si>
  <si>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</si>
  <si>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</si>
  <si>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</si>
  <si>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</si>
  <si>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</si>
  <si>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</si>
  <si>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</si>
  <si>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</si>
  <si>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</si>
  <si>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</si>
  <si>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</si>
  <si>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</si>
  <si>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</si>
  <si>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Caddy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</si>
  <si>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</si>
  <si>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</si>
  <si>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</si>
  <si>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</si>
  <si>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</si>
  <si>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</si>
  <si>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</si>
  <si>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</si>
  <si>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</si>
  <si>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</si>
  <si>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</si>
  <si>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</si>
  <si>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</si>
  <si>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</si>
  <si>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</si>
  <si>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</si>
  <si>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</si>
  <si>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</si>
  <si>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</si>
  <si>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</si>
  <si>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</si>
  <si>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</si>
  <si>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</si>
  <si>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</si>
  <si>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</si>
  <si>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</si>
  <si>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</si>
  <si>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</si>
  <si>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</si>
  <si>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</si>
  <si>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</si>
  <si>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</si>
  <si>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</si>
  <si>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</si>
  <si>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</si>
  <si>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</si>
  <si>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</si>
  <si>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</si>
  <si>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</si>
  <si>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</si>
  <si>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</si>
  <si>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</si>
  <si>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</si>
  <si>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</si>
  <si>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</si>
  <si>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</si>
  <si>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</si>
  <si>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</si>
  <si>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</si>
  <si>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</si>
  <si>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</si>
  <si>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</si>
  <si>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</si>
  <si>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</si>
  <si>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</si>
  <si>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</si>
  <si>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</si>
  <si>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Kromerska1-DS1</t>
  </si>
  <si>
    <t>Madora2-DS3</t>
  </si>
  <si>
    <t>Madora3-DS1</t>
  </si>
  <si>
    <t>Olimpiade2-DS2</t>
  </si>
  <si>
    <t>Regal2-DS1</t>
  </si>
  <si>
    <t>Sarepta</t>
  </si>
  <si>
    <t>Bristol</t>
  </si>
  <si>
    <t>Tosca</t>
  </si>
  <si>
    <t>Aviso</t>
  </si>
  <si>
    <t>Jupiter</t>
  </si>
  <si>
    <t>Quinta</t>
  </si>
  <si>
    <t>Mohican</t>
  </si>
  <si>
    <t>ESC1132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</si>
  <si>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</si>
  <si>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</si>
  <si>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</si>
  <si>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</si>
  <si>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</si>
  <si>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</si>
  <si>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</si>
  <si>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</si>
  <si>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</si>
  <si>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</si>
  <si>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</si>
  <si>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</si>
  <si>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</si>
  <si>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</si>
  <si>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</si>
  <si>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</si>
  <si>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</si>
  <si>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</si>
  <si>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</si>
  <si>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</si>
  <si>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</si>
  <si>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</si>
  <si>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</si>
  <si>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</si>
  <si>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</si>
  <si>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</si>
  <si>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</si>
  <si>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</si>
  <si>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</si>
  <si>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</si>
  <si>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</si>
  <si>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</si>
  <si>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</si>
  <si>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</si>
  <si>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</si>
  <si>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</si>
  <si>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Alsace 1360</t>
  </si>
  <si>
    <t>Fertodi elit</t>
  </si>
  <si>
    <t>Goldgelber Zarter Butter</t>
  </si>
  <si>
    <t>Gross Luzewiter</t>
  </si>
  <si>
    <t>Lembke</t>
  </si>
  <si>
    <t>Olquell Gulzover</t>
  </si>
  <si>
    <t>QuedLinburger Platzfester</t>
  </si>
  <si>
    <t>Bienvenu - R33</t>
  </si>
  <si>
    <t>Bolko - POH 285</t>
  </si>
  <si>
    <t>NSL 96-25</t>
  </si>
  <si>
    <t>SW Gospel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</si>
  <si>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</si>
  <si>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</si>
  <si>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</si>
  <si>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</si>
  <si>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</si>
  <si>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</si>
  <si>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</si>
  <si>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</si>
  <si>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</si>
  <si>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RAPSO_Compl_01 (euralis)</t>
  </si>
  <si>
    <t>RAPSO_Compl_02 (euralis)</t>
  </si>
  <si>
    <t>LE 1</t>
  </si>
  <si>
    <t>LE 2</t>
  </si>
  <si>
    <t>ALPAGA</t>
  </si>
  <si>
    <t>Verpillières</t>
  </si>
  <si>
    <t>FRA_10_VERP</t>
  </si>
  <si>
    <t>SYNG</t>
  </si>
  <si>
    <t>Fertilisation limitante (Dose)</t>
  </si>
  <si>
    <t>Fertilisation optimale (Dose)</t>
  </si>
  <si>
    <t>Prot_Yield</t>
  </si>
  <si>
    <t>Oil_Yield</t>
  </si>
  <si>
    <t>CROP</t>
  </si>
  <si>
    <t>Crop</t>
  </si>
  <si>
    <t>Seed_Impurities</t>
  </si>
  <si>
    <t>Glucosinolates</t>
  </si>
  <si>
    <t>panel_syngenta14</t>
  </si>
  <si>
    <t>P14SYNG</t>
  </si>
  <si>
    <t>KRASNODARSKYI</t>
  </si>
  <si>
    <t>RANGI</t>
  </si>
  <si>
    <t>NOVOCHARTORYISKYI</t>
  </si>
  <si>
    <t>MYTNINSKYI-2</t>
  </si>
  <si>
    <t>LJUBLANA</t>
  </si>
  <si>
    <t>KOMBI</t>
  </si>
  <si>
    <t>CETMEKI</t>
  </si>
  <si>
    <t>BLAGODATNYI</t>
  </si>
  <si>
    <t>MANSHOLTS</t>
  </si>
  <si>
    <t>NIEDERARNBACHER</t>
  </si>
  <si>
    <t>SNITYNSKYI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</si>
  <si>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</si>
  <si>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</si>
  <si>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</si>
  <si>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</si>
  <si>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</si>
  <si>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</si>
  <si>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</si>
  <si>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</si>
  <si>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</si>
  <si>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</si>
  <si>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</si>
  <si>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</si>
  <si>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</si>
  <si>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</si>
  <si>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</si>
  <si>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</si>
  <si>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</si>
  <si>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</si>
  <si>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</si>
  <si>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</si>
  <si>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</si>
  <si>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</si>
  <si>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</si>
  <si>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</si>
  <si>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</si>
  <si>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</si>
  <si>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</si>
  <si>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</si>
  <si>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</si>
  <si>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</si>
  <si>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</si>
  <si>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</si>
  <si>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</si>
  <si>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</si>
  <si>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</si>
  <si>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</si>
  <si>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</si>
  <si>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</si>
  <si>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</si>
  <si>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</si>
  <si>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</si>
  <si>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</si>
  <si>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</si>
  <si>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</si>
  <si>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</si>
  <si>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</si>
  <si>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</si>
  <si>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</si>
  <si>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</si>
  <si>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</si>
  <si>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</si>
  <si>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</si>
  <si>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</si>
  <si>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</si>
  <si>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</si>
  <si>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</si>
  <si>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</si>
  <si>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</si>
  <si>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</si>
  <si>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</si>
  <si>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</si>
  <si>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</si>
  <si>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</si>
  <si>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</si>
  <si>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</si>
  <si>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</si>
  <si>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</si>
  <si>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</si>
  <si>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</si>
  <si>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</si>
  <si>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</si>
  <si>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</si>
  <si>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</si>
  <si>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</si>
  <si>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</si>
  <si>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</si>
  <si>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</si>
  <si>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</si>
  <si>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</si>
  <si>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</si>
  <si>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</si>
  <si>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</si>
  <si>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</si>
  <si>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</si>
  <si>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</si>
  <si>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</si>
  <si>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</si>
  <si>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</si>
  <si>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</si>
  <si>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</si>
  <si>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</si>
  <si>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</si>
  <si>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</si>
  <si>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</si>
  <si>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</si>
  <si>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</si>
  <si>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</si>
  <si>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</si>
  <si>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</si>
  <si>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</si>
  <si>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</si>
  <si>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</si>
  <si>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</si>
  <si>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</si>
  <si>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</si>
  <si>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</si>
  <si>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</si>
  <si>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</si>
  <si>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</si>
  <si>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</si>
  <si>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</si>
  <si>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</si>
  <si>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</si>
  <si>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</si>
  <si>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</si>
  <si>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</si>
  <si>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</si>
  <si>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</si>
  <si>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</si>
  <si>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</si>
  <si>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</si>
  <si>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</si>
  <si>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</si>
  <si>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</si>
  <si>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</si>
  <si>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</si>
  <si>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</si>
  <si>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</si>
  <si>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</si>
  <si>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</si>
  <si>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</si>
  <si>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</si>
  <si>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</si>
  <si>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</si>
  <si>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</si>
  <si>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</si>
  <si>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</si>
  <si>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</si>
  <si>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</si>
  <si>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</si>
  <si>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</si>
  <si>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</si>
  <si>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</si>
  <si>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</si>
  <si>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</si>
  <si>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</si>
  <si>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</si>
  <si>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</si>
  <si>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</si>
  <si>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TSW = (SEEDH2O_LAB / NBSEED_sample) x 1000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</si>
  <si>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                                                      SEEDH2O_LAB = ((FWg – DWg) / FWg) x 100 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</si>
  <si>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</si>
  <si>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</si>
  <si>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</si>
  <si>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</si>
  <si>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</si>
  <si>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</si>
  <si>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</si>
  <si>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</si>
  <si>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</si>
  <si>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</si>
  <si>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</si>
  <si>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</si>
  <si>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</si>
  <si>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</si>
  <si>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</si>
  <si>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</si>
  <si>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</si>
  <si>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</si>
  <si>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</si>
  <si>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</si>
  <si>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</si>
  <si>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</si>
  <si>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</si>
  <si>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</si>
  <si>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</si>
  <si>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</si>
  <si>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</si>
  <si>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</si>
  <si>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</si>
  <si>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</si>
  <si>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</si>
  <si>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</si>
  <si>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</si>
  <si>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</si>
  <si>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</si>
  <si>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</si>
  <si>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</si>
  <si>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</si>
  <si>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</si>
  <si>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</si>
  <si>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</si>
  <si>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</si>
  <si>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</si>
  <si>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</si>
  <si>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</si>
  <si>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</si>
  <si>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</si>
  <si>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</si>
  <si>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</si>
  <si>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</si>
  <si>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</si>
  <si>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</si>
  <si>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</si>
  <si>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</si>
  <si>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</si>
  <si>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</si>
  <si>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</si>
  <si>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</si>
  <si>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</si>
  <si>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</si>
  <si>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</si>
  <si>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</si>
  <si>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</si>
  <si>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</si>
  <si>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</si>
  <si>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</si>
  <si>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</si>
  <si>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</si>
  <si>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</si>
  <si>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</si>
  <si>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Rapsodyn SYN</t>
  </si>
  <si>
    <t>RAPSO_SYN</t>
  </si>
  <si>
    <t>Diversity analysis and adaptation to N constraints</t>
  </si>
  <si>
    <t>Clear visual differences between N regimes</t>
  </si>
  <si>
    <t>culumn</t>
  </si>
  <si>
    <t>wheat</t>
  </si>
  <si>
    <t>Alpha plan</t>
  </si>
  <si>
    <t>Syngenta Verpillières, 80</t>
  </si>
  <si>
    <t>NE</t>
  </si>
  <si>
    <t>VER</t>
  </si>
  <si>
    <t>P</t>
  </si>
  <si>
    <t>Adriaensen</t>
  </si>
  <si>
    <t>+33 (0) 6 31 22 79 00</t>
  </si>
  <si>
    <t>remy.adriaensen@syngenta.com</t>
  </si>
  <si>
    <t>Syngenta SAS</t>
  </si>
  <si>
    <t>SAS</t>
  </si>
  <si>
    <t>GENERGY panel</t>
  </si>
  <si>
    <t xml:space="preserve">row </t>
  </si>
  <si>
    <t>alpha plan</t>
  </si>
  <si>
    <t>WIRA</t>
  </si>
  <si>
    <t>DEBRUDER DIPPES</t>
  </si>
  <si>
    <t>EZSTERHAZY N.ST</t>
  </si>
  <si>
    <t>HOCHZUCHT REPOLE</t>
  </si>
  <si>
    <t>KORMOVOI SKRIVERSKYI</t>
  </si>
  <si>
    <t>Astrid</t>
  </si>
  <si>
    <t>DK EXQUISITE</t>
  </si>
  <si>
    <t>DGC 142</t>
  </si>
  <si>
    <r>
      <t>Visual notations (scale 0 - 9). 0 = NA, 1 = high irregular, 3 = irregular, 5 = moderately regular, 7 = regular,</t>
    </r>
    <r>
      <rPr>
        <sz val="10"/>
        <color rgb="FFFF0000"/>
        <rFont val="Calibri"/>
        <family val="2"/>
        <scheme val="minor"/>
      </rPr>
      <t xml:space="preserve"> 9 = perfectly regular.</t>
    </r>
  </si>
  <si>
    <r>
      <t>Visual notations (scale 0 - 9). 0 = NA, 1 = high PODSHAT &gt; 90%, 3 = 60-90%, 5 = 30-60%, 7 = 10-30%,</t>
    </r>
    <r>
      <rPr>
        <sz val="10"/>
        <color rgb="FFFF0000"/>
        <rFont val="Calibri"/>
        <family val="2"/>
        <scheme val="minor"/>
      </rPr>
      <t xml:space="preserve"> 9 = &lt; 10%.</t>
    </r>
  </si>
  <si>
    <t>scoring: 1 = short, 9 = long</t>
  </si>
  <si>
    <t>scoring: 1 = late, 9 = early</t>
  </si>
  <si>
    <t>scoring: 1 = no deficiency, 9 = deficient</t>
  </si>
  <si>
    <t>RAPSO_002</t>
  </si>
  <si>
    <t>RAPSO_006</t>
  </si>
  <si>
    <t>RAPSO_008</t>
  </si>
  <si>
    <t>RAPSO_009</t>
  </si>
  <si>
    <t>RAPSO_011</t>
  </si>
  <si>
    <t>RAPSO_013</t>
  </si>
  <si>
    <t>RAPSO_014</t>
  </si>
  <si>
    <t>RAPSO_015</t>
  </si>
  <si>
    <t>RAPSO_017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</si>
  <si>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</si>
  <si>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</si>
  <si>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</si>
  <si>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</si>
  <si>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</si>
  <si>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</si>
  <si>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</si>
  <si>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</si>
  <si>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</si>
  <si>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</si>
  <si>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RAPSO_045</t>
  </si>
  <si>
    <t>RAPSO_046</t>
  </si>
  <si>
    <t>RAPSO_050</t>
  </si>
  <si>
    <t>RAPSO_051</t>
  </si>
  <si>
    <t>RAPSO_053</t>
  </si>
  <si>
    <t>RAPSO_054</t>
  </si>
  <si>
    <t>RAPSO_057</t>
  </si>
  <si>
    <t>RAPSO_062</t>
  </si>
  <si>
    <t>RAPSO_063</t>
  </si>
  <si>
    <t>RAPSO_064</t>
  </si>
  <si>
    <t>RAPSO_067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</si>
  <si>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</si>
  <si>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</si>
  <si>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</si>
  <si>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</si>
  <si>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</si>
  <si>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</si>
  <si>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</si>
  <si>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</si>
  <si>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</si>
  <si>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</si>
  <si>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</si>
  <si>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RAPSO_091</t>
  </si>
  <si>
    <t>RAPSO_098</t>
  </si>
  <si>
    <t>RAPSO_099</t>
  </si>
  <si>
    <t>RAPSO_102</t>
  </si>
  <si>
    <t>RAPSO_105</t>
  </si>
  <si>
    <t>RAPSO_108</t>
  </si>
  <si>
    <t>RAPSO_112</t>
  </si>
  <si>
    <t>RAPSO_115</t>
  </si>
  <si>
    <t>RAPSO_122</t>
  </si>
  <si>
    <t>RAPSO_124</t>
  </si>
  <si>
    <t>RAPSO_125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</si>
  <si>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</si>
  <si>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</si>
  <si>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</si>
  <si>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</si>
  <si>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</si>
  <si>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</si>
  <si>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</si>
  <si>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</si>
  <si>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</si>
  <si>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</si>
  <si>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</si>
  <si>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RAPSO_152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</si>
  <si>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</si>
  <si>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</si>
  <si>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</si>
  <si>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</si>
  <si>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</si>
  <si>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</si>
  <si>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</si>
  <si>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</si>
  <si>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</si>
  <si>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</si>
  <si>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</si>
  <si>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</si>
  <si>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</si>
  <si>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</si>
  <si>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</si>
  <si>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</si>
  <si>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</si>
  <si>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</si>
  <si>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</si>
  <si>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</si>
  <si>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</si>
  <si>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</si>
  <si>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</si>
  <si>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</si>
  <si>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</si>
  <si>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</si>
  <si>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</si>
  <si>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</si>
  <si>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</si>
  <si>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</si>
  <si>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</si>
  <si>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</si>
  <si>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</si>
  <si>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</si>
  <si>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</si>
  <si>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</si>
  <si>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</si>
  <si>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</si>
  <si>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</si>
  <si>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</si>
  <si>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</si>
  <si>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</si>
  <si>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</si>
  <si>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</si>
  <si>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</si>
  <si>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</si>
  <si>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</si>
  <si>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</si>
  <si>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</si>
  <si>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</si>
  <si>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</si>
  <si>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</si>
  <si>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</si>
  <si>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</si>
  <si>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</si>
  <si>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</si>
  <si>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</si>
  <si>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</si>
  <si>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</si>
  <si>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</si>
  <si>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</si>
  <si>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</si>
  <si>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</si>
  <si>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RAPSO_335</t>
  </si>
  <si>
    <t>RAPSO_342</t>
  </si>
  <si>
    <t>RAPSO_343</t>
  </si>
  <si>
    <t>RAPSO_349</t>
  </si>
  <si>
    <t>RAPSO_356</t>
  </si>
  <si>
    <t>RAPSO_363</t>
  </si>
  <si>
    <t>RAPSO_368</t>
  </si>
  <si>
    <t>RAPSO_375</t>
  </si>
  <si>
    <t>RAPSO_382</t>
  </si>
  <si>
    <t>RAPSO_387</t>
  </si>
  <si>
    <t>RAPSO_395</t>
  </si>
  <si>
    <t>RAPSO_402</t>
  </si>
  <si>
    <t>RAPSO_406</t>
  </si>
  <si>
    <t>RAPSO_411</t>
  </si>
  <si>
    <t>RAPSO_415</t>
  </si>
  <si>
    <t>RAPSO_418</t>
  </si>
  <si>
    <t>RAPSO_419</t>
  </si>
  <si>
    <t>RAPSO_430</t>
  </si>
  <si>
    <t>RAPSO_437</t>
  </si>
  <si>
    <t>RAPSO_456</t>
  </si>
  <si>
    <t>BRA_005</t>
  </si>
  <si>
    <t>BRA_006</t>
  </si>
  <si>
    <t>BRA_007</t>
  </si>
  <si>
    <t>BRA_008</t>
  </si>
  <si>
    <t>BRA_009</t>
  </si>
  <si>
    <t>BRA_010</t>
  </si>
  <si>
    <t>BRA_011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</si>
  <si>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</si>
  <si>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</si>
  <si>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</si>
  <si>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</si>
  <si>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</si>
  <si>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</si>
  <si>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</si>
  <si>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</si>
  <si>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</si>
  <si>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</si>
  <si>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</si>
  <si>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</si>
  <si>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</si>
  <si>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</si>
  <si>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</si>
  <si>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</si>
  <si>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</si>
  <si>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</si>
  <si>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</si>
  <si>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</si>
  <si>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</si>
  <si>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</si>
  <si>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</si>
  <si>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</si>
  <si>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</si>
  <si>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</si>
  <si>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</si>
  <si>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</si>
  <si>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</si>
  <si>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</si>
  <si>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</si>
  <si>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</si>
  <si>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</si>
  <si>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</si>
  <si>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</si>
  <si>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</si>
  <si>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</si>
  <si>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</si>
  <si>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</si>
  <si>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</si>
  <si>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</si>
  <si>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</si>
  <si>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</si>
  <si>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</si>
  <si>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</si>
  <si>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</si>
  <si>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</si>
  <si>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</si>
  <si>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</si>
  <si>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</si>
  <si>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</si>
  <si>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temoin_1</t>
  </si>
  <si>
    <t>temoin_2</t>
  </si>
  <si>
    <t>B2</t>
  </si>
  <si>
    <t>B3</t>
  </si>
  <si>
    <t>B4</t>
  </si>
  <si>
    <t>Meteo_data</t>
  </si>
  <si>
    <t>See tab</t>
  </si>
  <si>
    <t>Excel</t>
  </si>
  <si>
    <t>Soil_data</t>
  </si>
  <si>
    <t>INN_data</t>
  </si>
  <si>
    <t>Parcellaire_data</t>
  </si>
  <si>
    <t>ITK_data</t>
  </si>
  <si>
    <t>Action</t>
  </si>
  <si>
    <t>Produits</t>
  </si>
  <si>
    <t>Cibles</t>
  </si>
  <si>
    <t>Détails</t>
  </si>
  <si>
    <t>4/5</t>
  </si>
  <si>
    <t>1/5</t>
  </si>
  <si>
    <t>Total</t>
  </si>
  <si>
    <t>N % DUMAS Spécial Ferti</t>
  </si>
  <si>
    <t>Manip</t>
  </si>
  <si>
    <t>Modalite</t>
  </si>
  <si>
    <t>Genotype</t>
  </si>
  <si>
    <t>Stade</t>
  </si>
  <si>
    <t>Nbr</t>
  </si>
  <si>
    <t>MF (g)</t>
  </si>
  <si>
    <t>MS (g)</t>
  </si>
  <si>
    <t>% Humidité</t>
  </si>
  <si>
    <t>MF Feuilles (g)</t>
  </si>
  <si>
    <t>MF Tige (g)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</si>
  <si>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</si>
  <si>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</si>
  <si>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</si>
  <si>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</si>
  <si>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</si>
  <si>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</si>
  <si>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</si>
  <si>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</si>
  <si>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</si>
  <si>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</si>
  <si>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</si>
  <si>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INN1</t>
  </si>
  <si>
    <t>INN2</t>
  </si>
  <si>
    <t>INN3</t>
  </si>
  <si>
    <t>INN4</t>
  </si>
  <si>
    <t>Nom de la demande</t>
  </si>
  <si>
    <t>Station Aucamvillr</t>
  </si>
  <si>
    <t>Pas de temps</t>
  </si>
  <si>
    <t>Journalier</t>
  </si>
  <si>
    <t>Date de début</t>
  </si>
  <si>
    <t>24/1013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</si>
  <si>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</si>
  <si>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</si>
  <si>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</si>
  <si>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</si>
  <si>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</si>
  <si>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</si>
  <si>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</si>
  <si>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</si>
  <si>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</si>
  <si>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</si>
  <si>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</si>
  <si>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</si>
  <si>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</si>
  <si>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</si>
  <si>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</si>
  <si>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</si>
  <si>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</si>
  <si>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</si>
  <si>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</si>
  <si>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</si>
  <si>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</si>
  <si>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</si>
  <si>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</si>
  <si>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</si>
  <si>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</si>
  <si>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</si>
  <si>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</si>
  <si>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</si>
  <si>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</si>
  <si>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</si>
  <si>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</si>
  <si>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</si>
  <si>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</si>
  <si>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</si>
  <si>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t>DK EXSTORM</t>
  </si>
  <si>
    <t>-</t>
  </si>
  <si>
    <t>ALPAGA (158-9)</t>
  </si>
  <si>
    <t>DK EXSTORM (142-12)</t>
  </si>
  <si>
    <t>ALPAGA (133-8)</t>
  </si>
  <si>
    <t>ALPAGA (184-3)</t>
  </si>
  <si>
    <t>DK EXSTORM (178-8)</t>
  </si>
  <si>
    <t>ALPAGA (154-1)</t>
  </si>
  <si>
    <t>DK EXSTORM (153-1)</t>
  </si>
  <si>
    <t>DK EXSTORM (169-2)</t>
  </si>
  <si>
    <t>PLAN DETAILLE ESSAI RAPSODYN SYNGENTA 2013-2014</t>
  </si>
  <si>
    <t>AZOTE +</t>
  </si>
  <si>
    <t>AZOTE -</t>
  </si>
  <si>
    <t>PARCELLES SEMEES</t>
  </si>
  <si>
    <t>PARCELLES RECOLTEES</t>
  </si>
  <si>
    <t>Nombre total</t>
  </si>
  <si>
    <t>Longueur des parcelles</t>
  </si>
  <si>
    <t>10.5 m</t>
  </si>
  <si>
    <t>Longueur des parcelles prévue</t>
  </si>
  <si>
    <t>Nombre de rangs</t>
  </si>
  <si>
    <t>Nombre de rangs prévu</t>
  </si>
  <si>
    <t>Surface parcellaire</t>
  </si>
  <si>
    <t>Surface parcellaire prévue</t>
  </si>
  <si>
    <t>Ecartement entre les rangs</t>
  </si>
  <si>
    <t>0.375 m</t>
  </si>
  <si>
    <t>Herbicides</t>
  </si>
  <si>
    <t>Semis colza</t>
  </si>
  <si>
    <t>Fertilisation 1</t>
  </si>
  <si>
    <t>Fertilisation 2</t>
  </si>
  <si>
    <t>Fertilisation 3</t>
  </si>
  <si>
    <t>Fongicides</t>
  </si>
  <si>
    <t>Semoir : Winter auto et Winter porté+MF3050 ; Etat du sol au semis : régulier et sec</t>
  </si>
  <si>
    <t>Texture du sol</t>
  </si>
  <si>
    <t>Limon battant</t>
  </si>
  <si>
    <t>Précédent cultural</t>
  </si>
  <si>
    <t>Blé</t>
  </si>
  <si>
    <t>Anté précédent culturale</t>
  </si>
  <si>
    <t>betteraves</t>
  </si>
  <si>
    <t>Résidus de récolte précédente</t>
  </si>
  <si>
    <t>Pailles brûlées</t>
  </si>
  <si>
    <t>Pailles enfouies</t>
  </si>
  <si>
    <t>Pailles exportées</t>
  </si>
  <si>
    <t>déchaumage</t>
  </si>
  <si>
    <t>labour</t>
  </si>
  <si>
    <t>rotative croskillette</t>
  </si>
  <si>
    <t>Profondeur : 10</t>
  </si>
  <si>
    <t>S15- M 40</t>
  </si>
  <si>
    <t>N39</t>
  </si>
  <si>
    <t>N 39</t>
  </si>
  <si>
    <t>Quantité/ha : 150 ; MGO :22,5 ; SO3 : 60</t>
  </si>
  <si>
    <t>N- : 0U/ N+ : 40U</t>
  </si>
  <si>
    <t>N- : 30U/ N+ : 50U</t>
  </si>
  <si>
    <t>25/09/2013</t>
  </si>
  <si>
    <t>Pearl pro tech 0.33l</t>
  </si>
  <si>
    <t>Plenium 0.15 kg</t>
  </si>
  <si>
    <t>Novall 2 l</t>
  </si>
  <si>
    <t>Foly R 1 l/ha</t>
  </si>
  <si>
    <t>JOAO 0,35 L</t>
  </si>
  <si>
    <t>Mesurol Pro 3 kgs/ha</t>
  </si>
  <si>
    <t>Surface récoltée : 13,5</t>
  </si>
  <si>
    <t>03-04-05/09/2013</t>
  </si>
  <si>
    <t>Racourcisseur, Anti-limace</t>
  </si>
  <si>
    <t>karaté K 1 l     Mesurol Pro 3 kgs/ha</t>
  </si>
  <si>
    <t>Insecticides                     Racourcisseur, Anti-limace</t>
  </si>
  <si>
    <t>Récolte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</si>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</sst>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/yy"/>
    <numFmt numFmtId="165" formatCode="d/mm/yyyy;@"/>
    <numFmt numFmtId="166" formatCode="0.0000"/>
    <numFmt numFmtId="167" formatCode="dd/mm/yy;@"/>
  </numFmts>
  <fonts count="67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Geneva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  <charset val="1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  <charset val="1"/>
    </font>
    <font>
      <sz val="9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/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8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8"/>
      </right>
      <top style="thin">
        <color indexed="64"/>
      </top>
      <bottom/>
      <diagonal/>
    </border>
  </borders>
  <cellStyleXfs count="69">
    <xf numFmtId="0" fontId="0" fillId="0" borderId="0"/>
    <xf numFmtId="0" fontId="4" fillId="0" borderId="0" applyNumberForma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4" fillId="0" borderId="0" applyNumberFormat="0" applyFill="0" applyBorder="0" applyProtection="0"/>
    <xf numFmtId="0" fontId="6" fillId="0" borderId="0"/>
    <xf numFmtId="0" fontId="32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8" fillId="0" borderId="0"/>
    <xf numFmtId="0" fontId="37" fillId="0" borderId="0" applyNumberFormat="0" applyFill="0" applyBorder="0" applyAlignment="0" applyProtection="0"/>
    <xf numFmtId="0" fontId="38" fillId="0" borderId="19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0" applyNumberFormat="0" applyFill="0" applyBorder="0" applyAlignment="0" applyProtection="0"/>
    <xf numFmtId="0" fontId="41" fillId="8" borderId="0" applyNumberFormat="0" applyBorder="0" applyAlignment="0" applyProtection="0"/>
    <xf numFmtId="0" fontId="42" fillId="9" borderId="0" applyNumberFormat="0" applyBorder="0" applyAlignment="0" applyProtection="0"/>
    <xf numFmtId="0" fontId="43" fillId="10" borderId="0" applyNumberFormat="0" applyBorder="0" applyAlignment="0" applyProtection="0"/>
    <xf numFmtId="0" fontId="44" fillId="11" borderId="22" applyNumberFormat="0" applyAlignment="0" applyProtection="0"/>
    <xf numFmtId="0" fontId="45" fillId="12" borderId="23" applyNumberFormat="0" applyAlignment="0" applyProtection="0"/>
    <xf numFmtId="0" fontId="46" fillId="12" borderId="22" applyNumberFormat="0" applyAlignment="0" applyProtection="0"/>
    <xf numFmtId="0" fontId="47" fillId="0" borderId="24" applyNumberFormat="0" applyFill="0" applyAlignment="0" applyProtection="0"/>
    <xf numFmtId="0" fontId="48" fillId="13" borderId="25" applyNumberFormat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7" applyNumberFormat="0" applyFill="0" applyAlignment="0" applyProtection="0"/>
    <xf numFmtId="0" fontId="5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52" fillId="38" borderId="0" applyNumberFormat="0" applyBorder="0" applyAlignment="0" applyProtection="0"/>
    <xf numFmtId="0" fontId="3" fillId="0" borderId="0"/>
    <xf numFmtId="0" fontId="3" fillId="14" borderId="26" applyNumberFormat="0" applyFont="0" applyAlignment="0" applyProtection="0"/>
    <xf numFmtId="0" fontId="2" fillId="0" borderId="0"/>
    <xf numFmtId="0" fontId="2" fillId="14" borderId="26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9" fillId="0" borderId="0"/>
  </cellStyleXfs>
  <cellXfs count="498">
    <xf numFmtId="0" fontId="0" fillId="0" borderId="0" xfId="0"/>
    <xf numFmtId="0" fontId="6" fillId="0" borderId="0" xfId="0" applyFont="1" applyAlignment="1">
      <alignment horizontal="left"/>
    </xf>
    <xf numFmtId="0" fontId="9" fillId="0" borderId="0" xfId="6" applyFont="1" applyAlignment="1">
      <alignment horizontal="left"/>
    </xf>
    <xf numFmtId="164" fontId="9" fillId="0" borderId="0" xfId="6" applyNumberFormat="1" applyFont="1" applyAlignment="1">
      <alignment horizontal="left"/>
    </xf>
    <xf numFmtId="0" fontId="10" fillId="0" borderId="0" xfId="6" applyFont="1" applyAlignment="1">
      <alignment horizontal="left"/>
    </xf>
    <xf numFmtId="0" fontId="6" fillId="0" borderId="0" xfId="9" applyFont="1" applyAlignment="1">
      <alignment horizontal="left"/>
    </xf>
    <xf numFmtId="164" fontId="10" fillId="0" borderId="0" xfId="6" applyNumberFormat="1" applyFont="1" applyAlignment="1">
      <alignment horizontal="left"/>
    </xf>
    <xf numFmtId="0" fontId="6" fillId="0" borderId="0" xfId="6" applyFont="1" applyAlignment="1">
      <alignment horizontal="left"/>
    </xf>
    <xf numFmtId="0" fontId="6" fillId="0" borderId="0" xfId="9" applyFont="1" applyBorder="1" applyAlignment="1">
      <alignment horizontal="left"/>
    </xf>
    <xf numFmtId="0" fontId="14" fillId="0" borderId="0" xfId="9" applyFont="1" applyBorder="1" applyAlignment="1">
      <alignment horizontal="left"/>
    </xf>
    <xf numFmtId="0" fontId="10" fillId="0" borderId="0" xfId="9" applyFont="1" applyAlignment="1">
      <alignment horizontal="left"/>
    </xf>
    <xf numFmtId="0" fontId="12" fillId="0" borderId="0" xfId="9" applyFont="1" applyAlignment="1">
      <alignment horizontal="left"/>
    </xf>
    <xf numFmtId="0" fontId="11" fillId="0" borderId="0" xfId="9" applyFont="1" applyFill="1" applyAlignment="1">
      <alignment horizontal="left"/>
    </xf>
    <xf numFmtId="0" fontId="10" fillId="2" borderId="1" xfId="9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49" fontId="15" fillId="2" borderId="1" xfId="0" applyNumberFormat="1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0" fillId="0" borderId="1" xfId="9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9" applyFont="1" applyFill="1" applyBorder="1" applyAlignment="1">
      <alignment horizontal="left" vertical="center" wrapText="1"/>
    </xf>
    <xf numFmtId="0" fontId="6" fillId="0" borderId="1" xfId="5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1" xfId="9" applyFont="1" applyBorder="1" applyAlignment="1">
      <alignment horizontal="left" vertical="center" wrapText="1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49" fontId="6" fillId="0" borderId="1" xfId="0" applyNumberFormat="1" applyFont="1" applyFill="1" applyBorder="1" applyAlignment="1">
      <alignment horizontal="left" vertical="center" wrapText="1"/>
    </xf>
    <xf numFmtId="0" fontId="6" fillId="0" borderId="7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9" applyFont="1" applyFill="1" applyBorder="1" applyAlignment="1">
      <alignment horizontal="center" vertical="center" wrapText="1"/>
    </xf>
    <xf numFmtId="0" fontId="6" fillId="0" borderId="1" xfId="9" applyFont="1" applyBorder="1" applyAlignment="1">
      <alignment horizontal="left" vertical="center" wrapText="1"/>
    </xf>
    <xf numFmtId="0" fontId="6" fillId="0" borderId="7" xfId="9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6" fillId="0" borderId="0" xfId="9" applyFont="1" applyBorder="1" applyAlignment="1">
      <alignment horizontal="left" vertical="center" wrapText="1"/>
    </xf>
    <xf numFmtId="0" fontId="6" fillId="0" borderId="0" xfId="9" applyFont="1" applyBorder="1" applyAlignment="1">
      <alignment horizontal="left" wrapText="1"/>
    </xf>
    <xf numFmtId="0" fontId="6" fillId="0" borderId="8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1" fillId="0" borderId="8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2" borderId="1" xfId="9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0" fillId="0" borderId="2" xfId="9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0" borderId="2" xfId="9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1" xfId="9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left" wrapText="1"/>
    </xf>
    <xf numFmtId="0" fontId="6" fillId="0" borderId="0" xfId="9" applyFont="1" applyBorder="1" applyAlignment="1">
      <alignment horizontal="left" vertical="center"/>
    </xf>
    <xf numFmtId="0" fontId="11" fillId="0" borderId="0" xfId="9" applyFont="1" applyFill="1" applyBorder="1" applyAlignment="1">
      <alignment horizontal="left"/>
    </xf>
    <xf numFmtId="0" fontId="11" fillId="2" borderId="1" xfId="9" applyFont="1" applyFill="1" applyBorder="1" applyAlignment="1">
      <alignment horizontal="left"/>
    </xf>
    <xf numFmtId="0" fontId="15" fillId="2" borderId="1" xfId="9" applyFont="1" applyFill="1" applyBorder="1" applyAlignment="1">
      <alignment horizontal="left"/>
    </xf>
    <xf numFmtId="0" fontId="18" fillId="0" borderId="1" xfId="9" applyFont="1" applyBorder="1" applyAlignment="1">
      <alignment horizontal="left" vertical="center" wrapText="1"/>
    </xf>
    <xf numFmtId="0" fontId="6" fillId="0" borderId="1" xfId="9" applyFont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0" fillId="0" borderId="0" xfId="9" applyFont="1" applyBorder="1" applyAlignment="1">
      <alignment horizontal="left" vertical="center" wrapText="1"/>
    </xf>
    <xf numFmtId="0" fontId="11" fillId="0" borderId="0" xfId="9" applyFont="1" applyBorder="1" applyAlignment="1">
      <alignment horizontal="left" vertical="center" wrapText="1"/>
    </xf>
    <xf numFmtId="0" fontId="10" fillId="0" borderId="0" xfId="9" applyFont="1" applyBorder="1" applyAlignment="1">
      <alignment horizontal="left" vertical="center"/>
    </xf>
    <xf numFmtId="0" fontId="10" fillId="0" borderId="0" xfId="9" applyFont="1" applyFill="1" applyBorder="1" applyAlignment="1">
      <alignment horizontal="left" vertical="center"/>
    </xf>
    <xf numFmtId="0" fontId="11" fillId="2" borderId="1" xfId="0" applyFont="1" applyFill="1" applyBorder="1" applyAlignment="1" applyProtection="1">
      <alignment horizontal="left"/>
    </xf>
    <xf numFmtId="0" fontId="15" fillId="2" borderId="1" xfId="0" applyFont="1" applyFill="1" applyBorder="1" applyAlignment="1" applyProtection="1">
      <alignment horizontal="left"/>
    </xf>
    <xf numFmtId="0" fontId="15" fillId="2" borderId="7" xfId="0" applyFont="1" applyFill="1" applyBorder="1" applyAlignment="1" applyProtection="1">
      <alignment horizontal="left"/>
    </xf>
    <xf numFmtId="0" fontId="6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vertical="center" wrapText="1"/>
    </xf>
    <xf numFmtId="0" fontId="6" fillId="0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4" fillId="0" borderId="7" xfId="1" applyNumberFormat="1" applyFont="1" applyFill="1" applyBorder="1" applyAlignment="1" applyProtection="1">
      <alignment horizontal="left" vertical="center" wrapText="1"/>
    </xf>
    <xf numFmtId="0" fontId="11" fillId="2" borderId="1" xfId="10" applyFont="1" applyFill="1" applyBorder="1" applyAlignment="1">
      <alignment horizontal="left"/>
    </xf>
    <xf numFmtId="0" fontId="10" fillId="2" borderId="1" xfId="10" applyFont="1" applyFill="1" applyBorder="1" applyAlignment="1">
      <alignment horizontal="left"/>
    </xf>
    <xf numFmtId="0" fontId="6" fillId="0" borderId="1" xfId="1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wrapText="1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49" fontId="11" fillId="2" borderId="1" xfId="0" applyNumberFormat="1" applyFont="1" applyFill="1" applyBorder="1" applyAlignment="1" applyProtection="1">
      <alignment horizontal="left"/>
    </xf>
    <xf numFmtId="49" fontId="15" fillId="2" borderId="1" xfId="0" applyNumberFormat="1" applyFont="1" applyFill="1" applyBorder="1" applyAlignment="1" applyProtection="1">
      <alignment horizontal="left"/>
    </xf>
    <xf numFmtId="0" fontId="12" fillId="2" borderId="1" xfId="0" applyFont="1" applyFill="1" applyBorder="1" applyAlignment="1" applyProtection="1">
      <alignment horizontal="left"/>
      <protection locked="0"/>
    </xf>
    <xf numFmtId="0" fontId="15" fillId="2" borderId="6" xfId="0" applyFont="1" applyFill="1" applyBorder="1" applyAlignment="1">
      <alignment horizontal="left"/>
    </xf>
    <xf numFmtId="49" fontId="22" fillId="0" borderId="1" xfId="0" applyNumberFormat="1" applyFont="1" applyFill="1" applyBorder="1" applyAlignment="1" applyProtection="1">
      <alignment horizontal="left" vertical="center" wrapText="1"/>
    </xf>
    <xf numFmtId="49" fontId="22" fillId="0" borderId="1" xfId="0" applyNumberFormat="1" applyFont="1" applyFill="1" applyBorder="1" applyAlignment="1" applyProtection="1">
      <alignment horizontal="left" wrapText="1"/>
    </xf>
    <xf numFmtId="0" fontId="6" fillId="0" borderId="0" xfId="0" applyFont="1" applyFill="1" applyBorder="1" applyAlignment="1">
      <alignment horizontal="left"/>
    </xf>
    <xf numFmtId="0" fontId="22" fillId="0" borderId="1" xfId="9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/>
    </xf>
    <xf numFmtId="0" fontId="10" fillId="0" borderId="0" xfId="0" applyFont="1"/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1" xfId="3" applyNumberFormat="1" applyFont="1" applyFill="1" applyBorder="1" applyAlignment="1" applyProtection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7" fillId="2" borderId="1" xfId="0" applyFont="1" applyFill="1" applyBorder="1"/>
    <xf numFmtId="0" fontId="6" fillId="0" borderId="1" xfId="0" applyFont="1" applyFill="1" applyBorder="1" applyAlignment="1" applyProtection="1">
      <alignment horizontal="center"/>
      <protection locked="0"/>
    </xf>
    <xf numFmtId="0" fontId="24" fillId="3" borderId="11" xfId="0" applyFont="1" applyFill="1" applyBorder="1" applyAlignment="1">
      <alignment vertical="center"/>
    </xf>
    <xf numFmtId="0" fontId="0" fillId="0" borderId="12" xfId="0" applyFill="1" applyBorder="1"/>
    <xf numFmtId="0" fontId="19" fillId="4" borderId="12" xfId="0" applyFont="1" applyFill="1" applyBorder="1"/>
    <xf numFmtId="0" fontId="11" fillId="3" borderId="13" xfId="0" applyFont="1" applyFill="1" applyBorder="1" applyAlignment="1">
      <alignment horizontal="center" vertical="center"/>
    </xf>
    <xf numFmtId="0" fontId="15" fillId="0" borderId="14" xfId="9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19" fillId="3" borderId="15" xfId="0" applyFont="1" applyFill="1" applyBorder="1" applyAlignment="1">
      <alignment vertical="center"/>
    </xf>
    <xf numFmtId="0" fontId="0" fillId="0" borderId="12" xfId="0" applyBorder="1"/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Fill="1" applyBorder="1"/>
    <xf numFmtId="0" fontId="15" fillId="0" borderId="1" xfId="9" applyFont="1" applyFill="1" applyBorder="1" applyAlignment="1">
      <alignment horizontal="center"/>
    </xf>
    <xf numFmtId="0" fontId="19" fillId="3" borderId="11" xfId="0" applyFont="1" applyFill="1" applyBorder="1" applyAlignment="1">
      <alignment vertical="center"/>
    </xf>
    <xf numFmtId="0" fontId="15" fillId="0" borderId="14" xfId="9" applyFont="1" applyBorder="1" applyAlignment="1">
      <alignment horizontal="center" vertical="center"/>
    </xf>
    <xf numFmtId="0" fontId="19" fillId="3" borderId="16" xfId="0" applyFont="1" applyFill="1" applyBorder="1" applyAlignment="1">
      <alignment vertical="center"/>
    </xf>
    <xf numFmtId="0" fontId="26" fillId="0" borderId="0" xfId="1" applyNumberFormat="1" applyFont="1" applyFill="1" applyBorder="1" applyAlignment="1" applyProtection="1">
      <protection locked="0"/>
    </xf>
    <xf numFmtId="0" fontId="25" fillId="0" borderId="0" xfId="0" applyFont="1" applyAlignment="1">
      <alignment wrapText="1"/>
    </xf>
    <xf numFmtId="0" fontId="6" fillId="0" borderId="0" xfId="0" applyFont="1" applyAlignment="1" applyProtection="1">
      <protection locked="0"/>
    </xf>
    <xf numFmtId="0" fontId="10" fillId="0" borderId="0" xfId="0" applyFont="1" applyAlignment="1" applyProtection="1"/>
    <xf numFmtId="0" fontId="6" fillId="5" borderId="11" xfId="0" applyFont="1" applyFill="1" applyBorder="1" applyAlignment="1">
      <alignment vertical="center"/>
    </xf>
    <xf numFmtId="0" fontId="6" fillId="0" borderId="0" xfId="0" applyFont="1" applyProtection="1">
      <protection locked="0"/>
    </xf>
    <xf numFmtId="0" fontId="10" fillId="5" borderId="13" xfId="0" applyFont="1" applyFill="1" applyBorder="1" applyAlignment="1">
      <alignment horizontal="center" vertical="center"/>
    </xf>
    <xf numFmtId="0" fontId="10" fillId="0" borderId="0" xfId="0" applyFont="1" applyProtection="1"/>
    <xf numFmtId="0" fontId="27" fillId="3" borderId="11" xfId="0" applyFont="1" applyFill="1" applyBorder="1" applyAlignment="1">
      <alignment vertical="center"/>
    </xf>
    <xf numFmtId="0" fontId="27" fillId="0" borderId="12" xfId="0" applyFont="1" applyFill="1" applyBorder="1"/>
    <xf numFmtId="0" fontId="28" fillId="0" borderId="0" xfId="0" applyFont="1" applyAlignment="1">
      <alignment horizontal="right"/>
    </xf>
    <xf numFmtId="0" fontId="28" fillId="0" borderId="0" xfId="0" applyFont="1"/>
    <xf numFmtId="0" fontId="28" fillId="0" borderId="0" xfId="0" applyFont="1" applyFill="1"/>
    <xf numFmtId="0" fontId="30" fillId="0" borderId="0" xfId="0" applyFont="1"/>
    <xf numFmtId="0" fontId="30" fillId="0" borderId="0" xfId="0" applyFont="1" applyAlignment="1">
      <alignment horizontal="right"/>
    </xf>
    <xf numFmtId="0" fontId="24" fillId="6" borderId="12" xfId="5" applyFont="1" applyFill="1" applyBorder="1"/>
    <xf numFmtId="0" fontId="31" fillId="0" borderId="12" xfId="5" applyFont="1" applyFill="1" applyBorder="1"/>
    <xf numFmtId="0" fontId="6" fillId="0" borderId="12" xfId="5" applyBorder="1"/>
    <xf numFmtId="0" fontId="6" fillId="0" borderId="0" xfId="5"/>
    <xf numFmtId="0" fontId="11" fillId="6" borderId="1" xfId="5" applyFont="1" applyFill="1" applyBorder="1"/>
    <xf numFmtId="0" fontId="10" fillId="0" borderId="1" xfId="5" applyFont="1" applyFill="1" applyBorder="1"/>
    <xf numFmtId="0" fontId="10" fillId="0" borderId="1" xfId="5" applyFont="1" applyBorder="1"/>
    <xf numFmtId="0" fontId="0" fillId="7" borderId="12" xfId="0" applyFill="1" applyBorder="1"/>
    <xf numFmtId="0" fontId="17" fillId="7" borderId="1" xfId="0" applyFont="1" applyFill="1" applyBorder="1"/>
    <xf numFmtId="0" fontId="16" fillId="0" borderId="0" xfId="0" applyFont="1"/>
    <xf numFmtId="0" fontId="0" fillId="0" borderId="0" xfId="0" applyFont="1"/>
    <xf numFmtId="0" fontId="25" fillId="0" borderId="0" xfId="0" applyFont="1"/>
    <xf numFmtId="165" fontId="28" fillId="0" borderId="0" xfId="0" applyNumberFormat="1" applyFont="1" applyAlignment="1">
      <alignment horizontal="right"/>
    </xf>
    <xf numFmtId="0" fontId="19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5" fillId="0" borderId="2" xfId="9" applyFont="1" applyFill="1" applyBorder="1" applyAlignment="1">
      <alignment horizontal="center" vertical="center"/>
    </xf>
    <xf numFmtId="0" fontId="15" fillId="0" borderId="2" xfId="9" applyFont="1" applyFill="1" applyBorder="1" applyAlignment="1">
      <alignment horizontal="center" vertical="center" wrapText="1"/>
    </xf>
    <xf numFmtId="0" fontId="15" fillId="0" borderId="14" xfId="9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5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6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165" fontId="0" fillId="40" borderId="12" xfId="0" applyNumberFormat="1" applyFill="1" applyBorder="1" applyAlignment="1">
      <alignment horizontal="center" vertical="center"/>
    </xf>
    <xf numFmtId="0" fontId="3" fillId="0" borderId="0" xfId="52"/>
    <xf numFmtId="0" fontId="6" fillId="0" borderId="5" xfId="0" applyFont="1" applyBorder="1" applyAlignment="1">
      <alignment horizontal="left" vertical="center" wrapText="1"/>
    </xf>
    <xf numFmtId="0" fontId="6" fillId="0" borderId="1" xfId="5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5" applyFont="1" applyBorder="1" applyAlignment="1">
      <alignment horizontal="center" vertical="center" wrapText="1"/>
    </xf>
    <xf numFmtId="14" fontId="6" fillId="0" borderId="1" xfId="9" applyNumberFormat="1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9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9" applyFont="1" applyFill="1" applyBorder="1" applyAlignment="1">
      <alignment horizontal="left" vertical="center" wrapText="1"/>
    </xf>
    <xf numFmtId="0" fontId="6" fillId="0" borderId="1" xfId="9" quotePrefix="1" applyFont="1" applyFill="1" applyBorder="1" applyAlignment="1">
      <alignment horizontal="left" vertical="center" wrapText="1"/>
    </xf>
    <xf numFmtId="14" fontId="0" fillId="0" borderId="12" xfId="0" applyNumberFormat="1" applyFill="1" applyBorder="1"/>
    <xf numFmtId="0" fontId="4" fillId="0" borderId="1" xfId="1" applyFill="1" applyBorder="1" applyAlignment="1">
      <alignment vertical="center"/>
    </xf>
    <xf numFmtId="0" fontId="0" fillId="0" borderId="0" xfId="0"/>
    <xf numFmtId="0" fontId="0" fillId="0" borderId="12" xfId="0" applyBorder="1"/>
    <xf numFmtId="0" fontId="0" fillId="0" borderId="0" xfId="0"/>
    <xf numFmtId="0" fontId="0" fillId="0" borderId="12" xfId="0" applyFill="1" applyBorder="1"/>
    <xf numFmtId="0" fontId="19" fillId="3" borderId="11" xfId="0" applyFont="1" applyFill="1" applyBorder="1" applyAlignment="1">
      <alignment vertical="center"/>
    </xf>
    <xf numFmtId="0" fontId="0" fillId="0" borderId="12" xfId="0" quotePrefix="1" applyFill="1" applyBorder="1"/>
    <xf numFmtId="0" fontId="4" fillId="3" borderId="11" xfId="1" applyFill="1" applyBorder="1"/>
    <xf numFmtId="0" fontId="0" fillId="0" borderId="0" xfId="0"/>
    <xf numFmtId="0" fontId="19" fillId="3" borderId="11" xfId="0" applyFont="1" applyFill="1" applyBorder="1" applyAlignment="1">
      <alignment vertical="center"/>
    </xf>
    <xf numFmtId="0" fontId="25" fillId="3" borderId="16" xfId="0" applyFont="1" applyFill="1" applyBorder="1" applyAlignment="1">
      <alignment vertical="center"/>
    </xf>
    <xf numFmtId="0" fontId="30" fillId="0" borderId="0" xfId="0" applyFont="1" applyAlignment="1">
      <alignment horizontal="right"/>
    </xf>
    <xf numFmtId="14" fontId="0" fillId="0" borderId="12" xfId="0" applyNumberFormat="1" applyFill="1" applyBorder="1"/>
    <xf numFmtId="0" fontId="3" fillId="0" borderId="0" xfId="52"/>
    <xf numFmtId="0" fontId="3" fillId="0" borderId="0" xfId="52"/>
    <xf numFmtId="0" fontId="3" fillId="0" borderId="0" xfId="52"/>
    <xf numFmtId="0" fontId="3" fillId="0" borderId="0" xfId="52"/>
    <xf numFmtId="0" fontId="3" fillId="0" borderId="0" xfId="52"/>
    <xf numFmtId="14" fontId="28" fillId="0" borderId="0" xfId="0" applyNumberFormat="1" applyFont="1"/>
    <xf numFmtId="0" fontId="2" fillId="0" borderId="0" xfId="54"/>
    <xf numFmtId="0" fontId="2" fillId="0" borderId="0" xfId="54"/>
    <xf numFmtId="0" fontId="2" fillId="0" borderId="0" xfId="54"/>
    <xf numFmtId="0" fontId="2" fillId="0" borderId="0" xfId="54"/>
    <xf numFmtId="0" fontId="2" fillId="0" borderId="0" xfId="54"/>
    <xf numFmtId="0" fontId="2" fillId="0" borderId="0" xfId="54"/>
    <xf numFmtId="0" fontId="2" fillId="0" borderId="0" xfId="54"/>
    <xf numFmtId="0" fontId="2" fillId="0" borderId="0" xfId="54"/>
    <xf numFmtId="0" fontId="2" fillId="0" borderId="0" xfId="54"/>
    <xf numFmtId="0" fontId="54" fillId="40" borderId="17" xfId="52" applyFont="1" applyFill="1" applyBorder="1" applyAlignment="1">
      <alignment horizontal="center"/>
    </xf>
    <xf numFmtId="14" fontId="55" fillId="41" borderId="17" xfId="52" applyNumberFormat="1" applyFont="1" applyFill="1" applyBorder="1" applyAlignment="1">
      <alignment horizontal="center"/>
    </xf>
    <xf numFmtId="0" fontId="55" fillId="0" borderId="17" xfId="52" applyFont="1" applyBorder="1" applyAlignment="1">
      <alignment horizontal="center"/>
    </xf>
    <xf numFmtId="0" fontId="29" fillId="0" borderId="0" xfId="68"/>
    <xf numFmtId="0" fontId="29" fillId="0" borderId="0" xfId="68" applyAlignment="1">
      <alignment horizontal="center"/>
    </xf>
    <xf numFmtId="0" fontId="3" fillId="0" borderId="17" xfId="52" applyBorder="1"/>
    <xf numFmtId="0" fontId="58" fillId="40" borderId="35" xfId="68" applyFont="1" applyFill="1" applyBorder="1" applyAlignment="1">
      <alignment horizontal="center"/>
    </xf>
    <xf numFmtId="0" fontId="58" fillId="40" borderId="36" xfId="68" applyFont="1" applyFill="1" applyBorder="1" applyAlignment="1">
      <alignment horizontal="center"/>
    </xf>
    <xf numFmtId="0" fontId="58" fillId="40" borderId="37" xfId="68" applyFont="1" applyFill="1" applyBorder="1" applyAlignment="1">
      <alignment horizontal="center"/>
    </xf>
    <xf numFmtId="0" fontId="58" fillId="40" borderId="38" xfId="68" applyFont="1" applyFill="1" applyBorder="1" applyAlignment="1">
      <alignment horizontal="center"/>
    </xf>
    <xf numFmtId="0" fontId="58" fillId="40" borderId="39" xfId="68" applyFont="1" applyFill="1" applyBorder="1" applyAlignment="1">
      <alignment horizontal="center"/>
    </xf>
    <xf numFmtId="0" fontId="58" fillId="40" borderId="40" xfId="68" applyFont="1" applyFill="1" applyBorder="1" applyAlignment="1">
      <alignment horizontal="center"/>
    </xf>
    <xf numFmtId="0" fontId="58" fillId="40" borderId="41" xfId="68" applyFont="1" applyFill="1" applyBorder="1" applyAlignment="1">
      <alignment horizontal="center"/>
    </xf>
    <xf numFmtId="0" fontId="58" fillId="40" borderId="42" xfId="68" applyFont="1" applyFill="1" applyBorder="1" applyAlignment="1">
      <alignment horizontal="center"/>
    </xf>
    <xf numFmtId="0" fontId="58" fillId="40" borderId="17" xfId="68" applyFont="1" applyFill="1" applyBorder="1" applyAlignment="1">
      <alignment horizontal="center"/>
    </xf>
    <xf numFmtId="0" fontId="58" fillId="39" borderId="17" xfId="68" applyFont="1" applyFill="1" applyBorder="1" applyAlignment="1">
      <alignment horizontal="center"/>
    </xf>
    <xf numFmtId="0" fontId="29" fillId="0" borderId="35" xfId="68" applyBorder="1" applyAlignment="1">
      <alignment horizontal="center"/>
    </xf>
    <xf numFmtId="0" fontId="29" fillId="0" borderId="28" xfId="68" applyBorder="1" applyAlignment="1">
      <alignment horizontal="center"/>
    </xf>
    <xf numFmtId="0" fontId="29" fillId="0" borderId="36" xfId="68" applyBorder="1" applyAlignment="1">
      <alignment horizontal="center"/>
    </xf>
    <xf numFmtId="0" fontId="29" fillId="0" borderId="37" xfId="68" applyBorder="1" applyAlignment="1">
      <alignment horizontal="center"/>
    </xf>
    <xf numFmtId="0" fontId="29" fillId="0" borderId="17" xfId="68" applyBorder="1" applyAlignment="1">
      <alignment horizontal="center"/>
    </xf>
    <xf numFmtId="0" fontId="29" fillId="0" borderId="46" xfId="68" applyBorder="1" applyAlignment="1">
      <alignment horizontal="center"/>
    </xf>
    <xf numFmtId="0" fontId="29" fillId="0" borderId="0" xfId="54" applyNumberFormat="1" applyFont="1" applyFill="1" applyBorder="1" applyAlignment="1">
      <alignment horizontal="center"/>
    </xf>
    <xf numFmtId="0" fontId="3" fillId="0" borderId="0" xfId="52" applyAlignment="1">
      <alignment horizontal="center"/>
    </xf>
    <xf numFmtId="14" fontId="29" fillId="0" borderId="0" xfId="54" applyNumberFormat="1" applyFont="1" applyFill="1" applyBorder="1" applyAlignment="1">
      <alignment horizontal="center"/>
    </xf>
    <xf numFmtId="0" fontId="3" fillId="0" borderId="0" xfId="52" applyBorder="1" applyAlignment="1">
      <alignment horizontal="center"/>
    </xf>
    <xf numFmtId="0" fontId="35" fillId="0" borderId="0" xfId="52" applyFont="1" applyBorder="1" applyAlignment="1">
      <alignment horizontal="center"/>
    </xf>
    <xf numFmtId="0" fontId="35" fillId="0" borderId="0" xfId="52" applyFont="1" applyFill="1" applyBorder="1" applyAlignment="1">
      <alignment horizontal="center"/>
    </xf>
    <xf numFmtId="0" fontId="29" fillId="0" borderId="46" xfId="68" applyFont="1" applyBorder="1" applyAlignment="1">
      <alignment horizontal="center"/>
    </xf>
    <xf numFmtId="0" fontId="29" fillId="0" borderId="49" xfId="68" applyBorder="1" applyAlignment="1">
      <alignment horizontal="center"/>
    </xf>
    <xf numFmtId="0" fontId="29" fillId="0" borderId="50" xfId="68" applyBorder="1" applyAlignment="1">
      <alignment horizontal="center"/>
    </xf>
    <xf numFmtId="0" fontId="29" fillId="0" borderId="51" xfId="68" applyBorder="1" applyAlignment="1">
      <alignment horizontal="center"/>
    </xf>
    <xf numFmtId="0" fontId="29" fillId="0" borderId="47" xfId="68" applyBorder="1" applyAlignment="1">
      <alignment horizontal="center"/>
    </xf>
    <xf numFmtId="2" fontId="29" fillId="0" borderId="52" xfId="68" applyNumberFormat="1" applyBorder="1" applyAlignment="1">
      <alignment horizontal="center"/>
    </xf>
    <xf numFmtId="166" fontId="3" fillId="0" borderId="47" xfId="52" applyNumberFormat="1" applyBorder="1" applyAlignment="1">
      <alignment horizontal="center"/>
    </xf>
    <xf numFmtId="0" fontId="29" fillId="0" borderId="53" xfId="68" applyBorder="1" applyAlignment="1">
      <alignment horizontal="center"/>
    </xf>
    <xf numFmtId="0" fontId="29" fillId="0" borderId="55" xfId="68" applyBorder="1" applyAlignment="1">
      <alignment horizontal="center"/>
    </xf>
    <xf numFmtId="0" fontId="29" fillId="0" borderId="56" xfId="68" applyBorder="1" applyAlignment="1">
      <alignment horizontal="center"/>
    </xf>
    <xf numFmtId="0" fontId="29" fillId="0" borderId="58" xfId="68" applyBorder="1" applyAlignment="1">
      <alignment horizontal="center"/>
    </xf>
    <xf numFmtId="0" fontId="0" fillId="0" borderId="61" xfId="0" applyBorder="1"/>
    <xf numFmtId="0" fontId="29" fillId="0" borderId="28" xfId="68" applyNumberFormat="1" applyBorder="1" applyAlignment="1">
      <alignment horizontal="center"/>
    </xf>
    <xf numFmtId="0" fontId="29" fillId="0" borderId="54" xfId="68" applyNumberFormat="1" applyBorder="1" applyAlignment="1">
      <alignment horizontal="center"/>
    </xf>
    <xf numFmtId="0" fontId="29" fillId="0" borderId="44" xfId="68" applyNumberFormat="1" applyBorder="1" applyAlignment="1">
      <alignment horizontal="center"/>
    </xf>
    <xf numFmtId="0" fontId="29" fillId="0" borderId="60" xfId="68" applyNumberFormat="1" applyBorder="1" applyAlignment="1">
      <alignment horizontal="center"/>
    </xf>
    <xf numFmtId="0" fontId="0" fillId="0" borderId="47" xfId="0" applyBorder="1"/>
    <xf numFmtId="0" fontId="0" fillId="0" borderId="17" xfId="0" applyBorder="1"/>
    <xf numFmtId="0" fontId="0" fillId="0" borderId="58" xfId="0" applyBorder="1"/>
    <xf numFmtId="0" fontId="29" fillId="0" borderId="69" xfId="68" applyFont="1" applyBorder="1" applyAlignment="1">
      <alignment horizontal="center"/>
    </xf>
    <xf numFmtId="0" fontId="29" fillId="0" borderId="49" xfId="68" applyNumberFormat="1" applyBorder="1" applyAlignment="1">
      <alignment horizontal="center"/>
    </xf>
    <xf numFmtId="0" fontId="29" fillId="0" borderId="52" xfId="68" applyNumberFormat="1" applyBorder="1" applyAlignment="1">
      <alignment horizontal="center"/>
    </xf>
    <xf numFmtId="0" fontId="29" fillId="0" borderId="71" xfId="68" applyBorder="1" applyAlignment="1">
      <alignment horizontal="center"/>
    </xf>
    <xf numFmtId="0" fontId="29" fillId="0" borderId="48" xfId="68" applyBorder="1" applyAlignment="1">
      <alignment horizontal="center"/>
    </xf>
    <xf numFmtId="2" fontId="29" fillId="0" borderId="49" xfId="68" applyNumberFormat="1" applyBorder="1" applyAlignment="1">
      <alignment horizontal="center"/>
    </xf>
    <xf numFmtId="2" fontId="29" fillId="0" borderId="28" xfId="68" applyNumberFormat="1" applyBorder="1" applyAlignment="1">
      <alignment horizontal="center"/>
    </xf>
    <xf numFmtId="2" fontId="29" fillId="0" borderId="54" xfId="68" applyNumberFormat="1" applyBorder="1" applyAlignment="1">
      <alignment horizontal="center"/>
    </xf>
    <xf numFmtId="2" fontId="29" fillId="0" borderId="72" xfId="68" applyNumberFormat="1" applyBorder="1" applyAlignment="1">
      <alignment horizontal="center"/>
    </xf>
    <xf numFmtId="166" fontId="1" fillId="0" borderId="47" xfId="52" applyNumberFormat="1" applyFont="1" applyBorder="1" applyAlignment="1">
      <alignment horizontal="center"/>
    </xf>
    <xf numFmtId="0" fontId="29" fillId="0" borderId="17" xfId="68" applyFont="1" applyBorder="1" applyAlignment="1">
      <alignment horizontal="center"/>
    </xf>
    <xf numFmtId="0" fontId="29" fillId="0" borderId="47" xfId="68" applyFont="1" applyBorder="1" applyAlignment="1">
      <alignment horizontal="center"/>
    </xf>
    <xf numFmtId="0" fontId="29" fillId="0" borderId="46" xfId="68" applyNumberFormat="1" applyFont="1" applyBorder="1" applyAlignment="1">
      <alignment horizontal="center"/>
    </xf>
    <xf numFmtId="0" fontId="29" fillId="0" borderId="69" xfId="68" applyNumberFormat="1" applyFont="1" applyBorder="1" applyAlignment="1">
      <alignment horizontal="center"/>
    </xf>
    <xf numFmtId="166" fontId="1" fillId="0" borderId="74" xfId="52" applyNumberFormat="1" applyFont="1" applyBorder="1" applyAlignment="1">
      <alignment horizontal="center"/>
    </xf>
    <xf numFmtId="166" fontId="3" fillId="0" borderId="74" xfId="52" applyNumberFormat="1" applyBorder="1" applyAlignment="1">
      <alignment horizontal="center"/>
    </xf>
    <xf numFmtId="0" fontId="0" fillId="0" borderId="74" xfId="0" applyBorder="1"/>
    <xf numFmtId="0" fontId="29" fillId="0" borderId="75" xfId="68" applyBorder="1" applyAlignment="1">
      <alignment horizontal="center"/>
    </xf>
    <xf numFmtId="0" fontId="29" fillId="0" borderId="31" xfId="68" applyBorder="1" applyAlignment="1">
      <alignment horizontal="center"/>
    </xf>
    <xf numFmtId="0" fontId="29" fillId="0" borderId="76" xfId="68" applyBorder="1" applyAlignment="1">
      <alignment horizontal="center"/>
    </xf>
    <xf numFmtId="0" fontId="0" fillId="0" borderId="62" xfId="0" applyBorder="1"/>
    <xf numFmtId="0" fontId="0" fillId="0" borderId="34" xfId="0" applyBorder="1"/>
    <xf numFmtId="0" fontId="0" fillId="0" borderId="17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9" fillId="42" borderId="35" xfId="68" applyFont="1" applyFill="1" applyBorder="1" applyAlignment="1">
      <alignment horizontal="center"/>
    </xf>
    <xf numFmtId="0" fontId="29" fillId="42" borderId="35" xfId="68" applyNumberFormat="1" applyFont="1" applyFill="1" applyBorder="1" applyAlignment="1">
      <alignment horizontal="center"/>
    </xf>
    <xf numFmtId="0" fontId="29" fillId="42" borderId="28" xfId="68" applyNumberFormat="1" applyFill="1" applyBorder="1" applyAlignment="1">
      <alignment horizontal="center"/>
    </xf>
    <xf numFmtId="0" fontId="0" fillId="42" borderId="17" xfId="0" applyFill="1" applyBorder="1"/>
    <xf numFmtId="0" fontId="29" fillId="42" borderId="44" xfId="68" applyNumberFormat="1" applyFill="1" applyBorder="1" applyAlignment="1">
      <alignment horizontal="center"/>
    </xf>
    <xf numFmtId="0" fontId="29" fillId="42" borderId="35" xfId="68" applyFill="1" applyBorder="1" applyAlignment="1">
      <alignment horizontal="center"/>
    </xf>
    <xf numFmtId="0" fontId="29" fillId="42" borderId="28" xfId="68" applyFill="1" applyBorder="1" applyAlignment="1">
      <alignment horizontal="center"/>
    </xf>
    <xf numFmtId="0" fontId="29" fillId="42" borderId="36" xfId="68" applyFill="1" applyBorder="1" applyAlignment="1">
      <alignment horizontal="center"/>
    </xf>
    <xf numFmtId="0" fontId="29" fillId="42" borderId="37" xfId="68" applyFill="1" applyBorder="1" applyAlignment="1">
      <alignment horizontal="center"/>
    </xf>
    <xf numFmtId="0" fontId="29" fillId="42" borderId="17" xfId="68" applyFill="1" applyBorder="1" applyAlignment="1">
      <alignment horizontal="center"/>
    </xf>
    <xf numFmtId="0" fontId="29" fillId="42" borderId="30" xfId="68" applyFill="1" applyBorder="1" applyAlignment="1">
      <alignment horizontal="center"/>
    </xf>
    <xf numFmtId="2" fontId="29" fillId="42" borderId="44" xfId="68" applyNumberFormat="1" applyFill="1" applyBorder="1" applyAlignment="1">
      <alignment horizontal="center"/>
    </xf>
    <xf numFmtId="2" fontId="29" fillId="42" borderId="35" xfId="68" applyNumberFormat="1" applyFill="1" applyBorder="1" applyAlignment="1">
      <alignment horizontal="center"/>
    </xf>
    <xf numFmtId="166" fontId="1" fillId="42" borderId="17" xfId="52" applyNumberFormat="1" applyFont="1" applyFill="1" applyBorder="1" applyAlignment="1">
      <alignment horizontal="center"/>
    </xf>
    <xf numFmtId="166" fontId="3" fillId="42" borderId="17" xfId="52" applyNumberFormat="1" applyFill="1" applyBorder="1" applyAlignment="1">
      <alignment horizontal="center"/>
    </xf>
    <xf numFmtId="0" fontId="0" fillId="42" borderId="0" xfId="0" applyFill="1"/>
    <xf numFmtId="0" fontId="29" fillId="42" borderId="53" xfId="68" applyFont="1" applyFill="1" applyBorder="1" applyAlignment="1">
      <alignment horizontal="center"/>
    </xf>
    <xf numFmtId="0" fontId="29" fillId="42" borderId="53" xfId="68" applyNumberFormat="1" applyFont="1" applyFill="1" applyBorder="1" applyAlignment="1">
      <alignment horizontal="center"/>
    </xf>
    <xf numFmtId="0" fontId="29" fillId="42" borderId="54" xfId="68" applyNumberFormat="1" applyFill="1" applyBorder="1" applyAlignment="1">
      <alignment horizontal="center"/>
    </xf>
    <xf numFmtId="0" fontId="0" fillId="42" borderId="58" xfId="0" applyFill="1" applyBorder="1"/>
    <xf numFmtId="0" fontId="29" fillId="42" borderId="60" xfId="68" applyNumberFormat="1" applyFill="1" applyBorder="1" applyAlignment="1">
      <alignment horizontal="center"/>
    </xf>
    <xf numFmtId="0" fontId="29" fillId="42" borderId="53" xfId="68" applyFill="1" applyBorder="1" applyAlignment="1">
      <alignment horizontal="center"/>
    </xf>
    <xf numFmtId="0" fontId="29" fillId="42" borderId="54" xfId="68" applyFill="1" applyBorder="1" applyAlignment="1">
      <alignment horizontal="center"/>
    </xf>
    <xf numFmtId="0" fontId="29" fillId="42" borderId="55" xfId="68" applyFill="1" applyBorder="1" applyAlignment="1">
      <alignment horizontal="center"/>
    </xf>
    <xf numFmtId="0" fontId="29" fillId="42" borderId="56" xfId="68" applyFill="1" applyBorder="1" applyAlignment="1">
      <alignment horizontal="center"/>
    </xf>
    <xf numFmtId="0" fontId="29" fillId="42" borderId="58" xfId="68" applyFill="1" applyBorder="1" applyAlignment="1">
      <alignment horizontal="center"/>
    </xf>
    <xf numFmtId="0" fontId="29" fillId="42" borderId="65" xfId="68" applyFill="1" applyBorder="1" applyAlignment="1">
      <alignment horizontal="center"/>
    </xf>
    <xf numFmtId="2" fontId="29" fillId="42" borderId="60" xfId="68" applyNumberFormat="1" applyFill="1" applyBorder="1" applyAlignment="1">
      <alignment horizontal="center"/>
    </xf>
    <xf numFmtId="2" fontId="29" fillId="42" borderId="53" xfId="68" applyNumberFormat="1" applyFill="1" applyBorder="1" applyAlignment="1">
      <alignment horizontal="center"/>
    </xf>
    <xf numFmtId="166" fontId="1" fillId="42" borderId="58" xfId="52" applyNumberFormat="1" applyFont="1" applyFill="1" applyBorder="1" applyAlignment="1">
      <alignment horizontal="center"/>
    </xf>
    <xf numFmtId="166" fontId="3" fillId="42" borderId="58" xfId="52" applyNumberFormat="1" applyFill="1" applyBorder="1" applyAlignment="1">
      <alignment horizontal="center"/>
    </xf>
    <xf numFmtId="0" fontId="0" fillId="42" borderId="61" xfId="0" applyFill="1" applyBorder="1"/>
    <xf numFmtId="0" fontId="29" fillId="42" borderId="46" xfId="68" applyFont="1" applyFill="1" applyBorder="1" applyAlignment="1">
      <alignment horizontal="center"/>
    </xf>
    <xf numFmtId="0" fontId="29" fillId="42" borderId="46" xfId="68" applyNumberFormat="1" applyFont="1" applyFill="1" applyBorder="1" applyAlignment="1">
      <alignment horizontal="center"/>
    </xf>
    <xf numFmtId="0" fontId="29" fillId="42" borderId="49" xfId="68" applyNumberFormat="1" applyFill="1" applyBorder="1" applyAlignment="1">
      <alignment horizontal="center"/>
    </xf>
    <xf numFmtId="0" fontId="0" fillId="42" borderId="47" xfId="0" applyFill="1" applyBorder="1"/>
    <xf numFmtId="0" fontId="29" fillId="42" borderId="52" xfId="68" applyNumberFormat="1" applyFill="1" applyBorder="1" applyAlignment="1">
      <alignment horizontal="center"/>
    </xf>
    <xf numFmtId="0" fontId="29" fillId="42" borderId="46" xfId="68" applyFill="1" applyBorder="1" applyAlignment="1">
      <alignment horizontal="center"/>
    </xf>
    <xf numFmtId="0" fontId="29" fillId="42" borderId="51" xfId="68" applyFill="1" applyBorder="1" applyAlignment="1">
      <alignment horizontal="center"/>
    </xf>
    <xf numFmtId="0" fontId="29" fillId="42" borderId="47" xfId="68" applyFill="1" applyBorder="1" applyAlignment="1">
      <alignment horizontal="center"/>
    </xf>
    <xf numFmtId="0" fontId="0" fillId="42" borderId="68" xfId="0" applyFill="1" applyBorder="1"/>
    <xf numFmtId="0" fontId="0" fillId="42" borderId="43" xfId="0" applyFill="1" applyBorder="1"/>
    <xf numFmtId="0" fontId="29" fillId="42" borderId="73" xfId="68" applyFont="1" applyFill="1" applyBorder="1" applyAlignment="1">
      <alignment horizontal="center"/>
    </xf>
    <xf numFmtId="0" fontId="29" fillId="42" borderId="69" xfId="68" applyNumberFormat="1" applyFont="1" applyFill="1" applyBorder="1" applyAlignment="1">
      <alignment horizontal="center"/>
    </xf>
    <xf numFmtId="0" fontId="0" fillId="42" borderId="74" xfId="0" applyFill="1" applyBorder="1"/>
    <xf numFmtId="0" fontId="0" fillId="42" borderId="66" xfId="0" applyFill="1" applyBorder="1"/>
    <xf numFmtId="0" fontId="29" fillId="0" borderId="0" xfId="0" applyFont="1" applyFill="1" applyAlignment="1" applyProtection="1">
      <protection locked="0"/>
    </xf>
    <xf numFmtId="165" fontId="29" fillId="0" borderId="0" xfId="0" applyNumberFormat="1" applyFont="1" applyFill="1" applyAlignment="1" applyProtection="1">
      <protection locked="0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>
      <alignment horizontal="right"/>
    </xf>
    <xf numFmtId="0" fontId="27" fillId="0" borderId="14" xfId="9" applyFont="1" applyFill="1" applyBorder="1" applyAlignment="1">
      <alignment horizontal="center"/>
    </xf>
    <xf numFmtId="0" fontId="59" fillId="0" borderId="0" xfId="0" applyFont="1"/>
    <xf numFmtId="0" fontId="36" fillId="0" borderId="0" xfId="0" applyFont="1" applyBorder="1" applyAlignment="1">
      <alignment horizontal="right"/>
    </xf>
    <xf numFmtId="0" fontId="36" fillId="41" borderId="0" xfId="0" applyFont="1" applyFill="1" applyBorder="1" applyAlignment="1">
      <alignment horizontal="center"/>
    </xf>
    <xf numFmtId="0" fontId="60" fillId="40" borderId="77" xfId="0" applyFont="1" applyFill="1" applyBorder="1" applyAlignment="1">
      <alignment horizontal="center"/>
    </xf>
    <xf numFmtId="0" fontId="60" fillId="40" borderId="78" xfId="0" applyFont="1" applyFill="1" applyBorder="1" applyAlignment="1">
      <alignment horizontal="center"/>
    </xf>
    <xf numFmtId="0" fontId="60" fillId="40" borderId="79" xfId="0" applyFont="1" applyFill="1" applyBorder="1" applyAlignment="1">
      <alignment horizontal="center"/>
    </xf>
    <xf numFmtId="0" fontId="36" fillId="41" borderId="80" xfId="0" applyFont="1" applyFill="1" applyBorder="1" applyAlignment="1">
      <alignment horizontal="center"/>
    </xf>
    <xf numFmtId="0" fontId="60" fillId="43" borderId="77" xfId="0" applyFont="1" applyFill="1" applyBorder="1" applyAlignment="1">
      <alignment horizontal="center"/>
    </xf>
    <xf numFmtId="0" fontId="60" fillId="43" borderId="78" xfId="0" applyFont="1" applyFill="1" applyBorder="1" applyAlignment="1">
      <alignment horizontal="center"/>
    </xf>
    <xf numFmtId="0" fontId="60" fillId="43" borderId="79" xfId="0" applyFont="1" applyFill="1" applyBorder="1" applyAlignment="1">
      <alignment horizontal="center"/>
    </xf>
    <xf numFmtId="0" fontId="36" fillId="41" borderId="81" xfId="0" applyFont="1" applyFill="1" applyBorder="1" applyAlignment="1">
      <alignment horizontal="center"/>
    </xf>
    <xf numFmtId="0" fontId="0" fillId="0" borderId="0" xfId="0" applyAlignment="1"/>
    <xf numFmtId="0" fontId="36" fillId="0" borderId="0" xfId="0" applyFont="1" applyFill="1" applyBorder="1" applyAlignment="1">
      <alignment horizontal="right"/>
    </xf>
    <xf numFmtId="0" fontId="60" fillId="40" borderId="82" xfId="0" applyFont="1" applyFill="1" applyBorder="1" applyAlignment="1">
      <alignment horizontal="center"/>
    </xf>
    <xf numFmtId="0" fontId="60" fillId="40" borderId="17" xfId="0" applyFont="1" applyFill="1" applyBorder="1" applyAlignment="1">
      <alignment horizontal="center"/>
    </xf>
    <xf numFmtId="0" fontId="60" fillId="40" borderId="83" xfId="0" applyFont="1" applyFill="1" applyBorder="1" applyAlignment="1">
      <alignment horizontal="center"/>
    </xf>
    <xf numFmtId="0" fontId="60" fillId="43" borderId="82" xfId="0" applyFont="1" applyFill="1" applyBorder="1" applyAlignment="1">
      <alignment horizontal="center"/>
    </xf>
    <xf numFmtId="0" fontId="60" fillId="43" borderId="17" xfId="0" applyFont="1" applyFill="1" applyBorder="1" applyAlignment="1">
      <alignment horizontal="center"/>
    </xf>
    <xf numFmtId="0" fontId="60" fillId="43" borderId="83" xfId="0" applyFont="1" applyFill="1" applyBorder="1" applyAlignment="1">
      <alignment horizontal="center"/>
    </xf>
    <xf numFmtId="0" fontId="36" fillId="41" borderId="84" xfId="0" applyFont="1" applyFill="1" applyBorder="1" applyAlignment="1">
      <alignment horizontal="center"/>
    </xf>
    <xf numFmtId="0" fontId="60" fillId="40" borderId="85" xfId="0" applyFont="1" applyFill="1" applyBorder="1" applyAlignment="1">
      <alignment horizontal="center"/>
    </xf>
    <xf numFmtId="0" fontId="60" fillId="40" borderId="86" xfId="0" applyFont="1" applyFill="1" applyBorder="1" applyAlignment="1">
      <alignment horizontal="center"/>
    </xf>
    <xf numFmtId="0" fontId="60" fillId="40" borderId="87" xfId="0" applyFont="1" applyFill="1" applyBorder="1" applyAlignment="1">
      <alignment horizontal="center"/>
    </xf>
    <xf numFmtId="0" fontId="60" fillId="43" borderId="85" xfId="0" applyFont="1" applyFill="1" applyBorder="1" applyAlignment="1">
      <alignment horizontal="center"/>
    </xf>
    <xf numFmtId="0" fontId="60" fillId="43" borderId="86" xfId="0" applyFont="1" applyFill="1" applyBorder="1" applyAlignment="1">
      <alignment horizontal="center"/>
    </xf>
    <xf numFmtId="0" fontId="60" fillId="43" borderId="87" xfId="0" applyFont="1" applyFill="1" applyBorder="1" applyAlignment="1">
      <alignment horizontal="center"/>
    </xf>
    <xf numFmtId="0" fontId="36" fillId="41" borderId="88" xfId="0" applyFont="1" applyFill="1" applyBorder="1" applyAlignment="1">
      <alignment horizontal="center"/>
    </xf>
    <xf numFmtId="0" fontId="60" fillId="43" borderId="89" xfId="0" applyFont="1" applyFill="1" applyBorder="1" applyAlignment="1">
      <alignment horizontal="center"/>
    </xf>
    <xf numFmtId="0" fontId="60" fillId="43" borderId="90" xfId="0" applyFont="1" applyFill="1" applyBorder="1" applyAlignment="1">
      <alignment horizontal="center"/>
    </xf>
    <xf numFmtId="0" fontId="60" fillId="43" borderId="91" xfId="0" applyFont="1" applyFill="1" applyBorder="1" applyAlignment="1">
      <alignment horizontal="center"/>
    </xf>
    <xf numFmtId="0" fontId="60" fillId="40" borderId="89" xfId="0" applyFont="1" applyFill="1" applyBorder="1" applyAlignment="1">
      <alignment horizontal="center"/>
    </xf>
    <xf numFmtId="0" fontId="60" fillId="40" borderId="90" xfId="0" applyFont="1" applyFill="1" applyBorder="1" applyAlignment="1">
      <alignment horizontal="center"/>
    </xf>
    <xf numFmtId="0" fontId="60" fillId="40" borderId="91" xfId="0" applyFont="1" applyFill="1" applyBorder="1" applyAlignment="1">
      <alignment horizontal="center"/>
    </xf>
    <xf numFmtId="0" fontId="36" fillId="41" borderId="92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 applyBorder="1" applyAlignment="1">
      <alignment horizontal="center"/>
    </xf>
    <xf numFmtId="0" fontId="0" fillId="40" borderId="0" xfId="0" applyFill="1"/>
    <xf numFmtId="0" fontId="0" fillId="43" borderId="0" xfId="0" applyFill="1"/>
    <xf numFmtId="0" fontId="0" fillId="0" borderId="0" xfId="0" applyFill="1" applyBorder="1"/>
    <xf numFmtId="0" fontId="30" fillId="0" borderId="12" xfId="0" applyFont="1" applyBorder="1"/>
    <xf numFmtId="0" fontId="61" fillId="43" borderId="17" xfId="0" applyFont="1" applyFill="1" applyBorder="1" applyAlignment="1">
      <alignment horizontal="center"/>
    </xf>
    <xf numFmtId="0" fontId="61" fillId="40" borderId="17" xfId="0" applyFont="1" applyFill="1" applyBorder="1" applyAlignment="1">
      <alignment horizontal="center"/>
    </xf>
    <xf numFmtId="0" fontId="61" fillId="40" borderId="78" xfId="0" applyFont="1" applyFill="1" applyBorder="1" applyAlignment="1">
      <alignment horizontal="center"/>
    </xf>
    <xf numFmtId="0" fontId="58" fillId="44" borderId="97" xfId="0" applyFont="1" applyFill="1" applyBorder="1"/>
    <xf numFmtId="0" fontId="29" fillId="44" borderId="0" xfId="0" applyFont="1" applyFill="1"/>
    <xf numFmtId="0" fontId="58" fillId="44" borderId="0" xfId="0" applyFont="1" applyFill="1"/>
    <xf numFmtId="0" fontId="55" fillId="0" borderId="17" xfId="52" applyFont="1" applyBorder="1" applyAlignment="1">
      <alignment horizontal="center" wrapText="1"/>
    </xf>
    <xf numFmtId="0" fontId="29" fillId="44" borderId="97" xfId="0" applyFont="1" applyFill="1" applyBorder="1" applyAlignment="1">
      <alignment horizontal="left" vertical="center"/>
    </xf>
    <xf numFmtId="0" fontId="29" fillId="44" borderId="97" xfId="0" applyFont="1" applyFill="1" applyBorder="1" applyAlignment="1">
      <alignment horizontal="right"/>
    </xf>
    <xf numFmtId="0" fontId="58" fillId="44" borderId="97" xfId="0" applyFont="1" applyFill="1" applyBorder="1" applyAlignment="1">
      <alignment horizontal="right"/>
    </xf>
    <xf numFmtId="0" fontId="58" fillId="44" borderId="106" xfId="0" applyFont="1" applyFill="1" applyBorder="1"/>
    <xf numFmtId="0" fontId="58" fillId="44" borderId="0" xfId="0" applyFont="1" applyFill="1" applyAlignment="1">
      <alignment horizontal="right"/>
    </xf>
    <xf numFmtId="0" fontId="29" fillId="44" borderId="110" xfId="0" applyFont="1" applyFill="1" applyBorder="1" applyAlignment="1">
      <alignment horizontal="center"/>
    </xf>
    <xf numFmtId="0" fontId="62" fillId="44" borderId="0" xfId="0" applyFont="1" applyFill="1" applyAlignment="1">
      <alignment horizontal="center"/>
    </xf>
    <xf numFmtId="0" fontId="58" fillId="44" borderId="0" xfId="0" applyFont="1" applyFill="1" applyAlignment="1">
      <alignment horizontal="center"/>
    </xf>
    <xf numFmtId="0" fontId="58" fillId="44" borderId="101" xfId="0" applyFont="1" applyFill="1" applyBorder="1"/>
    <xf numFmtId="0" fontId="29" fillId="44" borderId="114" xfId="0" applyFont="1" applyFill="1" applyBorder="1" applyAlignment="1">
      <alignment horizontal="center"/>
    </xf>
    <xf numFmtId="0" fontId="56" fillId="44" borderId="61" xfId="0" applyFont="1" applyFill="1" applyBorder="1" applyAlignment="1">
      <alignment horizontal="center"/>
    </xf>
    <xf numFmtId="0" fontId="58" fillId="44" borderId="61" xfId="0" applyFont="1" applyFill="1" applyBorder="1"/>
    <xf numFmtId="0" fontId="58" fillId="44" borderId="114" xfId="0" applyFont="1" applyFill="1" applyBorder="1"/>
    <xf numFmtId="0" fontId="29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29" fillId="44" borderId="0" xfId="0" applyFont="1" applyFill="1" applyBorder="1" applyAlignment="1"/>
    <xf numFmtId="0" fontId="29" fillId="0" borderId="117" xfId="0" applyFont="1" applyBorder="1" applyAlignment="1">
      <alignment horizontal="center"/>
    </xf>
    <xf numFmtId="0" fontId="0" fillId="0" borderId="0" xfId="0" applyBorder="1"/>
    <xf numFmtId="0" fontId="58" fillId="0" borderId="77" xfId="0" applyFont="1" applyBorder="1"/>
    <xf numFmtId="0" fontId="58" fillId="0" borderId="78" xfId="0" applyFont="1" applyBorder="1"/>
    <xf numFmtId="0" fontId="0" fillId="0" borderId="78" xfId="0" applyBorder="1"/>
    <xf numFmtId="0" fontId="0" fillId="0" borderId="79" xfId="0" applyBorder="1"/>
    <xf numFmtId="0" fontId="58" fillId="41" borderId="94" xfId="0" applyFont="1" applyFill="1" applyBorder="1"/>
    <xf numFmtId="0" fontId="58" fillId="41" borderId="95" xfId="0" applyFont="1" applyFill="1" applyBorder="1"/>
    <xf numFmtId="0" fontId="29" fillId="41" borderId="99" xfId="0" applyFont="1" applyFill="1" applyBorder="1" applyAlignment="1">
      <alignment horizontal="center"/>
    </xf>
    <xf numFmtId="0" fontId="58" fillId="41" borderId="96" xfId="0" applyFont="1" applyFill="1" applyBorder="1"/>
    <xf numFmtId="0" fontId="58" fillId="41" borderId="93" xfId="0" applyFont="1" applyFill="1" applyBorder="1"/>
    <xf numFmtId="14" fontId="55" fillId="41" borderId="17" xfId="52" applyNumberFormat="1" applyFont="1" applyFill="1" applyBorder="1" applyAlignment="1">
      <alignment horizontal="center" wrapText="1"/>
    </xf>
    <xf numFmtId="167" fontId="29" fillId="0" borderId="17" xfId="0" applyNumberFormat="1" applyFont="1" applyBorder="1" applyAlignment="1">
      <alignment horizontal="center" vertical="center"/>
    </xf>
    <xf numFmtId="0" fontId="29" fillId="0" borderId="17" xfId="0" applyFont="1" applyBorder="1" applyAlignment="1"/>
    <xf numFmtId="0" fontId="29" fillId="0" borderId="17" xfId="0" applyFont="1" applyBorder="1" applyAlignment="1">
      <alignment wrapText="1"/>
    </xf>
    <xf numFmtId="0" fontId="63" fillId="3" borderId="0" xfId="0" applyFont="1" applyFill="1" applyBorder="1" applyAlignment="1">
      <alignment vertical="center"/>
    </xf>
    <xf numFmtId="0" fontId="64" fillId="0" borderId="12" xfId="0" applyFont="1" applyFill="1" applyBorder="1"/>
    <xf numFmtId="0" fontId="63" fillId="4" borderId="12" xfId="0" applyFont="1" applyFill="1" applyBorder="1"/>
    <xf numFmtId="0" fontId="64" fillId="0" borderId="0" xfId="0" applyFont="1" applyFill="1" applyBorder="1"/>
    <xf numFmtId="0" fontId="65" fillId="0" borderId="0" xfId="0" applyFont="1" applyAlignment="1">
      <alignment horizontal="right"/>
    </xf>
    <xf numFmtId="165" fontId="65" fillId="0" borderId="0" xfId="0" applyNumberFormat="1" applyFont="1" applyAlignment="1">
      <alignment horizontal="right"/>
    </xf>
    <xf numFmtId="0" fontId="49" fillId="0" borderId="0" xfId="52" applyFont="1"/>
    <xf numFmtId="14" fontId="65" fillId="0" borderId="0" xfId="0" applyNumberFormat="1" applyFont="1"/>
    <xf numFmtId="0" fontId="49" fillId="0" borderId="0" xfId="54" applyFont="1"/>
    <xf numFmtId="0" fontId="65" fillId="0" borderId="0" xfId="0" applyFont="1"/>
    <xf numFmtId="0" fontId="66" fillId="0" borderId="0" xfId="0" applyFont="1" applyAlignment="1">
      <alignment horizontal="right"/>
    </xf>
    <xf numFmtId="0" fontId="66" fillId="0" borderId="12" xfId="0" applyFont="1" applyBorder="1"/>
    <xf numFmtId="0" fontId="66" fillId="0" borderId="0" xfId="0" applyFont="1"/>
    <xf numFmtId="0" fontId="64" fillId="0" borderId="0" xfId="0" applyFont="1"/>
    <xf numFmtId="14" fontId="0" fillId="0" borderId="0" xfId="0" applyNumberFormat="1" applyAlignment="1">
      <alignment wrapText="1"/>
    </xf>
    <xf numFmtId="0" fontId="0" fillId="0" borderId="0" xfId="0" applyNumberFormat="1"/>
    <xf numFmtId="2" fontId="0" fillId="0" borderId="0" xfId="0" applyNumberFormat="1" applyAlignment="1">
      <alignment wrapText="1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0" fontId="10" fillId="0" borderId="0" xfId="9" applyFont="1" applyBorder="1" applyAlignment="1">
      <alignment horizontal="left"/>
    </xf>
    <xf numFmtId="0" fontId="10" fillId="0" borderId="1" xfId="9" applyFont="1" applyBorder="1" applyAlignment="1">
      <alignment horizontal="left" vertical="center"/>
    </xf>
    <xf numFmtId="0" fontId="11" fillId="0" borderId="2" xfId="9" applyFont="1" applyBorder="1" applyAlignment="1">
      <alignment horizontal="left"/>
    </xf>
    <xf numFmtId="0" fontId="10" fillId="0" borderId="3" xfId="9" applyFont="1" applyBorder="1" applyAlignment="1">
      <alignment horizontal="left"/>
    </xf>
    <xf numFmtId="0" fontId="12" fillId="0" borderId="4" xfId="9" applyFont="1" applyBorder="1" applyAlignment="1">
      <alignment horizontal="left"/>
    </xf>
    <xf numFmtId="0" fontId="15" fillId="0" borderId="1" xfId="9" applyFont="1" applyBorder="1" applyAlignment="1">
      <alignment horizontal="left" vertical="center" wrapText="1"/>
    </xf>
    <xf numFmtId="0" fontId="10" fillId="0" borderId="1" xfId="9" applyFont="1" applyFill="1" applyBorder="1" applyAlignment="1">
      <alignment horizontal="left" vertical="center" wrapText="1"/>
    </xf>
    <xf numFmtId="0" fontId="6" fillId="0" borderId="1" xfId="9" applyFont="1" applyFill="1" applyBorder="1" applyAlignment="1">
      <alignment horizontal="left" vertical="center" wrapText="1"/>
    </xf>
    <xf numFmtId="0" fontId="3" fillId="0" borderId="0" xfId="52" applyAlignment="1">
      <alignment horizontal="center"/>
    </xf>
    <xf numFmtId="0" fontId="35" fillId="0" borderId="0" xfId="52" applyFont="1" applyBorder="1" applyAlignment="1">
      <alignment horizontal="center"/>
    </xf>
    <xf numFmtId="0" fontId="3" fillId="0" borderId="0" xfId="52" applyBorder="1" applyAlignment="1">
      <alignment horizontal="center" vertical="center"/>
    </xf>
    <xf numFmtId="0" fontId="58" fillId="44" borderId="102" xfId="0" applyFont="1" applyFill="1" applyBorder="1"/>
    <xf numFmtId="0" fontId="58" fillId="44" borderId="105" xfId="0" applyFont="1" applyFill="1" applyBorder="1"/>
    <xf numFmtId="0" fontId="58" fillId="0" borderId="102" xfId="0" applyFont="1" applyBorder="1"/>
    <xf numFmtId="0" fontId="58" fillId="0" borderId="105" xfId="0" applyFont="1" applyBorder="1"/>
    <xf numFmtId="0" fontId="58" fillId="0" borderId="107" xfId="0" applyFont="1" applyBorder="1" applyAlignment="1">
      <alignment horizontal="left" vertical="center"/>
    </xf>
    <xf numFmtId="0" fontId="58" fillId="0" borderId="108" xfId="0" applyFont="1" applyBorder="1" applyAlignment="1">
      <alignment horizontal="left" vertical="center"/>
    </xf>
    <xf numFmtId="0" fontId="58" fillId="0" borderId="111" xfId="0" applyFont="1" applyBorder="1" applyAlignment="1">
      <alignment horizontal="left" vertical="center"/>
    </xf>
    <xf numFmtId="0" fontId="58" fillId="0" borderId="112" xfId="0" applyFont="1" applyBorder="1" applyAlignment="1">
      <alignment horizontal="left" vertical="center"/>
    </xf>
    <xf numFmtId="0" fontId="58" fillId="44" borderId="109" xfId="0" applyFont="1" applyFill="1" applyBorder="1" applyAlignment="1">
      <alignment horizontal="left"/>
    </xf>
    <xf numFmtId="0" fontId="58" fillId="44" borderId="100" xfId="0" applyFont="1" applyFill="1" applyBorder="1" applyAlignment="1">
      <alignment horizontal="left"/>
    </xf>
    <xf numFmtId="0" fontId="58" fillId="44" borderId="113" xfId="0" applyFont="1" applyFill="1" applyBorder="1" applyAlignment="1">
      <alignment horizontal="left"/>
    </xf>
    <xf numFmtId="0" fontId="58" fillId="44" borderId="103" xfId="0" applyFont="1" applyFill="1" applyBorder="1" applyAlignment="1">
      <alignment horizontal="left"/>
    </xf>
    <xf numFmtId="0" fontId="29" fillId="42" borderId="34" xfId="68" applyFill="1" applyBorder="1" applyAlignment="1">
      <alignment horizontal="center"/>
    </xf>
    <xf numFmtId="0" fontId="29" fillId="42" borderId="43" xfId="68" applyFill="1" applyBorder="1" applyAlignment="1">
      <alignment horizontal="center"/>
    </xf>
    <xf numFmtId="0" fontId="29" fillId="42" borderId="63" xfId="68" applyFill="1" applyBorder="1" applyAlignment="1">
      <alignment horizontal="center"/>
    </xf>
    <xf numFmtId="0" fontId="29" fillId="42" borderId="45" xfId="68" applyFill="1" applyBorder="1" applyAlignment="1">
      <alignment horizontal="center"/>
    </xf>
    <xf numFmtId="0" fontId="29" fillId="42" borderId="59" xfId="68" applyFill="1" applyBorder="1" applyAlignment="1">
      <alignment horizontal="center"/>
    </xf>
    <xf numFmtId="0" fontId="29" fillId="42" borderId="66" xfId="68" applyFill="1" applyBorder="1" applyAlignment="1">
      <alignment horizontal="center"/>
    </xf>
    <xf numFmtId="0" fontId="29" fillId="42" borderId="64" xfId="68" applyFill="1" applyBorder="1" applyAlignment="1">
      <alignment horizontal="center"/>
    </xf>
    <xf numFmtId="0" fontId="29" fillId="42" borderId="57" xfId="68" applyFill="1" applyBorder="1" applyAlignment="1">
      <alignment horizontal="center"/>
    </xf>
    <xf numFmtId="49" fontId="56" fillId="41" borderId="28" xfId="68" applyNumberFormat="1" applyFont="1" applyFill="1" applyBorder="1" applyAlignment="1">
      <alignment horizontal="center"/>
    </xf>
    <xf numFmtId="49" fontId="56" fillId="41" borderId="29" xfId="68" applyNumberFormat="1" applyFont="1" applyFill="1" applyBorder="1" applyAlignment="1">
      <alignment horizontal="center"/>
    </xf>
    <xf numFmtId="49" fontId="56" fillId="41" borderId="30" xfId="68" applyNumberFormat="1" applyFont="1" applyFill="1" applyBorder="1" applyAlignment="1">
      <alignment horizontal="center"/>
    </xf>
    <xf numFmtId="49" fontId="56" fillId="41" borderId="31" xfId="68" applyNumberFormat="1" applyFont="1" applyFill="1" applyBorder="1" applyAlignment="1">
      <alignment horizontal="center"/>
    </xf>
    <xf numFmtId="0" fontId="57" fillId="41" borderId="32" xfId="52" applyFont="1" applyFill="1" applyBorder="1" applyAlignment="1">
      <alignment horizontal="center"/>
    </xf>
    <xf numFmtId="0" fontId="57" fillId="41" borderId="33" xfId="52" applyFont="1" applyFill="1" applyBorder="1" applyAlignment="1">
      <alignment horizontal="center"/>
    </xf>
    <xf numFmtId="0" fontId="51" fillId="41" borderId="17" xfId="52" applyFont="1" applyFill="1" applyBorder="1" applyAlignment="1">
      <alignment horizontal="center"/>
    </xf>
    <xf numFmtId="0" fontId="51" fillId="41" borderId="34" xfId="52" applyFont="1" applyFill="1" applyBorder="1" applyAlignment="1">
      <alignment horizontal="center"/>
    </xf>
    <xf numFmtId="166" fontId="3" fillId="42" borderId="67" xfId="52" applyNumberFormat="1" applyFill="1" applyBorder="1" applyAlignment="1">
      <alignment horizontal="center"/>
    </xf>
    <xf numFmtId="166" fontId="3" fillId="42" borderId="68" xfId="52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8" xfId="0" applyBorder="1" applyAlignment="1">
      <alignment horizontal="center"/>
    </xf>
    <xf numFmtId="166" fontId="3" fillId="42" borderId="48" xfId="52" applyNumberFormat="1" applyFill="1" applyBorder="1" applyAlignment="1">
      <alignment horizontal="center"/>
    </xf>
    <xf numFmtId="166" fontId="3" fillId="42" borderId="70" xfId="52" applyNumberForma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29" fillId="0" borderId="34" xfId="0" applyFont="1" applyBorder="1" applyAlignment="1">
      <alignment horizontal="center"/>
    </xf>
    <xf numFmtId="0" fontId="29" fillId="0" borderId="100" xfId="0" applyFont="1" applyBorder="1" applyAlignment="1">
      <alignment horizontal="center"/>
    </xf>
    <xf numFmtId="0" fontId="29" fillId="0" borderId="59" xfId="0" applyFont="1" applyBorder="1" applyAlignment="1">
      <alignment horizontal="center"/>
    </xf>
    <xf numFmtId="0" fontId="29" fillId="0" borderId="103" xfId="0" applyFont="1" applyBorder="1" applyAlignment="1">
      <alignment horizontal="center"/>
    </xf>
    <xf numFmtId="0" fontId="29" fillId="0" borderId="98" xfId="0" applyFont="1" applyBorder="1" applyAlignment="1">
      <alignment horizontal="center"/>
    </xf>
    <xf numFmtId="0" fontId="29" fillId="0" borderId="99" xfId="0" applyFont="1" applyBorder="1" applyAlignment="1">
      <alignment horizontal="center"/>
    </xf>
    <xf numFmtId="0" fontId="58" fillId="41" borderId="115" xfId="0" applyFont="1" applyFill="1" applyBorder="1" applyAlignment="1">
      <alignment horizontal="center"/>
    </xf>
    <xf numFmtId="0" fontId="58" fillId="41" borderId="0" xfId="0" applyFont="1" applyFill="1" applyBorder="1" applyAlignment="1">
      <alignment horizontal="center"/>
    </xf>
    <xf numFmtId="0" fontId="58" fillId="44" borderId="0" xfId="0" applyFont="1" applyFill="1" applyAlignment="1">
      <alignment horizontal="center"/>
    </xf>
    <xf numFmtId="0" fontId="58" fillId="0" borderId="82" xfId="0" applyFont="1" applyBorder="1" applyAlignment="1">
      <alignment horizontal="center"/>
    </xf>
    <xf numFmtId="0" fontId="58" fillId="0" borderId="17" xfId="0" applyFont="1" applyBorder="1" applyAlignment="1">
      <alignment horizontal="center"/>
    </xf>
    <xf numFmtId="0" fontId="58" fillId="0" borderId="83" xfId="0" applyFont="1" applyBorder="1" applyAlignment="1">
      <alignment horizontal="center"/>
    </xf>
    <xf numFmtId="0" fontId="58" fillId="0" borderId="89" xfId="0" applyFont="1" applyBorder="1" applyAlignment="1">
      <alignment horizontal="center"/>
    </xf>
    <xf numFmtId="0" fontId="58" fillId="0" borderId="90" xfId="0" applyFont="1" applyBorder="1" applyAlignment="1">
      <alignment horizontal="center"/>
    </xf>
    <xf numFmtId="0" fontId="58" fillId="0" borderId="91" xfId="0" applyFont="1" applyBorder="1" applyAlignment="1">
      <alignment horizontal="center"/>
    </xf>
    <xf numFmtId="0" fontId="58" fillId="44" borderId="116" xfId="0" applyFont="1" applyFill="1" applyBorder="1" applyAlignment="1">
      <alignment horizontal="center"/>
    </xf>
    <xf numFmtId="0" fontId="58" fillId="44" borderId="104" xfId="0" applyFont="1" applyFill="1" applyBorder="1" applyAlignment="1">
      <alignment horizontal="center"/>
    </xf>
    <xf numFmtId="0" fontId="58" fillId="0" borderId="77" xfId="0" applyFont="1" applyBorder="1" applyAlignment="1">
      <alignment horizontal="center"/>
    </xf>
    <xf numFmtId="0" fontId="58" fillId="0" borderId="78" xfId="0" applyFont="1" applyBorder="1" applyAlignment="1">
      <alignment horizontal="center"/>
    </xf>
    <xf numFmtId="0" fontId="58" fillId="0" borderId="79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2" fontId="28" fillId="0" borderId="0" xfId="0" applyNumberFormat="1" applyFont="1" applyAlignment="1">
      <alignment horizontal="right"/>
    </xf>
  </cellXfs>
  <cellStyles count="69">
    <cellStyle name="20 % - Accent1" xfId="29" builtinId="30" customBuiltin="1"/>
    <cellStyle name="20 % - Accent2" xfId="33" builtinId="34" customBuiltin="1"/>
    <cellStyle name="20 % - Accent3" xfId="37" builtinId="38" customBuiltin="1"/>
    <cellStyle name="20 % - Accent4" xfId="41" builtinId="42" customBuiltin="1"/>
    <cellStyle name="20 % - Accent5" xfId="45" builtinId="46" customBuiltin="1"/>
    <cellStyle name="20 % - Accent6" xfId="49" builtinId="50" customBuiltin="1"/>
    <cellStyle name="20% - Accent1 2" xfId="56"/>
    <cellStyle name="20% - Accent2 2" xfId="58"/>
    <cellStyle name="20% - Accent3 2" xfId="60"/>
    <cellStyle name="20% - Accent4 2" xfId="62"/>
    <cellStyle name="20% - Accent5 2" xfId="64"/>
    <cellStyle name="20% - Accent6 2" xfId="66"/>
    <cellStyle name="40 % - Accent1" xfId="30" builtinId="31" customBuiltin="1"/>
    <cellStyle name="40 % - Accent2" xfId="34" builtinId="35" customBuiltin="1"/>
    <cellStyle name="40 % - Accent3" xfId="38" builtinId="39" customBuiltin="1"/>
    <cellStyle name="40 % - Accent4" xfId="42" builtinId="43" customBuiltin="1"/>
    <cellStyle name="40 % - Accent5" xfId="46" builtinId="47" customBuiltin="1"/>
    <cellStyle name="40 % - Accent6" xfId="50" builtinId="51" customBuiltin="1"/>
    <cellStyle name="40% - Accent1 2" xfId="57"/>
    <cellStyle name="40% - Accent2 2" xfId="59"/>
    <cellStyle name="40% - Accent3 2" xfId="61"/>
    <cellStyle name="40% - Accent4 2" xfId="63"/>
    <cellStyle name="40% - Accent5 2" xfId="65"/>
    <cellStyle name="40% - Accent6 2" xfId="67"/>
    <cellStyle name="60 % - Accent1" xfId="31" builtinId="32" customBuiltin="1"/>
    <cellStyle name="60 % - Accent2" xfId="35" builtinId="36" customBuiltin="1"/>
    <cellStyle name="60 % - Accent3" xfId="39" builtinId="40" customBuiltin="1"/>
    <cellStyle name="60 % - Accent4" xfId="43" builtinId="44" customBuiltin="1"/>
    <cellStyle name="60 % - Accent5" xfId="47" builtinId="48" customBuiltin="1"/>
    <cellStyle name="60 % - Accent6" xfId="51" builtinId="52" customBuiltin="1"/>
    <cellStyle name="Accent1" xfId="28" builtinId="29" customBuiltin="1"/>
    <cellStyle name="Accent2" xfId="32" builtinId="33" customBuiltin="1"/>
    <cellStyle name="Accent3" xfId="36" builtinId="37" customBuiltin="1"/>
    <cellStyle name="Accent4" xfId="40" builtinId="41" customBuiltin="1"/>
    <cellStyle name="Accent5" xfId="44" builtinId="45" customBuiltin="1"/>
    <cellStyle name="Accent6" xfId="48" builtinId="49" customBuiltin="1"/>
    <cellStyle name="Avertissement" xfId="25" builtinId="11" customBuiltin="1"/>
    <cellStyle name="Calcul" xfId="22" builtinId="22" customBuiltin="1"/>
    <cellStyle name="Cellule liée" xfId="23" builtinId="24" customBuiltin="1"/>
    <cellStyle name="Entrée" xfId="20" builtinId="20" customBuiltin="1"/>
    <cellStyle name="Insatisfaisant" xfId="18" builtinId="27" customBuiltin="1"/>
    <cellStyle name="Lien hypertexte" xfId="1" builtinId="8"/>
    <cellStyle name="Lien hypertexte 2" xfId="2"/>
    <cellStyle name="Lien hypertexte 3" xfId="3"/>
    <cellStyle name="Lien hypertexte 4" xfId="4"/>
    <cellStyle name="Neutre" xfId="19" builtinId="28" customBuiltin="1"/>
    <cellStyle name="Normal" xfId="0" builtinId="0"/>
    <cellStyle name="Normal 10" xfId="5"/>
    <cellStyle name="Normal 2" xfId="6"/>
    <cellStyle name="Normal 2 2" xfId="68"/>
    <cellStyle name="Normal 3" xfId="7"/>
    <cellStyle name="Normal 3 2" xfId="8"/>
    <cellStyle name="Normal 4" xfId="9"/>
    <cellStyle name="Normal 5" xfId="10"/>
    <cellStyle name="Normal 6" xfId="52"/>
    <cellStyle name="Normal 7" xfId="54"/>
    <cellStyle name="Normalny 2" xfId="11"/>
    <cellStyle name="Note 2" xfId="53"/>
    <cellStyle name="Note 3" xfId="55"/>
    <cellStyle name="Satisfaisant" xfId="17" builtinId="26" customBuiltin="1"/>
    <cellStyle name="Sortie" xfId="21" builtinId="21" customBuiltin="1"/>
    <cellStyle name="Texte explicatif" xfId="26" builtinId="53" customBuiltin="1"/>
    <cellStyle name="Titre" xfId="12" builtinId="15" customBuiltin="1"/>
    <cellStyle name="Titre 1" xfId="13" builtinId="16" customBuiltin="1"/>
    <cellStyle name="Titre 2" xfId="14" builtinId="17" customBuiltin="1"/>
    <cellStyle name="Titre 3" xfId="15" builtinId="18" customBuiltin="1"/>
    <cellStyle name="Titre 4" xfId="16" builtinId="19" customBuiltin="1"/>
    <cellStyle name="Total" xfId="27" builtinId="25" customBuiltin="1"/>
    <cellStyle name="Vérification" xfId="24" builtinId="23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my.adriaensen@syngenta.com" TargetMode="Externa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remy.adriaensen@syngenta.com" TargetMode="External"/><Relationship Id="rId1" Type="http://schemas.openxmlformats.org/officeDocument/2006/relationships/hyperlink" Target="mailto:nathalie.nesi@rennes.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37" zoomScale="95" zoomScaleNormal="95" workbookViewId="0">
      <selection activeCell="B54" sqref="B54"/>
    </sheetView>
  </sheetViews>
  <sheetFormatPr baseColWidth="10" defaultColWidth="11.42578125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430" t="s">
        <v>5</v>
      </c>
      <c r="B5" s="430"/>
      <c r="C5" s="430"/>
      <c r="D5" s="430"/>
      <c r="E5" s="430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431" t="s">
        <v>6</v>
      </c>
      <c r="B7" s="432" t="s">
        <v>7</v>
      </c>
      <c r="C7" s="432"/>
      <c r="D7" s="432"/>
      <c r="E7" s="432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431"/>
      <c r="B8" s="433" t="s">
        <v>8</v>
      </c>
      <c r="C8" s="433"/>
      <c r="D8" s="433"/>
      <c r="E8" s="433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431"/>
      <c r="B9" s="434" t="s">
        <v>9</v>
      </c>
      <c r="C9" s="434"/>
      <c r="D9" s="434"/>
      <c r="E9" s="434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3" customFormat="1" ht="70.5" customHeight="1">
      <c r="A16" s="18" t="s">
        <v>29</v>
      </c>
      <c r="B16" s="170" t="s">
        <v>7842</v>
      </c>
      <c r="C16" s="170" t="s">
        <v>7843</v>
      </c>
      <c r="D16" s="175">
        <v>41521</v>
      </c>
      <c r="E16" s="175">
        <v>41838</v>
      </c>
      <c r="F16" s="171" t="s">
        <v>7844</v>
      </c>
      <c r="G16" s="170" t="s">
        <v>7845</v>
      </c>
      <c r="H16" s="172" t="s">
        <v>7415</v>
      </c>
      <c r="I16" s="173"/>
      <c r="J16" s="173" t="s">
        <v>38</v>
      </c>
      <c r="K16" s="173" t="s">
        <v>7846</v>
      </c>
      <c r="L16" s="173" t="s">
        <v>7847</v>
      </c>
      <c r="M16" s="173" t="s">
        <v>7848</v>
      </c>
      <c r="N16" s="174"/>
      <c r="O16" s="173" t="s">
        <v>207</v>
      </c>
      <c r="P16" s="173"/>
      <c r="Q16" s="173"/>
    </row>
    <row r="17" spans="1:256" ht="25.5">
      <c r="A17" s="24" t="s">
        <v>30</v>
      </c>
      <c r="B17" s="25" t="s">
        <v>31</v>
      </c>
      <c r="C17" s="25" t="s">
        <v>32</v>
      </c>
      <c r="D17" s="26" t="s">
        <v>33</v>
      </c>
      <c r="E17" s="26" t="s">
        <v>34</v>
      </c>
      <c r="F17" s="26" t="s">
        <v>35</v>
      </c>
      <c r="G17" s="25" t="s">
        <v>36</v>
      </c>
      <c r="H17" s="27">
        <v>2012</v>
      </c>
      <c r="I17" s="26" t="s">
        <v>37</v>
      </c>
      <c r="J17" s="28" t="s">
        <v>38</v>
      </c>
      <c r="K17" s="28" t="s">
        <v>39</v>
      </c>
      <c r="L17" s="28"/>
      <c r="M17" s="28"/>
      <c r="N17" s="29" t="s">
        <v>40</v>
      </c>
      <c r="O17" s="28"/>
      <c r="P17" s="28" t="s">
        <v>41</v>
      </c>
      <c r="Q17" s="28" t="s">
        <v>42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3" customFormat="1" ht="38.25">
      <c r="A18" s="24" t="s">
        <v>43</v>
      </c>
      <c r="B18" s="30" t="s">
        <v>44</v>
      </c>
      <c r="C18" s="30" t="s">
        <v>44</v>
      </c>
      <c r="D18" s="30" t="s">
        <v>45</v>
      </c>
      <c r="E18" s="30" t="s">
        <v>45</v>
      </c>
      <c r="F18" s="30" t="s">
        <v>44</v>
      </c>
      <c r="G18" s="30" t="s">
        <v>44</v>
      </c>
      <c r="H18" s="31" t="s">
        <v>44</v>
      </c>
      <c r="I18" s="30" t="s">
        <v>46</v>
      </c>
      <c r="J18" s="30" t="s">
        <v>44</v>
      </c>
      <c r="K18" s="30" t="s">
        <v>44</v>
      </c>
      <c r="L18" s="32" t="s">
        <v>44</v>
      </c>
      <c r="M18" s="32" t="s">
        <v>44</v>
      </c>
      <c r="N18" s="32" t="s">
        <v>44</v>
      </c>
      <c r="O18" s="32" t="s">
        <v>44</v>
      </c>
      <c r="P18" s="32" t="s">
        <v>44</v>
      </c>
      <c r="Q18" s="32" t="s">
        <v>44</v>
      </c>
    </row>
    <row r="19" spans="1:256">
      <c r="A19" s="34"/>
      <c r="B19" s="35"/>
      <c r="C19" s="35"/>
      <c r="D19" s="35"/>
      <c r="E19" s="35"/>
      <c r="F19" s="35"/>
      <c r="G19" s="35"/>
      <c r="H19" s="35"/>
      <c r="I19" s="36"/>
      <c r="J19" s="36"/>
      <c r="K19" s="36"/>
      <c r="L19" s="36"/>
      <c r="M19" s="36"/>
      <c r="N19" s="36"/>
      <c r="O19" s="36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7"/>
      <c r="B20" s="38"/>
      <c r="C20" s="38"/>
      <c r="D20" s="38"/>
      <c r="E20" s="38"/>
      <c r="F20" s="38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2" customFormat="1" ht="12.75" customHeight="1">
      <c r="A21" s="39" t="s">
        <v>47</v>
      </c>
      <c r="B21" s="40" t="s">
        <v>48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</row>
    <row r="22" spans="1:256">
      <c r="A22" s="43"/>
      <c r="B22" s="14" t="s">
        <v>49</v>
      </c>
      <c r="C22" s="15" t="s">
        <v>50</v>
      </c>
      <c r="D22" s="15" t="s">
        <v>51</v>
      </c>
      <c r="E22" s="15" t="s">
        <v>52</v>
      </c>
      <c r="F22" s="44" t="s">
        <v>53</v>
      </c>
      <c r="G22" s="44" t="s">
        <v>54</v>
      </c>
      <c r="H22" s="45" t="s">
        <v>55</v>
      </c>
      <c r="I22" s="15" t="s">
        <v>56</v>
      </c>
      <c r="J22" s="15" t="s">
        <v>57</v>
      </c>
      <c r="K22" s="15" t="s">
        <v>58</v>
      </c>
      <c r="L22" s="15" t="s">
        <v>59</v>
      </c>
      <c r="M22" s="15" t="s">
        <v>60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>
      <c r="A23" s="46" t="s">
        <v>29</v>
      </c>
      <c r="B23" s="176" t="s">
        <v>7849</v>
      </c>
      <c r="C23" s="178">
        <v>49.680277777777697</v>
      </c>
      <c r="D23" s="178">
        <v>2.8152777777777702</v>
      </c>
      <c r="E23" s="178">
        <v>79</v>
      </c>
      <c r="F23" s="179"/>
      <c r="G23" s="179" t="s">
        <v>7850</v>
      </c>
      <c r="H23" s="179" t="s">
        <v>7851</v>
      </c>
      <c r="I23" s="178" t="s">
        <v>7852</v>
      </c>
      <c r="J23" s="178"/>
      <c r="K23" s="178"/>
      <c r="L23" s="177"/>
      <c r="M23" s="178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48" t="s">
        <v>61</v>
      </c>
      <c r="B24" s="25" t="s">
        <v>62</v>
      </c>
      <c r="C24" s="28"/>
      <c r="D24" s="28"/>
      <c r="E24" s="28"/>
      <c r="F24" s="49"/>
      <c r="G24" s="49"/>
      <c r="H24" s="49" t="s">
        <v>63</v>
      </c>
      <c r="I24" s="28" t="s">
        <v>64</v>
      </c>
      <c r="J24" s="28" t="s">
        <v>65</v>
      </c>
      <c r="K24" s="28"/>
      <c r="L24" s="28"/>
      <c r="M24" s="28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4" t="s">
        <v>43</v>
      </c>
      <c r="B25" s="30" t="s">
        <v>44</v>
      </c>
      <c r="C25" s="30" t="s">
        <v>46</v>
      </c>
      <c r="D25" s="30" t="s">
        <v>46</v>
      </c>
      <c r="E25" s="50" t="s">
        <v>46</v>
      </c>
      <c r="F25" s="51" t="s">
        <v>44</v>
      </c>
      <c r="G25" s="51" t="s">
        <v>44</v>
      </c>
      <c r="H25" s="51" t="s">
        <v>44</v>
      </c>
      <c r="I25" s="30" t="s">
        <v>66</v>
      </c>
      <c r="J25" s="50" t="s">
        <v>44</v>
      </c>
      <c r="K25" s="50" t="s">
        <v>44</v>
      </c>
      <c r="L25" s="30" t="s">
        <v>44</v>
      </c>
      <c r="M25" s="30" t="s">
        <v>44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4"/>
      <c r="B26" s="41"/>
      <c r="C26" s="38"/>
      <c r="D26" s="52"/>
      <c r="E26" s="38"/>
      <c r="F26" s="38"/>
      <c r="G26" s="38"/>
      <c r="H26" s="38"/>
      <c r="I26" s="38"/>
      <c r="J26" s="38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3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4" t="s">
        <v>67</v>
      </c>
      <c r="B28" s="10" t="s">
        <v>68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3"/>
      <c r="B29" s="55" t="s">
        <v>69</v>
      </c>
      <c r="C29" s="55" t="s">
        <v>70</v>
      </c>
      <c r="D29" s="55" t="s">
        <v>71</v>
      </c>
      <c r="E29" s="56" t="s">
        <v>72</v>
      </c>
      <c r="F29" s="56" t="s">
        <v>73</v>
      </c>
      <c r="G29" s="55" t="s">
        <v>74</v>
      </c>
      <c r="H29" s="55" t="s">
        <v>75</v>
      </c>
      <c r="I29" s="56" t="s">
        <v>76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180" t="s">
        <v>77</v>
      </c>
      <c r="C30" s="180" t="s">
        <v>7853</v>
      </c>
      <c r="D30" s="180" t="s">
        <v>7511</v>
      </c>
      <c r="E30" s="181" t="s">
        <v>7854</v>
      </c>
      <c r="F30" s="180"/>
      <c r="G30" s="183" t="s">
        <v>7855</v>
      </c>
      <c r="H30" s="180" t="s">
        <v>7856</v>
      </c>
      <c r="I30" s="180" t="s">
        <v>7857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48" t="s">
        <v>61</v>
      </c>
      <c r="B31" s="30" t="s">
        <v>77</v>
      </c>
      <c r="C31" s="30" t="s">
        <v>78</v>
      </c>
      <c r="D31" s="30" t="s">
        <v>79</v>
      </c>
      <c r="E31" s="30" t="s">
        <v>80</v>
      </c>
      <c r="F31" s="30" t="s">
        <v>81</v>
      </c>
      <c r="G31" s="57" t="s">
        <v>82</v>
      </c>
      <c r="H31" s="30" t="s">
        <v>83</v>
      </c>
      <c r="I31" s="30" t="s">
        <v>84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4" t="s">
        <v>43</v>
      </c>
      <c r="B32" s="30" t="s">
        <v>44</v>
      </c>
      <c r="C32" s="30" t="s">
        <v>44</v>
      </c>
      <c r="D32" s="30" t="s">
        <v>44</v>
      </c>
      <c r="E32" s="58" t="s">
        <v>85</v>
      </c>
      <c r="F32" s="58" t="s">
        <v>86</v>
      </c>
      <c r="G32" s="30" t="s">
        <v>44</v>
      </c>
      <c r="H32" s="30" t="s">
        <v>44</v>
      </c>
      <c r="I32" s="30" t="s">
        <v>44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0" customFormat="1">
      <c r="A33" s="34"/>
      <c r="B33" s="59"/>
      <c r="C33" s="59"/>
      <c r="D33" s="59"/>
      <c r="E33" s="38"/>
      <c r="F33" s="38"/>
      <c r="G33" s="38"/>
      <c r="H33" s="38"/>
      <c r="I33" s="38"/>
    </row>
    <row r="34" spans="1:256">
      <c r="A34" s="61"/>
      <c r="B34" s="35"/>
      <c r="C34" s="35"/>
      <c r="D34" s="35"/>
      <c r="E34" s="8"/>
      <c r="F34" s="8"/>
      <c r="G34" s="35"/>
      <c r="H34" s="35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2" t="s">
        <v>87</v>
      </c>
      <c r="B35" s="63" t="s">
        <v>88</v>
      </c>
      <c r="C35" s="35"/>
      <c r="D35" s="35"/>
      <c r="E35" s="8"/>
      <c r="F35" s="8"/>
      <c r="G35" s="35"/>
      <c r="H35" s="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4" t="s">
        <v>89</v>
      </c>
      <c r="C36" s="35"/>
      <c r="D36" s="35"/>
      <c r="E36" s="8"/>
      <c r="F36" s="8"/>
      <c r="G36" s="35"/>
      <c r="H36" s="35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3"/>
      <c r="B37" s="65" t="s">
        <v>90</v>
      </c>
      <c r="C37" s="65" t="s">
        <v>91</v>
      </c>
      <c r="D37" s="66" t="s">
        <v>92</v>
      </c>
      <c r="E37" s="66" t="s">
        <v>29</v>
      </c>
      <c r="F37" s="66" t="s">
        <v>93</v>
      </c>
      <c r="G37" s="66" t="s">
        <v>94</v>
      </c>
      <c r="H37" s="67" t="s">
        <v>95</v>
      </c>
      <c r="I37" s="66" t="s">
        <v>58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2" t="s">
        <v>96</v>
      </c>
      <c r="C38" s="68" t="s">
        <v>97</v>
      </c>
      <c r="D38" s="20" t="s">
        <v>98</v>
      </c>
      <c r="E38" s="19" t="s">
        <v>99</v>
      </c>
      <c r="F38" s="20" t="s">
        <v>100</v>
      </c>
      <c r="G38" s="19" t="s">
        <v>101</v>
      </c>
      <c r="H38" s="69" t="s">
        <v>102</v>
      </c>
      <c r="I38" s="22" t="s">
        <v>103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48" t="s">
        <v>61</v>
      </c>
      <c r="B39" s="49" t="s">
        <v>104</v>
      </c>
      <c r="C39" s="70" t="s">
        <v>105</v>
      </c>
      <c r="D39" s="71" t="s">
        <v>106</v>
      </c>
      <c r="E39" s="30"/>
      <c r="F39" s="30" t="s">
        <v>107</v>
      </c>
      <c r="G39" s="30"/>
      <c r="H39" s="72"/>
      <c r="I39" s="30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4" t="s">
        <v>43</v>
      </c>
      <c r="B40" s="49" t="s">
        <v>44</v>
      </c>
      <c r="C40" s="30" t="s">
        <v>44</v>
      </c>
      <c r="D40" s="30" t="s">
        <v>44</v>
      </c>
      <c r="E40" s="30" t="s">
        <v>44</v>
      </c>
      <c r="F40" s="30" t="s">
        <v>44</v>
      </c>
      <c r="G40" s="30" t="s">
        <v>44</v>
      </c>
      <c r="H40" s="31" t="s">
        <v>44</v>
      </c>
      <c r="I40" s="30" t="s">
        <v>44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4"/>
      <c r="B41" s="35"/>
      <c r="C41" s="35"/>
      <c r="D41" s="35"/>
      <c r="E41" s="8"/>
      <c r="F41" s="8"/>
      <c r="G41" s="35"/>
      <c r="H41" s="35"/>
      <c r="I41" s="35"/>
      <c r="J41" s="35"/>
      <c r="K41" s="35"/>
      <c r="L41" s="35"/>
      <c r="M41" s="8"/>
      <c r="N41" s="35"/>
      <c r="O41" s="35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1"/>
      <c r="B42" s="35"/>
      <c r="C42" s="35"/>
      <c r="D42" s="35"/>
      <c r="E42" s="8"/>
      <c r="F42" s="8"/>
      <c r="G42" s="35"/>
      <c r="H42" s="35"/>
      <c r="I42" s="35"/>
      <c r="J42" s="35"/>
      <c r="K42" s="35"/>
      <c r="L42" s="35"/>
      <c r="M42" s="8"/>
      <c r="N42" s="35"/>
      <c r="O42" s="35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2" t="s">
        <v>108</v>
      </c>
      <c r="B43" s="63" t="s">
        <v>109</v>
      </c>
      <c r="C43" s="35"/>
      <c r="D43" s="35"/>
      <c r="E43" s="8"/>
      <c r="F43" s="35"/>
      <c r="G43" s="35"/>
      <c r="H43" s="35"/>
      <c r="I43" s="8"/>
      <c r="J43" s="35"/>
      <c r="K43" s="3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3"/>
      <c r="B44" s="73" t="s">
        <v>110</v>
      </c>
      <c r="C44" s="73" t="s">
        <v>111</v>
      </c>
      <c r="D44" s="73" t="s">
        <v>112</v>
      </c>
      <c r="E44" s="74" t="s">
        <v>113</v>
      </c>
      <c r="F44" s="73" t="s">
        <v>114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115</v>
      </c>
      <c r="C45" s="20" t="s">
        <v>116</v>
      </c>
      <c r="D45" s="20" t="s">
        <v>117</v>
      </c>
      <c r="E45" s="75" t="s">
        <v>118</v>
      </c>
      <c r="F45" s="20" t="s">
        <v>119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48" t="s">
        <v>61</v>
      </c>
      <c r="B46" s="76" t="s">
        <v>120</v>
      </c>
      <c r="C46" s="70" t="s">
        <v>121</v>
      </c>
      <c r="D46" s="70" t="s">
        <v>122</v>
      </c>
      <c r="E46" s="75"/>
      <c r="F46" s="70" t="s">
        <v>123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4" t="s">
        <v>43</v>
      </c>
      <c r="B47" s="30" t="s">
        <v>44</v>
      </c>
      <c r="C47" s="30" t="s">
        <v>44</v>
      </c>
      <c r="D47" s="30" t="s">
        <v>44</v>
      </c>
      <c r="E47" s="75" t="s">
        <v>44</v>
      </c>
      <c r="F47" s="58" t="s">
        <v>44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4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78" customFormat="1" ht="12.75" customHeight="1">
      <c r="A49" s="77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spans="1:256" ht="12.75" customHeight="1">
      <c r="A50" s="79" t="s">
        <v>124</v>
      </c>
      <c r="B50" s="40" t="s">
        <v>125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7"/>
      <c r="B51" s="40" t="s">
        <v>126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3"/>
      <c r="B52" s="14" t="s">
        <v>127</v>
      </c>
      <c r="C52" s="14" t="s">
        <v>128</v>
      </c>
      <c r="D52" s="14" t="s">
        <v>129</v>
      </c>
      <c r="E52" s="15" t="s">
        <v>130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131</v>
      </c>
      <c r="C53" s="20" t="s">
        <v>132</v>
      </c>
      <c r="D53" s="20" t="s">
        <v>133</v>
      </c>
      <c r="E53" s="20" t="s">
        <v>134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48" t="s">
        <v>61</v>
      </c>
      <c r="B54" s="80" t="s">
        <v>135</v>
      </c>
      <c r="C54" s="80" t="s">
        <v>136</v>
      </c>
      <c r="D54" s="80" t="s">
        <v>137</v>
      </c>
      <c r="E54" s="76" t="s">
        <v>138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4" t="s">
        <v>43</v>
      </c>
      <c r="B55" s="30" t="s">
        <v>44</v>
      </c>
      <c r="C55" s="30" t="s">
        <v>44</v>
      </c>
      <c r="D55" s="30" t="s">
        <v>44</v>
      </c>
      <c r="E55" s="58" t="s">
        <v>44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2" customFormat="1">
      <c r="A56" s="34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</row>
    <row r="57" spans="1:256" ht="12.75" customHeight="1">
      <c r="A57" s="77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79" t="s">
        <v>139</v>
      </c>
      <c r="B58" s="40" t="s">
        <v>140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7"/>
      <c r="B59" s="40" t="s">
        <v>141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3"/>
      <c r="B60" s="65" t="s">
        <v>142</v>
      </c>
      <c r="C60" s="66" t="s">
        <v>143</v>
      </c>
      <c r="D60" s="66" t="s">
        <v>29</v>
      </c>
      <c r="E60" s="66" t="s">
        <v>144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145</v>
      </c>
      <c r="C61" s="20" t="s">
        <v>146</v>
      </c>
      <c r="D61" s="20" t="s">
        <v>147</v>
      </c>
      <c r="E61" s="18" t="s">
        <v>148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435" t="s">
        <v>61</v>
      </c>
      <c r="B62" s="20" t="s">
        <v>149</v>
      </c>
      <c r="C62" s="20" t="s">
        <v>150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435"/>
      <c r="B63" s="80" t="s">
        <v>151</v>
      </c>
      <c r="C63" s="80" t="s">
        <v>151</v>
      </c>
      <c r="D63"/>
      <c r="E63" s="80" t="s">
        <v>149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4" t="s">
        <v>43</v>
      </c>
      <c r="B64" s="30" t="s">
        <v>44</v>
      </c>
      <c r="C64" s="30" t="s">
        <v>44</v>
      </c>
      <c r="D64" s="30" t="s">
        <v>44</v>
      </c>
      <c r="E64" s="58" t="s">
        <v>44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2" customFormat="1">
      <c r="A65" s="34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</row>
    <row r="66" spans="1:256" s="42" customFormat="1" ht="12.75" customHeight="1">
      <c r="A66" s="77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</row>
    <row r="67" spans="1:256" ht="12.75" customHeight="1">
      <c r="A67" s="79" t="s">
        <v>152</v>
      </c>
      <c r="B67" s="40" t="s">
        <v>153</v>
      </c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3"/>
      <c r="B68" s="81" t="s">
        <v>114</v>
      </c>
      <c r="C68" s="82" t="s">
        <v>154</v>
      </c>
      <c r="D68" s="82" t="s">
        <v>155</v>
      </c>
      <c r="E68" s="83" t="s">
        <v>21</v>
      </c>
      <c r="F68" s="83" t="s">
        <v>22</v>
      </c>
      <c r="G68" s="83" t="s">
        <v>156</v>
      </c>
      <c r="H68" s="17" t="s">
        <v>157</v>
      </c>
      <c r="I68" s="84" t="s">
        <v>158</v>
      </c>
      <c r="J68" s="15" t="s">
        <v>159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436" t="s">
        <v>29</v>
      </c>
      <c r="B69" s="437" t="s">
        <v>160</v>
      </c>
      <c r="C69" s="85" t="s">
        <v>161</v>
      </c>
      <c r="D69" s="85" t="s">
        <v>162</v>
      </c>
      <c r="E69" s="429" t="s">
        <v>163</v>
      </c>
      <c r="F69" s="429" t="s">
        <v>164</v>
      </c>
      <c r="G69" s="429" t="s">
        <v>165</v>
      </c>
      <c r="H69" s="429" t="s">
        <v>166</v>
      </c>
      <c r="I69" s="86" t="s">
        <v>167</v>
      </c>
      <c r="J69" s="85" t="s">
        <v>167</v>
      </c>
      <c r="K69" s="87"/>
      <c r="L69" s="87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436"/>
      <c r="B70" s="437"/>
      <c r="C70" s="88" t="s">
        <v>168</v>
      </c>
      <c r="D70" s="88" t="s">
        <v>169</v>
      </c>
      <c r="E70" s="429"/>
      <c r="F70" s="429"/>
      <c r="G70" s="429"/>
      <c r="H70" s="429"/>
      <c r="I70" s="88" t="s">
        <v>170</v>
      </c>
      <c r="J70" s="88" t="s">
        <v>171</v>
      </c>
      <c r="K70" s="38"/>
      <c r="L70" s="38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48" t="s">
        <v>61</v>
      </c>
      <c r="B71" s="70" t="s">
        <v>123</v>
      </c>
      <c r="C71" s="88" t="s">
        <v>172</v>
      </c>
      <c r="D71" s="88" t="s">
        <v>173</v>
      </c>
      <c r="E71" s="20">
        <v>1</v>
      </c>
      <c r="F71" s="49">
        <v>3</v>
      </c>
      <c r="G71" s="49"/>
      <c r="H71" s="49"/>
      <c r="I71" s="88" t="s">
        <v>174</v>
      </c>
      <c r="J71" s="88" t="s">
        <v>175</v>
      </c>
      <c r="K71" s="38"/>
      <c r="L71" s="38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4" t="s">
        <v>43</v>
      </c>
      <c r="B72" s="30" t="s">
        <v>44</v>
      </c>
      <c r="C72" s="30" t="s">
        <v>44</v>
      </c>
      <c r="D72" s="30" t="s">
        <v>44</v>
      </c>
      <c r="E72" s="58" t="s">
        <v>44</v>
      </c>
      <c r="F72" s="58" t="s">
        <v>44</v>
      </c>
      <c r="G72" s="49" t="s">
        <v>46</v>
      </c>
      <c r="H72" s="49" t="s">
        <v>46</v>
      </c>
      <c r="I72" s="89" t="s">
        <v>176</v>
      </c>
      <c r="J72" s="49" t="s">
        <v>177</v>
      </c>
      <c r="K72" s="38"/>
      <c r="L72" s="38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1"/>
      <c r="B73" s="35"/>
      <c r="C73" s="35"/>
      <c r="D73" s="35"/>
      <c r="E73" s="8"/>
      <c r="F73" s="38"/>
      <c r="G73" s="38"/>
      <c r="H73" s="38"/>
      <c r="I73" s="38"/>
      <c r="J73" s="38"/>
      <c r="K73" s="38"/>
      <c r="L73" s="38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4"/>
      <c r="B74" s="41"/>
      <c r="C74" s="38"/>
      <c r="D74" s="52"/>
      <c r="E74" s="38"/>
      <c r="F74" s="38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0" t="s">
        <v>178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4" customFormat="1">
      <c r="A76" s="91"/>
      <c r="B76" s="92" t="s">
        <v>179</v>
      </c>
      <c r="C76" s="93" t="s">
        <v>180</v>
      </c>
      <c r="D76" s="92" t="s">
        <v>181</v>
      </c>
      <c r="E76" s="93" t="s">
        <v>182</v>
      </c>
      <c r="F76" s="93" t="s">
        <v>183</v>
      </c>
      <c r="G76" s="93" t="s">
        <v>29</v>
      </c>
    </row>
    <row r="77" spans="1:256" s="98" customFormat="1" ht="25.5">
      <c r="A77" s="95" t="s">
        <v>29</v>
      </c>
      <c r="B77" s="96" t="s">
        <v>184</v>
      </c>
      <c r="C77" s="96" t="s">
        <v>185</v>
      </c>
      <c r="D77" s="96" t="s">
        <v>186</v>
      </c>
      <c r="E77" s="96" t="s">
        <v>187</v>
      </c>
      <c r="F77" s="97" t="s">
        <v>188</v>
      </c>
      <c r="G77" s="96" t="s">
        <v>189</v>
      </c>
    </row>
    <row r="78" spans="1:256" s="94" customFormat="1" ht="38.25">
      <c r="A78" s="99" t="s">
        <v>30</v>
      </c>
      <c r="B78" s="100" t="s">
        <v>190</v>
      </c>
      <c r="C78" s="101" t="s">
        <v>191</v>
      </c>
      <c r="D78" s="96" t="s">
        <v>192</v>
      </c>
      <c r="E78" s="51">
        <v>39</v>
      </c>
      <c r="F78" s="102">
        <v>40568</v>
      </c>
      <c r="G78" s="51"/>
    </row>
    <row r="79" spans="1:256" ht="38.25">
      <c r="A79" s="103" t="s">
        <v>43</v>
      </c>
      <c r="B79" s="96" t="s">
        <v>44</v>
      </c>
      <c r="C79" s="96" t="s">
        <v>44</v>
      </c>
      <c r="D79" s="96" t="s">
        <v>193</v>
      </c>
      <c r="E79" s="51" t="s">
        <v>46</v>
      </c>
      <c r="F79" s="51" t="s">
        <v>194</v>
      </c>
      <c r="G79" s="96" t="s">
        <v>44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4"/>
      <c r="B80" s="105"/>
      <c r="C80" s="105"/>
      <c r="D80" s="105"/>
      <c r="E80" s="106"/>
      <c r="F80" s="106"/>
      <c r="G80" s="105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7"/>
      <c r="B81" s="38"/>
      <c r="C81" s="38"/>
      <c r="D81" s="38"/>
      <c r="E81" s="38"/>
      <c r="F81" s="38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2" customFormat="1" ht="12.75" customHeight="1">
      <c r="A82" s="79" t="s">
        <v>195</v>
      </c>
      <c r="B82" s="40" t="s">
        <v>196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</row>
    <row r="83" spans="1:256">
      <c r="A83" s="43"/>
      <c r="B83" s="107" t="s">
        <v>197</v>
      </c>
      <c r="C83" s="107" t="s">
        <v>198</v>
      </c>
      <c r="D83" s="107" t="s">
        <v>199</v>
      </c>
      <c r="E83"/>
      <c r="F83"/>
      <c r="G83"/>
      <c r="H83"/>
      <c r="I83"/>
      <c r="J83"/>
    </row>
    <row r="84" spans="1:256" ht="38.25" customHeight="1">
      <c r="A84" s="46" t="s">
        <v>29</v>
      </c>
      <c r="B84" s="21" t="s">
        <v>200</v>
      </c>
      <c r="C84" s="21" t="s">
        <v>201</v>
      </c>
      <c r="D84" s="21" t="s">
        <v>202</v>
      </c>
      <c r="E84"/>
      <c r="F84"/>
      <c r="G84"/>
      <c r="H84"/>
      <c r="I84"/>
      <c r="J84"/>
    </row>
    <row r="85" spans="1:256">
      <c r="A85" s="48" t="s">
        <v>61</v>
      </c>
      <c r="B85" s="29">
        <v>1</v>
      </c>
      <c r="C85" s="108">
        <v>3</v>
      </c>
      <c r="D85" s="29" t="s">
        <v>203</v>
      </c>
      <c r="E85"/>
      <c r="F85"/>
      <c r="G85"/>
      <c r="H85"/>
      <c r="I85"/>
      <c r="J85"/>
    </row>
    <row r="86" spans="1:256" ht="140.25">
      <c r="A86" s="24" t="s">
        <v>43</v>
      </c>
      <c r="B86" s="47" t="s">
        <v>204</v>
      </c>
      <c r="C86" s="47" t="s">
        <v>205</v>
      </c>
      <c r="D86" s="47" t="s">
        <v>206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  <hyperlink ref="G30" r:id="rId3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P2"/>
  <sheetViews>
    <sheetView zoomScale="95" zoomScaleNormal="95" workbookViewId="0">
      <selection activeCell="A2" sqref="A2"/>
    </sheetView>
  </sheetViews>
  <sheetFormatPr baseColWidth="10" defaultColWidth="12.85546875" defaultRowHeight="12.75"/>
  <cols>
    <col min="1" max="1" width="18" style="109" bestFit="1" customWidth="1"/>
    <col min="2" max="2" width="10.5703125" style="109" customWidth="1"/>
    <col min="3" max="3" width="15.85546875" style="110" customWidth="1"/>
    <col min="4" max="4" width="13.85546875" style="110" customWidth="1"/>
    <col min="5" max="5" width="12.42578125" style="110" customWidth="1"/>
    <col min="6" max="6" width="15.85546875" style="110" customWidth="1"/>
    <col min="7" max="7" width="22.28515625" style="110" customWidth="1"/>
    <col min="8" max="8" width="6.28515625" style="110" customWidth="1"/>
    <col min="9" max="10" width="2.42578125" style="111" customWidth="1"/>
    <col min="11" max="11" width="19.28515625" style="110" customWidth="1"/>
    <col min="12" max="13" width="12.42578125" style="110" customWidth="1"/>
    <col min="14" max="14" width="17" style="110" customWidth="1"/>
    <col min="15" max="15" width="8.7109375" style="110" customWidth="1"/>
    <col min="16" max="16" width="13.5703125" style="110" customWidth="1"/>
  </cols>
  <sheetData>
    <row r="1" spans="1:16">
      <c r="A1" s="112" t="s">
        <v>13</v>
      </c>
      <c r="B1" s="112" t="s">
        <v>14</v>
      </c>
      <c r="C1" s="113" t="s">
        <v>15</v>
      </c>
      <c r="D1" s="113" t="s">
        <v>16</v>
      </c>
      <c r="E1" s="113" t="s">
        <v>17</v>
      </c>
      <c r="F1" s="113" t="s">
        <v>18</v>
      </c>
      <c r="G1" s="113" t="s">
        <v>19</v>
      </c>
      <c r="H1" s="113" t="s">
        <v>20</v>
      </c>
      <c r="I1" s="114" t="s">
        <v>21</v>
      </c>
      <c r="J1" s="114" t="s">
        <v>22</v>
      </c>
      <c r="K1" s="113" t="s">
        <v>23</v>
      </c>
      <c r="L1" s="113" t="s">
        <v>24</v>
      </c>
      <c r="M1" s="113" t="s">
        <v>25</v>
      </c>
      <c r="N1" s="113" t="s">
        <v>26</v>
      </c>
      <c r="O1" s="113" t="s">
        <v>27</v>
      </c>
      <c r="P1" s="113" t="s">
        <v>28</v>
      </c>
    </row>
    <row r="2" spans="1:16">
      <c r="A2" s="109" t="s">
        <v>7608</v>
      </c>
      <c r="B2" s="109" t="s">
        <v>7609</v>
      </c>
      <c r="C2" s="182">
        <v>41521</v>
      </c>
      <c r="D2" s="182">
        <v>41838</v>
      </c>
      <c r="E2" s="110" t="s">
        <v>7844</v>
      </c>
      <c r="F2" s="110" t="s">
        <v>7858</v>
      </c>
      <c r="G2" s="110" t="s">
        <v>7415</v>
      </c>
      <c r="I2" s="111" t="s">
        <v>7859</v>
      </c>
      <c r="J2" s="111" t="s">
        <v>39</v>
      </c>
      <c r="K2" s="110" t="s">
        <v>7847</v>
      </c>
      <c r="L2" s="110" t="s">
        <v>7860</v>
      </c>
      <c r="N2" s="110" t="s">
        <v>207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K2" sqref="K2"/>
    </sheetView>
  </sheetViews>
  <sheetFormatPr baseColWidth="10" defaultColWidth="10.7109375" defaultRowHeight="12.75"/>
  <cols>
    <col min="1" max="1" width="11.85546875" style="115" customWidth="1"/>
    <col min="2" max="2" width="9.140625" style="116" customWidth="1"/>
    <col min="3" max="3" width="11" style="116" customWidth="1"/>
    <col min="4" max="4" width="10.140625" style="116" customWidth="1"/>
    <col min="5" max="5" width="10.42578125" style="116" customWidth="1"/>
    <col min="6" max="6" width="6.5703125" style="116" customWidth="1"/>
    <col min="7" max="7" width="25.140625" style="115" customWidth="1"/>
    <col min="8" max="8" width="11.28515625" style="116" customWidth="1"/>
    <col min="9" max="9" width="12.140625" style="116" customWidth="1"/>
    <col min="10" max="10" width="10.42578125" style="116" customWidth="1"/>
    <col min="11" max="11" width="19.28515625" style="110" customWidth="1"/>
    <col min="12" max="12" width="22.42578125" style="110" customWidth="1"/>
  </cols>
  <sheetData>
    <row r="1" spans="1:12" s="90" customFormat="1">
      <c r="A1" s="117" t="s">
        <v>49</v>
      </c>
      <c r="B1" s="118" t="s">
        <v>50</v>
      </c>
      <c r="C1" s="118" t="s">
        <v>51</v>
      </c>
      <c r="D1" s="118" t="s">
        <v>52</v>
      </c>
      <c r="E1" s="118" t="s">
        <v>53</v>
      </c>
      <c r="F1" s="118" t="s">
        <v>54</v>
      </c>
      <c r="G1" s="117" t="s">
        <v>55</v>
      </c>
      <c r="H1" s="119" t="s">
        <v>56</v>
      </c>
      <c r="I1" s="119" t="s">
        <v>57</v>
      </c>
      <c r="J1" s="118" t="s">
        <v>58</v>
      </c>
      <c r="K1" s="120" t="s">
        <v>59</v>
      </c>
      <c r="L1" s="120" t="s">
        <v>60</v>
      </c>
    </row>
    <row r="2" spans="1:12">
      <c r="A2" s="115" t="s">
        <v>7597</v>
      </c>
      <c r="B2" s="185">
        <v>49.680277777777697</v>
      </c>
      <c r="C2" s="185">
        <v>2.8152777777777702</v>
      </c>
      <c r="D2" s="185">
        <v>79</v>
      </c>
      <c r="E2" s="184"/>
      <c r="F2" s="185" t="s">
        <v>7850</v>
      </c>
      <c r="G2" s="115" t="s">
        <v>7598</v>
      </c>
      <c r="H2" s="116" t="s">
        <v>7852</v>
      </c>
      <c r="J2" s="116" t="s">
        <v>7599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3"/>
  <sheetViews>
    <sheetView zoomScale="95" zoomScaleNormal="95" workbookViewId="0">
      <selection activeCell="F10" sqref="F10"/>
    </sheetView>
  </sheetViews>
  <sheetFormatPr baseColWidth="10" defaultColWidth="10.7109375" defaultRowHeight="12.75"/>
  <cols>
    <col min="1" max="1" width="8.7109375" style="121" customWidth="1"/>
    <col min="2" max="2" width="10.85546875" style="121" customWidth="1"/>
    <col min="3" max="3" width="11.140625" style="121" customWidth="1"/>
    <col min="4" max="4" width="7.42578125" style="110" customWidth="1"/>
    <col min="5" max="5" width="4.5703125" style="116" customWidth="1"/>
    <col min="6" max="6" width="26" style="121" customWidth="1"/>
    <col min="7" max="7" width="23.7109375" style="121" customWidth="1"/>
    <col min="8" max="8" width="12" style="110" customWidth="1"/>
  </cols>
  <sheetData>
    <row r="1" spans="1:8">
      <c r="A1" s="112" t="s">
        <v>69</v>
      </c>
      <c r="B1" s="112" t="s">
        <v>70</v>
      </c>
      <c r="C1" s="112" t="s">
        <v>71</v>
      </c>
      <c r="D1" s="113" t="s">
        <v>72</v>
      </c>
      <c r="E1" s="122" t="s">
        <v>73</v>
      </c>
      <c r="F1" s="112" t="s">
        <v>74</v>
      </c>
      <c r="G1" s="112" t="s">
        <v>75</v>
      </c>
      <c r="H1" s="113" t="s">
        <v>76</v>
      </c>
    </row>
    <row r="2" spans="1:8">
      <c r="A2" s="123" t="s">
        <v>77</v>
      </c>
      <c r="B2" s="123" t="s">
        <v>208</v>
      </c>
      <c r="C2" s="123" t="s">
        <v>209</v>
      </c>
      <c r="F2" s="124" t="s">
        <v>210</v>
      </c>
      <c r="G2" s="123" t="s">
        <v>83</v>
      </c>
      <c r="H2" s="125" t="s">
        <v>211</v>
      </c>
    </row>
    <row r="3" spans="1:8">
      <c r="A3" s="188" t="s">
        <v>77</v>
      </c>
      <c r="B3" s="188" t="s">
        <v>7853</v>
      </c>
      <c r="C3" s="188" t="s">
        <v>7511</v>
      </c>
      <c r="D3" s="189" t="s">
        <v>7854</v>
      </c>
      <c r="E3" s="186"/>
      <c r="F3" s="190" t="s">
        <v>7855</v>
      </c>
      <c r="G3" s="188" t="s">
        <v>7856</v>
      </c>
      <c r="H3" s="187" t="s">
        <v>7857</v>
      </c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  <hyperlink ref="F3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4"/>
  <sheetViews>
    <sheetView topLeftCell="B1" zoomScale="70" zoomScaleNormal="70" workbookViewId="0">
      <selection activeCell="G9" sqref="G9"/>
    </sheetView>
  </sheetViews>
  <sheetFormatPr baseColWidth="10" defaultColWidth="12.7109375" defaultRowHeight="12.75"/>
  <cols>
    <col min="1" max="1" width="41.42578125" style="121" customWidth="1"/>
    <col min="2" max="2" width="17.7109375" style="121" bestFit="1" customWidth="1"/>
    <col min="3" max="3" width="28.140625" style="110" bestFit="1" customWidth="1"/>
    <col min="4" max="4" width="85.28515625" style="110" bestFit="1" customWidth="1"/>
    <col min="5" max="5" width="17.28515625" style="110" customWidth="1"/>
    <col min="6" max="6" width="48" style="110" customWidth="1"/>
    <col min="7" max="7" width="15.42578125" style="110" customWidth="1"/>
    <col min="8" max="8" width="10.42578125" style="110" customWidth="1"/>
    <col min="9" max="16384" width="12.7109375" style="126"/>
  </cols>
  <sheetData>
    <row r="1" spans="1:8" s="127" customFormat="1">
      <c r="A1" s="154" t="s">
        <v>90</v>
      </c>
      <c r="B1" s="154" t="s">
        <v>91</v>
      </c>
      <c r="C1" s="155" t="s">
        <v>92</v>
      </c>
      <c r="D1" s="156" t="s">
        <v>29</v>
      </c>
      <c r="E1" s="156" t="s">
        <v>93</v>
      </c>
      <c r="F1" s="156" t="s">
        <v>94</v>
      </c>
      <c r="G1" s="157" t="s">
        <v>95</v>
      </c>
      <c r="H1" s="157" t="s">
        <v>58</v>
      </c>
    </row>
    <row r="2" spans="1:8" ht="89.25">
      <c r="A2" s="158" t="s">
        <v>212</v>
      </c>
      <c r="B2" s="158" t="s">
        <v>7621</v>
      </c>
      <c r="C2" s="159" t="s">
        <v>7622</v>
      </c>
      <c r="D2" s="159" t="s">
        <v>7623</v>
      </c>
      <c r="E2" s="159" t="s">
        <v>7624</v>
      </c>
      <c r="F2" s="160" t="s">
        <v>7625</v>
      </c>
      <c r="G2" s="161"/>
      <c r="H2" s="161"/>
    </row>
    <row r="3" spans="1:8" ht="38.25">
      <c r="A3" s="158" t="s">
        <v>212</v>
      </c>
      <c r="B3" s="158" t="s">
        <v>7626</v>
      </c>
      <c r="C3" s="159" t="s">
        <v>7627</v>
      </c>
      <c r="D3" s="159" t="s">
        <v>7628</v>
      </c>
      <c r="E3" s="159" t="s">
        <v>7629</v>
      </c>
      <c r="F3" s="160" t="s">
        <v>7869</v>
      </c>
      <c r="G3" s="161"/>
      <c r="H3" s="161"/>
    </row>
    <row r="4" spans="1:8" ht="38.25">
      <c r="A4" s="158" t="s">
        <v>212</v>
      </c>
      <c r="B4" s="158" t="s">
        <v>7630</v>
      </c>
      <c r="C4" s="159" t="s">
        <v>7631</v>
      </c>
      <c r="D4" s="159" t="s">
        <v>7632</v>
      </c>
      <c r="E4" s="159" t="s">
        <v>214</v>
      </c>
      <c r="F4" s="160" t="s">
        <v>7633</v>
      </c>
      <c r="G4" s="161"/>
      <c r="H4" s="161"/>
    </row>
    <row r="5" spans="1:8" ht="63.75">
      <c r="A5" s="158" t="s">
        <v>212</v>
      </c>
      <c r="B5" s="158" t="s">
        <v>7634</v>
      </c>
      <c r="C5" s="159" t="s">
        <v>7635</v>
      </c>
      <c r="D5" s="159" t="s">
        <v>7636</v>
      </c>
      <c r="E5" s="159" t="s">
        <v>215</v>
      </c>
      <c r="F5" s="160" t="s">
        <v>7637</v>
      </c>
      <c r="G5" s="161"/>
      <c r="H5" s="161"/>
    </row>
    <row r="6" spans="1:8" ht="38.25">
      <c r="A6" s="158" t="s">
        <v>212</v>
      </c>
      <c r="B6" s="158" t="s">
        <v>7638</v>
      </c>
      <c r="C6" s="159" t="s">
        <v>7639</v>
      </c>
      <c r="D6" s="159" t="s">
        <v>7640</v>
      </c>
      <c r="E6" s="159" t="s">
        <v>215</v>
      </c>
      <c r="F6" s="160" t="s">
        <v>7641</v>
      </c>
      <c r="G6" s="161"/>
      <c r="H6" s="161"/>
    </row>
    <row r="7" spans="1:8">
      <c r="A7" s="158" t="s">
        <v>212</v>
      </c>
      <c r="B7" s="158" t="s">
        <v>222</v>
      </c>
      <c r="C7" s="159" t="s">
        <v>7603</v>
      </c>
      <c r="D7" s="159" t="s">
        <v>7642</v>
      </c>
      <c r="E7" s="159" t="s">
        <v>7643</v>
      </c>
      <c r="F7" s="160" t="s">
        <v>7644</v>
      </c>
      <c r="G7" s="161"/>
      <c r="H7" s="161"/>
    </row>
    <row r="8" spans="1:8" ht="38.25">
      <c r="A8" s="158" t="s">
        <v>212</v>
      </c>
      <c r="B8" s="158" t="s">
        <v>7645</v>
      </c>
      <c r="C8" s="159" t="s">
        <v>7646</v>
      </c>
      <c r="D8" s="159" t="s">
        <v>7647</v>
      </c>
      <c r="E8" s="159" t="s">
        <v>213</v>
      </c>
      <c r="F8" s="160" t="s">
        <v>7648</v>
      </c>
      <c r="G8" s="161"/>
      <c r="H8" s="161"/>
    </row>
    <row r="9" spans="1:8" ht="25.5">
      <c r="A9" s="158" t="s">
        <v>212</v>
      </c>
      <c r="B9" s="158" t="s">
        <v>7649</v>
      </c>
      <c r="C9" s="159" t="s">
        <v>7650</v>
      </c>
      <c r="D9" s="159" t="s">
        <v>7651</v>
      </c>
      <c r="E9" s="159" t="s">
        <v>7629</v>
      </c>
      <c r="F9" s="160" t="s">
        <v>7870</v>
      </c>
      <c r="G9" s="161"/>
      <c r="H9" s="161"/>
    </row>
    <row r="10" spans="1:8">
      <c r="A10" s="158" t="s">
        <v>212</v>
      </c>
      <c r="B10" s="158" t="s">
        <v>221</v>
      </c>
      <c r="C10" s="159" t="s">
        <v>7602</v>
      </c>
      <c r="D10" s="159" t="s">
        <v>7652</v>
      </c>
      <c r="E10" s="159" t="s">
        <v>7643</v>
      </c>
      <c r="F10" s="160" t="s">
        <v>7653</v>
      </c>
      <c r="G10" s="161"/>
      <c r="H10" s="161"/>
    </row>
    <row r="11" spans="1:8">
      <c r="A11" s="158" t="s">
        <v>212</v>
      </c>
      <c r="B11" s="158" t="s">
        <v>219</v>
      </c>
      <c r="C11" s="159" t="s">
        <v>7654</v>
      </c>
      <c r="D11" s="159" t="s">
        <v>7655</v>
      </c>
      <c r="E11" s="159" t="s">
        <v>7656</v>
      </c>
      <c r="F11" s="160" t="s">
        <v>7657</v>
      </c>
      <c r="G11" s="161"/>
      <c r="H11" s="161"/>
    </row>
    <row r="12" spans="1:8" ht="25.5">
      <c r="A12" s="158" t="s">
        <v>212</v>
      </c>
      <c r="B12" s="158" t="s">
        <v>216</v>
      </c>
      <c r="C12" s="159" t="s">
        <v>7658</v>
      </c>
      <c r="D12" s="159" t="s">
        <v>7659</v>
      </c>
      <c r="E12" s="159" t="s">
        <v>7643</v>
      </c>
      <c r="F12" s="160" t="s">
        <v>7660</v>
      </c>
      <c r="G12" s="161"/>
      <c r="H12" s="161"/>
    </row>
    <row r="13" spans="1:8" ht="38.25">
      <c r="A13" s="158" t="s">
        <v>212</v>
      </c>
      <c r="B13" s="158" t="s">
        <v>7661</v>
      </c>
      <c r="C13" s="159" t="s">
        <v>7662</v>
      </c>
      <c r="D13" s="159" t="s">
        <v>7663</v>
      </c>
      <c r="E13" s="159" t="s">
        <v>7643</v>
      </c>
      <c r="F13" s="160" t="s">
        <v>7664</v>
      </c>
      <c r="G13" s="161"/>
      <c r="H13" s="161"/>
    </row>
    <row r="14" spans="1:8" ht="51">
      <c r="A14" s="158" t="s">
        <v>212</v>
      </c>
      <c r="B14" s="158" t="s">
        <v>217</v>
      </c>
      <c r="C14" s="159" t="s">
        <v>7665</v>
      </c>
      <c r="D14" s="159" t="s">
        <v>7666</v>
      </c>
      <c r="E14" s="159" t="s">
        <v>218</v>
      </c>
      <c r="F14" s="160" t="s">
        <v>7770</v>
      </c>
      <c r="G14" s="161"/>
      <c r="H14" s="161"/>
    </row>
    <row r="15" spans="1:8" ht="25.5">
      <c r="A15" s="158" t="s">
        <v>212</v>
      </c>
      <c r="B15" s="158" t="s">
        <v>7772</v>
      </c>
      <c r="C15" s="159" t="s">
        <v>7667</v>
      </c>
      <c r="D15" s="159" t="s">
        <v>7668</v>
      </c>
      <c r="E15" s="159" t="s">
        <v>107</v>
      </c>
      <c r="F15" s="160" t="s">
        <v>7669</v>
      </c>
      <c r="G15" s="161"/>
      <c r="H15" s="168" t="s">
        <v>7871</v>
      </c>
    </row>
    <row r="16" spans="1:8" ht="60">
      <c r="A16" s="158" t="s">
        <v>212</v>
      </c>
      <c r="B16" s="158" t="s">
        <v>7670</v>
      </c>
      <c r="C16" s="159" t="s">
        <v>7671</v>
      </c>
      <c r="D16" s="159" t="s">
        <v>7672</v>
      </c>
      <c r="E16" s="159" t="s">
        <v>7673</v>
      </c>
      <c r="F16" s="160" t="s">
        <v>7674</v>
      </c>
      <c r="G16" s="161"/>
      <c r="H16" s="168" t="s">
        <v>7872</v>
      </c>
    </row>
    <row r="17" spans="1:8" ht="36">
      <c r="A17" s="158" t="s">
        <v>212</v>
      </c>
      <c r="B17" s="158" t="s">
        <v>7675</v>
      </c>
      <c r="C17" s="159" t="s">
        <v>7676</v>
      </c>
      <c r="D17" s="159" t="s">
        <v>7677</v>
      </c>
      <c r="E17" s="159" t="s">
        <v>7678</v>
      </c>
      <c r="F17" s="160" t="s">
        <v>7674</v>
      </c>
      <c r="G17" s="161"/>
      <c r="H17" s="161"/>
    </row>
    <row r="18" spans="1:8" ht="36">
      <c r="A18" s="164" t="s">
        <v>212</v>
      </c>
      <c r="B18" s="164" t="s">
        <v>7679</v>
      </c>
      <c r="C18" s="159" t="s">
        <v>7680</v>
      </c>
      <c r="D18" s="165" t="s">
        <v>7681</v>
      </c>
      <c r="E18" s="159" t="s">
        <v>7678</v>
      </c>
      <c r="F18" s="166" t="s">
        <v>7674</v>
      </c>
      <c r="G18" s="167"/>
      <c r="H18" s="167"/>
    </row>
    <row r="19" spans="1:8" ht="114.75">
      <c r="A19" s="158" t="s">
        <v>212</v>
      </c>
      <c r="B19" s="158" t="s">
        <v>7682</v>
      </c>
      <c r="C19" s="159" t="s">
        <v>7683</v>
      </c>
      <c r="D19" s="163" t="s">
        <v>7684</v>
      </c>
      <c r="E19" s="159" t="s">
        <v>7678</v>
      </c>
      <c r="F19" s="160" t="s">
        <v>7685</v>
      </c>
      <c r="G19" s="161"/>
      <c r="H19" s="161"/>
    </row>
    <row r="20" spans="1:8" ht="36">
      <c r="A20" s="158" t="s">
        <v>212</v>
      </c>
      <c r="B20" s="158" t="s">
        <v>7686</v>
      </c>
      <c r="C20" s="159" t="s">
        <v>7687</v>
      </c>
      <c r="D20" s="159" t="s">
        <v>7688</v>
      </c>
      <c r="E20" s="159" t="s">
        <v>7678</v>
      </c>
      <c r="F20" s="160" t="s">
        <v>7674</v>
      </c>
      <c r="G20" s="161"/>
      <c r="H20" s="161"/>
    </row>
    <row r="21" spans="1:8" ht="36">
      <c r="A21" s="158" t="s">
        <v>212</v>
      </c>
      <c r="B21" s="158" t="s">
        <v>7689</v>
      </c>
      <c r="C21" s="159" t="s">
        <v>7690</v>
      </c>
      <c r="D21" s="159" t="s">
        <v>7691</v>
      </c>
      <c r="E21" s="159" t="s">
        <v>7678</v>
      </c>
      <c r="F21" s="160" t="s">
        <v>7674</v>
      </c>
      <c r="G21" s="161"/>
      <c r="H21" s="161"/>
    </row>
    <row r="22" spans="1:8" ht="36">
      <c r="A22" s="158" t="s">
        <v>212</v>
      </c>
      <c r="B22" s="158" t="s">
        <v>7692</v>
      </c>
      <c r="C22" s="159" t="s">
        <v>7693</v>
      </c>
      <c r="D22" s="159" t="s">
        <v>7694</v>
      </c>
      <c r="E22" s="159" t="s">
        <v>7678</v>
      </c>
      <c r="F22" s="160" t="s">
        <v>7674</v>
      </c>
      <c r="G22" s="161"/>
      <c r="H22" s="161"/>
    </row>
    <row r="23" spans="1:8" ht="89.25">
      <c r="A23" s="158" t="s">
        <v>212</v>
      </c>
      <c r="B23" s="158" t="s">
        <v>7695</v>
      </c>
      <c r="C23" s="159" t="s">
        <v>7696</v>
      </c>
      <c r="D23" s="159" t="s">
        <v>7697</v>
      </c>
      <c r="E23" s="159" t="s">
        <v>7678</v>
      </c>
      <c r="F23" s="160" t="s">
        <v>7698</v>
      </c>
      <c r="G23" s="161"/>
      <c r="H23" s="162"/>
    </row>
    <row r="24" spans="1:8" ht="36">
      <c r="A24" s="158" t="s">
        <v>212</v>
      </c>
      <c r="B24" s="158" t="s">
        <v>7699</v>
      </c>
      <c r="C24" s="159" t="s">
        <v>7700</v>
      </c>
      <c r="D24" s="159" t="s">
        <v>7701</v>
      </c>
      <c r="E24" s="159" t="s">
        <v>7678</v>
      </c>
      <c r="F24" s="160" t="s">
        <v>7674</v>
      </c>
      <c r="G24" s="161"/>
      <c r="H24" s="162"/>
    </row>
    <row r="25" spans="1:8" ht="89.25">
      <c r="A25" s="158" t="s">
        <v>212</v>
      </c>
      <c r="B25" s="158" t="s">
        <v>7702</v>
      </c>
      <c r="C25" s="159" t="s">
        <v>7703</v>
      </c>
      <c r="D25" s="159" t="s">
        <v>7704</v>
      </c>
      <c r="E25" s="159" t="s">
        <v>7678</v>
      </c>
      <c r="F25" s="160" t="s">
        <v>7705</v>
      </c>
      <c r="G25" s="161"/>
      <c r="H25" s="162"/>
    </row>
    <row r="26" spans="1:8" ht="38.25">
      <c r="A26" s="158" t="s">
        <v>212</v>
      </c>
      <c r="B26" s="158" t="s">
        <v>7706</v>
      </c>
      <c r="C26" s="159" t="s">
        <v>7707</v>
      </c>
      <c r="D26" s="159" t="s">
        <v>7708</v>
      </c>
      <c r="E26" s="159" t="s">
        <v>215</v>
      </c>
      <c r="F26" s="160" t="s">
        <v>7709</v>
      </c>
      <c r="G26" s="161"/>
      <c r="H26" s="168" t="s">
        <v>7873</v>
      </c>
    </row>
    <row r="27" spans="1:8">
      <c r="A27" s="158" t="s">
        <v>212</v>
      </c>
      <c r="B27" s="158" t="s">
        <v>7710</v>
      </c>
      <c r="C27" s="159" t="s">
        <v>7711</v>
      </c>
      <c r="D27" s="159" t="s">
        <v>7712</v>
      </c>
      <c r="E27" s="159" t="s">
        <v>7713</v>
      </c>
      <c r="F27" s="160" t="s">
        <v>7714</v>
      </c>
      <c r="G27" s="161"/>
      <c r="H27" s="162"/>
    </row>
    <row r="28" spans="1:8">
      <c r="A28" s="158" t="s">
        <v>212</v>
      </c>
      <c r="B28" s="158" t="s">
        <v>7715</v>
      </c>
      <c r="C28" s="159" t="s">
        <v>7716</v>
      </c>
      <c r="D28" s="159" t="s">
        <v>7717</v>
      </c>
      <c r="E28" s="159" t="s">
        <v>7713</v>
      </c>
      <c r="F28" s="160" t="s">
        <v>7714</v>
      </c>
      <c r="G28" s="161"/>
      <c r="H28" s="162"/>
    </row>
    <row r="29" spans="1:8">
      <c r="A29" s="158" t="s">
        <v>212</v>
      </c>
      <c r="B29" s="158" t="s">
        <v>7718</v>
      </c>
      <c r="C29" s="159" t="s">
        <v>7719</v>
      </c>
      <c r="D29" s="159" t="s">
        <v>7720</v>
      </c>
      <c r="E29" s="159" t="s">
        <v>7713</v>
      </c>
      <c r="F29" s="160" t="s">
        <v>7714</v>
      </c>
      <c r="G29" s="161"/>
      <c r="H29" s="162"/>
    </row>
    <row r="30" spans="1:8">
      <c r="A30" s="158" t="s">
        <v>212</v>
      </c>
      <c r="B30" s="158" t="s">
        <v>7721</v>
      </c>
      <c r="C30" s="159" t="s">
        <v>7722</v>
      </c>
      <c r="D30" s="159" t="s">
        <v>7723</v>
      </c>
      <c r="E30" s="159" t="s">
        <v>7713</v>
      </c>
      <c r="F30" s="160" t="s">
        <v>7714</v>
      </c>
      <c r="G30" s="161"/>
      <c r="H30" s="162"/>
    </row>
    <row r="31" spans="1:8">
      <c r="A31" s="158" t="s">
        <v>212</v>
      </c>
      <c r="B31" s="158" t="s">
        <v>7724</v>
      </c>
      <c r="C31" s="159" t="s">
        <v>7725</v>
      </c>
      <c r="D31" s="159" t="s">
        <v>7726</v>
      </c>
      <c r="E31" s="159" t="s">
        <v>7713</v>
      </c>
      <c r="F31" s="160" t="s">
        <v>7714</v>
      </c>
      <c r="G31" s="161"/>
      <c r="H31" s="162"/>
    </row>
    <row r="32" spans="1:8">
      <c r="A32" s="158" t="s">
        <v>212</v>
      </c>
      <c r="B32" s="158" t="s">
        <v>7727</v>
      </c>
      <c r="C32" s="159" t="s">
        <v>7728</v>
      </c>
      <c r="D32" s="159" t="s">
        <v>7729</v>
      </c>
      <c r="E32" s="159" t="s">
        <v>7713</v>
      </c>
      <c r="F32" s="160" t="s">
        <v>7714</v>
      </c>
      <c r="G32" s="161"/>
      <c r="H32" s="162"/>
    </row>
    <row r="33" spans="1:8" ht="24">
      <c r="A33" s="158" t="s">
        <v>212</v>
      </c>
      <c r="B33" s="158" t="s">
        <v>220</v>
      </c>
      <c r="C33" s="159" t="s">
        <v>7730</v>
      </c>
      <c r="D33" s="159" t="s">
        <v>7731</v>
      </c>
      <c r="E33" s="159" t="s">
        <v>7732</v>
      </c>
      <c r="F33" s="160" t="s">
        <v>7714</v>
      </c>
      <c r="G33" s="161"/>
      <c r="H33" s="162"/>
    </row>
    <row r="34" spans="1:8" ht="24">
      <c r="A34" s="158" t="s">
        <v>212</v>
      </c>
      <c r="B34" s="158" t="s">
        <v>7733</v>
      </c>
      <c r="C34" s="159" t="s">
        <v>7734</v>
      </c>
      <c r="D34" s="159" t="s">
        <v>7735</v>
      </c>
      <c r="E34" s="159" t="s">
        <v>7732</v>
      </c>
      <c r="F34" s="160" t="s">
        <v>7714</v>
      </c>
      <c r="G34" s="161"/>
      <c r="H34" s="162"/>
    </row>
    <row r="35" spans="1:8">
      <c r="A35" s="158" t="s">
        <v>212</v>
      </c>
      <c r="B35" s="158" t="s">
        <v>7736</v>
      </c>
      <c r="C35" s="159" t="s">
        <v>7607</v>
      </c>
      <c r="D35" s="159" t="s">
        <v>7737</v>
      </c>
      <c r="E35" s="159" t="s">
        <v>7738</v>
      </c>
      <c r="F35" s="160" t="s">
        <v>7714</v>
      </c>
      <c r="G35" s="161"/>
      <c r="H35" s="161"/>
    </row>
    <row r="36" spans="1:8">
      <c r="A36" s="158" t="s">
        <v>212</v>
      </c>
      <c r="B36" s="158" t="s">
        <v>7739</v>
      </c>
      <c r="C36" s="159" t="s">
        <v>7740</v>
      </c>
      <c r="D36" s="159" t="s">
        <v>7741</v>
      </c>
      <c r="E36" s="159" t="s">
        <v>215</v>
      </c>
      <c r="F36" s="160" t="s">
        <v>7714</v>
      </c>
      <c r="G36" s="161"/>
      <c r="H36" s="161"/>
    </row>
    <row r="37" spans="1:8" ht="24">
      <c r="A37" s="158" t="s">
        <v>212</v>
      </c>
      <c r="B37" s="158" t="s">
        <v>7742</v>
      </c>
      <c r="C37" s="159" t="s">
        <v>7743</v>
      </c>
      <c r="D37" s="159" t="s">
        <v>7744</v>
      </c>
      <c r="E37" s="159" t="s">
        <v>7732</v>
      </c>
      <c r="F37" s="160" t="s">
        <v>7714</v>
      </c>
      <c r="G37" s="161"/>
      <c r="H37" s="161"/>
    </row>
    <row r="38" spans="1:8">
      <c r="A38" s="158" t="s">
        <v>212</v>
      </c>
      <c r="B38" s="158" t="s">
        <v>7745</v>
      </c>
      <c r="C38" s="159" t="s">
        <v>7746</v>
      </c>
      <c r="D38" s="159" t="s">
        <v>7747</v>
      </c>
      <c r="E38" s="159" t="s">
        <v>215</v>
      </c>
      <c r="F38" s="160" t="s">
        <v>7748</v>
      </c>
      <c r="G38" s="161"/>
      <c r="H38" s="161"/>
    </row>
    <row r="39" spans="1:8" ht="83.25" customHeight="1">
      <c r="A39" s="158" t="s">
        <v>212</v>
      </c>
      <c r="B39" s="158" t="s">
        <v>7749</v>
      </c>
      <c r="C39" s="159" t="s">
        <v>7750</v>
      </c>
      <c r="D39" s="159" t="s">
        <v>7751</v>
      </c>
      <c r="E39" s="159" t="s">
        <v>215</v>
      </c>
      <c r="F39" s="160" t="s">
        <v>7771</v>
      </c>
      <c r="G39" s="161"/>
      <c r="H39" s="161"/>
    </row>
    <row r="40" spans="1:8" ht="63.75">
      <c r="A40" s="158" t="s">
        <v>212</v>
      </c>
      <c r="B40" s="158" t="s">
        <v>7752</v>
      </c>
      <c r="C40" s="159" t="s">
        <v>7606</v>
      </c>
      <c r="D40" s="159" t="s">
        <v>7753</v>
      </c>
      <c r="E40" s="159" t="s">
        <v>215</v>
      </c>
      <c r="F40" s="160" t="s">
        <v>7754</v>
      </c>
      <c r="G40" s="161"/>
      <c r="H40" s="161"/>
    </row>
    <row r="41" spans="1:8" ht="36">
      <c r="A41" s="158" t="s">
        <v>212</v>
      </c>
      <c r="B41" s="158" t="s">
        <v>7755</v>
      </c>
      <c r="C41" s="159" t="s">
        <v>7756</v>
      </c>
      <c r="D41" s="159" t="s">
        <v>7757</v>
      </c>
      <c r="E41" s="159" t="s">
        <v>7758</v>
      </c>
      <c r="F41" s="160" t="s">
        <v>7759</v>
      </c>
      <c r="G41" s="161"/>
      <c r="H41" s="161"/>
    </row>
    <row r="42" spans="1:8" ht="36">
      <c r="A42" s="158" t="s">
        <v>212</v>
      </c>
      <c r="B42" s="158" t="s">
        <v>7604</v>
      </c>
      <c r="C42" s="159" t="s">
        <v>7605</v>
      </c>
      <c r="D42" s="159" t="s">
        <v>7760</v>
      </c>
      <c r="E42" s="159" t="s">
        <v>7761</v>
      </c>
      <c r="F42" s="160" t="s">
        <v>7759</v>
      </c>
      <c r="G42" s="161"/>
      <c r="H42" s="161"/>
    </row>
    <row r="43" spans="1:8" ht="36">
      <c r="A43" s="158" t="s">
        <v>212</v>
      </c>
      <c r="B43" s="158" t="s">
        <v>7762</v>
      </c>
      <c r="C43" s="159" t="s">
        <v>7763</v>
      </c>
      <c r="D43" s="159" t="s">
        <v>7764</v>
      </c>
      <c r="E43" s="159" t="s">
        <v>7765</v>
      </c>
      <c r="F43" s="160" t="s">
        <v>7759</v>
      </c>
      <c r="G43" s="161"/>
      <c r="H43" s="161"/>
    </row>
    <row r="44" spans="1:8" ht="114.75">
      <c r="A44" s="164" t="s">
        <v>212</v>
      </c>
      <c r="B44" s="164" t="s">
        <v>7766</v>
      </c>
      <c r="C44" s="159" t="s">
        <v>7767</v>
      </c>
      <c r="D44" s="165" t="s">
        <v>7768</v>
      </c>
      <c r="E44" s="159" t="s">
        <v>7629</v>
      </c>
      <c r="F44" s="166" t="s">
        <v>7769</v>
      </c>
      <c r="G44" s="167"/>
      <c r="H44" s="16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E217"/>
  <sheetViews>
    <sheetView zoomScale="95" zoomScaleNormal="95" workbookViewId="0">
      <selection activeCell="G9" sqref="G9"/>
    </sheetView>
  </sheetViews>
  <sheetFormatPr baseColWidth="10" defaultColWidth="12.7109375" defaultRowHeight="12.75"/>
  <cols>
    <col min="1" max="1" width="21.85546875" style="121" customWidth="1"/>
    <col min="2" max="2" width="24.42578125" style="121" customWidth="1"/>
    <col min="3" max="3" width="26" style="121" customWidth="1"/>
    <col min="4" max="4" width="18.5703125" style="128" customWidth="1"/>
    <col min="5" max="5" width="12.140625" style="192" bestFit="1" customWidth="1"/>
    <col min="6" max="16384" width="12.7109375" style="129"/>
  </cols>
  <sheetData>
    <row r="1" spans="1:5" s="131" customFormat="1" ht="13.5" thickBot="1">
      <c r="A1" s="112" t="s">
        <v>110</v>
      </c>
      <c r="B1" s="112" t="s">
        <v>111</v>
      </c>
      <c r="C1" s="112" t="s">
        <v>112</v>
      </c>
      <c r="D1" s="130" t="s">
        <v>113</v>
      </c>
      <c r="E1" s="112" t="s">
        <v>114</v>
      </c>
    </row>
    <row r="2" spans="1:5">
      <c r="A2" s="193" t="s">
        <v>223</v>
      </c>
      <c r="B2" s="192" t="s">
        <v>7455</v>
      </c>
      <c r="C2" s="192" t="s">
        <v>7455</v>
      </c>
      <c r="D2" s="191"/>
      <c r="E2" s="192" t="s">
        <v>7926</v>
      </c>
    </row>
    <row r="3" spans="1:5">
      <c r="A3" s="193" t="s">
        <v>223</v>
      </c>
      <c r="B3" s="192" t="s">
        <v>7536</v>
      </c>
      <c r="C3" s="192" t="s">
        <v>7536</v>
      </c>
      <c r="D3" s="191"/>
      <c r="E3" s="192" t="s">
        <v>8039</v>
      </c>
    </row>
    <row r="4" spans="1:5">
      <c r="A4" s="193" t="s">
        <v>223</v>
      </c>
      <c r="B4" s="192" t="s">
        <v>7456</v>
      </c>
      <c r="C4" s="192" t="s">
        <v>7456</v>
      </c>
      <c r="D4" s="191"/>
      <c r="E4" s="192" t="s">
        <v>7927</v>
      </c>
    </row>
    <row r="5" spans="1:5">
      <c r="A5" s="193" t="s">
        <v>223</v>
      </c>
      <c r="B5" s="192" t="s">
        <v>7457</v>
      </c>
      <c r="C5" s="192" t="s">
        <v>7457</v>
      </c>
      <c r="D5" s="191"/>
      <c r="E5" s="192" t="s">
        <v>7928</v>
      </c>
    </row>
    <row r="6" spans="1:5">
      <c r="A6" s="193" t="s">
        <v>223</v>
      </c>
      <c r="B6" s="192" t="s">
        <v>7458</v>
      </c>
      <c r="C6" s="192" t="s">
        <v>7458</v>
      </c>
      <c r="D6" s="191"/>
      <c r="E6" s="192" t="s">
        <v>7929</v>
      </c>
    </row>
    <row r="7" spans="1:5">
      <c r="A7" s="193" t="s">
        <v>223</v>
      </c>
      <c r="B7" s="192" t="s">
        <v>7596</v>
      </c>
      <c r="C7" s="192" t="s">
        <v>7596</v>
      </c>
      <c r="D7" s="191"/>
      <c r="E7" s="192" t="s">
        <v>8079</v>
      </c>
    </row>
    <row r="8" spans="1:5">
      <c r="A8" s="193" t="s">
        <v>223</v>
      </c>
      <c r="B8" s="192" t="s">
        <v>7596</v>
      </c>
      <c r="C8" s="192" t="s">
        <v>7596</v>
      </c>
      <c r="D8" s="191"/>
      <c r="E8" s="192" t="s">
        <v>8079</v>
      </c>
    </row>
    <row r="9" spans="1:5">
      <c r="A9" s="193" t="s">
        <v>223</v>
      </c>
      <c r="B9" s="192" t="s">
        <v>7596</v>
      </c>
      <c r="C9" s="192" t="s">
        <v>7596</v>
      </c>
      <c r="D9" s="191"/>
      <c r="E9" s="192" t="s">
        <v>8079</v>
      </c>
    </row>
    <row r="10" spans="1:5">
      <c r="A10" s="193" t="s">
        <v>223</v>
      </c>
      <c r="B10" s="192" t="s">
        <v>7596</v>
      </c>
      <c r="C10" s="192" t="s">
        <v>7596</v>
      </c>
      <c r="D10" s="191"/>
      <c r="E10" s="192" t="s">
        <v>8079</v>
      </c>
    </row>
    <row r="11" spans="1:5">
      <c r="A11" s="193" t="s">
        <v>223</v>
      </c>
      <c r="B11" s="192" t="s">
        <v>7596</v>
      </c>
      <c r="C11" s="192" t="s">
        <v>7596</v>
      </c>
      <c r="D11" s="191"/>
      <c r="E11" s="192" t="s">
        <v>8079</v>
      </c>
    </row>
    <row r="12" spans="1:5">
      <c r="A12" s="193" t="s">
        <v>223</v>
      </c>
      <c r="B12" s="192" t="s">
        <v>7572</v>
      </c>
      <c r="C12" s="192" t="s">
        <v>7572</v>
      </c>
      <c r="D12" s="191"/>
      <c r="E12" s="192" t="s">
        <v>7874</v>
      </c>
    </row>
    <row r="13" spans="1:5">
      <c r="A13" s="193" t="s">
        <v>223</v>
      </c>
      <c r="B13" s="192" t="s">
        <v>7459</v>
      </c>
      <c r="C13" s="192" t="s">
        <v>7459</v>
      </c>
      <c r="D13" s="191"/>
      <c r="E13" s="192" t="s">
        <v>7930</v>
      </c>
    </row>
    <row r="14" spans="1:5">
      <c r="A14" s="193" t="s">
        <v>223</v>
      </c>
      <c r="B14" s="192" t="s">
        <v>7537</v>
      </c>
      <c r="C14" s="192" t="s">
        <v>7537</v>
      </c>
      <c r="D14" s="191"/>
      <c r="E14" s="192" t="s">
        <v>8040</v>
      </c>
    </row>
    <row r="15" spans="1:5">
      <c r="A15" s="193" t="s">
        <v>223</v>
      </c>
      <c r="B15" s="192" t="s">
        <v>7538</v>
      </c>
      <c r="C15" s="192" t="s">
        <v>7538</v>
      </c>
      <c r="D15" s="191"/>
      <c r="E15" s="192" t="s">
        <v>8041</v>
      </c>
    </row>
    <row r="16" spans="1:5">
      <c r="A16" s="193" t="s">
        <v>223</v>
      </c>
      <c r="B16" s="192" t="s">
        <v>7460</v>
      </c>
      <c r="C16" s="192" t="s">
        <v>7460</v>
      </c>
      <c r="D16" s="191"/>
      <c r="E16" s="192" t="s">
        <v>7931</v>
      </c>
    </row>
    <row r="17" spans="1:5">
      <c r="A17" s="193" t="s">
        <v>223</v>
      </c>
      <c r="B17" s="192" t="s">
        <v>7437</v>
      </c>
      <c r="C17" s="192" t="s">
        <v>7437</v>
      </c>
      <c r="D17" s="191"/>
      <c r="E17" s="192" t="s">
        <v>7905</v>
      </c>
    </row>
    <row r="18" spans="1:5">
      <c r="A18" s="193" t="s">
        <v>223</v>
      </c>
      <c r="B18" s="192" t="s">
        <v>7866</v>
      </c>
      <c r="C18" s="192" t="s">
        <v>7866</v>
      </c>
      <c r="D18" s="191"/>
      <c r="E18" s="192">
        <v>155</v>
      </c>
    </row>
    <row r="19" spans="1:5">
      <c r="A19" s="193" t="s">
        <v>223</v>
      </c>
      <c r="B19" s="192" t="s">
        <v>7461</v>
      </c>
      <c r="C19" s="192" t="s">
        <v>7461</v>
      </c>
      <c r="D19" s="191"/>
      <c r="E19" s="192" t="s">
        <v>7932</v>
      </c>
    </row>
    <row r="20" spans="1:5">
      <c r="A20" s="193" t="s">
        <v>223</v>
      </c>
      <c r="B20" s="192" t="s">
        <v>7462</v>
      </c>
      <c r="C20" s="192" t="s">
        <v>7462</v>
      </c>
      <c r="D20" s="191"/>
      <c r="E20" s="192" t="s">
        <v>7933</v>
      </c>
    </row>
    <row r="21" spans="1:5">
      <c r="A21" s="193" t="s">
        <v>223</v>
      </c>
      <c r="B21" s="192" t="s">
        <v>7531</v>
      </c>
      <c r="C21" s="192" t="s">
        <v>7531</v>
      </c>
      <c r="D21" s="191"/>
      <c r="E21" s="192" t="s">
        <v>8024</v>
      </c>
    </row>
    <row r="22" spans="1:5">
      <c r="A22" s="193" t="s">
        <v>223</v>
      </c>
      <c r="B22" s="192" t="s">
        <v>7438</v>
      </c>
      <c r="C22" s="192" t="s">
        <v>7438</v>
      </c>
      <c r="D22" s="191"/>
      <c r="E22" s="192" t="s">
        <v>7906</v>
      </c>
    </row>
    <row r="23" spans="1:5">
      <c r="A23" s="193" t="s">
        <v>223</v>
      </c>
      <c r="B23" s="192" t="s">
        <v>7439</v>
      </c>
      <c r="C23" s="192" t="s">
        <v>7439</v>
      </c>
      <c r="D23" s="191"/>
      <c r="E23" s="192" t="s">
        <v>7907</v>
      </c>
    </row>
    <row r="24" spans="1:5">
      <c r="A24" s="193" t="s">
        <v>223</v>
      </c>
      <c r="B24" s="192" t="s">
        <v>7463</v>
      </c>
      <c r="C24" s="192" t="s">
        <v>7463</v>
      </c>
      <c r="D24" s="191"/>
      <c r="E24" s="192" t="s">
        <v>7934</v>
      </c>
    </row>
    <row r="25" spans="1:5">
      <c r="A25" s="193" t="s">
        <v>223</v>
      </c>
      <c r="B25" s="192" t="s">
        <v>7440</v>
      </c>
      <c r="C25" s="192" t="s">
        <v>7440</v>
      </c>
      <c r="D25" s="191"/>
      <c r="E25" s="192" t="s">
        <v>7908</v>
      </c>
    </row>
    <row r="26" spans="1:5">
      <c r="A26" s="193" t="s">
        <v>223</v>
      </c>
      <c r="B26" s="192" t="s">
        <v>7579</v>
      </c>
      <c r="C26" s="192" t="s">
        <v>7579</v>
      </c>
      <c r="D26" s="191"/>
      <c r="E26" s="192" t="s">
        <v>7909</v>
      </c>
    </row>
    <row r="27" spans="1:5">
      <c r="A27" s="193" t="s">
        <v>223</v>
      </c>
      <c r="B27" s="192" t="s">
        <v>7617</v>
      </c>
      <c r="C27" s="192" t="s">
        <v>7617</v>
      </c>
      <c r="D27" s="191"/>
      <c r="E27" s="192" t="s">
        <v>8007</v>
      </c>
    </row>
    <row r="28" spans="1:5">
      <c r="A28" s="193" t="s">
        <v>223</v>
      </c>
      <c r="B28" s="192" t="s">
        <v>7580</v>
      </c>
      <c r="C28" s="192" t="s">
        <v>7580</v>
      </c>
      <c r="D28" s="191"/>
      <c r="E28" s="192" t="s">
        <v>7935</v>
      </c>
    </row>
    <row r="29" spans="1:5">
      <c r="A29" s="193" t="s">
        <v>223</v>
      </c>
      <c r="B29" s="192" t="s">
        <v>7464</v>
      </c>
      <c r="C29" s="192" t="s">
        <v>7464</v>
      </c>
      <c r="D29" s="191"/>
      <c r="E29" s="192" t="s">
        <v>7936</v>
      </c>
    </row>
    <row r="30" spans="1:5">
      <c r="A30" s="193" t="s">
        <v>223</v>
      </c>
      <c r="B30" s="192" t="s">
        <v>7441</v>
      </c>
      <c r="C30" s="192" t="s">
        <v>7441</v>
      </c>
      <c r="D30" s="191"/>
      <c r="E30" s="192" t="s">
        <v>7910</v>
      </c>
    </row>
    <row r="31" spans="1:5">
      <c r="A31" s="193" t="s">
        <v>223</v>
      </c>
      <c r="B31" s="192" t="s">
        <v>7529</v>
      </c>
      <c r="C31" s="192" t="s">
        <v>7529</v>
      </c>
      <c r="D31" s="191"/>
      <c r="E31" s="192" t="s">
        <v>8022</v>
      </c>
    </row>
    <row r="32" spans="1:5">
      <c r="A32" s="193" t="s">
        <v>223</v>
      </c>
      <c r="B32" s="192" t="s">
        <v>7465</v>
      </c>
      <c r="C32" s="192" t="s">
        <v>7465</v>
      </c>
      <c r="D32" s="191"/>
      <c r="E32" s="192" t="s">
        <v>7937</v>
      </c>
    </row>
    <row r="33" spans="1:5">
      <c r="A33" s="193" t="s">
        <v>223</v>
      </c>
      <c r="B33" s="192" t="s">
        <v>7466</v>
      </c>
      <c r="C33" s="192" t="s">
        <v>7466</v>
      </c>
      <c r="D33" s="191"/>
      <c r="E33" s="192" t="s">
        <v>7938</v>
      </c>
    </row>
    <row r="34" spans="1:5">
      <c r="A34" s="193" t="s">
        <v>223</v>
      </c>
      <c r="B34" s="192" t="s">
        <v>7467</v>
      </c>
      <c r="C34" s="192" t="s">
        <v>7467</v>
      </c>
      <c r="D34" s="191"/>
      <c r="E34" s="192" t="s">
        <v>7939</v>
      </c>
    </row>
    <row r="35" spans="1:5">
      <c r="A35" s="193" t="s">
        <v>223</v>
      </c>
      <c r="B35" s="192" t="s">
        <v>7468</v>
      </c>
      <c r="C35" s="192" t="s">
        <v>7468</v>
      </c>
      <c r="D35" s="191"/>
      <c r="E35" s="192" t="s">
        <v>7940</v>
      </c>
    </row>
    <row r="36" spans="1:5">
      <c r="A36" s="193" t="s">
        <v>223</v>
      </c>
      <c r="B36" s="192" t="s">
        <v>7469</v>
      </c>
      <c r="C36" s="192" t="s">
        <v>7469</v>
      </c>
      <c r="D36" s="191"/>
      <c r="E36" s="192" t="s">
        <v>7941</v>
      </c>
    </row>
    <row r="37" spans="1:5">
      <c r="A37" s="193" t="s">
        <v>223</v>
      </c>
      <c r="B37" s="192" t="s">
        <v>7470</v>
      </c>
      <c r="C37" s="192" t="s">
        <v>7470</v>
      </c>
      <c r="D37" s="191"/>
      <c r="E37" s="192" t="s">
        <v>7942</v>
      </c>
    </row>
    <row r="38" spans="1:5">
      <c r="A38" s="193" t="s">
        <v>223</v>
      </c>
      <c r="B38" s="192" t="s">
        <v>7471</v>
      </c>
      <c r="C38" s="192" t="s">
        <v>7471</v>
      </c>
      <c r="D38" s="191"/>
      <c r="E38" s="192" t="s">
        <v>7943</v>
      </c>
    </row>
    <row r="39" spans="1:5">
      <c r="A39" s="193" t="s">
        <v>223</v>
      </c>
      <c r="B39" s="192" t="s">
        <v>7472</v>
      </c>
      <c r="C39" s="192" t="s">
        <v>7472</v>
      </c>
      <c r="D39" s="191"/>
      <c r="E39" s="192" t="s">
        <v>7944</v>
      </c>
    </row>
    <row r="40" spans="1:5">
      <c r="A40" s="193" t="s">
        <v>223</v>
      </c>
      <c r="B40" s="192" t="s">
        <v>7616</v>
      </c>
      <c r="C40" s="192" t="s">
        <v>7616</v>
      </c>
      <c r="D40" s="191"/>
      <c r="E40" s="192" t="s">
        <v>8008</v>
      </c>
    </row>
    <row r="41" spans="1:5">
      <c r="A41" s="193" t="s">
        <v>223</v>
      </c>
      <c r="B41" s="192" t="s">
        <v>7473</v>
      </c>
      <c r="C41" s="192" t="s">
        <v>7473</v>
      </c>
      <c r="D41" s="191"/>
      <c r="E41" s="192" t="s">
        <v>7945</v>
      </c>
    </row>
    <row r="42" spans="1:5">
      <c r="A42" s="193" t="s">
        <v>223</v>
      </c>
      <c r="B42" s="192" t="s">
        <v>7474</v>
      </c>
      <c r="C42" s="192" t="s">
        <v>7474</v>
      </c>
      <c r="D42" s="191"/>
      <c r="E42" s="192" t="s">
        <v>7946</v>
      </c>
    </row>
    <row r="43" spans="1:5">
      <c r="A43" s="193" t="s">
        <v>223</v>
      </c>
      <c r="B43" s="192" t="s">
        <v>226</v>
      </c>
      <c r="C43" s="192" t="s">
        <v>226</v>
      </c>
      <c r="D43" s="191"/>
      <c r="E43" s="192" t="s">
        <v>7947</v>
      </c>
    </row>
    <row r="44" spans="1:5">
      <c r="A44" s="193" t="s">
        <v>223</v>
      </c>
      <c r="B44" s="192" t="s">
        <v>7442</v>
      </c>
      <c r="C44" s="192" t="s">
        <v>7442</v>
      </c>
      <c r="D44" s="191"/>
      <c r="E44" s="192" t="s">
        <v>7911</v>
      </c>
    </row>
    <row r="45" spans="1:5">
      <c r="A45" s="193" t="s">
        <v>223</v>
      </c>
      <c r="B45" s="192" t="s">
        <v>229</v>
      </c>
      <c r="C45" s="192" t="s">
        <v>229</v>
      </c>
      <c r="D45" s="191"/>
      <c r="E45" s="192" t="s">
        <v>7948</v>
      </c>
    </row>
    <row r="46" spans="1:5">
      <c r="A46" s="193" t="s">
        <v>223</v>
      </c>
      <c r="B46" s="192" t="s">
        <v>7539</v>
      </c>
      <c r="C46" s="192" t="s">
        <v>7539</v>
      </c>
      <c r="D46" s="191"/>
      <c r="E46" s="192" t="s">
        <v>8042</v>
      </c>
    </row>
    <row r="47" spans="1:5">
      <c r="A47" s="193" t="s">
        <v>223</v>
      </c>
      <c r="B47" s="192" t="s">
        <v>7475</v>
      </c>
      <c r="C47" s="192" t="s">
        <v>7475</v>
      </c>
      <c r="D47" s="191"/>
      <c r="E47" s="192" t="s">
        <v>7949</v>
      </c>
    </row>
    <row r="48" spans="1:5">
      <c r="A48" s="193" t="s">
        <v>223</v>
      </c>
      <c r="B48" s="192" t="s">
        <v>7476</v>
      </c>
      <c r="C48" s="192" t="s">
        <v>7476</v>
      </c>
      <c r="D48" s="191"/>
      <c r="E48" s="192" t="s">
        <v>7950</v>
      </c>
    </row>
    <row r="49" spans="1:5">
      <c r="A49" s="193" t="s">
        <v>223</v>
      </c>
      <c r="B49" s="192" t="s">
        <v>7862</v>
      </c>
      <c r="C49" s="192" t="s">
        <v>7862</v>
      </c>
      <c r="D49" s="191"/>
      <c r="E49" s="192" t="s">
        <v>8009</v>
      </c>
    </row>
    <row r="50" spans="1:5">
      <c r="A50" s="193" t="s">
        <v>223</v>
      </c>
      <c r="B50" s="192" t="s">
        <v>7868</v>
      </c>
      <c r="C50" s="192" t="s">
        <v>7868</v>
      </c>
      <c r="D50" s="191"/>
      <c r="E50" s="192">
        <v>214</v>
      </c>
    </row>
    <row r="51" spans="1:5">
      <c r="A51" s="193" t="s">
        <v>223</v>
      </c>
      <c r="B51" s="192" t="s">
        <v>7868</v>
      </c>
      <c r="C51" s="192" t="s">
        <v>7868</v>
      </c>
      <c r="D51" s="191"/>
      <c r="E51" s="192">
        <v>215</v>
      </c>
    </row>
    <row r="52" spans="1:5">
      <c r="A52" s="193" t="s">
        <v>223</v>
      </c>
      <c r="B52" s="192" t="s">
        <v>7868</v>
      </c>
      <c r="C52" s="192" t="s">
        <v>7868</v>
      </c>
      <c r="D52" s="191"/>
      <c r="E52" s="192">
        <v>216</v>
      </c>
    </row>
    <row r="53" spans="1:5">
      <c r="A53" s="193" t="s">
        <v>223</v>
      </c>
      <c r="B53" s="192" t="s">
        <v>7867</v>
      </c>
      <c r="C53" s="192" t="s">
        <v>7867</v>
      </c>
      <c r="D53" s="191"/>
      <c r="E53" s="192" t="s">
        <v>8080</v>
      </c>
    </row>
    <row r="54" spans="1:5">
      <c r="A54" s="193" t="s">
        <v>223</v>
      </c>
      <c r="B54" s="192" t="s">
        <v>7867</v>
      </c>
      <c r="C54" s="192" t="s">
        <v>7867</v>
      </c>
      <c r="D54" s="191"/>
      <c r="E54" s="192" t="s">
        <v>8080</v>
      </c>
    </row>
    <row r="55" spans="1:5">
      <c r="A55" s="193" t="s">
        <v>223</v>
      </c>
      <c r="B55" s="192" t="s">
        <v>7443</v>
      </c>
      <c r="C55" s="192" t="s">
        <v>7443</v>
      </c>
      <c r="D55" s="191"/>
      <c r="E55" s="192" t="s">
        <v>7912</v>
      </c>
    </row>
    <row r="56" spans="1:5">
      <c r="A56" s="193" t="s">
        <v>223</v>
      </c>
      <c r="B56" s="192" t="s">
        <v>7477</v>
      </c>
      <c r="C56" s="192" t="s">
        <v>7477</v>
      </c>
      <c r="D56" s="191"/>
      <c r="E56" s="192" t="s">
        <v>7951</v>
      </c>
    </row>
    <row r="57" spans="1:5">
      <c r="A57" s="193" t="s">
        <v>223</v>
      </c>
      <c r="B57" s="192" t="s">
        <v>7416</v>
      </c>
      <c r="C57" s="192" t="s">
        <v>7416</v>
      </c>
      <c r="D57" s="191"/>
      <c r="E57" s="192" t="s">
        <v>7875</v>
      </c>
    </row>
    <row r="58" spans="1:5">
      <c r="A58" s="193" t="s">
        <v>223</v>
      </c>
      <c r="B58" s="192" t="s">
        <v>7478</v>
      </c>
      <c r="C58" s="192" t="s">
        <v>7478</v>
      </c>
      <c r="D58" s="191"/>
      <c r="E58" s="192" t="s">
        <v>7952</v>
      </c>
    </row>
    <row r="59" spans="1:5">
      <c r="A59" s="193" t="s">
        <v>223</v>
      </c>
      <c r="B59" s="192" t="s">
        <v>7479</v>
      </c>
      <c r="C59" s="192" t="s">
        <v>7479</v>
      </c>
      <c r="D59" s="191"/>
      <c r="E59" s="192" t="s">
        <v>7953</v>
      </c>
    </row>
    <row r="60" spans="1:5">
      <c r="A60" s="193" t="s">
        <v>223</v>
      </c>
      <c r="B60" s="192" t="s">
        <v>7444</v>
      </c>
      <c r="C60" s="192" t="s">
        <v>7444</v>
      </c>
      <c r="D60" s="191"/>
      <c r="E60" s="192" t="s">
        <v>7913</v>
      </c>
    </row>
    <row r="61" spans="1:5">
      <c r="A61" s="193" t="s">
        <v>223</v>
      </c>
      <c r="B61" s="192" t="s">
        <v>7583</v>
      </c>
      <c r="C61" s="192" t="s">
        <v>7583</v>
      </c>
      <c r="D61" s="191"/>
      <c r="E61" s="192" t="s">
        <v>8029</v>
      </c>
    </row>
    <row r="62" spans="1:5">
      <c r="A62" s="193" t="s">
        <v>223</v>
      </c>
      <c r="B62" s="192" t="s">
        <v>7584</v>
      </c>
      <c r="C62" s="192" t="s">
        <v>7584</v>
      </c>
      <c r="D62" s="191"/>
      <c r="E62" s="192" t="s">
        <v>8030</v>
      </c>
    </row>
    <row r="63" spans="1:5">
      <c r="A63" s="193" t="s">
        <v>223</v>
      </c>
      <c r="B63" s="192" t="s">
        <v>7585</v>
      </c>
      <c r="C63" s="192" t="s">
        <v>7585</v>
      </c>
      <c r="D63" s="191"/>
      <c r="E63" s="192" t="s">
        <v>8031</v>
      </c>
    </row>
    <row r="64" spans="1:5">
      <c r="A64" s="193" t="s">
        <v>223</v>
      </c>
      <c r="B64" s="192" t="s">
        <v>7588</v>
      </c>
      <c r="C64" s="192" t="s">
        <v>7588</v>
      </c>
      <c r="D64" s="191"/>
      <c r="E64" s="192" t="s">
        <v>8035</v>
      </c>
    </row>
    <row r="65" spans="1:5">
      <c r="A65" s="193" t="s">
        <v>223</v>
      </c>
      <c r="B65" s="192" t="s">
        <v>7589</v>
      </c>
      <c r="C65" s="192" t="s">
        <v>7589</v>
      </c>
      <c r="D65" s="191"/>
      <c r="E65" s="192" t="s">
        <v>8036</v>
      </c>
    </row>
    <row r="66" spans="1:5">
      <c r="A66" s="193" t="s">
        <v>223</v>
      </c>
      <c r="B66" s="192" t="s">
        <v>7535</v>
      </c>
      <c r="C66" s="192" t="s">
        <v>7535</v>
      </c>
      <c r="D66" s="191"/>
      <c r="E66" s="192" t="s">
        <v>8034</v>
      </c>
    </row>
    <row r="67" spans="1:5">
      <c r="A67" s="193" t="s">
        <v>223</v>
      </c>
      <c r="B67" s="192" t="s">
        <v>7586</v>
      </c>
      <c r="C67" s="192" t="s">
        <v>7586</v>
      </c>
      <c r="D67" s="191"/>
      <c r="E67" s="192" t="s">
        <v>8032</v>
      </c>
    </row>
    <row r="68" spans="1:5">
      <c r="A68" s="193" t="s">
        <v>223</v>
      </c>
      <c r="B68" s="192" t="s">
        <v>7480</v>
      </c>
      <c r="C68" s="192" t="s">
        <v>7480</v>
      </c>
      <c r="D68" s="191"/>
      <c r="E68" s="192" t="s">
        <v>7954</v>
      </c>
    </row>
    <row r="69" spans="1:5">
      <c r="A69" s="193" t="s">
        <v>223</v>
      </c>
      <c r="B69" s="192" t="s">
        <v>7587</v>
      </c>
      <c r="C69" s="192" t="s">
        <v>7587</v>
      </c>
      <c r="D69" s="191"/>
      <c r="E69" s="192" t="s">
        <v>8033</v>
      </c>
    </row>
    <row r="70" spans="1:5">
      <c r="A70" s="193" t="s">
        <v>223</v>
      </c>
      <c r="B70" s="192" t="s">
        <v>7590</v>
      </c>
      <c r="C70" s="192" t="s">
        <v>7590</v>
      </c>
      <c r="D70" s="191"/>
      <c r="E70" s="192" t="s">
        <v>8037</v>
      </c>
    </row>
    <row r="71" spans="1:5">
      <c r="A71" s="193" t="s">
        <v>223</v>
      </c>
      <c r="B71" s="192" t="s">
        <v>7591</v>
      </c>
      <c r="C71" s="192" t="s">
        <v>7591</v>
      </c>
      <c r="D71" s="191"/>
      <c r="E71" s="192" t="s">
        <v>8038</v>
      </c>
    </row>
    <row r="72" spans="1:5">
      <c r="A72" s="193" t="s">
        <v>223</v>
      </c>
      <c r="B72" s="192" t="s">
        <v>7481</v>
      </c>
      <c r="C72" s="192" t="s">
        <v>7481</v>
      </c>
      <c r="D72" s="191"/>
      <c r="E72" s="192" t="s">
        <v>7955</v>
      </c>
    </row>
    <row r="73" spans="1:5">
      <c r="A73" s="193" t="s">
        <v>223</v>
      </c>
      <c r="B73" s="192" t="s">
        <v>7445</v>
      </c>
      <c r="C73" s="192" t="s">
        <v>7445</v>
      </c>
      <c r="D73" s="191"/>
      <c r="E73" s="192" t="s">
        <v>7914</v>
      </c>
    </row>
    <row r="74" spans="1:5">
      <c r="A74" s="193" t="s">
        <v>223</v>
      </c>
      <c r="B74" s="192" t="s">
        <v>230</v>
      </c>
      <c r="C74" s="192" t="s">
        <v>230</v>
      </c>
      <c r="D74" s="191"/>
      <c r="E74" s="192" t="s">
        <v>7956</v>
      </c>
    </row>
    <row r="75" spans="1:5">
      <c r="A75" s="193" t="s">
        <v>223</v>
      </c>
      <c r="B75" s="192" t="s">
        <v>7863</v>
      </c>
      <c r="C75" s="192" t="s">
        <v>7863</v>
      </c>
      <c r="D75" s="191"/>
      <c r="E75" s="192" t="s">
        <v>8010</v>
      </c>
    </row>
    <row r="76" spans="1:5">
      <c r="A76" s="193" t="s">
        <v>223</v>
      </c>
      <c r="B76" s="192" t="s">
        <v>7573</v>
      </c>
      <c r="C76" s="192" t="s">
        <v>7573</v>
      </c>
      <c r="D76" s="191"/>
      <c r="E76" s="192" t="s">
        <v>7876</v>
      </c>
    </row>
    <row r="77" spans="1:5">
      <c r="A77" s="193" t="s">
        <v>223</v>
      </c>
      <c r="B77" s="192" t="s">
        <v>225</v>
      </c>
      <c r="C77" s="192" t="s">
        <v>225</v>
      </c>
      <c r="D77" s="191"/>
      <c r="E77" s="192" t="s">
        <v>7877</v>
      </c>
    </row>
    <row r="78" spans="1:5">
      <c r="A78" s="193" t="s">
        <v>223</v>
      </c>
      <c r="B78" s="192" t="s">
        <v>7482</v>
      </c>
      <c r="C78" s="192" t="s">
        <v>7482</v>
      </c>
      <c r="D78" s="191"/>
      <c r="E78" s="192" t="s">
        <v>7957</v>
      </c>
    </row>
    <row r="79" spans="1:5">
      <c r="A79" s="193" t="s">
        <v>223</v>
      </c>
      <c r="B79" s="192" t="s">
        <v>7417</v>
      </c>
      <c r="C79" s="192" t="s">
        <v>7417</v>
      </c>
      <c r="D79" s="191"/>
      <c r="E79" s="192" t="s">
        <v>7878</v>
      </c>
    </row>
    <row r="80" spans="1:5">
      <c r="A80" s="193" t="s">
        <v>223</v>
      </c>
      <c r="B80" s="192" t="s">
        <v>7418</v>
      </c>
      <c r="C80" s="192" t="s">
        <v>7418</v>
      </c>
      <c r="D80" s="191"/>
      <c r="E80" s="192" t="s">
        <v>7879</v>
      </c>
    </row>
    <row r="81" spans="1:5">
      <c r="A81" s="193" t="s">
        <v>223</v>
      </c>
      <c r="B81" s="192" t="s">
        <v>7483</v>
      </c>
      <c r="C81" s="192" t="s">
        <v>7483</v>
      </c>
      <c r="D81" s="191"/>
      <c r="E81" s="192" t="s">
        <v>7958</v>
      </c>
    </row>
    <row r="82" spans="1:5">
      <c r="A82" s="193" t="s">
        <v>223</v>
      </c>
      <c r="B82" s="192" t="s">
        <v>7574</v>
      </c>
      <c r="C82" s="192" t="s">
        <v>7574</v>
      </c>
      <c r="D82" s="191"/>
      <c r="E82" s="192" t="s">
        <v>7880</v>
      </c>
    </row>
    <row r="83" spans="1:5">
      <c r="A83" s="193" t="s">
        <v>223</v>
      </c>
      <c r="B83" s="192" t="s">
        <v>7419</v>
      </c>
      <c r="C83" s="192" t="s">
        <v>7419</v>
      </c>
      <c r="D83" s="191"/>
      <c r="E83" s="192" t="s">
        <v>7881</v>
      </c>
    </row>
    <row r="84" spans="1:5">
      <c r="A84" s="193" t="s">
        <v>223</v>
      </c>
      <c r="B84" s="192" t="s">
        <v>7484</v>
      </c>
      <c r="C84" s="192" t="s">
        <v>7484</v>
      </c>
      <c r="D84" s="191"/>
      <c r="E84" s="192" t="s">
        <v>7959</v>
      </c>
    </row>
    <row r="85" spans="1:5">
      <c r="A85" s="193" t="s">
        <v>223</v>
      </c>
      <c r="B85" s="192" t="s">
        <v>7575</v>
      </c>
      <c r="C85" s="192" t="s">
        <v>7575</v>
      </c>
      <c r="D85" s="191"/>
      <c r="E85" s="192" t="s">
        <v>7882</v>
      </c>
    </row>
    <row r="86" spans="1:5">
      <c r="A86" s="193" t="s">
        <v>223</v>
      </c>
      <c r="B86" s="192" t="s">
        <v>7864</v>
      </c>
      <c r="C86" s="192" t="s">
        <v>7864</v>
      </c>
      <c r="D86" s="191"/>
      <c r="E86" s="192" t="s">
        <v>8011</v>
      </c>
    </row>
    <row r="87" spans="1:5">
      <c r="A87" s="193" t="s">
        <v>223</v>
      </c>
      <c r="B87" s="192" t="s">
        <v>7485</v>
      </c>
      <c r="C87" s="192" t="s">
        <v>7485</v>
      </c>
      <c r="D87" s="191"/>
      <c r="E87" s="192" t="s">
        <v>7960</v>
      </c>
    </row>
    <row r="88" spans="1:5">
      <c r="A88" s="193" t="s">
        <v>223</v>
      </c>
      <c r="B88" s="192" t="s">
        <v>7486</v>
      </c>
      <c r="C88" s="192" t="s">
        <v>7486</v>
      </c>
      <c r="D88" s="191"/>
      <c r="E88" s="192" t="s">
        <v>7961</v>
      </c>
    </row>
    <row r="89" spans="1:5">
      <c r="A89" s="193" t="s">
        <v>223</v>
      </c>
      <c r="B89" s="192" t="s">
        <v>7487</v>
      </c>
      <c r="C89" s="192" t="s">
        <v>7487</v>
      </c>
      <c r="D89" s="191"/>
      <c r="E89" s="192" t="s">
        <v>7962</v>
      </c>
    </row>
    <row r="90" spans="1:5">
      <c r="A90" s="193" t="s">
        <v>223</v>
      </c>
      <c r="B90" s="192" t="s">
        <v>7446</v>
      </c>
      <c r="C90" s="192" t="s">
        <v>7446</v>
      </c>
      <c r="D90" s="191"/>
      <c r="E90" s="192" t="s">
        <v>7915</v>
      </c>
    </row>
    <row r="91" spans="1:5">
      <c r="A91" s="193" t="s">
        <v>223</v>
      </c>
      <c r="B91" s="192" t="s">
        <v>7488</v>
      </c>
      <c r="C91" s="192" t="s">
        <v>7488</v>
      </c>
      <c r="D91" s="191"/>
      <c r="E91" s="192" t="s">
        <v>7963</v>
      </c>
    </row>
    <row r="92" spans="1:5">
      <c r="A92" s="193" t="s">
        <v>223</v>
      </c>
      <c r="B92" s="192" t="s">
        <v>7532</v>
      </c>
      <c r="C92" s="192" t="s">
        <v>7532</v>
      </c>
      <c r="D92" s="191"/>
      <c r="E92" s="192" t="s">
        <v>8025</v>
      </c>
    </row>
    <row r="93" spans="1:5">
      <c r="A93" s="193" t="s">
        <v>223</v>
      </c>
      <c r="B93" s="192" t="s">
        <v>7489</v>
      </c>
      <c r="C93" s="192" t="s">
        <v>7489</v>
      </c>
      <c r="D93" s="191"/>
      <c r="E93" s="192" t="s">
        <v>7964</v>
      </c>
    </row>
    <row r="94" spans="1:5">
      <c r="A94" s="193" t="s">
        <v>223</v>
      </c>
      <c r="B94" s="192" t="s">
        <v>7615</v>
      </c>
      <c r="C94" s="192" t="s">
        <v>7615</v>
      </c>
      <c r="D94" s="191"/>
      <c r="E94" s="192" t="s">
        <v>8012</v>
      </c>
    </row>
    <row r="95" spans="1:5">
      <c r="A95" s="193" t="s">
        <v>223</v>
      </c>
      <c r="B95" s="192" t="s">
        <v>7447</v>
      </c>
      <c r="C95" s="192" t="s">
        <v>7447</v>
      </c>
      <c r="D95" s="191"/>
      <c r="E95" s="192" t="s">
        <v>7916</v>
      </c>
    </row>
    <row r="96" spans="1:5">
      <c r="A96" s="193" t="s">
        <v>223</v>
      </c>
      <c r="B96" s="192" t="s">
        <v>7865</v>
      </c>
      <c r="C96" s="192" t="s">
        <v>7865</v>
      </c>
      <c r="D96" s="191"/>
      <c r="E96" s="192" t="s">
        <v>8013</v>
      </c>
    </row>
    <row r="97" spans="1:5">
      <c r="A97" s="193" t="s">
        <v>223</v>
      </c>
      <c r="B97" s="192" t="s">
        <v>7490</v>
      </c>
      <c r="C97" s="192" t="s">
        <v>7490</v>
      </c>
      <c r="D97" s="191"/>
      <c r="E97" s="192" t="s">
        <v>7965</v>
      </c>
    </row>
    <row r="98" spans="1:5">
      <c r="A98" s="193" t="s">
        <v>223</v>
      </c>
      <c r="B98" s="192" t="s">
        <v>7610</v>
      </c>
      <c r="C98" s="192" t="s">
        <v>7610</v>
      </c>
      <c r="D98" s="191"/>
      <c r="E98" s="192" t="s">
        <v>8020</v>
      </c>
    </row>
    <row r="99" spans="1:5">
      <c r="A99" s="193" t="s">
        <v>223</v>
      </c>
      <c r="B99" s="192" t="s">
        <v>7523</v>
      </c>
      <c r="C99" s="192" t="s">
        <v>7523</v>
      </c>
      <c r="D99" s="191"/>
      <c r="E99" s="192" t="s">
        <v>8001</v>
      </c>
    </row>
    <row r="100" spans="1:5">
      <c r="A100" s="193" t="s">
        <v>223</v>
      </c>
      <c r="B100" s="192" t="s">
        <v>7448</v>
      </c>
      <c r="C100" s="192" t="s">
        <v>7448</v>
      </c>
      <c r="D100" s="191"/>
      <c r="E100" s="192" t="s">
        <v>7917</v>
      </c>
    </row>
    <row r="101" spans="1:5">
      <c r="A101" s="193" t="s">
        <v>223</v>
      </c>
      <c r="B101" s="192" t="s">
        <v>7540</v>
      </c>
      <c r="C101" s="192" t="s">
        <v>7540</v>
      </c>
      <c r="D101" s="191"/>
      <c r="E101" s="192" t="s">
        <v>8043</v>
      </c>
    </row>
    <row r="102" spans="1:5">
      <c r="A102" s="193" t="s">
        <v>223</v>
      </c>
      <c r="B102" s="192" t="s">
        <v>7594</v>
      </c>
      <c r="C102" s="192" t="s">
        <v>7594</v>
      </c>
      <c r="D102" s="191"/>
      <c r="E102" s="192" t="s">
        <v>8072</v>
      </c>
    </row>
    <row r="103" spans="1:5">
      <c r="A103" s="193" t="s">
        <v>223</v>
      </c>
      <c r="B103" s="192" t="s">
        <v>7595</v>
      </c>
      <c r="C103" s="192" t="s">
        <v>7595</v>
      </c>
      <c r="D103" s="191"/>
      <c r="E103" s="192" t="s">
        <v>8073</v>
      </c>
    </row>
    <row r="104" spans="1:5">
      <c r="A104" s="193" t="s">
        <v>223</v>
      </c>
      <c r="B104" s="192" t="s">
        <v>7576</v>
      </c>
      <c r="C104" s="192" t="s">
        <v>7576</v>
      </c>
      <c r="D104" s="191"/>
      <c r="E104" s="192" t="s">
        <v>7883</v>
      </c>
    </row>
    <row r="105" spans="1:5">
      <c r="A105" s="193" t="s">
        <v>223</v>
      </c>
      <c r="B105" s="192" t="s">
        <v>7576</v>
      </c>
      <c r="C105" s="192" t="s">
        <v>7576</v>
      </c>
      <c r="D105" s="191"/>
      <c r="E105" s="192" t="s">
        <v>8027</v>
      </c>
    </row>
    <row r="106" spans="1:5">
      <c r="A106" s="193" t="s">
        <v>223</v>
      </c>
      <c r="B106" s="192" t="s">
        <v>7449</v>
      </c>
      <c r="C106" s="192" t="s">
        <v>7449</v>
      </c>
      <c r="D106" s="191"/>
      <c r="E106" s="192" t="s">
        <v>7918</v>
      </c>
    </row>
    <row r="107" spans="1:5">
      <c r="A107" s="193" t="s">
        <v>223</v>
      </c>
      <c r="B107" s="192" t="s">
        <v>7491</v>
      </c>
      <c r="C107" s="192" t="s">
        <v>7491</v>
      </c>
      <c r="D107" s="191"/>
      <c r="E107" s="192" t="s">
        <v>7966</v>
      </c>
    </row>
    <row r="108" spans="1:5">
      <c r="A108" s="193" t="s">
        <v>223</v>
      </c>
      <c r="B108" s="192" t="s">
        <v>7492</v>
      </c>
      <c r="C108" s="192" t="s">
        <v>7492</v>
      </c>
      <c r="D108" s="191"/>
      <c r="E108" s="192" t="s">
        <v>7967</v>
      </c>
    </row>
    <row r="109" spans="1:5">
      <c r="A109" s="193" t="s">
        <v>223</v>
      </c>
      <c r="B109" s="192" t="s">
        <v>7493</v>
      </c>
      <c r="C109" s="192" t="s">
        <v>7493</v>
      </c>
      <c r="D109" s="191"/>
      <c r="E109" s="192" t="s">
        <v>7968</v>
      </c>
    </row>
    <row r="110" spans="1:5">
      <c r="A110" s="193" t="s">
        <v>223</v>
      </c>
      <c r="B110" s="192" t="s">
        <v>7450</v>
      </c>
      <c r="C110" s="192" t="s">
        <v>7450</v>
      </c>
      <c r="D110" s="191"/>
      <c r="E110" s="192" t="s">
        <v>7919</v>
      </c>
    </row>
    <row r="111" spans="1:5">
      <c r="A111" s="193" t="s">
        <v>223</v>
      </c>
      <c r="B111" s="192" t="s">
        <v>7494</v>
      </c>
      <c r="C111" s="192" t="s">
        <v>7494</v>
      </c>
      <c r="D111" s="191"/>
      <c r="E111" s="192" t="s">
        <v>7969</v>
      </c>
    </row>
    <row r="112" spans="1:5">
      <c r="A112" s="193" t="s">
        <v>223</v>
      </c>
      <c r="B112" s="192" t="s">
        <v>7495</v>
      </c>
      <c r="C112" s="192" t="s">
        <v>7495</v>
      </c>
      <c r="D112" s="191"/>
      <c r="E112" s="192" t="s">
        <v>7970</v>
      </c>
    </row>
    <row r="113" spans="1:5">
      <c r="A113" s="193" t="s">
        <v>223</v>
      </c>
      <c r="B113" s="192" t="s">
        <v>7496</v>
      </c>
      <c r="C113" s="192" t="s">
        <v>7496</v>
      </c>
      <c r="D113" s="191"/>
      <c r="E113" s="192" t="s">
        <v>7971</v>
      </c>
    </row>
    <row r="114" spans="1:5">
      <c r="A114" s="193" t="s">
        <v>223</v>
      </c>
      <c r="B114" s="192" t="s">
        <v>7497</v>
      </c>
      <c r="C114" s="192" t="s">
        <v>7497</v>
      </c>
      <c r="D114" s="191"/>
      <c r="E114" s="192" t="s">
        <v>7972</v>
      </c>
    </row>
    <row r="115" spans="1:5">
      <c r="A115" s="193" t="s">
        <v>223</v>
      </c>
      <c r="B115" s="192" t="s">
        <v>7614</v>
      </c>
      <c r="C115" s="192" t="s">
        <v>7614</v>
      </c>
      <c r="D115" s="191"/>
      <c r="E115" s="192" t="s">
        <v>8014</v>
      </c>
    </row>
    <row r="116" spans="1:5">
      <c r="A116" s="193" t="s">
        <v>223</v>
      </c>
      <c r="B116" s="192" t="s">
        <v>7546</v>
      </c>
      <c r="C116" s="192" t="s">
        <v>7546</v>
      </c>
      <c r="D116" s="191"/>
      <c r="E116" s="192" t="s">
        <v>8049</v>
      </c>
    </row>
    <row r="117" spans="1:5">
      <c r="A117" s="193" t="s">
        <v>223</v>
      </c>
      <c r="B117" s="192" t="s">
        <v>7524</v>
      </c>
      <c r="C117" s="192" t="s">
        <v>7524</v>
      </c>
      <c r="D117" s="191"/>
      <c r="E117" s="192" t="s">
        <v>8002</v>
      </c>
    </row>
    <row r="118" spans="1:5">
      <c r="A118" s="193" t="s">
        <v>223</v>
      </c>
      <c r="B118" s="192" t="s">
        <v>7525</v>
      </c>
      <c r="C118" s="192" t="s">
        <v>7525</v>
      </c>
      <c r="D118" s="191"/>
      <c r="E118" s="192" t="s">
        <v>8003</v>
      </c>
    </row>
    <row r="119" spans="1:5">
      <c r="A119" s="193" t="s">
        <v>223</v>
      </c>
      <c r="B119" s="192" t="s">
        <v>7498</v>
      </c>
      <c r="C119" s="192" t="s">
        <v>7498</v>
      </c>
      <c r="D119" s="191"/>
      <c r="E119" s="192" t="s">
        <v>7973</v>
      </c>
    </row>
    <row r="120" spans="1:5">
      <c r="A120" s="193" t="s">
        <v>223</v>
      </c>
      <c r="B120" s="192" t="s">
        <v>7420</v>
      </c>
      <c r="C120" s="192" t="s">
        <v>7420</v>
      </c>
      <c r="D120" s="191"/>
      <c r="E120" s="192" t="s">
        <v>7884</v>
      </c>
    </row>
    <row r="121" spans="1:5">
      <c r="A121" s="193" t="s">
        <v>223</v>
      </c>
      <c r="B121" s="192" t="s">
        <v>7499</v>
      </c>
      <c r="C121" s="192" t="s">
        <v>7499</v>
      </c>
      <c r="D121" s="191"/>
      <c r="E121" s="192" t="s">
        <v>7974</v>
      </c>
    </row>
    <row r="122" spans="1:5">
      <c r="A122" s="193" t="s">
        <v>223</v>
      </c>
      <c r="B122" s="192" t="s">
        <v>7541</v>
      </c>
      <c r="C122" s="192" t="s">
        <v>7541</v>
      </c>
      <c r="D122" s="191"/>
      <c r="E122" s="192" t="s">
        <v>8044</v>
      </c>
    </row>
    <row r="123" spans="1:5">
      <c r="A123" s="193" t="s">
        <v>223</v>
      </c>
      <c r="B123" s="192" t="s">
        <v>7618</v>
      </c>
      <c r="C123" s="192" t="s">
        <v>7618</v>
      </c>
      <c r="D123" s="191"/>
      <c r="E123" s="192" t="s">
        <v>8006</v>
      </c>
    </row>
    <row r="124" spans="1:5">
      <c r="A124" s="193" t="s">
        <v>223</v>
      </c>
      <c r="B124" s="192" t="s">
        <v>7500</v>
      </c>
      <c r="C124" s="192" t="s">
        <v>7500</v>
      </c>
      <c r="D124" s="191"/>
      <c r="E124" s="192" t="s">
        <v>7975</v>
      </c>
    </row>
    <row r="125" spans="1:5">
      <c r="A125" s="193" t="s">
        <v>223</v>
      </c>
      <c r="B125" s="192" t="s">
        <v>7421</v>
      </c>
      <c r="C125" s="192" t="s">
        <v>7421</v>
      </c>
      <c r="D125" s="191"/>
      <c r="E125" s="192" t="s">
        <v>7885</v>
      </c>
    </row>
    <row r="126" spans="1:5">
      <c r="A126" s="193" t="s">
        <v>223</v>
      </c>
      <c r="B126" s="192" t="s">
        <v>7422</v>
      </c>
      <c r="C126" s="192" t="s">
        <v>7422</v>
      </c>
      <c r="D126" s="191"/>
      <c r="E126" s="192" t="s">
        <v>7886</v>
      </c>
    </row>
    <row r="127" spans="1:5">
      <c r="A127" s="193" t="s">
        <v>223</v>
      </c>
      <c r="B127" s="192" t="s">
        <v>228</v>
      </c>
      <c r="C127" s="192" t="s">
        <v>228</v>
      </c>
      <c r="D127" s="191"/>
      <c r="E127" s="192" t="s">
        <v>7920</v>
      </c>
    </row>
    <row r="128" spans="1:5">
      <c r="A128" s="193" t="s">
        <v>223</v>
      </c>
      <c r="B128" s="192" t="s">
        <v>7501</v>
      </c>
      <c r="C128" s="192" t="s">
        <v>7501</v>
      </c>
      <c r="D128" s="191"/>
      <c r="E128" s="192" t="s">
        <v>7976</v>
      </c>
    </row>
    <row r="129" spans="1:5">
      <c r="A129" s="193" t="s">
        <v>223</v>
      </c>
      <c r="B129" s="192" t="s">
        <v>7534</v>
      </c>
      <c r="C129" s="192" t="s">
        <v>7534</v>
      </c>
      <c r="D129" s="191"/>
      <c r="E129" s="192" t="s">
        <v>8028</v>
      </c>
    </row>
    <row r="130" spans="1:5">
      <c r="A130" s="193" t="s">
        <v>223</v>
      </c>
      <c r="B130" s="192" t="s">
        <v>7423</v>
      </c>
      <c r="C130" s="192" t="s">
        <v>7423</v>
      </c>
      <c r="D130" s="191"/>
      <c r="E130" s="192" t="s">
        <v>7887</v>
      </c>
    </row>
    <row r="131" spans="1:5">
      <c r="A131" s="193" t="s">
        <v>223</v>
      </c>
      <c r="B131" s="192" t="s">
        <v>7502</v>
      </c>
      <c r="C131" s="192" t="s">
        <v>7502</v>
      </c>
      <c r="D131" s="191"/>
      <c r="E131" s="192" t="s">
        <v>7977</v>
      </c>
    </row>
    <row r="132" spans="1:5">
      <c r="A132" s="193" t="s">
        <v>223</v>
      </c>
      <c r="B132" s="192" t="s">
        <v>7613</v>
      </c>
      <c r="C132" s="192" t="s">
        <v>7613</v>
      </c>
      <c r="D132" s="191"/>
      <c r="E132" s="192" t="s">
        <v>8015</v>
      </c>
    </row>
    <row r="133" spans="1:5">
      <c r="A133" s="193" t="s">
        <v>223</v>
      </c>
      <c r="B133" s="192" t="s">
        <v>231</v>
      </c>
      <c r="C133" s="192" t="s">
        <v>231</v>
      </c>
      <c r="D133" s="191"/>
      <c r="E133" s="192" t="s">
        <v>7888</v>
      </c>
    </row>
    <row r="134" spans="1:5">
      <c r="A134" s="193" t="s">
        <v>223</v>
      </c>
      <c r="B134" s="192" t="s">
        <v>7503</v>
      </c>
      <c r="C134" s="192" t="s">
        <v>7503</v>
      </c>
      <c r="D134" s="191"/>
      <c r="E134" s="192" t="s">
        <v>7978</v>
      </c>
    </row>
    <row r="135" spans="1:5">
      <c r="A135" s="193" t="s">
        <v>223</v>
      </c>
      <c r="B135" s="192" t="s">
        <v>7619</v>
      </c>
      <c r="C135" s="192" t="s">
        <v>7619</v>
      </c>
      <c r="D135" s="191"/>
      <c r="E135" s="192" t="s">
        <v>8016</v>
      </c>
    </row>
    <row r="136" spans="1:5">
      <c r="A136" s="193" t="s">
        <v>223</v>
      </c>
      <c r="B136" s="192" t="s">
        <v>7612</v>
      </c>
      <c r="C136" s="192" t="s">
        <v>7612</v>
      </c>
      <c r="D136" s="191"/>
      <c r="E136" s="192" t="s">
        <v>8017</v>
      </c>
    </row>
    <row r="137" spans="1:5">
      <c r="A137" s="193" t="s">
        <v>223</v>
      </c>
      <c r="B137" s="192" t="s">
        <v>7581</v>
      </c>
      <c r="C137" s="192" t="s">
        <v>7581</v>
      </c>
      <c r="D137" s="191"/>
      <c r="E137" s="192" t="s">
        <v>7979</v>
      </c>
    </row>
    <row r="138" spans="1:5">
      <c r="A138" s="193" t="s">
        <v>223</v>
      </c>
      <c r="B138" s="192" t="s">
        <v>7504</v>
      </c>
      <c r="C138" s="192" t="s">
        <v>7504</v>
      </c>
      <c r="D138" s="191"/>
      <c r="E138" s="192" t="s">
        <v>7980</v>
      </c>
    </row>
    <row r="139" spans="1:5">
      <c r="A139" s="193" t="s">
        <v>223</v>
      </c>
      <c r="B139" s="192" t="s">
        <v>7542</v>
      </c>
      <c r="C139" s="192" t="s">
        <v>7542</v>
      </c>
      <c r="D139" s="191"/>
      <c r="E139" s="192" t="s">
        <v>8045</v>
      </c>
    </row>
    <row r="140" spans="1:5">
      <c r="A140" s="193" t="s">
        <v>223</v>
      </c>
      <c r="B140" s="192" t="s">
        <v>7424</v>
      </c>
      <c r="C140" s="192" t="s">
        <v>7424</v>
      </c>
      <c r="D140" s="191"/>
      <c r="E140" s="192" t="s">
        <v>7889</v>
      </c>
    </row>
    <row r="141" spans="1:5">
      <c r="A141" s="193" t="s">
        <v>223</v>
      </c>
      <c r="B141" s="192" t="s">
        <v>7526</v>
      </c>
      <c r="C141" s="192" t="s">
        <v>7526</v>
      </c>
      <c r="D141" s="191"/>
      <c r="E141" s="192" t="s">
        <v>8004</v>
      </c>
    </row>
    <row r="142" spans="1:5">
      <c r="A142" s="193" t="s">
        <v>223</v>
      </c>
      <c r="B142" s="192" t="s">
        <v>7577</v>
      </c>
      <c r="C142" s="192" t="s">
        <v>7577</v>
      </c>
      <c r="D142" s="191"/>
      <c r="E142" s="192" t="s">
        <v>7890</v>
      </c>
    </row>
    <row r="143" spans="1:5">
      <c r="A143" s="193" t="s">
        <v>223</v>
      </c>
      <c r="B143" s="192" t="s">
        <v>7505</v>
      </c>
      <c r="C143" s="192" t="s">
        <v>7505</v>
      </c>
      <c r="D143" s="191"/>
      <c r="E143" s="192" t="s">
        <v>7981</v>
      </c>
    </row>
    <row r="144" spans="1:5">
      <c r="A144" s="193" t="s">
        <v>223</v>
      </c>
      <c r="B144" s="192" t="s">
        <v>7543</v>
      </c>
      <c r="C144" s="192" t="s">
        <v>7543</v>
      </c>
      <c r="D144" s="191"/>
      <c r="E144" s="192" t="s">
        <v>8046</v>
      </c>
    </row>
    <row r="145" spans="1:5">
      <c r="A145" s="193" t="s">
        <v>223</v>
      </c>
      <c r="B145" s="192" t="s">
        <v>7425</v>
      </c>
      <c r="C145" s="192" t="s">
        <v>7425</v>
      </c>
      <c r="D145" s="191"/>
      <c r="E145" s="192" t="s">
        <v>7891</v>
      </c>
    </row>
    <row r="146" spans="1:5">
      <c r="A146" s="193" t="s">
        <v>223</v>
      </c>
      <c r="B146" s="192" t="s">
        <v>227</v>
      </c>
      <c r="C146" s="192" t="s">
        <v>227</v>
      </c>
      <c r="D146" s="191"/>
      <c r="E146" s="192" t="s">
        <v>7982</v>
      </c>
    </row>
    <row r="147" spans="1:5">
      <c r="A147" s="193" t="s">
        <v>223</v>
      </c>
      <c r="B147" s="192" t="s">
        <v>7544</v>
      </c>
      <c r="C147" s="192" t="s">
        <v>7544</v>
      </c>
      <c r="D147" s="191"/>
      <c r="E147" s="192" t="s">
        <v>8047</v>
      </c>
    </row>
    <row r="148" spans="1:5">
      <c r="A148" s="193" t="s">
        <v>223</v>
      </c>
      <c r="B148" s="192" t="s">
        <v>7506</v>
      </c>
      <c r="C148" s="192" t="s">
        <v>7506</v>
      </c>
      <c r="D148" s="191"/>
      <c r="E148" s="192" t="s">
        <v>7983</v>
      </c>
    </row>
    <row r="149" spans="1:5">
      <c r="A149" s="193" t="s">
        <v>223</v>
      </c>
      <c r="B149" s="192" t="s">
        <v>7507</v>
      </c>
      <c r="C149" s="192" t="s">
        <v>7507</v>
      </c>
      <c r="D149" s="191"/>
      <c r="E149" s="192" t="s">
        <v>7984</v>
      </c>
    </row>
    <row r="150" spans="1:5">
      <c r="A150" s="193" t="s">
        <v>223</v>
      </c>
      <c r="B150" s="192" t="s">
        <v>7426</v>
      </c>
      <c r="C150" s="192" t="s">
        <v>7426</v>
      </c>
      <c r="D150" s="191"/>
      <c r="E150" s="192" t="s">
        <v>7892</v>
      </c>
    </row>
    <row r="151" spans="1:5">
      <c r="A151" s="193" t="s">
        <v>223</v>
      </c>
      <c r="B151" s="192" t="s">
        <v>7508</v>
      </c>
      <c r="C151" s="192" t="s">
        <v>7508</v>
      </c>
      <c r="D151" s="191"/>
      <c r="E151" s="192" t="s">
        <v>7985</v>
      </c>
    </row>
    <row r="152" spans="1:5">
      <c r="A152" s="193" t="s">
        <v>223</v>
      </c>
      <c r="B152" s="192" t="s">
        <v>7427</v>
      </c>
      <c r="C152" s="192" t="s">
        <v>7427</v>
      </c>
      <c r="D152" s="191"/>
      <c r="E152" s="192" t="s">
        <v>7893</v>
      </c>
    </row>
    <row r="153" spans="1:5">
      <c r="A153" s="193" t="s">
        <v>223</v>
      </c>
      <c r="B153" s="192" t="s">
        <v>7428</v>
      </c>
      <c r="C153" s="192" t="s">
        <v>7428</v>
      </c>
      <c r="D153" s="191"/>
      <c r="E153" s="192" t="s">
        <v>7894</v>
      </c>
    </row>
    <row r="154" spans="1:5">
      <c r="A154" s="193" t="s">
        <v>223</v>
      </c>
      <c r="B154" s="192" t="s">
        <v>7451</v>
      </c>
      <c r="C154" s="192" t="s">
        <v>7451</v>
      </c>
      <c r="D154" s="191"/>
      <c r="E154" s="192" t="s">
        <v>7921</v>
      </c>
    </row>
    <row r="155" spans="1:5">
      <c r="A155" s="193" t="s">
        <v>223</v>
      </c>
      <c r="B155" s="192" t="s">
        <v>7509</v>
      </c>
      <c r="C155" s="192" t="s">
        <v>7509</v>
      </c>
      <c r="D155" s="191"/>
      <c r="E155" s="192" t="s">
        <v>7986</v>
      </c>
    </row>
    <row r="156" spans="1:5">
      <c r="A156" s="193" t="s">
        <v>223</v>
      </c>
      <c r="B156" s="192" t="s">
        <v>7578</v>
      </c>
      <c r="C156" s="192" t="s">
        <v>7578</v>
      </c>
      <c r="D156" s="191"/>
      <c r="E156" s="192" t="s">
        <v>7895</v>
      </c>
    </row>
    <row r="157" spans="1:5">
      <c r="A157" s="193" t="s">
        <v>223</v>
      </c>
      <c r="B157" s="192" t="s">
        <v>7533</v>
      </c>
      <c r="C157" s="192" t="s">
        <v>7533</v>
      </c>
      <c r="D157" s="191"/>
      <c r="E157" s="192" t="s">
        <v>8026</v>
      </c>
    </row>
    <row r="158" spans="1:5">
      <c r="A158" s="193" t="s">
        <v>223</v>
      </c>
      <c r="B158" s="192" t="s">
        <v>7452</v>
      </c>
      <c r="C158" s="192" t="s">
        <v>7452</v>
      </c>
      <c r="D158" s="191"/>
      <c r="E158" s="192" t="s">
        <v>7922</v>
      </c>
    </row>
    <row r="159" spans="1:5">
      <c r="A159" s="193" t="s">
        <v>223</v>
      </c>
      <c r="B159" s="192" t="s">
        <v>7547</v>
      </c>
      <c r="C159" s="192" t="s">
        <v>7547</v>
      </c>
      <c r="D159" s="191"/>
      <c r="E159" s="192" t="s">
        <v>8050</v>
      </c>
    </row>
    <row r="160" spans="1:5">
      <c r="A160" s="193" t="s">
        <v>223</v>
      </c>
      <c r="B160" s="192" t="s">
        <v>7548</v>
      </c>
      <c r="C160" s="192" t="s">
        <v>7548</v>
      </c>
      <c r="D160" s="191"/>
      <c r="E160" s="192" t="s">
        <v>8051</v>
      </c>
    </row>
    <row r="161" spans="1:5">
      <c r="A161" s="193" t="s">
        <v>223</v>
      </c>
      <c r="B161" s="192" t="s">
        <v>7549</v>
      </c>
      <c r="C161" s="192" t="s">
        <v>7549</v>
      </c>
      <c r="D161" s="191"/>
      <c r="E161" s="192" t="s">
        <v>8052</v>
      </c>
    </row>
    <row r="162" spans="1:5">
      <c r="A162" s="193" t="s">
        <v>223</v>
      </c>
      <c r="B162" s="192" t="s">
        <v>7550</v>
      </c>
      <c r="C162" s="192" t="s">
        <v>7550</v>
      </c>
      <c r="D162" s="191"/>
      <c r="E162" s="192" t="s">
        <v>8053</v>
      </c>
    </row>
    <row r="163" spans="1:5">
      <c r="A163" s="193" t="s">
        <v>223</v>
      </c>
      <c r="B163" s="192" t="s">
        <v>7551</v>
      </c>
      <c r="C163" s="192" t="s">
        <v>7551</v>
      </c>
      <c r="D163" s="191"/>
      <c r="E163" s="192" t="s">
        <v>8054</v>
      </c>
    </row>
    <row r="164" spans="1:5">
      <c r="A164" s="193" t="s">
        <v>223</v>
      </c>
      <c r="B164" s="192" t="s">
        <v>7552</v>
      </c>
      <c r="C164" s="192" t="s">
        <v>7552</v>
      </c>
      <c r="D164" s="191"/>
      <c r="E164" s="192" t="s">
        <v>8055</v>
      </c>
    </row>
    <row r="165" spans="1:5">
      <c r="A165" s="193" t="s">
        <v>223</v>
      </c>
      <c r="B165" s="192" t="s">
        <v>7553</v>
      </c>
      <c r="C165" s="192" t="s">
        <v>7553</v>
      </c>
      <c r="D165" s="191"/>
      <c r="E165" s="192" t="s">
        <v>8056</v>
      </c>
    </row>
    <row r="166" spans="1:5">
      <c r="A166" s="193" t="s">
        <v>223</v>
      </c>
      <c r="B166" s="192" t="s">
        <v>7554</v>
      </c>
      <c r="C166" s="192" t="s">
        <v>7554</v>
      </c>
      <c r="D166" s="191"/>
      <c r="E166" s="192" t="s">
        <v>8057</v>
      </c>
    </row>
    <row r="167" spans="1:5">
      <c r="A167" s="193" t="s">
        <v>223</v>
      </c>
      <c r="B167" s="192" t="s">
        <v>7555</v>
      </c>
      <c r="C167" s="192" t="s">
        <v>7555</v>
      </c>
      <c r="D167" s="191"/>
      <c r="E167" s="192" t="s">
        <v>8058</v>
      </c>
    </row>
    <row r="168" spans="1:5">
      <c r="A168" s="193" t="s">
        <v>223</v>
      </c>
      <c r="B168" s="192" t="s">
        <v>7556</v>
      </c>
      <c r="C168" s="192" t="s">
        <v>7556</v>
      </c>
      <c r="D168" s="191"/>
      <c r="E168" s="192" t="s">
        <v>8059</v>
      </c>
    </row>
    <row r="169" spans="1:5">
      <c r="A169" s="193" t="s">
        <v>223</v>
      </c>
      <c r="B169" s="192" t="s">
        <v>7567</v>
      </c>
      <c r="C169" s="192" t="s">
        <v>7567</v>
      </c>
      <c r="D169" s="191"/>
      <c r="E169" s="192" t="s">
        <v>8074</v>
      </c>
    </row>
    <row r="170" spans="1:5">
      <c r="A170" s="193" t="s">
        <v>223</v>
      </c>
      <c r="B170" s="192" t="s">
        <v>7568</v>
      </c>
      <c r="C170" s="192" t="s">
        <v>7568</v>
      </c>
      <c r="D170" s="191"/>
      <c r="E170" s="192" t="s">
        <v>8075</v>
      </c>
    </row>
    <row r="171" spans="1:5">
      <c r="A171" s="193" t="s">
        <v>223</v>
      </c>
      <c r="B171" s="192" t="s">
        <v>7569</v>
      </c>
      <c r="C171" s="192" t="s">
        <v>7569</v>
      </c>
      <c r="D171" s="191"/>
      <c r="E171" s="192" t="s">
        <v>8076</v>
      </c>
    </row>
    <row r="172" spans="1:5">
      <c r="A172" s="193" t="s">
        <v>223</v>
      </c>
      <c r="B172" s="192" t="s">
        <v>7429</v>
      </c>
      <c r="C172" s="192" t="s">
        <v>7429</v>
      </c>
      <c r="D172" s="191"/>
      <c r="E172" s="192" t="s">
        <v>7896</v>
      </c>
    </row>
    <row r="173" spans="1:5">
      <c r="A173" s="193" t="s">
        <v>223</v>
      </c>
      <c r="B173" s="192" t="s">
        <v>7611</v>
      </c>
      <c r="C173" s="192" t="s">
        <v>7611</v>
      </c>
      <c r="D173" s="191"/>
      <c r="E173" s="192" t="s">
        <v>8018</v>
      </c>
    </row>
    <row r="174" spans="1:5">
      <c r="A174" s="193" t="s">
        <v>223</v>
      </c>
      <c r="B174" s="192" t="s">
        <v>7430</v>
      </c>
      <c r="C174" s="192" t="s">
        <v>7430</v>
      </c>
      <c r="D174" s="191"/>
      <c r="E174" s="192" t="s">
        <v>7897</v>
      </c>
    </row>
    <row r="175" spans="1:5">
      <c r="A175" s="193" t="s">
        <v>223</v>
      </c>
      <c r="B175" s="192" t="s">
        <v>7592</v>
      </c>
      <c r="C175" s="192" t="s">
        <v>7592</v>
      </c>
      <c r="D175" s="191"/>
      <c r="E175" s="192" t="s">
        <v>8070</v>
      </c>
    </row>
    <row r="176" spans="1:5">
      <c r="A176" s="193" t="s">
        <v>223</v>
      </c>
      <c r="B176" s="192" t="s">
        <v>7593</v>
      </c>
      <c r="C176" s="192" t="s">
        <v>7593</v>
      </c>
      <c r="D176" s="191"/>
      <c r="E176" s="192" t="s">
        <v>8071</v>
      </c>
    </row>
    <row r="177" spans="1:5">
      <c r="A177" s="193" t="s">
        <v>223</v>
      </c>
      <c r="B177" s="192" t="s">
        <v>7510</v>
      </c>
      <c r="C177" s="192" t="s">
        <v>7510</v>
      </c>
      <c r="D177" s="191"/>
      <c r="E177" s="192" t="s">
        <v>7987</v>
      </c>
    </row>
    <row r="178" spans="1:5">
      <c r="A178" s="193" t="s">
        <v>223</v>
      </c>
      <c r="B178" s="192" t="s">
        <v>7527</v>
      </c>
      <c r="C178" s="192" t="s">
        <v>7527</v>
      </c>
      <c r="D178" s="191"/>
      <c r="E178" s="192" t="s">
        <v>8005</v>
      </c>
    </row>
    <row r="179" spans="1:5">
      <c r="A179" s="193" t="s">
        <v>223</v>
      </c>
      <c r="B179" s="192" t="s">
        <v>7511</v>
      </c>
      <c r="C179" s="192" t="s">
        <v>7511</v>
      </c>
      <c r="D179" s="191"/>
      <c r="E179" s="192" t="s">
        <v>7988</v>
      </c>
    </row>
    <row r="180" spans="1:5">
      <c r="A180" s="193" t="s">
        <v>223</v>
      </c>
      <c r="B180" s="192" t="s">
        <v>7431</v>
      </c>
      <c r="C180" s="192" t="s">
        <v>7431</v>
      </c>
      <c r="D180" s="191"/>
      <c r="E180" s="192" t="s">
        <v>7898</v>
      </c>
    </row>
    <row r="181" spans="1:5">
      <c r="A181" s="193" t="s">
        <v>223</v>
      </c>
      <c r="B181" s="192" t="s">
        <v>7512</v>
      </c>
      <c r="C181" s="192" t="s">
        <v>7512</v>
      </c>
      <c r="D181" s="191"/>
      <c r="E181" s="192" t="s">
        <v>7989</v>
      </c>
    </row>
    <row r="182" spans="1:5">
      <c r="A182" s="193" t="s">
        <v>223</v>
      </c>
      <c r="B182" s="192" t="s">
        <v>7513</v>
      </c>
      <c r="C182" s="192" t="s">
        <v>7513</v>
      </c>
      <c r="D182" s="191"/>
      <c r="E182" s="192" t="s">
        <v>7990</v>
      </c>
    </row>
    <row r="183" spans="1:5">
      <c r="A183" s="193" t="s">
        <v>223</v>
      </c>
      <c r="B183" s="192" t="s">
        <v>7514</v>
      </c>
      <c r="C183" s="192" t="s">
        <v>7514</v>
      </c>
      <c r="D183" s="191"/>
      <c r="E183" s="192" t="s">
        <v>7991</v>
      </c>
    </row>
    <row r="184" spans="1:5">
      <c r="A184" s="193" t="s">
        <v>223</v>
      </c>
      <c r="B184" s="192" t="s">
        <v>7515</v>
      </c>
      <c r="C184" s="192" t="s">
        <v>7515</v>
      </c>
      <c r="D184" s="191"/>
      <c r="E184" s="192" t="s">
        <v>7992</v>
      </c>
    </row>
    <row r="185" spans="1:5">
      <c r="A185" s="193" t="s">
        <v>223</v>
      </c>
      <c r="B185" s="192" t="s">
        <v>7528</v>
      </c>
      <c r="C185" s="192" t="s">
        <v>7528</v>
      </c>
      <c r="D185" s="191"/>
      <c r="E185" s="192" t="s">
        <v>8021</v>
      </c>
    </row>
    <row r="186" spans="1:5">
      <c r="A186" s="193" t="s">
        <v>223</v>
      </c>
      <c r="B186" s="192" t="s">
        <v>7516</v>
      </c>
      <c r="C186" s="192" t="s">
        <v>7516</v>
      </c>
      <c r="D186" s="191"/>
      <c r="E186" s="192" t="s">
        <v>7993</v>
      </c>
    </row>
    <row r="187" spans="1:5">
      <c r="A187" s="193" t="s">
        <v>223</v>
      </c>
      <c r="B187" s="192" t="s">
        <v>7432</v>
      </c>
      <c r="C187" s="192" t="s">
        <v>7432</v>
      </c>
      <c r="D187" s="191"/>
      <c r="E187" s="192" t="s">
        <v>7899</v>
      </c>
    </row>
    <row r="188" spans="1:5">
      <c r="A188" s="193" t="s">
        <v>223</v>
      </c>
      <c r="B188" s="192" t="s">
        <v>7620</v>
      </c>
      <c r="C188" s="192" t="s">
        <v>7620</v>
      </c>
      <c r="D188" s="191"/>
      <c r="E188" s="192" t="s">
        <v>8019</v>
      </c>
    </row>
    <row r="189" spans="1:5">
      <c r="A189" s="193" t="s">
        <v>223</v>
      </c>
      <c r="B189" s="192" t="s">
        <v>7453</v>
      </c>
      <c r="C189" s="192" t="s">
        <v>7453</v>
      </c>
      <c r="D189" s="191"/>
      <c r="E189" s="192" t="s">
        <v>7923</v>
      </c>
    </row>
    <row r="190" spans="1:5">
      <c r="A190" s="193" t="s">
        <v>223</v>
      </c>
      <c r="B190" s="192" t="s">
        <v>7582</v>
      </c>
      <c r="C190" s="192" t="s">
        <v>7582</v>
      </c>
      <c r="D190" s="191"/>
      <c r="E190" s="192" t="s">
        <v>7994</v>
      </c>
    </row>
    <row r="191" spans="1:5">
      <c r="A191" s="193" t="s">
        <v>223</v>
      </c>
      <c r="B191" s="192" t="s">
        <v>7557</v>
      </c>
      <c r="C191" s="192" t="s">
        <v>7557</v>
      </c>
      <c r="D191" s="191"/>
      <c r="E191" s="192" t="s">
        <v>8060</v>
      </c>
    </row>
    <row r="192" spans="1:5">
      <c r="A192" s="193" t="s">
        <v>223</v>
      </c>
      <c r="B192" s="192" t="s">
        <v>7558</v>
      </c>
      <c r="C192" s="192" t="s">
        <v>7558</v>
      </c>
      <c r="D192" s="191"/>
      <c r="E192" s="192" t="s">
        <v>8061</v>
      </c>
    </row>
    <row r="193" spans="1:5">
      <c r="A193" s="193" t="s">
        <v>223</v>
      </c>
      <c r="B193" s="192" t="s">
        <v>7559</v>
      </c>
      <c r="C193" s="192" t="s">
        <v>7559</v>
      </c>
      <c r="D193" s="191"/>
      <c r="E193" s="192" t="s">
        <v>8062</v>
      </c>
    </row>
    <row r="194" spans="1:5">
      <c r="A194" s="193" t="s">
        <v>223</v>
      </c>
      <c r="B194" s="192" t="s">
        <v>7560</v>
      </c>
      <c r="C194" s="192" t="s">
        <v>7560</v>
      </c>
      <c r="D194" s="191"/>
      <c r="E194" s="192" t="s">
        <v>8063</v>
      </c>
    </row>
    <row r="195" spans="1:5">
      <c r="A195" s="193" t="s">
        <v>223</v>
      </c>
      <c r="B195" s="192" t="s">
        <v>7561</v>
      </c>
      <c r="C195" s="192" t="s">
        <v>7561</v>
      </c>
      <c r="D195" s="191"/>
      <c r="E195" s="192" t="s">
        <v>8064</v>
      </c>
    </row>
    <row r="196" spans="1:5">
      <c r="A196" s="193" t="s">
        <v>223</v>
      </c>
      <c r="B196" s="192" t="s">
        <v>7562</v>
      </c>
      <c r="C196" s="192" t="s">
        <v>7562</v>
      </c>
      <c r="D196" s="191"/>
      <c r="E196" s="192" t="s">
        <v>8065</v>
      </c>
    </row>
    <row r="197" spans="1:5">
      <c r="A197" s="193" t="s">
        <v>223</v>
      </c>
      <c r="B197" s="192" t="s">
        <v>7563</v>
      </c>
      <c r="C197" s="192" t="s">
        <v>7563</v>
      </c>
      <c r="D197" s="191"/>
      <c r="E197" s="192" t="s">
        <v>8066</v>
      </c>
    </row>
    <row r="198" spans="1:5">
      <c r="A198" s="193" t="s">
        <v>223</v>
      </c>
      <c r="B198" s="192" t="s">
        <v>7564</v>
      </c>
      <c r="C198" s="192" t="s">
        <v>7564</v>
      </c>
      <c r="D198" s="191"/>
      <c r="E198" s="192" t="s">
        <v>8067</v>
      </c>
    </row>
    <row r="199" spans="1:5">
      <c r="A199" s="193" t="s">
        <v>223</v>
      </c>
      <c r="B199" s="192" t="s">
        <v>7565</v>
      </c>
      <c r="C199" s="192" t="s">
        <v>7565</v>
      </c>
      <c r="D199" s="191"/>
      <c r="E199" s="192" t="s">
        <v>8068</v>
      </c>
    </row>
    <row r="200" spans="1:5">
      <c r="A200" s="193" t="s">
        <v>223</v>
      </c>
      <c r="B200" s="192" t="s">
        <v>7566</v>
      </c>
      <c r="C200" s="192" t="s">
        <v>7566</v>
      </c>
      <c r="D200" s="191"/>
      <c r="E200" s="192" t="s">
        <v>8069</v>
      </c>
    </row>
    <row r="201" spans="1:5">
      <c r="A201" s="193" t="s">
        <v>223</v>
      </c>
      <c r="B201" s="192" t="s">
        <v>7570</v>
      </c>
      <c r="C201" s="192" t="s">
        <v>7570</v>
      </c>
      <c r="D201" s="191"/>
      <c r="E201" s="192" t="s">
        <v>8077</v>
      </c>
    </row>
    <row r="202" spans="1:5">
      <c r="A202" s="193" t="s">
        <v>223</v>
      </c>
      <c r="B202" s="192" t="s">
        <v>7571</v>
      </c>
      <c r="C202" s="192" t="s">
        <v>7571</v>
      </c>
      <c r="D202" s="191"/>
      <c r="E202" s="192" t="s">
        <v>8078</v>
      </c>
    </row>
    <row r="203" spans="1:5">
      <c r="A203" s="193" t="s">
        <v>223</v>
      </c>
      <c r="B203" s="192" t="s">
        <v>7517</v>
      </c>
      <c r="C203" s="192" t="s">
        <v>7517</v>
      </c>
      <c r="D203" s="191"/>
      <c r="E203" s="192" t="s">
        <v>7995</v>
      </c>
    </row>
    <row r="204" spans="1:5">
      <c r="A204" s="193" t="s">
        <v>223</v>
      </c>
      <c r="B204" s="192" t="s">
        <v>7545</v>
      </c>
      <c r="C204" s="192" t="s">
        <v>7545</v>
      </c>
      <c r="D204" s="191"/>
      <c r="E204" s="192" t="s">
        <v>8048</v>
      </c>
    </row>
    <row r="205" spans="1:5">
      <c r="A205" s="193" t="s">
        <v>223</v>
      </c>
      <c r="B205" s="192" t="s">
        <v>7518</v>
      </c>
      <c r="C205" s="192" t="s">
        <v>7518</v>
      </c>
      <c r="D205" s="191"/>
      <c r="E205" s="192" t="s">
        <v>7996</v>
      </c>
    </row>
    <row r="206" spans="1:5">
      <c r="A206" s="193" t="s">
        <v>223</v>
      </c>
      <c r="B206" s="192" t="s">
        <v>7433</v>
      </c>
      <c r="C206" s="192" t="s">
        <v>7433</v>
      </c>
      <c r="D206" s="191"/>
      <c r="E206" s="192" t="s">
        <v>7900</v>
      </c>
    </row>
    <row r="207" spans="1:5">
      <c r="A207" s="193" t="s">
        <v>223</v>
      </c>
      <c r="B207" s="192" t="s">
        <v>7434</v>
      </c>
      <c r="C207" s="192" t="s">
        <v>7434</v>
      </c>
      <c r="D207" s="191"/>
      <c r="E207" s="192" t="s">
        <v>7901</v>
      </c>
    </row>
    <row r="208" spans="1:5">
      <c r="A208" s="193" t="s">
        <v>223</v>
      </c>
      <c r="B208" s="192" t="s">
        <v>7519</v>
      </c>
      <c r="C208" s="192" t="s">
        <v>7519</v>
      </c>
      <c r="D208" s="191"/>
      <c r="E208" s="192" t="s">
        <v>7997</v>
      </c>
    </row>
    <row r="209" spans="1:5">
      <c r="A209" s="193" t="s">
        <v>223</v>
      </c>
      <c r="B209" s="192" t="s">
        <v>7530</v>
      </c>
      <c r="C209" s="192" t="s">
        <v>7530</v>
      </c>
      <c r="D209" s="191"/>
      <c r="E209" s="192" t="s">
        <v>8023</v>
      </c>
    </row>
    <row r="210" spans="1:5">
      <c r="A210" s="193" t="s">
        <v>223</v>
      </c>
      <c r="B210" s="192" t="s">
        <v>7520</v>
      </c>
      <c r="C210" s="192" t="s">
        <v>7520</v>
      </c>
      <c r="D210" s="191"/>
      <c r="E210" s="192" t="s">
        <v>7998</v>
      </c>
    </row>
    <row r="211" spans="1:5">
      <c r="A211" s="193" t="s">
        <v>223</v>
      </c>
      <c r="B211" s="192" t="s">
        <v>7521</v>
      </c>
      <c r="C211" s="192" t="s">
        <v>7521</v>
      </c>
      <c r="D211" s="191"/>
      <c r="E211" s="192" t="s">
        <v>7999</v>
      </c>
    </row>
    <row r="212" spans="1:5">
      <c r="A212" s="193" t="s">
        <v>223</v>
      </c>
      <c r="B212" s="192" t="s">
        <v>7454</v>
      </c>
      <c r="C212" s="192" t="s">
        <v>7454</v>
      </c>
      <c r="D212" s="191"/>
      <c r="E212" s="192" t="s">
        <v>7924</v>
      </c>
    </row>
    <row r="213" spans="1:5">
      <c r="A213" s="193" t="s">
        <v>223</v>
      </c>
      <c r="B213" s="192" t="s">
        <v>7435</v>
      </c>
      <c r="C213" s="192" t="s">
        <v>7435</v>
      </c>
      <c r="D213" s="191"/>
      <c r="E213" s="192" t="s">
        <v>7902</v>
      </c>
    </row>
    <row r="214" spans="1:5">
      <c r="A214" s="193" t="s">
        <v>223</v>
      </c>
      <c r="B214" s="192" t="s">
        <v>224</v>
      </c>
      <c r="C214" s="192" t="s">
        <v>224</v>
      </c>
      <c r="D214" s="191"/>
      <c r="E214" s="192" t="s">
        <v>7903</v>
      </c>
    </row>
    <row r="215" spans="1:5">
      <c r="A215" s="193" t="s">
        <v>223</v>
      </c>
      <c r="B215" s="192" t="s">
        <v>7861</v>
      </c>
      <c r="C215" s="192" t="s">
        <v>7861</v>
      </c>
      <c r="D215" s="191"/>
      <c r="E215" s="192" t="s">
        <v>7925</v>
      </c>
    </row>
    <row r="216" spans="1:5">
      <c r="A216" s="193" t="s">
        <v>223</v>
      </c>
      <c r="B216" s="192" t="s">
        <v>7436</v>
      </c>
      <c r="C216" s="192" t="s">
        <v>7436</v>
      </c>
      <c r="D216" s="191"/>
      <c r="E216" s="192" t="s">
        <v>7904</v>
      </c>
    </row>
    <row r="217" spans="1:5">
      <c r="A217" s="193" t="s">
        <v>223</v>
      </c>
      <c r="B217" s="192" t="s">
        <v>7522</v>
      </c>
      <c r="C217" s="192" t="s">
        <v>7522</v>
      </c>
      <c r="D217" s="191"/>
      <c r="E217" s="192" t="s">
        <v>8000</v>
      </c>
    </row>
  </sheetData>
  <sheetProtection selectLockedCells="1" selectUnlockedCells="1"/>
  <sortState ref="A2:E217">
    <sortCondition ref="C2:C217"/>
  </sortState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09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89" zoomScaleNormal="89" workbookViewId="0">
      <selection activeCell="F25" sqref="F25"/>
    </sheetView>
  </sheetViews>
  <sheetFormatPr baseColWidth="10" defaultColWidth="10.7109375" defaultRowHeight="12.75"/>
  <cols>
    <col min="1" max="1" width="7.42578125" style="121" customWidth="1"/>
    <col min="2" max="2" width="11.7109375" style="121" customWidth="1"/>
    <col min="3" max="3" width="12.140625" style="121" customWidth="1"/>
    <col min="4" max="4" width="19.42578125" style="110" customWidth="1"/>
  </cols>
  <sheetData>
    <row r="1" spans="1:4">
      <c r="A1" s="112" t="s">
        <v>127</v>
      </c>
      <c r="B1" s="112" t="s">
        <v>128</v>
      </c>
      <c r="C1" s="112" t="s">
        <v>129</v>
      </c>
      <c r="D1" s="113" t="s">
        <v>130</v>
      </c>
    </row>
    <row r="2" spans="1:4">
      <c r="A2" s="123" t="s">
        <v>232</v>
      </c>
      <c r="B2" s="123" t="s">
        <v>233</v>
      </c>
      <c r="C2" s="123" t="s">
        <v>234</v>
      </c>
      <c r="D2" s="110" t="s">
        <v>7600</v>
      </c>
    </row>
    <row r="3" spans="1:4">
      <c r="A3" s="121" t="s">
        <v>232</v>
      </c>
      <c r="B3" s="121" t="s">
        <v>235</v>
      </c>
      <c r="C3" s="121" t="s">
        <v>236</v>
      </c>
      <c r="D3" s="110" t="s">
        <v>7601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95" zoomScaleNormal="95" workbookViewId="0">
      <selection activeCellId="1" sqref="A2:B2 A1"/>
    </sheetView>
  </sheetViews>
  <sheetFormatPr baseColWidth="10" defaultColWidth="12.85546875" defaultRowHeight="12.75"/>
  <cols>
    <col min="1" max="1" width="13.28515625" style="121" customWidth="1"/>
    <col min="2" max="2" width="13.7109375" style="110" customWidth="1"/>
    <col min="3" max="3" width="12.42578125" style="110" customWidth="1"/>
    <col min="4" max="4" width="13" style="110" customWidth="1"/>
  </cols>
  <sheetData>
    <row r="1" spans="1:4">
      <c r="A1" s="112" t="s">
        <v>142</v>
      </c>
      <c r="B1" s="113" t="s">
        <v>143</v>
      </c>
      <c r="C1" s="113" t="s">
        <v>29</v>
      </c>
      <c r="D1" s="113" t="s">
        <v>144</v>
      </c>
    </row>
    <row r="2" spans="1:4">
      <c r="A2" s="123" t="s">
        <v>237</v>
      </c>
      <c r="B2" s="110" t="s">
        <v>237</v>
      </c>
    </row>
    <row r="3" spans="1:4">
      <c r="A3" s="132" t="s">
        <v>238</v>
      </c>
      <c r="B3" s="133" t="s">
        <v>239</v>
      </c>
      <c r="D3" s="110" t="s">
        <v>237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M865"/>
  <sheetViews>
    <sheetView tabSelected="1" topLeftCell="P1" zoomScale="95" zoomScaleNormal="95" workbookViewId="0">
      <pane ySplit="1" topLeftCell="A2" activePane="bottomLeft" state="frozen"/>
      <selection pane="bottomLeft" activeCell="Z3" sqref="Z3"/>
    </sheetView>
  </sheetViews>
  <sheetFormatPr baseColWidth="10" defaultColWidth="11.28515625" defaultRowHeight="12.75"/>
  <cols>
    <col min="1" max="1" width="12.140625" style="152" customWidth="1"/>
    <col min="2" max="2" width="8" style="110" customWidth="1"/>
    <col min="3" max="3" width="5.42578125" style="110" customWidth="1"/>
    <col min="4" max="4" width="8.85546875" style="110" customWidth="1"/>
    <col min="5" max="5" width="3.7109375" style="111" customWidth="1"/>
    <col min="6" max="6" width="5" style="111" customWidth="1"/>
    <col min="7" max="7" width="5.5703125" style="111" customWidth="1"/>
    <col min="8" max="8" width="5.42578125" style="111" customWidth="1"/>
    <col min="9" max="10" width="10.85546875" style="110" customWidth="1"/>
    <col min="11" max="11" width="9.28515625" style="134" customWidth="1"/>
    <col min="12" max="13" width="8.7109375" style="151" customWidth="1"/>
    <col min="14" max="14" width="10.28515625" style="151" customWidth="1"/>
    <col min="15" max="15" width="11.7109375" style="134" customWidth="1"/>
    <col min="16" max="16" width="11.140625" style="151" customWidth="1"/>
    <col min="17" max="17" width="13.7109375" style="134" customWidth="1"/>
    <col min="18" max="18" width="11.28515625" style="151"/>
    <col min="19" max="19" width="13.7109375" style="134" customWidth="1"/>
    <col min="20" max="20" width="12.140625" style="151" customWidth="1"/>
    <col min="21" max="21" width="13.7109375" style="134" customWidth="1"/>
    <col min="22" max="22" width="10" style="151" customWidth="1"/>
    <col min="23" max="23" width="14.140625" style="134" customWidth="1"/>
    <col min="24" max="24" width="13.5703125" style="151" customWidth="1"/>
    <col min="25" max="25" width="12.85546875" style="134" customWidth="1"/>
    <col min="26" max="26" width="10.140625" style="151" customWidth="1"/>
    <col min="27" max="27" width="9.140625" style="134" bestFit="1" customWidth="1"/>
    <col min="28" max="28" width="8.7109375" style="151" customWidth="1"/>
    <col min="29" max="29" width="10.140625" style="134" customWidth="1"/>
    <col min="30" max="30" width="10.5703125" style="151" bestFit="1" customWidth="1"/>
    <col min="31" max="31" width="7.85546875" style="134" customWidth="1"/>
    <col min="32" max="32" width="9.7109375" style="151" customWidth="1"/>
    <col min="33" max="33" width="8.85546875" style="151" customWidth="1"/>
    <col min="34" max="34" width="10.85546875" style="151" customWidth="1"/>
    <col min="35" max="35" width="8.7109375" style="151" customWidth="1"/>
    <col min="36" max="36" width="11.28515625" style="151" bestFit="1" customWidth="1"/>
    <col min="37" max="37" width="7.85546875" style="134" customWidth="1"/>
    <col min="38" max="38" width="10.5703125" style="151" customWidth="1"/>
    <col min="39" max="39" width="15.7109375" style="134" customWidth="1"/>
    <col min="40" max="40" width="8.85546875" style="151" customWidth="1"/>
    <col min="41" max="56" width="11.28515625" style="134"/>
    <col min="57" max="57" width="8.140625" style="135" customWidth="1"/>
    <col min="58" max="16384" width="11.28515625" style="135"/>
  </cols>
  <sheetData>
    <row r="1" spans="1:91" s="136" customFormat="1" ht="13.5" thickBot="1">
      <c r="A1" s="153" t="s">
        <v>114</v>
      </c>
      <c r="B1" s="113" t="s">
        <v>135</v>
      </c>
      <c r="C1" s="113" t="s">
        <v>151</v>
      </c>
      <c r="D1" s="113" t="s">
        <v>240</v>
      </c>
      <c r="E1" s="114" t="s">
        <v>21</v>
      </c>
      <c r="F1" s="114" t="s">
        <v>22</v>
      </c>
      <c r="G1" s="114" t="s">
        <v>156</v>
      </c>
      <c r="H1" s="114" t="s">
        <v>157</v>
      </c>
      <c r="I1" s="333" t="s">
        <v>7773</v>
      </c>
      <c r="J1" s="333" t="s">
        <v>7774</v>
      </c>
      <c r="K1" s="329" t="s">
        <v>7775</v>
      </c>
      <c r="L1" s="330" t="s">
        <v>7776</v>
      </c>
      <c r="M1" s="329" t="s">
        <v>7777</v>
      </c>
      <c r="N1" s="330" t="s">
        <v>7778</v>
      </c>
      <c r="O1" s="329" t="s">
        <v>7779</v>
      </c>
      <c r="P1" s="330" t="s">
        <v>7780</v>
      </c>
      <c r="Q1" s="329" t="s">
        <v>7781</v>
      </c>
      <c r="R1" s="330" t="s">
        <v>7782</v>
      </c>
      <c r="S1" s="329" t="s">
        <v>250</v>
      </c>
      <c r="T1" s="330" t="s">
        <v>251</v>
      </c>
      <c r="U1" s="329" t="s">
        <v>7783</v>
      </c>
      <c r="V1" s="330" t="s">
        <v>7784</v>
      </c>
      <c r="W1" s="329" t="s">
        <v>7785</v>
      </c>
      <c r="X1" s="330" t="s">
        <v>7786</v>
      </c>
      <c r="Y1" s="329" t="s">
        <v>248</v>
      </c>
      <c r="Z1" s="330" t="s">
        <v>249</v>
      </c>
      <c r="AA1" s="329" t="s">
        <v>244</v>
      </c>
      <c r="AB1" s="330" t="s">
        <v>245</v>
      </c>
      <c r="AC1" s="329" t="s">
        <v>241</v>
      </c>
      <c r="AD1" s="330" t="s">
        <v>7787</v>
      </c>
      <c r="AE1" s="329" t="s">
        <v>7788</v>
      </c>
      <c r="AF1" s="330" t="s">
        <v>7789</v>
      </c>
      <c r="AG1" s="329" t="s">
        <v>242</v>
      </c>
      <c r="AH1" s="330" t="s">
        <v>243</v>
      </c>
      <c r="AI1" s="329" t="s">
        <v>7790</v>
      </c>
      <c r="AJ1" s="330" t="s">
        <v>7791</v>
      </c>
      <c r="AK1" s="329" t="s">
        <v>7792</v>
      </c>
      <c r="AL1" s="330" t="s">
        <v>7793</v>
      </c>
      <c r="AM1" s="329" t="s">
        <v>7794</v>
      </c>
      <c r="AN1" s="330" t="s">
        <v>7795</v>
      </c>
      <c r="AO1" s="330" t="s">
        <v>7796</v>
      </c>
      <c r="AP1" s="330" t="s">
        <v>7797</v>
      </c>
      <c r="AQ1" s="330" t="s">
        <v>7798</v>
      </c>
      <c r="AR1" s="330" t="s">
        <v>7799</v>
      </c>
      <c r="AS1" s="330" t="s">
        <v>7800</v>
      </c>
      <c r="AT1" s="330" t="s">
        <v>7801</v>
      </c>
      <c r="AU1" s="330" t="s">
        <v>7802</v>
      </c>
      <c r="AV1" s="330" t="s">
        <v>7803</v>
      </c>
      <c r="AW1" s="330" t="s">
        <v>7804</v>
      </c>
      <c r="AX1" s="330" t="s">
        <v>7805</v>
      </c>
      <c r="AY1" s="331" t="s">
        <v>7806</v>
      </c>
      <c r="AZ1" s="331" t="s">
        <v>7807</v>
      </c>
      <c r="BA1" s="331" t="s">
        <v>7808</v>
      </c>
      <c r="BB1" s="331" t="s">
        <v>7809</v>
      </c>
      <c r="BC1" s="331" t="s">
        <v>7810</v>
      </c>
      <c r="BD1" s="332" t="s">
        <v>7811</v>
      </c>
      <c r="BE1" s="136" t="s">
        <v>7812</v>
      </c>
      <c r="BF1" s="136" t="s">
        <v>7813</v>
      </c>
      <c r="BG1" s="136" t="s">
        <v>7814</v>
      </c>
      <c r="BH1" s="136" t="s">
        <v>7815</v>
      </c>
      <c r="BI1" s="136" t="s">
        <v>7816</v>
      </c>
      <c r="BJ1" s="136" t="s">
        <v>7817</v>
      </c>
      <c r="BK1" s="136" t="s">
        <v>7818</v>
      </c>
      <c r="BL1" s="136" t="s">
        <v>7819</v>
      </c>
      <c r="BM1" s="136" t="s">
        <v>7820</v>
      </c>
      <c r="BN1" s="136" t="s">
        <v>7821</v>
      </c>
      <c r="BO1" s="136" t="s">
        <v>7822</v>
      </c>
      <c r="BP1" s="136" t="s">
        <v>7823</v>
      </c>
      <c r="BQ1" s="136" t="s">
        <v>7824</v>
      </c>
      <c r="BR1" s="136" t="s">
        <v>7825</v>
      </c>
      <c r="BS1" s="136" t="s">
        <v>246</v>
      </c>
      <c r="BT1" s="136" t="s">
        <v>247</v>
      </c>
      <c r="BU1" s="136" t="s">
        <v>7826</v>
      </c>
      <c r="BV1" s="136" t="s">
        <v>7827</v>
      </c>
      <c r="BW1" s="136" t="s">
        <v>7828</v>
      </c>
      <c r="BX1" s="136" t="s">
        <v>7829</v>
      </c>
      <c r="BY1" s="136" t="s">
        <v>7830</v>
      </c>
      <c r="BZ1" s="136" t="s">
        <v>7831</v>
      </c>
      <c r="CA1" s="136" t="s">
        <v>7832</v>
      </c>
      <c r="CB1" s="136" t="s">
        <v>7833</v>
      </c>
      <c r="CC1" s="136" t="s">
        <v>7834</v>
      </c>
      <c r="CD1" s="136" t="s">
        <v>7835</v>
      </c>
      <c r="CE1" s="136" t="s">
        <v>7836</v>
      </c>
      <c r="CF1" s="136" t="s">
        <v>7837</v>
      </c>
      <c r="CG1" s="136" t="s">
        <v>7838</v>
      </c>
      <c r="CH1" s="136" t="s">
        <v>7839</v>
      </c>
      <c r="CI1" s="136" t="s">
        <v>7755</v>
      </c>
      <c r="CJ1" s="136" t="s">
        <v>7604</v>
      </c>
      <c r="CK1" s="136" t="s">
        <v>7762</v>
      </c>
      <c r="CL1" s="136" t="s">
        <v>7840</v>
      </c>
      <c r="CM1" s="136" t="s">
        <v>7841</v>
      </c>
    </row>
    <row r="2" spans="1:91" ht="15">
      <c r="A2" s="152">
        <v>155</v>
      </c>
      <c r="B2" s="110" t="s">
        <v>235</v>
      </c>
      <c r="C2" s="110" t="s">
        <v>8082</v>
      </c>
      <c r="D2" s="110">
        <v>11540</v>
      </c>
      <c r="E2" s="111">
        <v>5</v>
      </c>
      <c r="F2" s="111">
        <v>625</v>
      </c>
      <c r="I2" s="372"/>
      <c r="K2" s="191">
        <v>3</v>
      </c>
      <c r="L2" s="151">
        <v>41701</v>
      </c>
      <c r="M2" s="169">
        <v>5.65</v>
      </c>
      <c r="N2" s="151">
        <v>41838</v>
      </c>
      <c r="Q2" s="497"/>
      <c r="S2" s="134">
        <v>19.72</v>
      </c>
      <c r="T2" s="151">
        <v>41842</v>
      </c>
      <c r="U2" s="134">
        <v>13.5</v>
      </c>
      <c r="V2" s="151">
        <v>41838</v>
      </c>
      <c r="W2" s="196">
        <v>9</v>
      </c>
      <c r="X2" s="151">
        <v>41829</v>
      </c>
      <c r="Y2" s="134">
        <f>(AE2*BU2)/100</f>
        <v>5.7314400000000001</v>
      </c>
      <c r="AC2" s="134">
        <v>41.85</v>
      </c>
      <c r="AD2" s="151">
        <v>41838</v>
      </c>
      <c r="AE2" s="134">
        <v>43.42</v>
      </c>
      <c r="AF2" s="151">
        <v>41838</v>
      </c>
      <c r="AG2" s="197">
        <v>5.0999999999999996</v>
      </c>
      <c r="AH2" s="151">
        <v>41843</v>
      </c>
      <c r="AI2" s="198">
        <v>3</v>
      </c>
      <c r="AJ2" s="151">
        <v>41778</v>
      </c>
      <c r="AK2" s="199">
        <v>4</v>
      </c>
      <c r="AL2" s="151">
        <v>41709</v>
      </c>
      <c r="BE2" s="200">
        <v>4</v>
      </c>
      <c r="BF2" s="201">
        <v>41555</v>
      </c>
      <c r="BG2" s="202">
        <v>-5.0999999999999996</v>
      </c>
      <c r="BH2" s="151">
        <v>41842</v>
      </c>
      <c r="BM2" s="204">
        <v>60.7</v>
      </c>
      <c r="BN2" s="151">
        <v>41842</v>
      </c>
      <c r="BQ2" s="205">
        <v>12.1</v>
      </c>
      <c r="BR2" s="151">
        <v>41842</v>
      </c>
      <c r="BS2" s="206">
        <v>45.4</v>
      </c>
      <c r="BT2" s="151">
        <v>41842</v>
      </c>
      <c r="BU2" s="207">
        <v>13.2</v>
      </c>
      <c r="BV2" s="151">
        <v>41842</v>
      </c>
      <c r="BW2" s="206">
        <v>16.5</v>
      </c>
      <c r="BX2" s="151">
        <v>41842</v>
      </c>
      <c r="BY2" s="210">
        <v>7.52</v>
      </c>
      <c r="BZ2" s="151">
        <v>41842</v>
      </c>
      <c r="CA2" s="206">
        <v>29</v>
      </c>
      <c r="CB2" s="151">
        <v>41842</v>
      </c>
      <c r="CC2" s="208">
        <v>5.6</v>
      </c>
      <c r="CD2" s="151">
        <v>41838</v>
      </c>
      <c r="CL2" s="209">
        <v>3</v>
      </c>
      <c r="CM2" s="201">
        <v>41810</v>
      </c>
    </row>
    <row r="3" spans="1:91" ht="15">
      <c r="A3" s="152">
        <v>155</v>
      </c>
      <c r="B3" s="110" t="s">
        <v>233</v>
      </c>
      <c r="C3" s="110" t="s">
        <v>381</v>
      </c>
      <c r="D3" s="110">
        <v>11156</v>
      </c>
      <c r="E3" s="111">
        <v>6</v>
      </c>
      <c r="F3" s="111">
        <v>525</v>
      </c>
      <c r="I3" s="372"/>
      <c r="J3" s="372"/>
      <c r="K3" s="134">
        <v>5</v>
      </c>
      <c r="L3" s="151">
        <v>41701</v>
      </c>
      <c r="M3" s="169">
        <v>4.5</v>
      </c>
      <c r="N3" s="151">
        <v>41838</v>
      </c>
      <c r="Q3" s="497"/>
      <c r="S3" s="134">
        <v>16.09</v>
      </c>
      <c r="T3" s="151">
        <v>41842</v>
      </c>
      <c r="U3" s="134">
        <v>13.5</v>
      </c>
      <c r="V3" s="151">
        <v>41838</v>
      </c>
      <c r="W3" s="196">
        <v>9</v>
      </c>
      <c r="X3" s="151">
        <v>41829</v>
      </c>
      <c r="Y3" s="134">
        <f t="shared" ref="Y3:Y66" si="0">(AE3*BU3)/100</f>
        <v>4.4211200000000002</v>
      </c>
      <c r="AC3" s="134">
        <v>33.33</v>
      </c>
      <c r="AD3" s="151">
        <v>41838</v>
      </c>
      <c r="AE3" s="134">
        <v>34.54</v>
      </c>
      <c r="AF3" s="151">
        <v>41838</v>
      </c>
      <c r="AG3" s="197">
        <v>5</v>
      </c>
      <c r="AH3" s="151">
        <v>41843</v>
      </c>
      <c r="AI3" s="198">
        <v>3</v>
      </c>
      <c r="AJ3" s="151">
        <v>41778</v>
      </c>
      <c r="AK3" s="199">
        <v>5</v>
      </c>
      <c r="AL3" s="151">
        <v>41709</v>
      </c>
      <c r="BE3" s="200">
        <v>5</v>
      </c>
      <c r="BF3" s="201">
        <v>41555</v>
      </c>
      <c r="BG3" s="202">
        <v>-0.9</v>
      </c>
      <c r="BH3" s="151">
        <v>41842</v>
      </c>
      <c r="BM3" s="204">
        <v>62.4</v>
      </c>
      <c r="BN3" s="151">
        <v>41842</v>
      </c>
      <c r="BQ3" s="205">
        <v>11.7</v>
      </c>
      <c r="BR3" s="151">
        <v>41842</v>
      </c>
      <c r="BS3" s="206">
        <v>46.6</v>
      </c>
      <c r="BT3" s="151">
        <v>41842</v>
      </c>
      <c r="BU3" s="207">
        <v>12.8</v>
      </c>
      <c r="BV3" s="151">
        <v>41842</v>
      </c>
      <c r="BW3" s="206">
        <v>17.899999999999999</v>
      </c>
      <c r="BX3" s="151">
        <v>41842</v>
      </c>
      <c r="BY3" s="210">
        <v>7.29</v>
      </c>
      <c r="BZ3" s="151">
        <v>41842</v>
      </c>
      <c r="CA3" s="206">
        <v>28.8</v>
      </c>
      <c r="CB3" s="151">
        <v>41842</v>
      </c>
      <c r="CC3" s="208">
        <v>5.7</v>
      </c>
      <c r="CD3" s="151">
        <v>41838</v>
      </c>
      <c r="CL3" s="209">
        <v>3</v>
      </c>
      <c r="CM3" s="201">
        <v>41810</v>
      </c>
    </row>
    <row r="4" spans="1:91" ht="15">
      <c r="A4" s="152">
        <v>155</v>
      </c>
      <c r="B4" s="110" t="s">
        <v>235</v>
      </c>
      <c r="C4" s="110" t="s">
        <v>8081</v>
      </c>
      <c r="D4" s="110">
        <v>11281</v>
      </c>
      <c r="E4" s="111">
        <v>9</v>
      </c>
      <c r="F4" s="111">
        <v>593</v>
      </c>
      <c r="I4" s="372"/>
      <c r="J4" s="372"/>
      <c r="K4" s="134">
        <v>5</v>
      </c>
      <c r="L4" s="151">
        <v>41701</v>
      </c>
      <c r="M4" s="169">
        <v>6.1</v>
      </c>
      <c r="N4" s="151">
        <v>41838</v>
      </c>
      <c r="Q4" s="497"/>
      <c r="S4" s="134">
        <v>21.27</v>
      </c>
      <c r="T4" s="151">
        <v>41842</v>
      </c>
      <c r="U4" s="134">
        <v>13.5</v>
      </c>
      <c r="V4" s="151">
        <v>41838</v>
      </c>
      <c r="W4" s="196">
        <v>9</v>
      </c>
      <c r="X4" s="151">
        <v>41829</v>
      </c>
      <c r="Y4" s="134">
        <f t="shared" si="0"/>
        <v>6.2204100000000002</v>
      </c>
      <c r="AC4" s="134">
        <v>45.19</v>
      </c>
      <c r="AD4" s="151">
        <v>41838</v>
      </c>
      <c r="AE4" s="134">
        <v>46.77</v>
      </c>
      <c r="AF4" s="151">
        <v>41838</v>
      </c>
      <c r="AG4" s="197">
        <v>4.8</v>
      </c>
      <c r="AH4" s="151">
        <v>41843</v>
      </c>
      <c r="AI4" s="198">
        <v>3</v>
      </c>
      <c r="AJ4" s="151">
        <v>41778</v>
      </c>
      <c r="AK4" s="199">
        <v>5</v>
      </c>
      <c r="AL4" s="151">
        <v>41709</v>
      </c>
      <c r="BE4" s="200">
        <v>5</v>
      </c>
      <c r="BF4" s="201">
        <v>41555</v>
      </c>
      <c r="BG4" s="202">
        <v>-0.6</v>
      </c>
      <c r="BH4" s="151">
        <v>41842</v>
      </c>
      <c r="BM4" s="204">
        <v>61.4</v>
      </c>
      <c r="BN4" s="151">
        <v>41842</v>
      </c>
      <c r="BQ4" s="205">
        <v>12</v>
      </c>
      <c r="BR4" s="151">
        <v>41842</v>
      </c>
      <c r="BS4" s="206">
        <v>45.5</v>
      </c>
      <c r="BT4" s="151">
        <v>41842</v>
      </c>
      <c r="BU4" s="207">
        <v>13.3</v>
      </c>
      <c r="BV4" s="151">
        <v>41842</v>
      </c>
      <c r="BW4" s="206">
        <v>14</v>
      </c>
      <c r="BX4" s="151">
        <v>41842</v>
      </c>
      <c r="BY4" s="210">
        <v>7.2</v>
      </c>
      <c r="BZ4" s="151">
        <v>41842</v>
      </c>
      <c r="CA4" s="206">
        <v>29.3</v>
      </c>
      <c r="CB4" s="151">
        <v>41842</v>
      </c>
      <c r="CC4" s="208">
        <v>5.8</v>
      </c>
      <c r="CD4" s="151">
        <v>41838</v>
      </c>
      <c r="CL4" s="209">
        <v>3</v>
      </c>
      <c r="CM4" s="201">
        <v>41810</v>
      </c>
    </row>
    <row r="5" spans="1:91" ht="15">
      <c r="A5" s="152">
        <v>155</v>
      </c>
      <c r="B5" s="110" t="s">
        <v>233</v>
      </c>
      <c r="C5" s="110" t="s">
        <v>8083</v>
      </c>
      <c r="D5" s="110">
        <v>11700</v>
      </c>
      <c r="E5" s="111">
        <v>9</v>
      </c>
      <c r="F5" s="111">
        <v>689</v>
      </c>
      <c r="I5" s="372"/>
      <c r="K5" s="134">
        <v>5</v>
      </c>
      <c r="L5" s="151">
        <v>41701</v>
      </c>
      <c r="M5" s="169">
        <v>4.1500000000000004</v>
      </c>
      <c r="N5" s="151">
        <v>41838</v>
      </c>
      <c r="Q5" s="497"/>
      <c r="S5" s="134">
        <v>14.74</v>
      </c>
      <c r="T5" s="151">
        <v>41842</v>
      </c>
      <c r="U5" s="134">
        <v>13.5</v>
      </c>
      <c r="V5" s="151">
        <v>41838</v>
      </c>
      <c r="W5" s="196">
        <v>9</v>
      </c>
      <c r="X5" s="151">
        <v>41829</v>
      </c>
      <c r="Y5" s="134">
        <f t="shared" si="0"/>
        <v>3.9862500000000001</v>
      </c>
      <c r="AC5" s="134">
        <v>30.74</v>
      </c>
      <c r="AD5" s="151">
        <v>41838</v>
      </c>
      <c r="AE5" s="134">
        <v>31.89</v>
      </c>
      <c r="AF5" s="151">
        <v>41838</v>
      </c>
      <c r="AG5" s="197">
        <v>4.9000000000000004</v>
      </c>
      <c r="AH5" s="151">
        <v>41843</v>
      </c>
      <c r="AI5" s="198">
        <v>3</v>
      </c>
      <c r="AJ5" s="151">
        <v>41778</v>
      </c>
      <c r="AK5" s="199">
        <v>4</v>
      </c>
      <c r="AL5" s="151">
        <v>41709</v>
      </c>
      <c r="BE5" s="200">
        <v>4</v>
      </c>
      <c r="BF5" s="201">
        <v>41555</v>
      </c>
      <c r="BG5" s="202">
        <v>-0.7</v>
      </c>
      <c r="BH5" s="151">
        <v>41842</v>
      </c>
      <c r="BM5" s="204">
        <v>62.7</v>
      </c>
      <c r="BN5" s="151">
        <v>41842</v>
      </c>
      <c r="BQ5" s="205">
        <v>11.7</v>
      </c>
      <c r="BR5" s="151">
        <v>41842</v>
      </c>
      <c r="BS5" s="206">
        <v>46.2</v>
      </c>
      <c r="BT5" s="151">
        <v>41842</v>
      </c>
      <c r="BU5" s="207">
        <v>12.5</v>
      </c>
      <c r="BV5" s="151">
        <v>41842</v>
      </c>
      <c r="BW5" s="206">
        <v>18.7</v>
      </c>
      <c r="BX5" s="151">
        <v>41842</v>
      </c>
      <c r="BY5" s="210">
        <v>7.21</v>
      </c>
      <c r="BZ5" s="151">
        <v>41842</v>
      </c>
      <c r="CA5" s="206">
        <v>27.8</v>
      </c>
      <c r="CB5" s="151">
        <v>41842</v>
      </c>
      <c r="CC5" s="208">
        <v>5.6</v>
      </c>
      <c r="CD5" s="151">
        <v>41838</v>
      </c>
      <c r="CL5" s="209">
        <v>3</v>
      </c>
      <c r="CM5" s="201">
        <v>41810</v>
      </c>
    </row>
    <row r="6" spans="1:91" ht="15">
      <c r="A6" s="152">
        <v>214</v>
      </c>
      <c r="B6" s="110" t="s">
        <v>235</v>
      </c>
      <c r="C6" s="110" t="s">
        <v>8082</v>
      </c>
      <c r="D6" s="110">
        <v>11460</v>
      </c>
      <c r="E6" s="111">
        <v>2</v>
      </c>
      <c r="F6" s="111">
        <v>737</v>
      </c>
      <c r="I6" s="372"/>
      <c r="K6" s="134">
        <v>5</v>
      </c>
      <c r="L6" s="151">
        <v>41701</v>
      </c>
      <c r="M6" s="169">
        <v>7.05</v>
      </c>
      <c r="N6" s="151">
        <v>41838</v>
      </c>
      <c r="Q6" s="497"/>
      <c r="S6" s="134">
        <v>25.47</v>
      </c>
      <c r="T6" s="151">
        <v>41842</v>
      </c>
      <c r="U6" s="134">
        <v>13.5</v>
      </c>
      <c r="V6" s="151">
        <v>41838</v>
      </c>
      <c r="W6" s="196">
        <v>9</v>
      </c>
      <c r="X6" s="151">
        <v>41829</v>
      </c>
      <c r="Y6" s="134">
        <f t="shared" si="0"/>
        <v>6.9144000000000005</v>
      </c>
      <c r="AC6" s="134">
        <v>52.22</v>
      </c>
      <c r="AD6" s="151">
        <v>41838</v>
      </c>
      <c r="AE6" s="134">
        <v>53.6</v>
      </c>
      <c r="AF6" s="151">
        <v>41838</v>
      </c>
      <c r="AG6" s="197">
        <v>4.0999999999999996</v>
      </c>
      <c r="AH6" s="151">
        <v>41843</v>
      </c>
      <c r="AI6" s="198">
        <v>7</v>
      </c>
      <c r="AJ6" s="151">
        <v>41778</v>
      </c>
      <c r="AK6" s="199">
        <v>5</v>
      </c>
      <c r="AL6" s="151">
        <v>41709</v>
      </c>
      <c r="BE6" s="200">
        <v>5</v>
      </c>
      <c r="BF6" s="201">
        <v>41555</v>
      </c>
      <c r="BG6" s="202">
        <v>-6.2</v>
      </c>
      <c r="BH6" s="151">
        <v>41842</v>
      </c>
      <c r="BM6" s="204">
        <v>63.9</v>
      </c>
      <c r="BN6" s="151">
        <v>41842</v>
      </c>
      <c r="BQ6" s="205">
        <v>11.2</v>
      </c>
      <c r="BR6" s="151">
        <v>41842</v>
      </c>
      <c r="BS6" s="206">
        <v>47.5</v>
      </c>
      <c r="BT6" s="151">
        <v>41842</v>
      </c>
      <c r="BU6" s="207">
        <v>12.9</v>
      </c>
      <c r="BV6" s="151">
        <v>41842</v>
      </c>
      <c r="BW6" s="206">
        <v>13.7</v>
      </c>
      <c r="BX6" s="151">
        <v>41842</v>
      </c>
      <c r="BY6" s="210">
        <v>7.27</v>
      </c>
      <c r="BZ6" s="151">
        <v>41842</v>
      </c>
      <c r="CA6" s="206">
        <v>29.6</v>
      </c>
      <c r="CB6" s="151">
        <v>41842</v>
      </c>
      <c r="CC6" s="208">
        <v>6.6</v>
      </c>
      <c r="CD6" s="151">
        <v>41838</v>
      </c>
      <c r="CL6" s="209">
        <v>3</v>
      </c>
      <c r="CM6" s="201">
        <v>41810</v>
      </c>
    </row>
    <row r="7" spans="1:91" ht="15">
      <c r="A7" s="152">
        <v>214</v>
      </c>
      <c r="B7" s="110" t="s">
        <v>233</v>
      </c>
      <c r="C7" s="110" t="s">
        <v>381</v>
      </c>
      <c r="D7" s="110">
        <v>11084</v>
      </c>
      <c r="E7" s="111">
        <v>4</v>
      </c>
      <c r="F7" s="111">
        <v>525</v>
      </c>
      <c r="I7" s="372"/>
      <c r="K7" s="134">
        <v>5</v>
      </c>
      <c r="L7" s="151">
        <v>41701</v>
      </c>
      <c r="M7" s="169">
        <v>5.55</v>
      </c>
      <c r="N7" s="151">
        <v>41838</v>
      </c>
      <c r="Q7" s="497"/>
      <c r="S7" s="134">
        <v>20.58</v>
      </c>
      <c r="T7" s="151">
        <v>41842</v>
      </c>
      <c r="U7" s="134">
        <v>13.5</v>
      </c>
      <c r="V7" s="151">
        <v>41838</v>
      </c>
      <c r="W7" s="196">
        <v>9</v>
      </c>
      <c r="X7" s="151">
        <v>41829</v>
      </c>
      <c r="Y7" s="134">
        <f t="shared" si="0"/>
        <v>5.2774400000000004</v>
      </c>
      <c r="AC7" s="134">
        <v>41.11</v>
      </c>
      <c r="AD7" s="151">
        <v>41838</v>
      </c>
      <c r="AE7" s="134">
        <v>42.56</v>
      </c>
      <c r="AF7" s="151">
        <v>41838</v>
      </c>
      <c r="AG7" s="197">
        <v>4.0999999999999996</v>
      </c>
      <c r="AH7" s="151">
        <v>41843</v>
      </c>
      <c r="AI7" s="198">
        <v>5</v>
      </c>
      <c r="AJ7" s="151">
        <v>41778</v>
      </c>
      <c r="AK7" s="199">
        <v>7</v>
      </c>
      <c r="AL7" s="151">
        <v>41709</v>
      </c>
      <c r="BE7" s="200">
        <v>7</v>
      </c>
      <c r="BF7" s="201">
        <v>41555</v>
      </c>
      <c r="BG7" s="202">
        <v>-5.8</v>
      </c>
      <c r="BH7" s="151">
        <v>41842</v>
      </c>
      <c r="BM7" s="204">
        <v>64.400000000000006</v>
      </c>
      <c r="BN7" s="151">
        <v>41842</v>
      </c>
      <c r="BQ7" s="205">
        <v>10.199999999999999</v>
      </c>
      <c r="BR7" s="151">
        <v>41842</v>
      </c>
      <c r="BS7" s="206">
        <v>48.4</v>
      </c>
      <c r="BT7" s="151">
        <v>41842</v>
      </c>
      <c r="BU7" s="207">
        <v>12.4</v>
      </c>
      <c r="BV7" s="151">
        <v>41842</v>
      </c>
      <c r="BW7" s="206">
        <v>13.2</v>
      </c>
      <c r="BX7" s="151">
        <v>41842</v>
      </c>
      <c r="BY7" s="210">
        <v>6.91</v>
      </c>
      <c r="BZ7" s="151">
        <v>41842</v>
      </c>
      <c r="CA7" s="206">
        <v>29</v>
      </c>
      <c r="CB7" s="151">
        <v>41842</v>
      </c>
      <c r="CC7" s="208">
        <v>5.8</v>
      </c>
      <c r="CD7" s="151">
        <v>41838</v>
      </c>
      <c r="CL7" s="209">
        <v>3</v>
      </c>
      <c r="CM7" s="201">
        <v>41810</v>
      </c>
    </row>
    <row r="8" spans="1:91" ht="15">
      <c r="A8" s="152">
        <v>214</v>
      </c>
      <c r="B8" s="110" t="s">
        <v>233</v>
      </c>
      <c r="C8" s="110" t="s">
        <v>8083</v>
      </c>
      <c r="D8" s="110">
        <v>11619</v>
      </c>
      <c r="E8" s="111">
        <v>7</v>
      </c>
      <c r="F8" s="111">
        <v>653</v>
      </c>
      <c r="I8" s="372"/>
      <c r="K8" s="134">
        <v>5</v>
      </c>
      <c r="L8" s="151">
        <v>41701</v>
      </c>
      <c r="M8" s="169">
        <v>5</v>
      </c>
      <c r="N8" s="151">
        <v>41838</v>
      </c>
      <c r="Q8" s="497"/>
      <c r="S8" s="134">
        <v>18.489999999999998</v>
      </c>
      <c r="T8" s="151">
        <v>41842</v>
      </c>
      <c r="U8" s="134">
        <v>13.5</v>
      </c>
      <c r="V8" s="151">
        <v>41838</v>
      </c>
      <c r="W8" s="196">
        <v>9</v>
      </c>
      <c r="X8" s="151">
        <v>41829</v>
      </c>
      <c r="Y8" s="134">
        <f t="shared" si="0"/>
        <v>4.8409199999999997</v>
      </c>
      <c r="AC8" s="134">
        <v>37.04</v>
      </c>
      <c r="AD8" s="151">
        <v>41838</v>
      </c>
      <c r="AE8" s="134">
        <v>38.42</v>
      </c>
      <c r="AF8" s="151">
        <v>41838</v>
      </c>
      <c r="AG8" s="197">
        <v>4.0999999999999996</v>
      </c>
      <c r="AH8" s="151">
        <v>41843</v>
      </c>
      <c r="AI8" s="198">
        <v>5</v>
      </c>
      <c r="AJ8" s="151">
        <v>41778</v>
      </c>
      <c r="AK8" s="199">
        <v>5</v>
      </c>
      <c r="AL8" s="151">
        <v>41709</v>
      </c>
      <c r="BE8" s="200">
        <v>5</v>
      </c>
      <c r="BF8" s="201">
        <v>41555</v>
      </c>
      <c r="BG8" s="202">
        <v>-6.6</v>
      </c>
      <c r="BH8" s="151">
        <v>41842</v>
      </c>
      <c r="BM8" s="204">
        <v>64.5</v>
      </c>
      <c r="BN8" s="151">
        <v>41842</v>
      </c>
      <c r="BQ8" s="205">
        <v>10.4</v>
      </c>
      <c r="BR8" s="151">
        <v>41842</v>
      </c>
      <c r="BS8" s="206">
        <v>48.1</v>
      </c>
      <c r="BT8" s="151">
        <v>41842</v>
      </c>
      <c r="BU8" s="207">
        <v>12.6</v>
      </c>
      <c r="BV8" s="151">
        <v>41842</v>
      </c>
      <c r="BW8" s="206">
        <v>15.9</v>
      </c>
      <c r="BX8" s="151">
        <v>41842</v>
      </c>
      <c r="BY8" s="210">
        <v>7.06</v>
      </c>
      <c r="BZ8" s="151">
        <v>41842</v>
      </c>
      <c r="CA8" s="206">
        <v>29.4</v>
      </c>
      <c r="CB8" s="151">
        <v>41842</v>
      </c>
      <c r="CC8" s="208">
        <v>5.6</v>
      </c>
      <c r="CD8" s="151">
        <v>41838</v>
      </c>
      <c r="CL8" s="209">
        <v>3</v>
      </c>
      <c r="CM8" s="201">
        <v>41810</v>
      </c>
    </row>
    <row r="9" spans="1:91" ht="15">
      <c r="A9" s="152">
        <v>214</v>
      </c>
      <c r="B9" s="110" t="s">
        <v>235</v>
      </c>
      <c r="C9" s="110" t="s">
        <v>8081</v>
      </c>
      <c r="D9" s="110">
        <v>11273</v>
      </c>
      <c r="E9" s="111">
        <v>9</v>
      </c>
      <c r="F9" s="111">
        <v>561</v>
      </c>
      <c r="I9" s="372"/>
      <c r="K9" s="134">
        <v>5</v>
      </c>
      <c r="L9" s="151">
        <v>41701</v>
      </c>
      <c r="M9" s="169">
        <v>6.95</v>
      </c>
      <c r="N9" s="151">
        <v>41838</v>
      </c>
      <c r="Q9" s="497"/>
      <c r="S9" s="134">
        <v>25.85</v>
      </c>
      <c r="T9" s="151">
        <v>41842</v>
      </c>
      <c r="U9" s="134">
        <v>13.5</v>
      </c>
      <c r="V9" s="151">
        <v>41838</v>
      </c>
      <c r="W9" s="196">
        <v>9</v>
      </c>
      <c r="X9" s="151">
        <v>41829</v>
      </c>
      <c r="Y9" s="134">
        <f t="shared" si="0"/>
        <v>6.4553499999999993</v>
      </c>
      <c r="AC9" s="134">
        <v>51.48</v>
      </c>
      <c r="AD9" s="151">
        <v>41838</v>
      </c>
      <c r="AE9" s="134">
        <v>53.35</v>
      </c>
      <c r="AF9" s="151">
        <v>41838</v>
      </c>
      <c r="AG9" s="197">
        <v>3.9</v>
      </c>
      <c r="AH9" s="151">
        <v>41843</v>
      </c>
      <c r="AI9" s="198">
        <v>7</v>
      </c>
      <c r="AJ9" s="151">
        <v>41778</v>
      </c>
      <c r="AK9" s="199">
        <v>5</v>
      </c>
      <c r="AL9" s="151">
        <v>41709</v>
      </c>
      <c r="BE9" s="200">
        <v>5</v>
      </c>
      <c r="BF9" s="201">
        <v>41555</v>
      </c>
      <c r="BG9" s="202">
        <v>-6.2</v>
      </c>
      <c r="BH9" s="151">
        <v>41842</v>
      </c>
      <c r="BM9" s="204">
        <v>64.5</v>
      </c>
      <c r="BN9" s="151">
        <v>41842</v>
      </c>
      <c r="BQ9" s="205">
        <v>10.1</v>
      </c>
      <c r="BR9" s="151">
        <v>41842</v>
      </c>
      <c r="BS9" s="206">
        <v>48.5</v>
      </c>
      <c r="BT9" s="151">
        <v>41842</v>
      </c>
      <c r="BU9" s="207">
        <v>12.1</v>
      </c>
      <c r="BV9" s="151">
        <v>41842</v>
      </c>
      <c r="BW9" s="206">
        <v>12.2</v>
      </c>
      <c r="BX9" s="151">
        <v>41842</v>
      </c>
      <c r="BY9" s="210">
        <v>7.36</v>
      </c>
      <c r="BZ9" s="151">
        <v>41842</v>
      </c>
      <c r="CA9" s="206">
        <v>28.4</v>
      </c>
      <c r="CB9" s="151">
        <v>41842</v>
      </c>
      <c r="CC9" s="208">
        <v>5.7</v>
      </c>
      <c r="CD9" s="151">
        <v>41838</v>
      </c>
      <c r="CL9" s="209">
        <v>3</v>
      </c>
      <c r="CM9" s="201">
        <v>41810</v>
      </c>
    </row>
    <row r="10" spans="1:91" ht="15">
      <c r="A10" s="152">
        <v>215</v>
      </c>
      <c r="B10" s="110" t="s">
        <v>233</v>
      </c>
      <c r="C10" s="110" t="s">
        <v>381</v>
      </c>
      <c r="D10" s="110">
        <v>10969</v>
      </c>
      <c r="E10" s="111">
        <v>1</v>
      </c>
      <c r="F10" s="111">
        <v>497</v>
      </c>
      <c r="I10" s="137"/>
      <c r="K10" s="194">
        <v>5</v>
      </c>
      <c r="L10" s="151">
        <v>41701</v>
      </c>
      <c r="M10" s="169">
        <v>4.95</v>
      </c>
      <c r="N10" s="151">
        <v>41838</v>
      </c>
      <c r="Q10" s="497"/>
      <c r="S10" s="134">
        <v>18.46</v>
      </c>
      <c r="T10" s="151">
        <v>41842</v>
      </c>
      <c r="U10" s="138">
        <v>13.5</v>
      </c>
      <c r="V10" s="151">
        <v>41838</v>
      </c>
      <c r="W10" s="196">
        <v>9</v>
      </c>
      <c r="X10" s="151">
        <v>41829</v>
      </c>
      <c r="Y10" s="134">
        <f t="shared" si="0"/>
        <v>4.5408000000000008</v>
      </c>
      <c r="AA10" s="138"/>
      <c r="AC10" s="138">
        <v>36.67</v>
      </c>
      <c r="AD10" s="151">
        <v>41838</v>
      </c>
      <c r="AE10" s="137">
        <v>37.840000000000003</v>
      </c>
      <c r="AF10" s="151">
        <v>41838</v>
      </c>
      <c r="AG10" s="197">
        <v>4.2</v>
      </c>
      <c r="AH10" s="151">
        <v>41843</v>
      </c>
      <c r="AI10" s="198">
        <v>3</v>
      </c>
      <c r="AJ10" s="151">
        <v>41778</v>
      </c>
      <c r="AK10" s="199">
        <v>5</v>
      </c>
      <c r="AL10" s="151">
        <v>41709</v>
      </c>
      <c r="AM10" s="138"/>
      <c r="BE10" s="200">
        <v>5</v>
      </c>
      <c r="BF10" s="201">
        <v>41555</v>
      </c>
      <c r="BG10" s="202">
        <v>-5.2</v>
      </c>
      <c r="BH10" s="151">
        <v>41842</v>
      </c>
      <c r="BM10" s="204">
        <v>64.599999999999994</v>
      </c>
      <c r="BN10" s="151">
        <v>41842</v>
      </c>
      <c r="BQ10" s="205">
        <v>9.9</v>
      </c>
      <c r="BR10" s="151">
        <v>41842</v>
      </c>
      <c r="BS10" s="206">
        <v>48.8</v>
      </c>
      <c r="BT10" s="151">
        <v>41842</v>
      </c>
      <c r="BU10" s="207">
        <v>12</v>
      </c>
      <c r="BV10" s="151">
        <v>41842</v>
      </c>
      <c r="BW10" s="206">
        <v>13.1</v>
      </c>
      <c r="BX10" s="151">
        <v>41842</v>
      </c>
      <c r="BY10" s="210">
        <v>6.99</v>
      </c>
      <c r="BZ10" s="151">
        <v>41842</v>
      </c>
      <c r="CA10" s="206">
        <v>28.5</v>
      </c>
      <c r="CB10" s="151">
        <v>41842</v>
      </c>
      <c r="CC10" s="208">
        <v>6.1</v>
      </c>
      <c r="CD10" s="151">
        <v>41838</v>
      </c>
      <c r="CL10" s="209">
        <v>3</v>
      </c>
      <c r="CM10" s="201">
        <v>41810</v>
      </c>
    </row>
    <row r="11" spans="1:91" ht="15">
      <c r="A11" s="152">
        <v>215</v>
      </c>
      <c r="B11" s="110" t="s">
        <v>235</v>
      </c>
      <c r="C11" s="110" t="s">
        <v>8082</v>
      </c>
      <c r="D11" s="110">
        <v>11444</v>
      </c>
      <c r="E11" s="111">
        <v>2</v>
      </c>
      <c r="F11" s="111">
        <v>673</v>
      </c>
      <c r="I11" s="372"/>
      <c r="K11" s="134">
        <v>5</v>
      </c>
      <c r="L11" s="151">
        <v>41701</v>
      </c>
      <c r="M11" s="169">
        <v>5.45</v>
      </c>
      <c r="N11" s="151">
        <v>41838</v>
      </c>
      <c r="Q11" s="497"/>
      <c r="S11" s="134">
        <v>19.87</v>
      </c>
      <c r="T11" s="151">
        <v>41842</v>
      </c>
      <c r="U11" s="134">
        <v>13.5</v>
      </c>
      <c r="V11" s="151">
        <v>41838</v>
      </c>
      <c r="W11" s="196">
        <v>9</v>
      </c>
      <c r="X11" s="151">
        <v>41829</v>
      </c>
      <c r="Y11" s="134">
        <f t="shared" si="0"/>
        <v>5.3741399999999997</v>
      </c>
      <c r="AC11" s="134">
        <v>40.369999999999997</v>
      </c>
      <c r="AD11" s="151">
        <v>41838</v>
      </c>
      <c r="AE11" s="134">
        <v>41.66</v>
      </c>
      <c r="AF11" s="151">
        <v>41838</v>
      </c>
      <c r="AG11" s="197">
        <v>4.2</v>
      </c>
      <c r="AH11" s="151">
        <v>41843</v>
      </c>
      <c r="AI11" s="198">
        <v>7</v>
      </c>
      <c r="AJ11" s="151">
        <v>41778</v>
      </c>
      <c r="AK11" s="199">
        <v>5</v>
      </c>
      <c r="AL11" s="151">
        <v>41709</v>
      </c>
      <c r="BE11" s="200">
        <v>5</v>
      </c>
      <c r="BF11" s="201">
        <v>41555</v>
      </c>
      <c r="BG11" s="202">
        <v>-7.8</v>
      </c>
      <c r="BH11" s="151">
        <v>41842</v>
      </c>
      <c r="BM11" s="204">
        <v>64.599999999999994</v>
      </c>
      <c r="BN11" s="151">
        <v>41842</v>
      </c>
      <c r="BQ11" s="205">
        <v>10.8</v>
      </c>
      <c r="BR11" s="151">
        <v>41842</v>
      </c>
      <c r="BS11" s="206">
        <v>47.7</v>
      </c>
      <c r="BT11" s="151">
        <v>41842</v>
      </c>
      <c r="BU11" s="207">
        <v>12.9</v>
      </c>
      <c r="BV11" s="151">
        <v>41842</v>
      </c>
      <c r="BW11" s="206">
        <v>12.7</v>
      </c>
      <c r="BX11" s="151">
        <v>41842</v>
      </c>
      <c r="BY11" s="210">
        <v>7.41</v>
      </c>
      <c r="BZ11" s="151">
        <v>41842</v>
      </c>
      <c r="CA11" s="206">
        <v>29.7</v>
      </c>
      <c r="CB11" s="151">
        <v>41842</v>
      </c>
      <c r="CC11" s="208">
        <v>6.1</v>
      </c>
      <c r="CD11" s="151">
        <v>41838</v>
      </c>
      <c r="CL11" s="209">
        <v>3</v>
      </c>
      <c r="CM11" s="201">
        <v>41810</v>
      </c>
    </row>
    <row r="12" spans="1:91" ht="15">
      <c r="A12" s="152">
        <v>215</v>
      </c>
      <c r="B12" s="110" t="s">
        <v>233</v>
      </c>
      <c r="C12" s="110" t="s">
        <v>8083</v>
      </c>
      <c r="D12" s="110">
        <v>11669</v>
      </c>
      <c r="E12" s="111">
        <v>8</v>
      </c>
      <c r="F12" s="111">
        <v>709</v>
      </c>
      <c r="I12" s="372"/>
      <c r="K12" s="138">
        <v>7</v>
      </c>
      <c r="L12" s="151">
        <v>41701</v>
      </c>
      <c r="M12" s="169">
        <v>4.3499999999999996</v>
      </c>
      <c r="N12" s="151">
        <v>41838</v>
      </c>
      <c r="Q12" s="497"/>
      <c r="S12" s="134">
        <v>16.32</v>
      </c>
      <c r="T12" s="151">
        <v>41842</v>
      </c>
      <c r="U12" s="134">
        <v>13.5</v>
      </c>
      <c r="V12" s="151">
        <v>41838</v>
      </c>
      <c r="W12" s="196">
        <v>9</v>
      </c>
      <c r="X12" s="151">
        <v>41829</v>
      </c>
      <c r="Y12" s="134">
        <f t="shared" si="0"/>
        <v>4.0152000000000001</v>
      </c>
      <c r="AC12" s="134">
        <v>32.22</v>
      </c>
      <c r="AD12" s="151">
        <v>41838</v>
      </c>
      <c r="AE12" s="134">
        <v>33.46</v>
      </c>
      <c r="AF12" s="151">
        <v>41838</v>
      </c>
      <c r="AG12" s="197">
        <v>4.0999999999999996</v>
      </c>
      <c r="AH12" s="151">
        <v>41843</v>
      </c>
      <c r="AI12" s="198">
        <v>7</v>
      </c>
      <c r="AJ12" s="151">
        <v>41778</v>
      </c>
      <c r="AK12" s="199">
        <v>5</v>
      </c>
      <c r="AL12" s="151">
        <v>41709</v>
      </c>
      <c r="BE12" s="200">
        <v>5</v>
      </c>
      <c r="BF12" s="201">
        <v>41555</v>
      </c>
      <c r="BG12" s="202">
        <v>-7.6</v>
      </c>
      <c r="BH12" s="151">
        <v>41842</v>
      </c>
      <c r="BM12" s="204">
        <v>66</v>
      </c>
      <c r="BN12" s="151">
        <v>41842</v>
      </c>
      <c r="BQ12" s="205">
        <v>10.1</v>
      </c>
      <c r="BR12" s="151">
        <v>41842</v>
      </c>
      <c r="BS12" s="206">
        <v>48.8</v>
      </c>
      <c r="BT12" s="151">
        <v>41842</v>
      </c>
      <c r="BU12" s="207">
        <v>12</v>
      </c>
      <c r="BV12" s="151">
        <v>41842</v>
      </c>
      <c r="BW12" s="206">
        <v>13.6</v>
      </c>
      <c r="BX12" s="151">
        <v>41842</v>
      </c>
      <c r="BY12" s="210">
        <v>6.94</v>
      </c>
      <c r="BZ12" s="151">
        <v>41842</v>
      </c>
      <c r="CA12" s="206">
        <v>28.4</v>
      </c>
      <c r="CB12" s="151">
        <v>41842</v>
      </c>
      <c r="CC12" s="208">
        <v>5.5</v>
      </c>
      <c r="CD12" s="151">
        <v>41838</v>
      </c>
      <c r="CL12" s="209">
        <v>3</v>
      </c>
      <c r="CM12" s="201">
        <v>41810</v>
      </c>
    </row>
    <row r="13" spans="1:91" ht="15">
      <c r="A13" s="152">
        <v>215</v>
      </c>
      <c r="B13" s="110" t="s">
        <v>235</v>
      </c>
      <c r="C13" s="110" t="s">
        <v>8081</v>
      </c>
      <c r="D13" s="110">
        <v>11268</v>
      </c>
      <c r="E13" s="111">
        <v>9</v>
      </c>
      <c r="F13" s="111">
        <v>541</v>
      </c>
      <c r="I13" s="372"/>
      <c r="K13" s="134">
        <v>5</v>
      </c>
      <c r="L13" s="151">
        <v>41701</v>
      </c>
      <c r="M13" s="169">
        <v>6.45</v>
      </c>
      <c r="N13" s="151">
        <v>41838</v>
      </c>
      <c r="Q13" s="497"/>
      <c r="S13" s="134">
        <v>23.89</v>
      </c>
      <c r="T13" s="151">
        <v>41842</v>
      </c>
      <c r="U13" s="134">
        <v>13.5</v>
      </c>
      <c r="V13" s="151">
        <v>41838</v>
      </c>
      <c r="W13" s="196">
        <v>9</v>
      </c>
      <c r="X13" s="151">
        <v>41829</v>
      </c>
      <c r="Y13" s="134">
        <f t="shared" si="0"/>
        <v>6.0958800000000011</v>
      </c>
      <c r="AC13" s="134">
        <v>47.78</v>
      </c>
      <c r="AD13" s="151">
        <v>41838</v>
      </c>
      <c r="AE13" s="134">
        <v>49.56</v>
      </c>
      <c r="AF13" s="151">
        <v>41838</v>
      </c>
      <c r="AG13" s="197">
        <v>4</v>
      </c>
      <c r="AH13" s="151">
        <v>41843</v>
      </c>
      <c r="AI13" s="198">
        <v>7</v>
      </c>
      <c r="AJ13" s="151">
        <v>41778</v>
      </c>
      <c r="AK13" s="199">
        <v>7</v>
      </c>
      <c r="AL13" s="151">
        <v>41709</v>
      </c>
      <c r="BE13" s="200">
        <v>7</v>
      </c>
      <c r="BF13" s="201">
        <v>41555</v>
      </c>
      <c r="BG13" s="202">
        <v>-7.1</v>
      </c>
      <c r="BH13" s="151">
        <v>41842</v>
      </c>
      <c r="BM13" s="204">
        <v>63.9</v>
      </c>
      <c r="BN13" s="151">
        <v>41842</v>
      </c>
      <c r="BQ13" s="205">
        <v>10.1</v>
      </c>
      <c r="BR13" s="151">
        <v>41842</v>
      </c>
      <c r="BS13" s="206">
        <v>48.2</v>
      </c>
      <c r="BT13" s="151">
        <v>41842</v>
      </c>
      <c r="BU13" s="207">
        <v>12.3</v>
      </c>
      <c r="BV13" s="151">
        <v>41842</v>
      </c>
      <c r="BW13" s="206">
        <v>11.9</v>
      </c>
      <c r="BX13" s="151">
        <v>41842</v>
      </c>
      <c r="BY13" s="210">
        <v>7.45</v>
      </c>
      <c r="BZ13" s="151">
        <v>41842</v>
      </c>
      <c r="CA13" s="206">
        <v>28.7</v>
      </c>
      <c r="CB13" s="151">
        <v>41842</v>
      </c>
      <c r="CC13" s="208">
        <v>5.6</v>
      </c>
      <c r="CD13" s="151">
        <v>41838</v>
      </c>
      <c r="CL13" s="209">
        <v>3</v>
      </c>
      <c r="CM13" s="201">
        <v>41810</v>
      </c>
    </row>
    <row r="14" spans="1:91" ht="15">
      <c r="A14" s="152">
        <v>216</v>
      </c>
      <c r="B14" s="110" t="s">
        <v>233</v>
      </c>
      <c r="C14" s="110" t="s">
        <v>381</v>
      </c>
      <c r="D14" s="110">
        <v>10997</v>
      </c>
      <c r="E14" s="111">
        <v>1</v>
      </c>
      <c r="F14" s="111">
        <v>609</v>
      </c>
      <c r="I14" s="137"/>
      <c r="K14" s="138">
        <v>5</v>
      </c>
      <c r="L14" s="151">
        <v>41701</v>
      </c>
      <c r="M14" s="169">
        <v>4.4000000000000004</v>
      </c>
      <c r="N14" s="151">
        <v>41838</v>
      </c>
      <c r="Q14" s="497"/>
      <c r="S14" s="134">
        <v>16.14</v>
      </c>
      <c r="T14" s="151">
        <v>41842</v>
      </c>
      <c r="U14" s="138">
        <v>13.5</v>
      </c>
      <c r="V14" s="151">
        <v>41838</v>
      </c>
      <c r="W14" s="196">
        <v>9</v>
      </c>
      <c r="X14" s="151">
        <v>41829</v>
      </c>
      <c r="Y14" s="134">
        <f t="shared" si="0"/>
        <v>4.0559200000000004</v>
      </c>
      <c r="AA14" s="138"/>
      <c r="AC14" s="138">
        <v>32.590000000000003</v>
      </c>
      <c r="AD14" s="151">
        <v>41838</v>
      </c>
      <c r="AE14" s="137">
        <v>33.520000000000003</v>
      </c>
      <c r="AF14" s="151">
        <v>41838</v>
      </c>
      <c r="AG14" s="197">
        <v>4.0999999999999996</v>
      </c>
      <c r="AH14" s="151">
        <v>41843</v>
      </c>
      <c r="AI14" s="198">
        <v>5</v>
      </c>
      <c r="AJ14" s="151">
        <v>41778</v>
      </c>
      <c r="AK14" s="199">
        <v>5</v>
      </c>
      <c r="AL14" s="151">
        <v>41709</v>
      </c>
      <c r="AM14" s="138"/>
      <c r="BE14" s="200">
        <v>5</v>
      </c>
      <c r="BF14" s="201">
        <v>41555</v>
      </c>
      <c r="BG14" s="202">
        <v>-3.5</v>
      </c>
      <c r="BH14" s="151">
        <v>41842</v>
      </c>
      <c r="BM14" s="204">
        <v>63.9</v>
      </c>
      <c r="BN14" s="151">
        <v>41842</v>
      </c>
      <c r="BQ14" s="205">
        <v>10.7</v>
      </c>
      <c r="BR14" s="151">
        <v>41842</v>
      </c>
      <c r="BS14" s="206">
        <v>48.2</v>
      </c>
      <c r="BT14" s="151">
        <v>41842</v>
      </c>
      <c r="BU14" s="207">
        <v>12.1</v>
      </c>
      <c r="BV14" s="151">
        <v>41842</v>
      </c>
      <c r="BW14" s="206">
        <v>11.8</v>
      </c>
      <c r="BX14" s="151">
        <v>41842</v>
      </c>
      <c r="BY14" s="210">
        <v>7.19</v>
      </c>
      <c r="BZ14" s="151">
        <v>41842</v>
      </c>
      <c r="CA14" s="206">
        <v>28.2</v>
      </c>
      <c r="CB14" s="151">
        <v>41842</v>
      </c>
      <c r="CC14" s="208">
        <v>6.4</v>
      </c>
      <c r="CD14" s="151">
        <v>41838</v>
      </c>
      <c r="CL14" s="209">
        <v>3</v>
      </c>
      <c r="CM14" s="201">
        <v>41810</v>
      </c>
    </row>
    <row r="15" spans="1:91" ht="15">
      <c r="A15" s="152">
        <v>216</v>
      </c>
      <c r="B15" s="110" t="s">
        <v>235</v>
      </c>
      <c r="C15" s="110" t="s">
        <v>8082</v>
      </c>
      <c r="D15" s="110">
        <v>11566</v>
      </c>
      <c r="E15" s="111">
        <v>5</v>
      </c>
      <c r="F15" s="111">
        <v>729</v>
      </c>
      <c r="I15" s="372"/>
      <c r="K15" s="134">
        <v>5</v>
      </c>
      <c r="L15" s="151">
        <v>41701</v>
      </c>
      <c r="M15" s="169">
        <v>6.9</v>
      </c>
      <c r="N15" s="151">
        <v>41838</v>
      </c>
      <c r="Q15" s="497"/>
      <c r="S15" s="134">
        <v>25.07</v>
      </c>
      <c r="T15" s="151">
        <v>41842</v>
      </c>
      <c r="U15" s="134">
        <v>13.5</v>
      </c>
      <c r="V15" s="151">
        <v>41838</v>
      </c>
      <c r="W15" s="196">
        <v>9</v>
      </c>
      <c r="X15" s="151">
        <v>41829</v>
      </c>
      <c r="Y15" s="134">
        <f t="shared" si="0"/>
        <v>6.8340999999999994</v>
      </c>
      <c r="AC15" s="134">
        <v>51.11</v>
      </c>
      <c r="AD15" s="151">
        <v>41838</v>
      </c>
      <c r="AE15" s="134">
        <v>52.57</v>
      </c>
      <c r="AF15" s="151">
        <v>41838</v>
      </c>
      <c r="AG15" s="197">
        <v>4.2</v>
      </c>
      <c r="AH15" s="151">
        <v>41843</v>
      </c>
      <c r="AI15" s="198">
        <v>7</v>
      </c>
      <c r="AJ15" s="151">
        <v>41778</v>
      </c>
      <c r="AK15" s="199">
        <v>5</v>
      </c>
      <c r="AL15" s="151">
        <v>41709</v>
      </c>
      <c r="BE15" s="200">
        <v>5</v>
      </c>
      <c r="BF15" s="201">
        <v>41555</v>
      </c>
      <c r="BG15" s="202">
        <v>-7.6</v>
      </c>
      <c r="BH15" s="151">
        <v>41842</v>
      </c>
      <c r="BM15" s="204">
        <v>65.099999999999994</v>
      </c>
      <c r="BN15" s="151">
        <v>41842</v>
      </c>
      <c r="BQ15" s="205">
        <v>10.7</v>
      </c>
      <c r="BR15" s="151">
        <v>41842</v>
      </c>
      <c r="BS15" s="206">
        <v>47.7</v>
      </c>
      <c r="BT15" s="151">
        <v>41842</v>
      </c>
      <c r="BU15" s="207">
        <v>13</v>
      </c>
      <c r="BV15" s="151">
        <v>41842</v>
      </c>
      <c r="BW15" s="206">
        <v>12.7</v>
      </c>
      <c r="BX15" s="151">
        <v>41842</v>
      </c>
      <c r="BY15" s="210">
        <v>7.06</v>
      </c>
      <c r="BZ15" s="151">
        <v>41842</v>
      </c>
      <c r="CA15" s="206">
        <v>29.9</v>
      </c>
      <c r="CB15" s="151">
        <v>41842</v>
      </c>
      <c r="CC15" s="208">
        <v>6.4</v>
      </c>
      <c r="CD15" s="151">
        <v>41838</v>
      </c>
      <c r="CL15" s="209">
        <v>3</v>
      </c>
      <c r="CM15" s="201">
        <v>41810</v>
      </c>
    </row>
    <row r="16" spans="1:91" ht="15">
      <c r="A16" s="152">
        <v>216</v>
      </c>
      <c r="B16" s="110" t="s">
        <v>233</v>
      </c>
      <c r="C16" s="110" t="s">
        <v>8083</v>
      </c>
      <c r="D16" s="110">
        <v>11616</v>
      </c>
      <c r="E16" s="111">
        <v>7</v>
      </c>
      <c r="F16" s="111">
        <v>641</v>
      </c>
      <c r="I16" s="372"/>
      <c r="K16" s="138">
        <v>7</v>
      </c>
      <c r="L16" s="151">
        <v>41701</v>
      </c>
      <c r="M16" s="169">
        <v>4.45</v>
      </c>
      <c r="N16" s="151">
        <v>41838</v>
      </c>
      <c r="Q16" s="497"/>
      <c r="S16" s="134">
        <v>16.87</v>
      </c>
      <c r="T16" s="151">
        <v>41842</v>
      </c>
      <c r="U16" s="134">
        <v>13.5</v>
      </c>
      <c r="V16" s="151">
        <v>41838</v>
      </c>
      <c r="W16" s="196">
        <v>9</v>
      </c>
      <c r="X16" s="151">
        <v>41829</v>
      </c>
      <c r="Y16" s="134">
        <f t="shared" si="0"/>
        <v>4.1418299999999997</v>
      </c>
      <c r="AC16" s="134">
        <v>32.96</v>
      </c>
      <c r="AD16" s="151">
        <v>41838</v>
      </c>
      <c r="AE16" s="134">
        <v>34.229999999999997</v>
      </c>
      <c r="AF16" s="151">
        <v>41838</v>
      </c>
      <c r="AG16" s="197">
        <v>4.0999999999999996</v>
      </c>
      <c r="AH16" s="151">
        <v>41843</v>
      </c>
      <c r="AI16" s="198">
        <v>7</v>
      </c>
      <c r="AJ16" s="151">
        <v>41778</v>
      </c>
      <c r="AK16" s="199">
        <v>5</v>
      </c>
      <c r="AL16" s="151">
        <v>41709</v>
      </c>
      <c r="BE16" s="200">
        <v>5</v>
      </c>
      <c r="BF16" s="201">
        <v>41555</v>
      </c>
      <c r="BG16" s="202">
        <v>-9.1</v>
      </c>
      <c r="BH16" s="151">
        <v>41842</v>
      </c>
      <c r="BM16" s="204">
        <v>66.8</v>
      </c>
      <c r="BN16" s="151">
        <v>41842</v>
      </c>
      <c r="BQ16" s="205">
        <v>10.199999999999999</v>
      </c>
      <c r="BR16" s="151">
        <v>41842</v>
      </c>
      <c r="BS16" s="206">
        <v>49.3</v>
      </c>
      <c r="BT16" s="151">
        <v>41842</v>
      </c>
      <c r="BU16" s="207">
        <v>12.1</v>
      </c>
      <c r="BV16" s="151">
        <v>41842</v>
      </c>
      <c r="BW16" s="206">
        <v>12.2</v>
      </c>
      <c r="BX16" s="151">
        <v>41842</v>
      </c>
      <c r="BY16" s="210">
        <v>6.79</v>
      </c>
      <c r="BZ16" s="151">
        <v>41842</v>
      </c>
      <c r="CA16" s="206">
        <v>28.9</v>
      </c>
      <c r="CB16" s="151">
        <v>41842</v>
      </c>
      <c r="CC16" s="208">
        <v>5.5</v>
      </c>
      <c r="CD16" s="151">
        <v>41838</v>
      </c>
      <c r="CL16" s="209">
        <v>3</v>
      </c>
      <c r="CM16" s="201">
        <v>41810</v>
      </c>
    </row>
    <row r="17" spans="1:91" ht="15">
      <c r="A17" s="152">
        <v>216</v>
      </c>
      <c r="B17" s="110" t="s">
        <v>235</v>
      </c>
      <c r="C17" s="110" t="s">
        <v>8081</v>
      </c>
      <c r="D17" s="110">
        <v>11382</v>
      </c>
      <c r="E17" s="111">
        <v>12</v>
      </c>
      <c r="F17" s="111">
        <v>565</v>
      </c>
      <c r="I17" s="372"/>
      <c r="K17" s="134">
        <v>5</v>
      </c>
      <c r="L17" s="151">
        <v>41701</v>
      </c>
      <c r="M17" s="169">
        <v>6</v>
      </c>
      <c r="N17" s="151">
        <v>41838</v>
      </c>
      <c r="Q17" s="497"/>
      <c r="S17" s="134">
        <v>22.06</v>
      </c>
      <c r="T17" s="151">
        <v>41842</v>
      </c>
      <c r="U17" s="134">
        <v>13.5</v>
      </c>
      <c r="V17" s="151">
        <v>41838</v>
      </c>
      <c r="W17" s="196">
        <v>9</v>
      </c>
      <c r="X17" s="151">
        <v>41829</v>
      </c>
      <c r="Y17" s="134">
        <f t="shared" si="0"/>
        <v>5.8496199999999998</v>
      </c>
      <c r="AC17" s="134">
        <v>44.44</v>
      </c>
      <c r="AD17" s="151">
        <v>41838</v>
      </c>
      <c r="AE17" s="134">
        <v>46.06</v>
      </c>
      <c r="AF17" s="151">
        <v>41838</v>
      </c>
      <c r="AG17" s="197">
        <v>3.9</v>
      </c>
      <c r="AH17" s="151">
        <v>41843</v>
      </c>
      <c r="AI17" s="198">
        <v>7</v>
      </c>
      <c r="AJ17" s="151">
        <v>41778</v>
      </c>
      <c r="AK17" s="199">
        <v>5</v>
      </c>
      <c r="AL17" s="151">
        <v>41709</v>
      </c>
      <c r="BE17" s="200">
        <v>5</v>
      </c>
      <c r="BF17" s="201">
        <v>41555</v>
      </c>
      <c r="BG17" s="202">
        <v>-7.7</v>
      </c>
      <c r="BH17" s="151">
        <v>41842</v>
      </c>
      <c r="BM17" s="204">
        <v>63.9</v>
      </c>
      <c r="BN17" s="151">
        <v>41842</v>
      </c>
      <c r="BQ17" s="205">
        <v>10.3</v>
      </c>
      <c r="BR17" s="151">
        <v>41842</v>
      </c>
      <c r="BS17" s="206">
        <v>47.9</v>
      </c>
      <c r="BT17" s="151">
        <v>41842</v>
      </c>
      <c r="BU17" s="207">
        <v>12.7</v>
      </c>
      <c r="BV17" s="151">
        <v>41842</v>
      </c>
      <c r="BW17" s="206">
        <v>11.9</v>
      </c>
      <c r="BX17" s="151">
        <v>41842</v>
      </c>
      <c r="BY17" s="210">
        <v>7.51</v>
      </c>
      <c r="BZ17" s="151">
        <v>41842</v>
      </c>
      <c r="CA17" s="206">
        <v>29.4</v>
      </c>
      <c r="CB17" s="151">
        <v>41842</v>
      </c>
      <c r="CC17" s="208">
        <v>5.7</v>
      </c>
      <c r="CD17" s="151">
        <v>41838</v>
      </c>
      <c r="CL17" s="209">
        <v>3</v>
      </c>
      <c r="CM17" s="201">
        <v>41810</v>
      </c>
    </row>
    <row r="18" spans="1:91" ht="15">
      <c r="A18" s="152" t="s">
        <v>8021</v>
      </c>
      <c r="B18" s="110" t="s">
        <v>235</v>
      </c>
      <c r="C18" s="110" t="s">
        <v>8082</v>
      </c>
      <c r="D18" s="110">
        <v>11407</v>
      </c>
      <c r="E18" s="111">
        <v>1</v>
      </c>
      <c r="F18" s="111">
        <v>669</v>
      </c>
      <c r="I18" s="137"/>
      <c r="K18" s="191">
        <v>3</v>
      </c>
      <c r="L18" s="151">
        <v>41701</v>
      </c>
      <c r="M18" s="169">
        <v>3.7</v>
      </c>
      <c r="N18" s="151">
        <v>41838</v>
      </c>
      <c r="Q18" s="497"/>
      <c r="S18" s="134">
        <v>14.06</v>
      </c>
      <c r="T18" s="151">
        <v>41842</v>
      </c>
      <c r="U18" s="138">
        <v>13.5</v>
      </c>
      <c r="V18" s="151">
        <v>41838</v>
      </c>
      <c r="W18" s="196">
        <v>1</v>
      </c>
      <c r="X18" s="151">
        <v>41829</v>
      </c>
      <c r="Y18" s="134">
        <f t="shared" si="0"/>
        <v>4.2031999999999998</v>
      </c>
      <c r="AA18" s="138"/>
      <c r="AC18" s="138">
        <v>27.41</v>
      </c>
      <c r="AD18" s="151">
        <v>41838</v>
      </c>
      <c r="AE18" s="137">
        <v>28.4</v>
      </c>
      <c r="AF18" s="151">
        <v>41838</v>
      </c>
      <c r="AG18" s="197">
        <v>4.3</v>
      </c>
      <c r="AH18" s="151">
        <v>41843</v>
      </c>
      <c r="AI18" s="198">
        <v>5</v>
      </c>
      <c r="AJ18" s="151">
        <v>41778</v>
      </c>
      <c r="AK18" s="199">
        <v>4</v>
      </c>
      <c r="AL18" s="151">
        <v>41709</v>
      </c>
      <c r="AM18" s="138"/>
      <c r="BE18" s="200">
        <v>4</v>
      </c>
      <c r="BF18" s="201">
        <v>41555</v>
      </c>
      <c r="BG18" s="202">
        <v>44.8</v>
      </c>
      <c r="BH18" s="151">
        <v>41842</v>
      </c>
      <c r="BM18" s="204">
        <v>68.7</v>
      </c>
      <c r="BN18" s="151">
        <v>41842</v>
      </c>
      <c r="BQ18" s="205">
        <v>4</v>
      </c>
      <c r="BR18" s="151">
        <v>41842</v>
      </c>
      <c r="BS18" s="206">
        <v>49.5</v>
      </c>
      <c r="BT18" s="151">
        <v>41842</v>
      </c>
      <c r="BU18" s="207">
        <v>14.8</v>
      </c>
      <c r="BV18" s="151">
        <v>41842</v>
      </c>
      <c r="BW18" s="206">
        <v>43.3</v>
      </c>
      <c r="BX18" s="151">
        <v>41842</v>
      </c>
      <c r="BY18" s="210">
        <v>7.06</v>
      </c>
      <c r="BZ18" s="151">
        <v>41842</v>
      </c>
      <c r="CA18" s="206">
        <v>35.700000000000003</v>
      </c>
      <c r="CB18" s="151">
        <v>41842</v>
      </c>
      <c r="CC18" s="208">
        <v>5.7</v>
      </c>
      <c r="CD18" s="151">
        <v>41838</v>
      </c>
      <c r="CL18" s="209">
        <v>5</v>
      </c>
      <c r="CM18" s="201">
        <v>41810</v>
      </c>
    </row>
    <row r="19" spans="1:91" ht="15">
      <c r="A19" s="152" t="s">
        <v>8021</v>
      </c>
      <c r="B19" s="110" t="s">
        <v>233</v>
      </c>
      <c r="C19" s="110" t="s">
        <v>381</v>
      </c>
      <c r="D19" s="110">
        <v>11089</v>
      </c>
      <c r="E19" s="111">
        <v>4</v>
      </c>
      <c r="F19" s="111">
        <v>545</v>
      </c>
      <c r="I19" s="372"/>
      <c r="K19" s="134">
        <v>5</v>
      </c>
      <c r="L19" s="151">
        <v>41701</v>
      </c>
      <c r="M19" s="169">
        <v>3.2</v>
      </c>
      <c r="N19" s="151">
        <v>41838</v>
      </c>
      <c r="Q19" s="497"/>
      <c r="S19" s="134">
        <v>12.43</v>
      </c>
      <c r="T19" s="151">
        <v>41842</v>
      </c>
      <c r="U19" s="134">
        <v>13.5</v>
      </c>
      <c r="V19" s="151">
        <v>41838</v>
      </c>
      <c r="W19" s="196">
        <v>1</v>
      </c>
      <c r="X19" s="151">
        <v>41829</v>
      </c>
      <c r="Y19" s="134">
        <f t="shared" si="0"/>
        <v>3.4468000000000001</v>
      </c>
      <c r="AC19" s="134">
        <v>23.7</v>
      </c>
      <c r="AD19" s="151">
        <v>41838</v>
      </c>
      <c r="AE19" s="134">
        <v>24.62</v>
      </c>
      <c r="AF19" s="151">
        <v>41838</v>
      </c>
      <c r="AG19" s="197">
        <v>4.3</v>
      </c>
      <c r="AH19" s="151">
        <v>41843</v>
      </c>
      <c r="AI19" s="198">
        <v>5</v>
      </c>
      <c r="AJ19" s="151">
        <v>41778</v>
      </c>
      <c r="AK19" s="199">
        <v>4</v>
      </c>
      <c r="AL19" s="151">
        <v>41709</v>
      </c>
      <c r="BE19" s="200">
        <v>4</v>
      </c>
      <c r="BF19" s="201">
        <v>41555</v>
      </c>
      <c r="BG19" s="202">
        <v>43.7</v>
      </c>
      <c r="BH19" s="151">
        <v>41842</v>
      </c>
      <c r="BM19" s="204">
        <v>70.099999999999994</v>
      </c>
      <c r="BN19" s="151">
        <v>41842</v>
      </c>
      <c r="BQ19" s="205">
        <v>4</v>
      </c>
      <c r="BR19" s="151">
        <v>41842</v>
      </c>
      <c r="BS19" s="206">
        <v>50.5</v>
      </c>
      <c r="BT19" s="151">
        <v>41842</v>
      </c>
      <c r="BU19" s="207">
        <v>14</v>
      </c>
      <c r="BV19" s="151">
        <v>41842</v>
      </c>
      <c r="BW19" s="206">
        <v>43.2</v>
      </c>
      <c r="BX19" s="151">
        <v>41842</v>
      </c>
      <c r="BY19" s="210">
        <v>7.02</v>
      </c>
      <c r="BZ19" s="151">
        <v>41842</v>
      </c>
      <c r="CA19" s="206">
        <v>34.5</v>
      </c>
      <c r="CB19" s="151">
        <v>41842</v>
      </c>
      <c r="CC19" s="208">
        <v>5.5</v>
      </c>
      <c r="CD19" s="151">
        <v>41838</v>
      </c>
      <c r="CL19" s="209">
        <v>3</v>
      </c>
      <c r="CM19" s="201">
        <v>41810</v>
      </c>
    </row>
    <row r="20" spans="1:91" ht="15">
      <c r="A20" s="152" t="s">
        <v>8021</v>
      </c>
      <c r="B20" s="110" t="s">
        <v>233</v>
      </c>
      <c r="C20" s="110" t="s">
        <v>8083</v>
      </c>
      <c r="D20" s="110">
        <v>11635</v>
      </c>
      <c r="E20" s="111">
        <v>7</v>
      </c>
      <c r="F20" s="111">
        <v>717</v>
      </c>
      <c r="I20" s="372"/>
      <c r="K20" s="134">
        <v>5</v>
      </c>
      <c r="L20" s="151">
        <v>41701</v>
      </c>
      <c r="M20" s="169">
        <v>3.2</v>
      </c>
      <c r="N20" s="151">
        <v>41838</v>
      </c>
      <c r="Q20" s="497"/>
      <c r="S20" s="134">
        <v>12.54</v>
      </c>
      <c r="T20" s="151">
        <v>41842</v>
      </c>
      <c r="U20" s="134">
        <v>13.5</v>
      </c>
      <c r="V20" s="151">
        <v>41838</v>
      </c>
      <c r="W20" s="196">
        <v>1</v>
      </c>
      <c r="X20" s="151">
        <v>41829</v>
      </c>
      <c r="Y20" s="134">
        <f t="shared" si="0"/>
        <v>3.3333600000000003</v>
      </c>
      <c r="AC20" s="134">
        <v>23.7</v>
      </c>
      <c r="AD20" s="151">
        <v>41838</v>
      </c>
      <c r="AE20" s="134">
        <v>24.51</v>
      </c>
      <c r="AF20" s="151">
        <v>41838</v>
      </c>
      <c r="AG20" s="197">
        <v>4.2</v>
      </c>
      <c r="AH20" s="151">
        <v>41843</v>
      </c>
      <c r="AI20" s="198">
        <v>5</v>
      </c>
      <c r="AJ20" s="151">
        <v>41778</v>
      </c>
      <c r="AK20" s="199">
        <v>4</v>
      </c>
      <c r="AL20" s="151">
        <v>41709</v>
      </c>
      <c r="BE20" s="200">
        <v>4</v>
      </c>
      <c r="BF20" s="201">
        <v>41555</v>
      </c>
      <c r="BG20" s="202">
        <v>47.1</v>
      </c>
      <c r="BH20" s="151">
        <v>41842</v>
      </c>
      <c r="BM20" s="204">
        <v>69.8</v>
      </c>
      <c r="BN20" s="151">
        <v>41842</v>
      </c>
      <c r="BQ20" s="205">
        <v>3.7</v>
      </c>
      <c r="BR20" s="151">
        <v>41842</v>
      </c>
      <c r="BS20" s="206">
        <v>51.1</v>
      </c>
      <c r="BT20" s="151">
        <v>41842</v>
      </c>
      <c r="BU20" s="207">
        <v>13.6</v>
      </c>
      <c r="BV20" s="151">
        <v>41842</v>
      </c>
      <c r="BW20" s="206">
        <v>44.5</v>
      </c>
      <c r="BX20" s="151">
        <v>41842</v>
      </c>
      <c r="BY20" s="210">
        <v>6.7</v>
      </c>
      <c r="BZ20" s="151">
        <v>41842</v>
      </c>
      <c r="CA20" s="206">
        <v>34.200000000000003</v>
      </c>
      <c r="CB20" s="151">
        <v>41842</v>
      </c>
      <c r="CC20" s="208">
        <v>5.9</v>
      </c>
      <c r="CD20" s="151">
        <v>41838</v>
      </c>
      <c r="CL20" s="209">
        <v>5</v>
      </c>
      <c r="CM20" s="201">
        <v>41810</v>
      </c>
    </row>
    <row r="21" spans="1:91" ht="15">
      <c r="A21" s="152" t="s">
        <v>8021</v>
      </c>
      <c r="B21" s="110" t="s">
        <v>235</v>
      </c>
      <c r="C21" s="110" t="s">
        <v>8081</v>
      </c>
      <c r="D21" s="110">
        <v>11354</v>
      </c>
      <c r="E21" s="111">
        <v>11</v>
      </c>
      <c r="F21" s="111">
        <v>597</v>
      </c>
      <c r="I21" s="372"/>
      <c r="K21" s="134">
        <v>5</v>
      </c>
      <c r="L21" s="151">
        <v>41701</v>
      </c>
      <c r="M21" s="169">
        <v>3.8</v>
      </c>
      <c r="N21" s="151">
        <v>41838</v>
      </c>
      <c r="Q21" s="497"/>
      <c r="S21" s="134">
        <v>14.09</v>
      </c>
      <c r="T21" s="151">
        <v>41842</v>
      </c>
      <c r="U21" s="134">
        <v>13.5</v>
      </c>
      <c r="V21" s="151">
        <v>41838</v>
      </c>
      <c r="W21" s="196">
        <v>9</v>
      </c>
      <c r="X21" s="151">
        <v>41829</v>
      </c>
      <c r="Y21" s="134">
        <f t="shared" si="0"/>
        <v>4.5843999999999996</v>
      </c>
      <c r="AC21" s="134">
        <v>28.15</v>
      </c>
      <c r="AD21" s="151">
        <v>41838</v>
      </c>
      <c r="AE21" s="134">
        <v>29.2</v>
      </c>
      <c r="AF21" s="151">
        <v>41838</v>
      </c>
      <c r="AG21" s="197">
        <v>4.2</v>
      </c>
      <c r="AH21" s="151">
        <v>41843</v>
      </c>
      <c r="AI21" s="198">
        <v>5</v>
      </c>
      <c r="AJ21" s="151">
        <v>41778</v>
      </c>
      <c r="AK21" s="199">
        <v>4</v>
      </c>
      <c r="AL21" s="151">
        <v>41709</v>
      </c>
      <c r="BE21" s="200">
        <v>4</v>
      </c>
      <c r="BF21" s="201">
        <v>41555</v>
      </c>
      <c r="BG21" s="202">
        <v>43.6</v>
      </c>
      <c r="BH21" s="151">
        <v>41842</v>
      </c>
      <c r="BM21" s="204">
        <v>69.3</v>
      </c>
      <c r="BN21" s="151">
        <v>41842</v>
      </c>
      <c r="BQ21" s="205">
        <v>4.5999999999999996</v>
      </c>
      <c r="BR21" s="151">
        <v>41842</v>
      </c>
      <c r="BS21" s="206">
        <v>48.3</v>
      </c>
      <c r="BT21" s="151">
        <v>41842</v>
      </c>
      <c r="BU21" s="207">
        <v>15.7</v>
      </c>
      <c r="BV21" s="151">
        <v>41842</v>
      </c>
      <c r="BW21" s="206">
        <v>43.7</v>
      </c>
      <c r="BX21" s="151">
        <v>41842</v>
      </c>
      <c r="BY21" s="210">
        <v>7.11</v>
      </c>
      <c r="BZ21" s="151">
        <v>41842</v>
      </c>
      <c r="CA21" s="206">
        <v>36.700000000000003</v>
      </c>
      <c r="CB21" s="151">
        <v>41842</v>
      </c>
      <c r="CC21" s="208">
        <v>5.6</v>
      </c>
      <c r="CD21" s="151">
        <v>41838</v>
      </c>
      <c r="CL21" s="209">
        <v>7</v>
      </c>
      <c r="CM21" s="201">
        <v>41810</v>
      </c>
    </row>
    <row r="22" spans="1:91" ht="15">
      <c r="A22" s="152" t="s">
        <v>8022</v>
      </c>
      <c r="B22" s="110" t="s">
        <v>235</v>
      </c>
      <c r="C22" s="110" t="s">
        <v>8082</v>
      </c>
      <c r="D22" s="110">
        <v>11533</v>
      </c>
      <c r="E22" s="111">
        <v>4</v>
      </c>
      <c r="F22" s="111">
        <v>741</v>
      </c>
      <c r="I22" s="372"/>
      <c r="K22" s="138">
        <v>7</v>
      </c>
      <c r="L22" s="151">
        <v>41701</v>
      </c>
      <c r="M22" s="169">
        <v>5.7</v>
      </c>
      <c r="N22" s="151">
        <v>41838</v>
      </c>
      <c r="Q22" s="497"/>
      <c r="S22" s="134">
        <v>20.76</v>
      </c>
      <c r="T22" s="151">
        <v>41842</v>
      </c>
      <c r="U22" s="134">
        <v>13.5</v>
      </c>
      <c r="V22" s="151">
        <v>41838</v>
      </c>
      <c r="W22" s="196">
        <v>1</v>
      </c>
      <c r="X22" s="151">
        <v>41829</v>
      </c>
      <c r="Y22" s="134">
        <f t="shared" si="0"/>
        <v>5.7575700000000003</v>
      </c>
      <c r="AC22" s="134">
        <v>42.22</v>
      </c>
      <c r="AD22" s="151">
        <v>41838</v>
      </c>
      <c r="AE22" s="134">
        <v>43.29</v>
      </c>
      <c r="AF22" s="151">
        <v>41838</v>
      </c>
      <c r="AG22" s="197">
        <v>4.8</v>
      </c>
      <c r="AH22" s="151">
        <v>41843</v>
      </c>
      <c r="AI22" s="198">
        <v>7</v>
      </c>
      <c r="AJ22" s="151">
        <v>41778</v>
      </c>
      <c r="AK22" s="199">
        <v>7</v>
      </c>
      <c r="AL22" s="151">
        <v>41709</v>
      </c>
      <c r="BE22" s="200">
        <v>7</v>
      </c>
      <c r="BF22" s="201">
        <v>41555</v>
      </c>
      <c r="BG22" s="202">
        <v>-4.9000000000000004</v>
      </c>
      <c r="BH22" s="151">
        <v>41842</v>
      </c>
      <c r="BM22" s="204">
        <v>65.099999999999994</v>
      </c>
      <c r="BN22" s="151">
        <v>41842</v>
      </c>
      <c r="BQ22" s="205">
        <v>9.6999999999999993</v>
      </c>
      <c r="BR22" s="151">
        <v>41842</v>
      </c>
      <c r="BS22" s="206">
        <v>48</v>
      </c>
      <c r="BT22" s="151">
        <v>41842</v>
      </c>
      <c r="BU22" s="207">
        <v>13.3</v>
      </c>
      <c r="BV22" s="151">
        <v>41842</v>
      </c>
      <c r="BW22" s="206">
        <v>14.7</v>
      </c>
      <c r="BX22" s="151">
        <v>41842</v>
      </c>
      <c r="BY22" s="210">
        <v>6.8</v>
      </c>
      <c r="BZ22" s="151">
        <v>41842</v>
      </c>
      <c r="CA22" s="206">
        <v>31</v>
      </c>
      <c r="CB22" s="151">
        <v>41842</v>
      </c>
      <c r="CC22" s="208">
        <v>6.7</v>
      </c>
      <c r="CD22" s="151">
        <v>41838</v>
      </c>
      <c r="CL22" s="209">
        <v>3</v>
      </c>
      <c r="CM22" s="201">
        <v>41810</v>
      </c>
    </row>
    <row r="23" spans="1:91" ht="15">
      <c r="A23" s="152" t="s">
        <v>8022</v>
      </c>
      <c r="B23" s="110" t="s">
        <v>233</v>
      </c>
      <c r="C23" s="110" t="s">
        <v>381</v>
      </c>
      <c r="D23" s="110">
        <v>11128</v>
      </c>
      <c r="E23" s="111">
        <v>5</v>
      </c>
      <c r="F23" s="111">
        <v>557</v>
      </c>
      <c r="I23" s="372"/>
      <c r="K23" s="194">
        <v>7</v>
      </c>
      <c r="L23" s="151">
        <v>41701</v>
      </c>
      <c r="M23" s="169">
        <v>4.4000000000000004</v>
      </c>
      <c r="N23" s="151">
        <v>41838</v>
      </c>
      <c r="Q23" s="497"/>
      <c r="S23" s="134">
        <v>16.32</v>
      </c>
      <c r="T23" s="151">
        <v>41842</v>
      </c>
      <c r="U23" s="134">
        <v>13.5</v>
      </c>
      <c r="V23" s="151">
        <v>41838</v>
      </c>
      <c r="W23" s="196">
        <v>1</v>
      </c>
      <c r="X23" s="151">
        <v>41829</v>
      </c>
      <c r="Y23" s="134">
        <f t="shared" si="0"/>
        <v>4.28498</v>
      </c>
      <c r="AC23" s="134">
        <v>32.590000000000003</v>
      </c>
      <c r="AD23" s="151">
        <v>41838</v>
      </c>
      <c r="AE23" s="134">
        <v>33.74</v>
      </c>
      <c r="AF23" s="151">
        <v>41838</v>
      </c>
      <c r="AG23" s="197">
        <v>4.5999999999999996</v>
      </c>
      <c r="AH23" s="151">
        <v>41843</v>
      </c>
      <c r="AI23" s="198">
        <v>5</v>
      </c>
      <c r="AJ23" s="151">
        <v>41778</v>
      </c>
      <c r="AK23" s="199">
        <v>7</v>
      </c>
      <c r="AL23" s="151">
        <v>41709</v>
      </c>
      <c r="BE23" s="200">
        <v>7</v>
      </c>
      <c r="BF23" s="201">
        <v>41555</v>
      </c>
      <c r="BG23" s="202">
        <v>-3.6</v>
      </c>
      <c r="BH23" s="151">
        <v>41842</v>
      </c>
      <c r="BM23" s="204">
        <v>65.599999999999994</v>
      </c>
      <c r="BN23" s="151">
        <v>41842</v>
      </c>
      <c r="BQ23" s="205">
        <v>9.4</v>
      </c>
      <c r="BR23" s="151">
        <v>41842</v>
      </c>
      <c r="BS23" s="206">
        <v>48.4</v>
      </c>
      <c r="BT23" s="151">
        <v>41842</v>
      </c>
      <c r="BU23" s="207">
        <v>12.7</v>
      </c>
      <c r="BV23" s="151">
        <v>41842</v>
      </c>
      <c r="BW23" s="206">
        <v>14.3</v>
      </c>
      <c r="BX23" s="151">
        <v>41842</v>
      </c>
      <c r="BY23" s="210">
        <v>6.92</v>
      </c>
      <c r="BZ23" s="151">
        <v>41842</v>
      </c>
      <c r="CA23" s="206">
        <v>29.7</v>
      </c>
      <c r="CB23" s="151">
        <v>41842</v>
      </c>
      <c r="CC23" s="208">
        <v>5.8</v>
      </c>
      <c r="CD23" s="151">
        <v>41838</v>
      </c>
      <c r="CL23" s="209">
        <v>3</v>
      </c>
      <c r="CM23" s="201">
        <v>41810</v>
      </c>
    </row>
    <row r="24" spans="1:91" ht="15">
      <c r="A24" s="152" t="s">
        <v>8022</v>
      </c>
      <c r="B24" s="110" t="s">
        <v>235</v>
      </c>
      <c r="C24" s="110" t="s">
        <v>8081</v>
      </c>
      <c r="D24" s="110">
        <v>11328</v>
      </c>
      <c r="E24" s="111">
        <v>11</v>
      </c>
      <c r="F24" s="111">
        <v>493</v>
      </c>
      <c r="I24" s="372"/>
      <c r="K24" s="134">
        <v>5</v>
      </c>
      <c r="L24" s="151">
        <v>41701</v>
      </c>
      <c r="M24" s="169">
        <v>4.55</v>
      </c>
      <c r="N24" s="151">
        <v>41838</v>
      </c>
      <c r="Q24" s="497"/>
      <c r="S24" s="134">
        <v>16.420000000000002</v>
      </c>
      <c r="T24" s="151">
        <v>41842</v>
      </c>
      <c r="U24" s="134">
        <v>13.5</v>
      </c>
      <c r="V24" s="151">
        <v>41838</v>
      </c>
      <c r="W24" s="196">
        <v>9</v>
      </c>
      <c r="X24" s="151">
        <v>41829</v>
      </c>
      <c r="Y24" s="134">
        <f t="shared" si="0"/>
        <v>4.7996400000000001</v>
      </c>
      <c r="AC24" s="134">
        <v>33.700000000000003</v>
      </c>
      <c r="AD24" s="151">
        <v>41838</v>
      </c>
      <c r="AE24" s="134">
        <v>34.78</v>
      </c>
      <c r="AF24" s="151">
        <v>41838</v>
      </c>
      <c r="AG24" s="197">
        <v>4.5999999999999996</v>
      </c>
      <c r="AH24" s="151">
        <v>41843</v>
      </c>
      <c r="AI24" s="198">
        <v>5</v>
      </c>
      <c r="AJ24" s="151">
        <v>41778</v>
      </c>
      <c r="AK24" s="199">
        <v>7</v>
      </c>
      <c r="AL24" s="151">
        <v>41709</v>
      </c>
      <c r="BE24" s="200">
        <v>7</v>
      </c>
      <c r="BF24" s="201">
        <v>41555</v>
      </c>
      <c r="BG24" s="202">
        <v>-4.5999999999999996</v>
      </c>
      <c r="BH24" s="151">
        <v>41842</v>
      </c>
      <c r="BM24" s="204">
        <v>64.900000000000006</v>
      </c>
      <c r="BN24" s="151">
        <v>41842</v>
      </c>
      <c r="BQ24" s="205">
        <v>9.8000000000000007</v>
      </c>
      <c r="BR24" s="151">
        <v>41842</v>
      </c>
      <c r="BS24" s="206">
        <v>47.2</v>
      </c>
      <c r="BT24" s="151">
        <v>41842</v>
      </c>
      <c r="BU24" s="207">
        <v>13.8</v>
      </c>
      <c r="BV24" s="151">
        <v>41842</v>
      </c>
      <c r="BW24" s="206">
        <v>14.2</v>
      </c>
      <c r="BX24" s="151">
        <v>41842</v>
      </c>
      <c r="BY24" s="210">
        <v>6.88</v>
      </c>
      <c r="BZ24" s="151">
        <v>41842</v>
      </c>
      <c r="CA24" s="206">
        <v>31.5</v>
      </c>
      <c r="CB24" s="151">
        <v>41842</v>
      </c>
      <c r="CC24" s="208">
        <v>6.1</v>
      </c>
      <c r="CD24" s="151">
        <v>41838</v>
      </c>
      <c r="CL24" s="209">
        <v>3</v>
      </c>
      <c r="CM24" s="201">
        <v>41810</v>
      </c>
    </row>
    <row r="25" spans="1:91" ht="15">
      <c r="A25" s="152" t="s">
        <v>8022</v>
      </c>
      <c r="B25" s="110" t="s">
        <v>233</v>
      </c>
      <c r="C25" s="110" t="s">
        <v>8083</v>
      </c>
      <c r="D25" s="110">
        <v>11762</v>
      </c>
      <c r="E25" s="111">
        <v>11</v>
      </c>
      <c r="F25" s="111">
        <v>649</v>
      </c>
      <c r="I25" s="372"/>
      <c r="K25" s="134">
        <v>5</v>
      </c>
      <c r="L25" s="151">
        <v>41701</v>
      </c>
      <c r="M25" s="169">
        <v>4.1500000000000004</v>
      </c>
      <c r="N25" s="151">
        <v>41838</v>
      </c>
      <c r="Q25" s="497"/>
      <c r="S25" s="134">
        <v>15.53</v>
      </c>
      <c r="T25" s="151">
        <v>41842</v>
      </c>
      <c r="U25" s="134">
        <v>13.5</v>
      </c>
      <c r="V25" s="151">
        <v>41838</v>
      </c>
      <c r="W25" s="196">
        <v>1</v>
      </c>
      <c r="X25" s="151">
        <v>41829</v>
      </c>
      <c r="Y25" s="134">
        <f t="shared" si="0"/>
        <v>3.9187800000000004</v>
      </c>
      <c r="AC25" s="134">
        <v>30.74</v>
      </c>
      <c r="AD25" s="151">
        <v>41838</v>
      </c>
      <c r="AE25" s="134">
        <v>31.86</v>
      </c>
      <c r="AF25" s="151">
        <v>41838</v>
      </c>
      <c r="AG25" s="197">
        <v>4.5999999999999996</v>
      </c>
      <c r="AH25" s="151">
        <v>41843</v>
      </c>
      <c r="AI25" s="198">
        <v>7</v>
      </c>
      <c r="AJ25" s="151">
        <v>41778</v>
      </c>
      <c r="AK25" s="199">
        <v>5</v>
      </c>
      <c r="AL25" s="151">
        <v>41709</v>
      </c>
      <c r="BE25" s="200">
        <v>5</v>
      </c>
      <c r="BF25" s="201">
        <v>41555</v>
      </c>
      <c r="BG25" s="202">
        <v>-3.4</v>
      </c>
      <c r="BH25" s="151">
        <v>41842</v>
      </c>
      <c r="BM25" s="204">
        <v>66.2</v>
      </c>
      <c r="BN25" s="151">
        <v>41842</v>
      </c>
      <c r="BQ25" s="205">
        <v>9.6</v>
      </c>
      <c r="BR25" s="151">
        <v>41842</v>
      </c>
      <c r="BS25" s="206">
        <v>48.8</v>
      </c>
      <c r="BT25" s="151">
        <v>41842</v>
      </c>
      <c r="BU25" s="207">
        <v>12.3</v>
      </c>
      <c r="BV25" s="151">
        <v>41842</v>
      </c>
      <c r="BW25" s="206">
        <v>15.3</v>
      </c>
      <c r="BX25" s="151">
        <v>41842</v>
      </c>
      <c r="BY25" s="210">
        <v>6.6</v>
      </c>
      <c r="BZ25" s="151">
        <v>41842</v>
      </c>
      <c r="CA25" s="206">
        <v>29.1</v>
      </c>
      <c r="CB25" s="151">
        <v>41842</v>
      </c>
      <c r="CC25" s="208">
        <v>5.7</v>
      </c>
      <c r="CD25" s="151">
        <v>41838</v>
      </c>
      <c r="CL25" s="209">
        <v>3</v>
      </c>
      <c r="CM25" s="201">
        <v>41810</v>
      </c>
    </row>
    <row r="26" spans="1:91" ht="15">
      <c r="A26" s="152" t="s">
        <v>8023</v>
      </c>
      <c r="B26" s="110" t="s">
        <v>235</v>
      </c>
      <c r="C26" s="110" t="s">
        <v>8082</v>
      </c>
      <c r="D26" s="110">
        <v>11539</v>
      </c>
      <c r="E26" s="111">
        <v>4</v>
      </c>
      <c r="F26" s="111">
        <v>765</v>
      </c>
      <c r="I26" s="372"/>
      <c r="K26" s="134">
        <v>5</v>
      </c>
      <c r="L26" s="151">
        <v>41701</v>
      </c>
      <c r="M26" s="169">
        <v>3.7</v>
      </c>
      <c r="N26" s="151">
        <v>41838</v>
      </c>
      <c r="Q26" s="497"/>
      <c r="S26" s="134">
        <v>12.59</v>
      </c>
      <c r="T26" s="151">
        <v>41842</v>
      </c>
      <c r="U26" s="134">
        <v>13.5</v>
      </c>
      <c r="V26" s="151">
        <v>41838</v>
      </c>
      <c r="W26" s="196">
        <v>1</v>
      </c>
      <c r="X26" s="151">
        <v>41829</v>
      </c>
      <c r="Y26" s="134">
        <f t="shared" si="0"/>
        <v>4.2702800000000005</v>
      </c>
      <c r="AC26" s="134">
        <v>27.41</v>
      </c>
      <c r="AD26" s="151">
        <v>41838</v>
      </c>
      <c r="AE26" s="134">
        <v>28.28</v>
      </c>
      <c r="AF26" s="151">
        <v>41838</v>
      </c>
      <c r="AG26" s="197">
        <v>4</v>
      </c>
      <c r="AH26" s="151">
        <v>41843</v>
      </c>
      <c r="AI26" s="198">
        <v>5</v>
      </c>
      <c r="AJ26" s="151">
        <v>41778</v>
      </c>
      <c r="AK26" s="199">
        <v>4</v>
      </c>
      <c r="AL26" s="151">
        <v>41709</v>
      </c>
      <c r="BE26" s="200">
        <v>4</v>
      </c>
      <c r="BF26" s="201">
        <v>41555</v>
      </c>
      <c r="BG26" s="202">
        <v>-3.7</v>
      </c>
      <c r="BH26" s="151">
        <v>41842</v>
      </c>
      <c r="BM26" s="204">
        <v>59.9</v>
      </c>
      <c r="BN26" s="151">
        <v>41842</v>
      </c>
      <c r="BQ26" s="205">
        <v>12.3</v>
      </c>
      <c r="BR26" s="151">
        <v>41842</v>
      </c>
      <c r="BS26" s="206">
        <v>44.5</v>
      </c>
      <c r="BT26" s="151">
        <v>41842</v>
      </c>
      <c r="BU26" s="207">
        <v>15.1</v>
      </c>
      <c r="BV26" s="151">
        <v>41842</v>
      </c>
      <c r="BW26" s="206">
        <v>10.1</v>
      </c>
      <c r="BX26" s="151">
        <v>41842</v>
      </c>
      <c r="BY26" s="210">
        <v>7.72</v>
      </c>
      <c r="BZ26" s="151">
        <v>41842</v>
      </c>
      <c r="CA26" s="206">
        <v>32.4</v>
      </c>
      <c r="CB26" s="151">
        <v>41842</v>
      </c>
      <c r="CC26" s="208">
        <v>6.1</v>
      </c>
      <c r="CD26" s="151">
        <v>41838</v>
      </c>
      <c r="CL26" s="209">
        <v>3</v>
      </c>
      <c r="CM26" s="201">
        <v>41810</v>
      </c>
    </row>
    <row r="27" spans="1:91" ht="15">
      <c r="A27" s="152" t="s">
        <v>8023</v>
      </c>
      <c r="B27" s="110" t="s">
        <v>233</v>
      </c>
      <c r="C27" s="110" t="s">
        <v>381</v>
      </c>
      <c r="D27" s="110">
        <v>11109</v>
      </c>
      <c r="E27" s="111">
        <v>5</v>
      </c>
      <c r="F27" s="111">
        <v>481</v>
      </c>
      <c r="I27" s="372"/>
      <c r="K27" s="191">
        <v>3</v>
      </c>
      <c r="L27" s="151">
        <v>41701</v>
      </c>
      <c r="M27" s="169">
        <v>2.85</v>
      </c>
      <c r="N27" s="151">
        <v>41838</v>
      </c>
      <c r="Q27" s="497"/>
      <c r="S27" s="134">
        <v>10.19</v>
      </c>
      <c r="T27" s="151">
        <v>41842</v>
      </c>
      <c r="U27" s="134">
        <v>13.5</v>
      </c>
      <c r="V27" s="151">
        <v>41838</v>
      </c>
      <c r="W27" s="196">
        <v>1</v>
      </c>
      <c r="X27" s="151">
        <v>41829</v>
      </c>
      <c r="Y27" s="134">
        <f t="shared" si="0"/>
        <v>2.9593600000000002</v>
      </c>
      <c r="AC27" s="134">
        <v>21.11</v>
      </c>
      <c r="AD27" s="151">
        <v>41838</v>
      </c>
      <c r="AE27" s="134">
        <v>21.76</v>
      </c>
      <c r="AF27" s="151">
        <v>41838</v>
      </c>
      <c r="AG27" s="197">
        <v>4</v>
      </c>
      <c r="AH27" s="151">
        <v>41843</v>
      </c>
      <c r="AI27" s="198">
        <v>3</v>
      </c>
      <c r="AJ27" s="151">
        <v>41778</v>
      </c>
      <c r="AK27" s="199">
        <v>4</v>
      </c>
      <c r="AL27" s="151">
        <v>41709</v>
      </c>
      <c r="BE27" s="200">
        <v>4</v>
      </c>
      <c r="BF27" s="201">
        <v>41555</v>
      </c>
      <c r="BG27" s="202">
        <v>-2.8</v>
      </c>
      <c r="BH27" s="151">
        <v>41842</v>
      </c>
      <c r="BM27" s="204">
        <v>61.9</v>
      </c>
      <c r="BN27" s="151">
        <v>41842</v>
      </c>
      <c r="BQ27" s="205">
        <v>11.6</v>
      </c>
      <c r="BR27" s="151">
        <v>41842</v>
      </c>
      <c r="BS27" s="206">
        <v>46.8</v>
      </c>
      <c r="BT27" s="151">
        <v>41842</v>
      </c>
      <c r="BU27" s="207">
        <v>13.6</v>
      </c>
      <c r="BV27" s="151">
        <v>41842</v>
      </c>
      <c r="BW27" s="206">
        <v>8.4</v>
      </c>
      <c r="BX27" s="151">
        <v>41842</v>
      </c>
      <c r="BY27" s="210">
        <v>7.37</v>
      </c>
      <c r="BZ27" s="151">
        <v>41842</v>
      </c>
      <c r="CA27" s="206">
        <v>30.7</v>
      </c>
      <c r="CB27" s="151">
        <v>41842</v>
      </c>
      <c r="CC27" s="208">
        <v>6.2</v>
      </c>
      <c r="CD27" s="151">
        <v>41838</v>
      </c>
      <c r="CL27" s="209">
        <v>5</v>
      </c>
      <c r="CM27" s="201">
        <v>41810</v>
      </c>
    </row>
    <row r="28" spans="1:91" ht="15">
      <c r="A28" s="152" t="s">
        <v>8023</v>
      </c>
      <c r="B28" s="110" t="s">
        <v>235</v>
      </c>
      <c r="C28" s="110" t="s">
        <v>8081</v>
      </c>
      <c r="D28" s="110">
        <v>11334</v>
      </c>
      <c r="E28" s="111">
        <v>11</v>
      </c>
      <c r="F28" s="111">
        <v>517</v>
      </c>
      <c r="I28" s="372"/>
      <c r="K28" s="134">
        <v>5</v>
      </c>
      <c r="L28" s="151">
        <v>41701</v>
      </c>
      <c r="M28" s="169">
        <v>3.9</v>
      </c>
      <c r="N28" s="151">
        <v>41838</v>
      </c>
      <c r="Q28" s="497"/>
      <c r="S28" s="134">
        <v>13.63</v>
      </c>
      <c r="T28" s="151">
        <v>41842</v>
      </c>
      <c r="U28" s="134">
        <v>13.5</v>
      </c>
      <c r="V28" s="151">
        <v>41838</v>
      </c>
      <c r="W28" s="196">
        <v>9</v>
      </c>
      <c r="X28" s="151">
        <v>41829</v>
      </c>
      <c r="Y28" s="134">
        <f t="shared" si="0"/>
        <v>4.3413000000000004</v>
      </c>
      <c r="AC28" s="134">
        <v>28.89</v>
      </c>
      <c r="AD28" s="151">
        <v>41838</v>
      </c>
      <c r="AE28" s="134">
        <v>29.94</v>
      </c>
      <c r="AF28" s="151">
        <v>41838</v>
      </c>
      <c r="AG28" s="197">
        <v>3.8</v>
      </c>
      <c r="AH28" s="151">
        <v>41843</v>
      </c>
      <c r="AI28" s="198">
        <v>5</v>
      </c>
      <c r="AJ28" s="151">
        <v>41778</v>
      </c>
      <c r="AK28" s="199">
        <v>4</v>
      </c>
      <c r="AL28" s="151">
        <v>41709</v>
      </c>
      <c r="BE28" s="200">
        <v>4</v>
      </c>
      <c r="BF28" s="201">
        <v>41555</v>
      </c>
      <c r="BG28" s="202">
        <v>1.2</v>
      </c>
      <c r="BH28" s="151">
        <v>41842</v>
      </c>
      <c r="BM28" s="204">
        <v>62.3</v>
      </c>
      <c r="BN28" s="151">
        <v>41842</v>
      </c>
      <c r="BQ28" s="205">
        <v>11.4</v>
      </c>
      <c r="BR28" s="151">
        <v>41842</v>
      </c>
      <c r="BS28" s="206">
        <v>45.5</v>
      </c>
      <c r="BT28" s="151">
        <v>41842</v>
      </c>
      <c r="BU28" s="207">
        <v>14.5</v>
      </c>
      <c r="BV28" s="151">
        <v>41842</v>
      </c>
      <c r="BW28" s="206">
        <v>9</v>
      </c>
      <c r="BX28" s="151">
        <v>41842</v>
      </c>
      <c r="BY28" s="210">
        <v>7.53</v>
      </c>
      <c r="BZ28" s="151">
        <v>41842</v>
      </c>
      <c r="CA28" s="206">
        <v>31.8</v>
      </c>
      <c r="CB28" s="151">
        <v>41842</v>
      </c>
      <c r="CC28" s="208">
        <v>5.7</v>
      </c>
      <c r="CD28" s="151">
        <v>41838</v>
      </c>
      <c r="CL28" s="209">
        <v>5</v>
      </c>
      <c r="CM28" s="201">
        <v>41810</v>
      </c>
    </row>
    <row r="29" spans="1:91" ht="15">
      <c r="A29" s="152" t="s">
        <v>8023</v>
      </c>
      <c r="B29" s="110" t="s">
        <v>233</v>
      </c>
      <c r="C29" s="110" t="s">
        <v>8083</v>
      </c>
      <c r="D29" s="110">
        <v>11815</v>
      </c>
      <c r="E29" s="111">
        <v>12</v>
      </c>
      <c r="F29" s="111">
        <v>717</v>
      </c>
      <c r="I29" s="372"/>
      <c r="K29" s="191">
        <v>3</v>
      </c>
      <c r="L29" s="151">
        <v>41701</v>
      </c>
      <c r="M29" s="169">
        <v>3.05</v>
      </c>
      <c r="N29" s="151">
        <v>41838</v>
      </c>
      <c r="Q29" s="497"/>
      <c r="S29" s="134">
        <v>10.79</v>
      </c>
      <c r="T29" s="151">
        <v>41842</v>
      </c>
      <c r="U29" s="134">
        <v>13.5</v>
      </c>
      <c r="V29" s="151">
        <v>41838</v>
      </c>
      <c r="W29" s="196">
        <v>9</v>
      </c>
      <c r="X29" s="151">
        <v>41829</v>
      </c>
      <c r="Y29" s="134">
        <f t="shared" si="0"/>
        <v>3.1934699999999996</v>
      </c>
      <c r="AC29" s="134">
        <v>22.59</v>
      </c>
      <c r="AD29" s="151">
        <v>41838</v>
      </c>
      <c r="AE29" s="134">
        <v>23.31</v>
      </c>
      <c r="AF29" s="151">
        <v>41838</v>
      </c>
      <c r="AG29" s="197">
        <v>4</v>
      </c>
      <c r="AH29" s="151">
        <v>41843</v>
      </c>
      <c r="AI29" s="198">
        <v>3</v>
      </c>
      <c r="AJ29" s="151">
        <v>41778</v>
      </c>
      <c r="AK29" s="199">
        <v>5</v>
      </c>
      <c r="AL29" s="151">
        <v>41709</v>
      </c>
      <c r="BE29" s="200">
        <v>5</v>
      </c>
      <c r="BF29" s="201">
        <v>41555</v>
      </c>
      <c r="BG29" s="202">
        <v>-1.8</v>
      </c>
      <c r="BH29" s="151">
        <v>41842</v>
      </c>
      <c r="BM29" s="204">
        <v>62</v>
      </c>
      <c r="BN29" s="151">
        <v>41842</v>
      </c>
      <c r="BQ29" s="205">
        <v>11.8</v>
      </c>
      <c r="BR29" s="151">
        <v>41842</v>
      </c>
      <c r="BS29" s="206">
        <v>46.3</v>
      </c>
      <c r="BT29" s="151">
        <v>41842</v>
      </c>
      <c r="BU29" s="207">
        <v>13.7</v>
      </c>
      <c r="BV29" s="151">
        <v>41842</v>
      </c>
      <c r="BW29" s="206">
        <v>10.8</v>
      </c>
      <c r="BX29" s="151">
        <v>41842</v>
      </c>
      <c r="BY29" s="210">
        <v>7.24</v>
      </c>
      <c r="BZ29" s="151">
        <v>41842</v>
      </c>
      <c r="CA29" s="206">
        <v>30.7</v>
      </c>
      <c r="CB29" s="151">
        <v>41842</v>
      </c>
      <c r="CC29" s="208">
        <v>6.1</v>
      </c>
      <c r="CD29" s="151">
        <v>41838</v>
      </c>
      <c r="CL29" s="209">
        <v>3</v>
      </c>
      <c r="CM29" s="201">
        <v>41810</v>
      </c>
    </row>
    <row r="30" spans="1:91" ht="15">
      <c r="A30" s="152" t="s">
        <v>8024</v>
      </c>
      <c r="B30" s="110" t="s">
        <v>235</v>
      </c>
      <c r="C30" s="110" t="s">
        <v>8082</v>
      </c>
      <c r="D30" s="110">
        <v>11454</v>
      </c>
      <c r="E30" s="111">
        <v>2</v>
      </c>
      <c r="F30" s="111">
        <v>713</v>
      </c>
      <c r="I30" s="372"/>
      <c r="K30" s="191">
        <v>3</v>
      </c>
      <c r="L30" s="151">
        <v>41701</v>
      </c>
      <c r="M30" s="169">
        <v>4.8</v>
      </c>
      <c r="N30" s="151">
        <v>41838</v>
      </c>
      <c r="Q30" s="497"/>
      <c r="S30" s="134">
        <v>17.11</v>
      </c>
      <c r="T30" s="151">
        <v>41842</v>
      </c>
      <c r="U30" s="134">
        <v>13.5</v>
      </c>
      <c r="V30" s="151">
        <v>41838</v>
      </c>
      <c r="W30" s="196">
        <v>9</v>
      </c>
      <c r="X30" s="151">
        <v>41829</v>
      </c>
      <c r="Y30" s="134">
        <f t="shared" si="0"/>
        <v>5.2312800000000008</v>
      </c>
      <c r="AC30" s="134">
        <v>35.56</v>
      </c>
      <c r="AD30" s="151">
        <v>41838</v>
      </c>
      <c r="AE30" s="134">
        <v>36.840000000000003</v>
      </c>
      <c r="AF30" s="151">
        <v>41838</v>
      </c>
      <c r="AG30" s="197">
        <v>4.7</v>
      </c>
      <c r="AH30" s="151">
        <v>41843</v>
      </c>
      <c r="AI30" s="198">
        <v>5</v>
      </c>
      <c r="AJ30" s="151">
        <v>41778</v>
      </c>
      <c r="AK30" s="199">
        <v>5</v>
      </c>
      <c r="AL30" s="151">
        <v>41709</v>
      </c>
      <c r="BE30" s="200">
        <v>5</v>
      </c>
      <c r="BF30" s="201">
        <v>41555</v>
      </c>
      <c r="BG30" s="202">
        <v>-1.4</v>
      </c>
      <c r="BH30" s="151">
        <v>41842</v>
      </c>
      <c r="BM30" s="204">
        <v>63.5</v>
      </c>
      <c r="BN30" s="151">
        <v>41842</v>
      </c>
      <c r="BQ30" s="205">
        <v>11.6</v>
      </c>
      <c r="BR30" s="151">
        <v>41842</v>
      </c>
      <c r="BS30" s="206">
        <v>46.5</v>
      </c>
      <c r="BT30" s="151">
        <v>41842</v>
      </c>
      <c r="BU30" s="207">
        <v>14.2</v>
      </c>
      <c r="BV30" s="151">
        <v>41842</v>
      </c>
      <c r="BW30" s="206">
        <v>12.2</v>
      </c>
      <c r="BX30" s="151">
        <v>41842</v>
      </c>
      <c r="BY30" s="210">
        <v>7.05</v>
      </c>
      <c r="BZ30" s="151">
        <v>41842</v>
      </c>
      <c r="CA30" s="206">
        <v>31.9</v>
      </c>
      <c r="CB30" s="151">
        <v>41842</v>
      </c>
      <c r="CC30" s="208">
        <v>5.7</v>
      </c>
      <c r="CD30" s="151">
        <v>41838</v>
      </c>
      <c r="CL30" s="209">
        <v>3</v>
      </c>
      <c r="CM30" s="201">
        <v>41810</v>
      </c>
    </row>
    <row r="31" spans="1:91" ht="15">
      <c r="A31" s="152" t="s">
        <v>8024</v>
      </c>
      <c r="B31" s="110" t="s">
        <v>233</v>
      </c>
      <c r="C31" s="110" t="s">
        <v>381</v>
      </c>
      <c r="D31" s="110">
        <v>11147</v>
      </c>
      <c r="E31" s="111">
        <v>6</v>
      </c>
      <c r="F31" s="111">
        <v>489</v>
      </c>
      <c r="I31" s="372"/>
      <c r="K31" s="134">
        <v>5</v>
      </c>
      <c r="L31" s="151">
        <v>41701</v>
      </c>
      <c r="M31" s="169">
        <v>3.8</v>
      </c>
      <c r="N31" s="151">
        <v>41838</v>
      </c>
      <c r="Q31" s="497"/>
      <c r="S31" s="134">
        <v>13.45</v>
      </c>
      <c r="T31" s="151">
        <v>41842</v>
      </c>
      <c r="U31" s="134">
        <v>13.5</v>
      </c>
      <c r="V31" s="151">
        <v>41838</v>
      </c>
      <c r="W31" s="196">
        <v>9</v>
      </c>
      <c r="X31" s="151">
        <v>41829</v>
      </c>
      <c r="Y31" s="134">
        <f t="shared" si="0"/>
        <v>4.0323900000000004</v>
      </c>
      <c r="AC31" s="134">
        <v>28.15</v>
      </c>
      <c r="AD31" s="151">
        <v>41838</v>
      </c>
      <c r="AE31" s="134">
        <v>29.01</v>
      </c>
      <c r="AF31" s="151">
        <v>41838</v>
      </c>
      <c r="AG31" s="197">
        <v>4.7</v>
      </c>
      <c r="AH31" s="151">
        <v>41843</v>
      </c>
      <c r="AI31" s="198">
        <v>5</v>
      </c>
      <c r="AJ31" s="151">
        <v>41778</v>
      </c>
      <c r="AK31" s="199">
        <v>4</v>
      </c>
      <c r="AL31" s="151">
        <v>41709</v>
      </c>
      <c r="BE31" s="200">
        <v>4</v>
      </c>
      <c r="BF31" s="201">
        <v>41555</v>
      </c>
      <c r="BG31" s="202">
        <v>-2.8</v>
      </c>
      <c r="BH31" s="151">
        <v>41842</v>
      </c>
      <c r="BM31" s="204">
        <v>62.4</v>
      </c>
      <c r="BN31" s="151">
        <v>41842</v>
      </c>
      <c r="BQ31" s="205">
        <v>11.4</v>
      </c>
      <c r="BR31" s="151">
        <v>41842</v>
      </c>
      <c r="BS31" s="206">
        <v>46.4</v>
      </c>
      <c r="BT31" s="151">
        <v>41842</v>
      </c>
      <c r="BU31" s="207">
        <v>13.9</v>
      </c>
      <c r="BV31" s="151">
        <v>41842</v>
      </c>
      <c r="BW31" s="206">
        <v>8.6</v>
      </c>
      <c r="BX31" s="151">
        <v>41842</v>
      </c>
      <c r="BY31" s="210">
        <v>7.01</v>
      </c>
      <c r="BZ31" s="151">
        <v>41842</v>
      </c>
      <c r="CA31" s="206">
        <v>31</v>
      </c>
      <c r="CB31" s="151">
        <v>41842</v>
      </c>
      <c r="CC31" s="208">
        <v>6.2</v>
      </c>
      <c r="CD31" s="151">
        <v>41838</v>
      </c>
      <c r="CL31" s="209">
        <v>3</v>
      </c>
      <c r="CM31" s="201">
        <v>41810</v>
      </c>
    </row>
    <row r="32" spans="1:91" ht="15">
      <c r="A32" s="152" t="s">
        <v>8024</v>
      </c>
      <c r="B32" s="110" t="s">
        <v>235</v>
      </c>
      <c r="C32" s="110" t="s">
        <v>8081</v>
      </c>
      <c r="D32" s="110">
        <v>11280</v>
      </c>
      <c r="E32" s="111">
        <v>9</v>
      </c>
      <c r="F32" s="111">
        <v>589</v>
      </c>
      <c r="I32" s="372"/>
      <c r="K32" s="134">
        <v>5</v>
      </c>
      <c r="L32" s="151">
        <v>41701</v>
      </c>
      <c r="M32" s="169">
        <v>5.0999999999999996</v>
      </c>
      <c r="N32" s="151">
        <v>41838</v>
      </c>
      <c r="Q32" s="497"/>
      <c r="S32" s="134">
        <v>18.190000000000001</v>
      </c>
      <c r="T32" s="151">
        <v>41842</v>
      </c>
      <c r="U32" s="134">
        <v>13.5</v>
      </c>
      <c r="V32" s="151">
        <v>41838</v>
      </c>
      <c r="W32" s="196">
        <v>1</v>
      </c>
      <c r="X32" s="151">
        <v>41829</v>
      </c>
      <c r="Y32" s="134">
        <f t="shared" si="0"/>
        <v>5.6318399999999995</v>
      </c>
      <c r="AC32" s="134">
        <v>37.78</v>
      </c>
      <c r="AD32" s="151">
        <v>41838</v>
      </c>
      <c r="AE32" s="134">
        <v>39.11</v>
      </c>
      <c r="AF32" s="151">
        <v>41838</v>
      </c>
      <c r="AG32" s="197">
        <v>4.8</v>
      </c>
      <c r="AH32" s="151">
        <v>41843</v>
      </c>
      <c r="AI32" s="198">
        <v>5</v>
      </c>
      <c r="AJ32" s="151">
        <v>41778</v>
      </c>
      <c r="AK32" s="199">
        <v>5</v>
      </c>
      <c r="AL32" s="151">
        <v>41709</v>
      </c>
      <c r="BE32" s="200">
        <v>5</v>
      </c>
      <c r="BF32" s="201">
        <v>41555</v>
      </c>
      <c r="BG32" s="202">
        <v>-1.2</v>
      </c>
      <c r="BH32" s="151">
        <v>41842</v>
      </c>
      <c r="BM32" s="204">
        <v>62.2</v>
      </c>
      <c r="BN32" s="151">
        <v>41842</v>
      </c>
      <c r="BQ32" s="205">
        <v>11.5</v>
      </c>
      <c r="BR32" s="151">
        <v>41842</v>
      </c>
      <c r="BS32" s="206">
        <v>46.5</v>
      </c>
      <c r="BT32" s="151">
        <v>41842</v>
      </c>
      <c r="BU32" s="207">
        <v>14.4</v>
      </c>
      <c r="BV32" s="151">
        <v>41842</v>
      </c>
      <c r="BW32" s="206">
        <v>10.1</v>
      </c>
      <c r="BX32" s="151">
        <v>41842</v>
      </c>
      <c r="BY32" s="210">
        <v>6.89</v>
      </c>
      <c r="BZ32" s="151">
        <v>41842</v>
      </c>
      <c r="CA32" s="206">
        <v>32.4</v>
      </c>
      <c r="CB32" s="151">
        <v>41842</v>
      </c>
      <c r="CC32" s="208">
        <v>5.8</v>
      </c>
      <c r="CD32" s="151">
        <v>41838</v>
      </c>
      <c r="CL32" s="209">
        <v>3</v>
      </c>
      <c r="CM32" s="201">
        <v>41810</v>
      </c>
    </row>
    <row r="33" spans="1:91" ht="15">
      <c r="A33" s="152" t="s">
        <v>8024</v>
      </c>
      <c r="B33" s="110" t="s">
        <v>233</v>
      </c>
      <c r="C33" s="110" t="s">
        <v>8083</v>
      </c>
      <c r="D33" s="110">
        <v>11729</v>
      </c>
      <c r="E33" s="111">
        <v>10</v>
      </c>
      <c r="F33" s="111">
        <v>661</v>
      </c>
      <c r="I33" s="372"/>
      <c r="K33" s="134">
        <v>5</v>
      </c>
      <c r="L33" s="151">
        <v>41701</v>
      </c>
      <c r="M33" s="169">
        <v>4.05</v>
      </c>
      <c r="N33" s="151">
        <v>41838</v>
      </c>
      <c r="Q33" s="497"/>
      <c r="S33" s="134">
        <v>14.57</v>
      </c>
      <c r="T33" s="151">
        <v>41842</v>
      </c>
      <c r="U33" s="134">
        <v>13.5</v>
      </c>
      <c r="V33" s="151">
        <v>41838</v>
      </c>
      <c r="W33" s="196">
        <v>9</v>
      </c>
      <c r="X33" s="151">
        <v>41829</v>
      </c>
      <c r="Y33" s="134">
        <f t="shared" si="0"/>
        <v>4.2146399999999993</v>
      </c>
      <c r="AC33" s="134">
        <v>30</v>
      </c>
      <c r="AD33" s="151">
        <v>41838</v>
      </c>
      <c r="AE33" s="134">
        <v>30.99</v>
      </c>
      <c r="AF33" s="151">
        <v>41838</v>
      </c>
      <c r="AG33" s="197">
        <v>4.8</v>
      </c>
      <c r="AH33" s="151">
        <v>41843</v>
      </c>
      <c r="AI33" s="198">
        <v>5</v>
      </c>
      <c r="AJ33" s="151">
        <v>41778</v>
      </c>
      <c r="AK33" s="199">
        <v>4</v>
      </c>
      <c r="AL33" s="151">
        <v>41709</v>
      </c>
      <c r="BE33" s="200">
        <v>4</v>
      </c>
      <c r="BF33" s="201">
        <v>41555</v>
      </c>
      <c r="BG33" s="202">
        <v>-4.9000000000000004</v>
      </c>
      <c r="BH33" s="151">
        <v>41842</v>
      </c>
      <c r="BM33" s="204">
        <v>62.8</v>
      </c>
      <c r="BN33" s="151">
        <v>41842</v>
      </c>
      <c r="BQ33" s="205">
        <v>11.3</v>
      </c>
      <c r="BR33" s="151">
        <v>41842</v>
      </c>
      <c r="BS33" s="206">
        <v>47</v>
      </c>
      <c r="BT33" s="151">
        <v>41842</v>
      </c>
      <c r="BU33" s="207">
        <v>13.6</v>
      </c>
      <c r="BV33" s="151">
        <v>41842</v>
      </c>
      <c r="BW33" s="206">
        <v>9.6</v>
      </c>
      <c r="BX33" s="151">
        <v>41842</v>
      </c>
      <c r="BY33" s="210">
        <v>6.7</v>
      </c>
      <c r="BZ33" s="151">
        <v>41842</v>
      </c>
      <c r="CA33" s="206">
        <v>30.9</v>
      </c>
      <c r="CB33" s="151">
        <v>41842</v>
      </c>
      <c r="CC33" s="208">
        <v>6</v>
      </c>
      <c r="CD33" s="151">
        <v>41838</v>
      </c>
      <c r="CL33" s="209">
        <v>3</v>
      </c>
      <c r="CM33" s="201">
        <v>41810</v>
      </c>
    </row>
    <row r="34" spans="1:91" ht="15">
      <c r="A34" s="152" t="s">
        <v>8025</v>
      </c>
      <c r="B34" s="110" t="s">
        <v>235</v>
      </c>
      <c r="C34" s="110" t="s">
        <v>8082</v>
      </c>
      <c r="D34" s="110">
        <v>11409</v>
      </c>
      <c r="E34" s="111">
        <v>1</v>
      </c>
      <c r="F34" s="111">
        <v>677</v>
      </c>
      <c r="I34" s="137"/>
      <c r="K34" s="194">
        <v>5</v>
      </c>
      <c r="L34" s="151">
        <v>41701</v>
      </c>
      <c r="M34" s="169">
        <v>4.2</v>
      </c>
      <c r="N34" s="151">
        <v>41838</v>
      </c>
      <c r="Q34" s="497"/>
      <c r="S34" s="134">
        <v>14.93</v>
      </c>
      <c r="T34" s="151">
        <v>41842</v>
      </c>
      <c r="U34" s="138">
        <v>13.5</v>
      </c>
      <c r="V34" s="151">
        <v>41838</v>
      </c>
      <c r="W34" s="196">
        <v>1</v>
      </c>
      <c r="X34" s="151">
        <v>41829</v>
      </c>
      <c r="Y34" s="134">
        <f t="shared" si="0"/>
        <v>4.3976999999999995</v>
      </c>
      <c r="AA34" s="138"/>
      <c r="AC34" s="138">
        <v>31.11</v>
      </c>
      <c r="AD34" s="151">
        <v>41838</v>
      </c>
      <c r="AE34" s="137">
        <v>32.1</v>
      </c>
      <c r="AF34" s="151">
        <v>41838</v>
      </c>
      <c r="AG34" s="197">
        <v>5.0999999999999996</v>
      </c>
      <c r="AH34" s="151">
        <v>41843</v>
      </c>
      <c r="AI34" s="198">
        <v>5</v>
      </c>
      <c r="AJ34" s="151">
        <v>41778</v>
      </c>
      <c r="AK34" s="199">
        <v>5</v>
      </c>
      <c r="AL34" s="151">
        <v>41709</v>
      </c>
      <c r="AM34" s="138"/>
      <c r="BE34" s="200">
        <v>5</v>
      </c>
      <c r="BF34" s="201">
        <v>41555</v>
      </c>
      <c r="BG34" s="202">
        <v>-5.4</v>
      </c>
      <c r="BH34" s="151">
        <v>41842</v>
      </c>
      <c r="BM34" s="204">
        <v>64.7</v>
      </c>
      <c r="BN34" s="151">
        <v>41842</v>
      </c>
      <c r="BQ34" s="205">
        <v>9.5</v>
      </c>
      <c r="BR34" s="151">
        <v>41842</v>
      </c>
      <c r="BS34" s="206">
        <v>46.5</v>
      </c>
      <c r="BT34" s="151">
        <v>41842</v>
      </c>
      <c r="BU34" s="207">
        <v>13.7</v>
      </c>
      <c r="BV34" s="151">
        <v>41842</v>
      </c>
      <c r="BW34" s="206">
        <v>67.5</v>
      </c>
      <c r="BX34" s="151">
        <v>41842</v>
      </c>
      <c r="BY34" s="210">
        <v>6.99</v>
      </c>
      <c r="BZ34" s="151">
        <v>41842</v>
      </c>
      <c r="CA34" s="206">
        <v>30.9</v>
      </c>
      <c r="CB34" s="151">
        <v>41842</v>
      </c>
      <c r="CC34" s="208">
        <v>6.1</v>
      </c>
      <c r="CD34" s="151">
        <v>41838</v>
      </c>
      <c r="CL34" s="209">
        <v>7</v>
      </c>
      <c r="CM34" s="201">
        <v>41810</v>
      </c>
    </row>
    <row r="35" spans="1:91" ht="15">
      <c r="A35" s="152" t="s">
        <v>8025</v>
      </c>
      <c r="B35" s="110" t="s">
        <v>233</v>
      </c>
      <c r="C35" s="110" t="s">
        <v>381</v>
      </c>
      <c r="D35" s="110">
        <v>11065</v>
      </c>
      <c r="E35" s="111">
        <v>3</v>
      </c>
      <c r="F35" s="111">
        <v>593</v>
      </c>
      <c r="I35" s="372"/>
      <c r="K35" s="138">
        <v>7</v>
      </c>
      <c r="L35" s="151">
        <v>41701</v>
      </c>
      <c r="M35" s="169">
        <v>3.4</v>
      </c>
      <c r="N35" s="151">
        <v>41838</v>
      </c>
      <c r="Q35" s="497"/>
      <c r="S35" s="134">
        <v>12.29</v>
      </c>
      <c r="T35" s="151">
        <v>41842</v>
      </c>
      <c r="U35" s="134">
        <v>13.5</v>
      </c>
      <c r="V35" s="151">
        <v>41838</v>
      </c>
      <c r="W35" s="196">
        <v>1</v>
      </c>
      <c r="X35" s="151">
        <v>41829</v>
      </c>
      <c r="Y35" s="134">
        <f t="shared" si="0"/>
        <v>3.40076</v>
      </c>
      <c r="AC35" s="134">
        <v>25.19</v>
      </c>
      <c r="AD35" s="151">
        <v>41838</v>
      </c>
      <c r="AE35" s="134">
        <v>25.96</v>
      </c>
      <c r="AF35" s="151">
        <v>41838</v>
      </c>
      <c r="AG35" s="197">
        <v>5</v>
      </c>
      <c r="AH35" s="151">
        <v>41843</v>
      </c>
      <c r="AI35" s="198">
        <v>5</v>
      </c>
      <c r="AJ35" s="151">
        <v>41778</v>
      </c>
      <c r="AK35" s="199">
        <v>5</v>
      </c>
      <c r="AL35" s="151">
        <v>41709</v>
      </c>
      <c r="BE35" s="200">
        <v>5</v>
      </c>
      <c r="BF35" s="201">
        <v>41555</v>
      </c>
      <c r="BG35" s="202">
        <v>-4.5999999999999996</v>
      </c>
      <c r="BH35" s="151">
        <v>41842</v>
      </c>
      <c r="BM35" s="204">
        <v>65.8</v>
      </c>
      <c r="BN35" s="151">
        <v>41842</v>
      </c>
      <c r="BQ35" s="205">
        <v>9</v>
      </c>
      <c r="BR35" s="151">
        <v>41842</v>
      </c>
      <c r="BS35" s="206">
        <v>47.4</v>
      </c>
      <c r="BT35" s="151">
        <v>41842</v>
      </c>
      <c r="BU35" s="207">
        <v>13.1</v>
      </c>
      <c r="BV35" s="151">
        <v>41842</v>
      </c>
      <c r="BW35" s="206">
        <v>65.8</v>
      </c>
      <c r="BX35" s="151">
        <v>41842</v>
      </c>
      <c r="BY35" s="210">
        <v>6.92</v>
      </c>
      <c r="BZ35" s="151">
        <v>41842</v>
      </c>
      <c r="CA35" s="206">
        <v>29.9</v>
      </c>
      <c r="CB35" s="151">
        <v>41842</v>
      </c>
      <c r="CC35" s="208">
        <v>6.2</v>
      </c>
      <c r="CD35" s="151">
        <v>41838</v>
      </c>
      <c r="CL35" s="209">
        <v>5</v>
      </c>
      <c r="CM35" s="201">
        <v>41810</v>
      </c>
    </row>
    <row r="36" spans="1:91" ht="15">
      <c r="A36" s="152" t="s">
        <v>8025</v>
      </c>
      <c r="B36" s="110" t="s">
        <v>235</v>
      </c>
      <c r="C36" s="110" t="s">
        <v>8081</v>
      </c>
      <c r="D36" s="110">
        <v>11223</v>
      </c>
      <c r="E36" s="111">
        <v>8</v>
      </c>
      <c r="F36" s="111">
        <v>505</v>
      </c>
      <c r="I36" s="372"/>
      <c r="J36" s="187"/>
      <c r="K36" s="138">
        <v>7</v>
      </c>
      <c r="L36" s="151">
        <v>41701</v>
      </c>
      <c r="M36" s="169">
        <v>4.95</v>
      </c>
      <c r="N36" s="151">
        <v>41838</v>
      </c>
      <c r="Q36" s="497"/>
      <c r="S36" s="134">
        <v>17.48</v>
      </c>
      <c r="T36" s="151">
        <v>41842</v>
      </c>
      <c r="U36" s="134">
        <v>13.5</v>
      </c>
      <c r="V36" s="151">
        <v>41838</v>
      </c>
      <c r="W36" s="196">
        <v>9</v>
      </c>
      <c r="X36" s="151">
        <v>41829</v>
      </c>
      <c r="Y36" s="134">
        <f t="shared" si="0"/>
        <v>5.3732799999999994</v>
      </c>
      <c r="AC36" s="134">
        <v>36.67</v>
      </c>
      <c r="AD36" s="151">
        <v>41838</v>
      </c>
      <c r="AE36" s="134">
        <v>37.840000000000003</v>
      </c>
      <c r="AF36" s="151">
        <v>41838</v>
      </c>
      <c r="AG36" s="197">
        <v>4.9000000000000004</v>
      </c>
      <c r="AH36" s="151">
        <v>41843</v>
      </c>
      <c r="AI36" s="198">
        <v>5</v>
      </c>
      <c r="AJ36" s="151">
        <v>41778</v>
      </c>
      <c r="AK36" s="199">
        <v>5</v>
      </c>
      <c r="AL36" s="151">
        <v>41709</v>
      </c>
      <c r="BE36" s="200">
        <v>5</v>
      </c>
      <c r="BF36" s="201">
        <v>41555</v>
      </c>
      <c r="BG36" s="202">
        <v>-2.2000000000000002</v>
      </c>
      <c r="BH36" s="151">
        <v>41842</v>
      </c>
      <c r="BM36" s="204">
        <v>65.8</v>
      </c>
      <c r="BN36" s="151">
        <v>41842</v>
      </c>
      <c r="BQ36" s="205">
        <v>9.4</v>
      </c>
      <c r="BR36" s="151">
        <v>41842</v>
      </c>
      <c r="BS36" s="206">
        <v>46.2</v>
      </c>
      <c r="BT36" s="151">
        <v>41842</v>
      </c>
      <c r="BU36" s="207">
        <v>14.2</v>
      </c>
      <c r="BV36" s="151">
        <v>41842</v>
      </c>
      <c r="BW36" s="206">
        <v>63.6</v>
      </c>
      <c r="BX36" s="151">
        <v>41842</v>
      </c>
      <c r="BY36" s="210">
        <v>6.99</v>
      </c>
      <c r="BZ36" s="151">
        <v>41842</v>
      </c>
      <c r="CA36" s="206">
        <v>31.6</v>
      </c>
      <c r="CB36" s="151">
        <v>41842</v>
      </c>
      <c r="CC36" s="208">
        <v>6.1</v>
      </c>
      <c r="CD36" s="151">
        <v>41838</v>
      </c>
      <c r="CL36" s="209">
        <v>7</v>
      </c>
      <c r="CM36" s="201">
        <v>41810</v>
      </c>
    </row>
    <row r="37" spans="1:91" ht="15">
      <c r="A37" s="152" t="s">
        <v>8025</v>
      </c>
      <c r="B37" s="110" t="s">
        <v>233</v>
      </c>
      <c r="C37" s="110" t="s">
        <v>8083</v>
      </c>
      <c r="D37" s="110">
        <v>11677</v>
      </c>
      <c r="E37" s="111">
        <v>8</v>
      </c>
      <c r="F37" s="111">
        <v>741</v>
      </c>
      <c r="I37" s="372"/>
      <c r="K37" s="194">
        <v>7</v>
      </c>
      <c r="L37" s="151">
        <v>41701</v>
      </c>
      <c r="M37" s="169">
        <v>3.8</v>
      </c>
      <c r="N37" s="151">
        <v>41838</v>
      </c>
      <c r="Q37" s="497"/>
      <c r="S37" s="134">
        <v>13.76</v>
      </c>
      <c r="T37" s="151">
        <v>41842</v>
      </c>
      <c r="U37" s="134">
        <v>13.5</v>
      </c>
      <c r="V37" s="151">
        <v>41838</v>
      </c>
      <c r="W37" s="196">
        <v>9</v>
      </c>
      <c r="X37" s="151">
        <v>41829</v>
      </c>
      <c r="Y37" s="134">
        <f t="shared" si="0"/>
        <v>3.69408</v>
      </c>
      <c r="AC37" s="134">
        <v>28.15</v>
      </c>
      <c r="AD37" s="151">
        <v>41838</v>
      </c>
      <c r="AE37" s="134">
        <v>28.86</v>
      </c>
      <c r="AF37" s="151">
        <v>41838</v>
      </c>
      <c r="AG37" s="197">
        <v>4.8</v>
      </c>
      <c r="AH37" s="151">
        <v>41843</v>
      </c>
      <c r="AI37" s="198">
        <v>5</v>
      </c>
      <c r="AJ37" s="151">
        <v>41778</v>
      </c>
      <c r="AK37" s="199">
        <v>5</v>
      </c>
      <c r="AL37" s="151">
        <v>41709</v>
      </c>
      <c r="BE37" s="200">
        <v>5</v>
      </c>
      <c r="BF37" s="201">
        <v>41555</v>
      </c>
      <c r="BG37" s="202">
        <v>-5.2</v>
      </c>
      <c r="BH37" s="151">
        <v>41842</v>
      </c>
      <c r="BM37" s="204">
        <v>66.3</v>
      </c>
      <c r="BN37" s="151">
        <v>41842</v>
      </c>
      <c r="BQ37" s="205">
        <v>8.9</v>
      </c>
      <c r="BR37" s="151">
        <v>41842</v>
      </c>
      <c r="BS37" s="206">
        <v>47.7</v>
      </c>
      <c r="BT37" s="151">
        <v>41842</v>
      </c>
      <c r="BU37" s="207">
        <v>12.8</v>
      </c>
      <c r="BV37" s="151">
        <v>41842</v>
      </c>
      <c r="BW37" s="206">
        <v>62.6</v>
      </c>
      <c r="BX37" s="151">
        <v>41842</v>
      </c>
      <c r="BY37" s="210">
        <v>6.75</v>
      </c>
      <c r="BZ37" s="151">
        <v>41842</v>
      </c>
      <c r="CA37" s="206">
        <v>29.6</v>
      </c>
      <c r="CB37" s="151">
        <v>41842</v>
      </c>
      <c r="CC37" s="208">
        <v>6.7</v>
      </c>
      <c r="CD37" s="151">
        <v>41838</v>
      </c>
      <c r="CL37" s="209">
        <v>5</v>
      </c>
      <c r="CM37" s="201">
        <v>41810</v>
      </c>
    </row>
    <row r="38" spans="1:91" s="421" customFormat="1" ht="15">
      <c r="A38" s="412" t="s">
        <v>8026</v>
      </c>
      <c r="B38" s="413" t="s">
        <v>235</v>
      </c>
      <c r="C38" s="413" t="s">
        <v>8082</v>
      </c>
      <c r="D38" s="413">
        <v>11503</v>
      </c>
      <c r="E38" s="414">
        <v>3</v>
      </c>
      <c r="F38" s="414">
        <v>765</v>
      </c>
      <c r="G38" s="414"/>
      <c r="H38" s="414"/>
      <c r="I38" s="415"/>
      <c r="J38" s="413"/>
      <c r="K38" s="416">
        <v>5</v>
      </c>
      <c r="L38" s="417">
        <v>41701</v>
      </c>
      <c r="M38" s="418">
        <v>2.7</v>
      </c>
      <c r="N38" s="417">
        <v>41838</v>
      </c>
      <c r="O38" s="416"/>
      <c r="P38" s="417"/>
      <c r="Q38" s="497"/>
      <c r="R38" s="417"/>
      <c r="S38" s="416">
        <v>8.69</v>
      </c>
      <c r="T38" s="417">
        <v>41842</v>
      </c>
      <c r="U38" s="416">
        <v>13.5</v>
      </c>
      <c r="V38" s="417">
        <v>41838</v>
      </c>
      <c r="W38" s="418">
        <v>1</v>
      </c>
      <c r="X38" s="417">
        <v>41829</v>
      </c>
      <c r="Y38" s="134">
        <f t="shared" si="0"/>
        <v>3.4385300000000001</v>
      </c>
      <c r="Z38" s="417"/>
      <c r="AA38" s="416"/>
      <c r="AB38" s="417"/>
      <c r="AC38" s="416">
        <v>20</v>
      </c>
      <c r="AD38" s="417">
        <v>41838</v>
      </c>
      <c r="AE38" s="416">
        <v>20.59</v>
      </c>
      <c r="AF38" s="417">
        <v>41838</v>
      </c>
      <c r="AG38" s="418">
        <v>4.4000000000000004</v>
      </c>
      <c r="AH38" s="417">
        <v>41843</v>
      </c>
      <c r="AI38" s="418">
        <v>7</v>
      </c>
      <c r="AJ38" s="417">
        <v>41778</v>
      </c>
      <c r="AK38" s="418">
        <v>5</v>
      </c>
      <c r="AL38" s="417">
        <v>41709</v>
      </c>
      <c r="AM38" s="416"/>
      <c r="AN38" s="417"/>
      <c r="AO38" s="416"/>
      <c r="AP38" s="416"/>
      <c r="AQ38" s="416"/>
      <c r="AR38" s="416"/>
      <c r="AS38" s="416"/>
      <c r="AT38" s="416"/>
      <c r="AU38" s="416"/>
      <c r="AV38" s="416"/>
      <c r="AW38" s="416"/>
      <c r="AX38" s="416"/>
      <c r="AY38" s="416"/>
      <c r="AZ38" s="416"/>
      <c r="BA38" s="416"/>
      <c r="BB38" s="416"/>
      <c r="BC38" s="416"/>
      <c r="BD38" s="416"/>
      <c r="BE38" s="418">
        <v>5</v>
      </c>
      <c r="BF38" s="419">
        <v>41555</v>
      </c>
      <c r="BG38" s="420">
        <v>-0.7</v>
      </c>
      <c r="BH38" s="417">
        <v>41842</v>
      </c>
      <c r="BM38" s="420">
        <v>61.8</v>
      </c>
      <c r="BN38" s="417">
        <v>41842</v>
      </c>
      <c r="BQ38" s="420">
        <v>11.9</v>
      </c>
      <c r="BR38" s="417">
        <v>41842</v>
      </c>
      <c r="BS38" s="420">
        <v>42.2</v>
      </c>
      <c r="BT38" s="417">
        <v>41842</v>
      </c>
      <c r="BU38" s="420">
        <v>16.7</v>
      </c>
      <c r="BV38" s="417">
        <v>41842</v>
      </c>
      <c r="BW38" s="420">
        <v>64.900000000000006</v>
      </c>
      <c r="BX38" s="417">
        <v>41842</v>
      </c>
      <c r="BY38" s="420">
        <v>7.87</v>
      </c>
      <c r="BZ38" s="417">
        <v>41842</v>
      </c>
      <c r="CA38" s="420">
        <v>34.200000000000003</v>
      </c>
      <c r="CB38" s="417">
        <v>41842</v>
      </c>
      <c r="CC38" s="420">
        <v>6.3</v>
      </c>
      <c r="CD38" s="417">
        <v>41838</v>
      </c>
      <c r="CL38" s="420">
        <v>9</v>
      </c>
      <c r="CM38" s="419">
        <v>41810</v>
      </c>
    </row>
    <row r="39" spans="1:91" s="421" customFormat="1" ht="15">
      <c r="A39" s="412" t="s">
        <v>8026</v>
      </c>
      <c r="B39" s="413" t="s">
        <v>233</v>
      </c>
      <c r="C39" s="413" t="s">
        <v>381</v>
      </c>
      <c r="D39" s="413">
        <v>11129</v>
      </c>
      <c r="E39" s="414">
        <v>5</v>
      </c>
      <c r="F39" s="414">
        <v>561</v>
      </c>
      <c r="G39" s="414"/>
      <c r="H39" s="414"/>
      <c r="I39" s="415"/>
      <c r="J39" s="413"/>
      <c r="K39" s="416">
        <v>5</v>
      </c>
      <c r="L39" s="417">
        <v>41701</v>
      </c>
      <c r="M39" s="418">
        <v>2.5</v>
      </c>
      <c r="N39" s="417">
        <v>41838</v>
      </c>
      <c r="O39" s="416"/>
      <c r="P39" s="417"/>
      <c r="Q39" s="497"/>
      <c r="R39" s="417"/>
      <c r="S39" s="416">
        <v>8.39</v>
      </c>
      <c r="T39" s="417">
        <v>41842</v>
      </c>
      <c r="U39" s="416">
        <v>13.5</v>
      </c>
      <c r="V39" s="417">
        <v>41838</v>
      </c>
      <c r="W39" s="418">
        <v>9</v>
      </c>
      <c r="X39" s="417">
        <v>41829</v>
      </c>
      <c r="Y39" s="134">
        <f t="shared" si="0"/>
        <v>3.0222499999999997</v>
      </c>
      <c r="Z39" s="417"/>
      <c r="AA39" s="416"/>
      <c r="AB39" s="417"/>
      <c r="AC39" s="416">
        <v>18.52</v>
      </c>
      <c r="AD39" s="417">
        <v>41838</v>
      </c>
      <c r="AE39" s="416">
        <v>19.25</v>
      </c>
      <c r="AF39" s="417">
        <v>41838</v>
      </c>
      <c r="AG39" s="418">
        <v>4.7</v>
      </c>
      <c r="AH39" s="417">
        <v>41843</v>
      </c>
      <c r="AI39" s="418">
        <v>5</v>
      </c>
      <c r="AJ39" s="417">
        <v>41778</v>
      </c>
      <c r="AK39" s="418">
        <v>4</v>
      </c>
      <c r="AL39" s="417">
        <v>41709</v>
      </c>
      <c r="AM39" s="416"/>
      <c r="AN39" s="417"/>
      <c r="AO39" s="416"/>
      <c r="AP39" s="416"/>
      <c r="AQ39" s="416"/>
      <c r="AR39" s="416"/>
      <c r="AS39" s="416"/>
      <c r="AT39" s="416"/>
      <c r="AU39" s="416"/>
      <c r="AV39" s="416"/>
      <c r="AW39" s="416"/>
      <c r="AX39" s="416"/>
      <c r="AY39" s="416"/>
      <c r="AZ39" s="416"/>
      <c r="BA39" s="416"/>
      <c r="BB39" s="416"/>
      <c r="BC39" s="416"/>
      <c r="BD39" s="416"/>
      <c r="BE39" s="418">
        <v>4</v>
      </c>
      <c r="BF39" s="419">
        <v>41555</v>
      </c>
      <c r="BG39" s="420">
        <v>2.5</v>
      </c>
      <c r="BH39" s="417">
        <v>41842</v>
      </c>
      <c r="BM39" s="420">
        <v>64.599999999999994</v>
      </c>
      <c r="BN39" s="417">
        <v>41842</v>
      </c>
      <c r="BQ39" s="420">
        <v>10.3</v>
      </c>
      <c r="BR39" s="417">
        <v>41842</v>
      </c>
      <c r="BS39" s="420">
        <v>43.6</v>
      </c>
      <c r="BT39" s="417">
        <v>41842</v>
      </c>
      <c r="BU39" s="420">
        <v>15.7</v>
      </c>
      <c r="BV39" s="417">
        <v>41842</v>
      </c>
      <c r="BW39" s="420">
        <v>64.5</v>
      </c>
      <c r="BX39" s="417">
        <v>41842</v>
      </c>
      <c r="BY39" s="420">
        <v>7.77</v>
      </c>
      <c r="BZ39" s="417">
        <v>41842</v>
      </c>
      <c r="CA39" s="420">
        <v>33.1</v>
      </c>
      <c r="CB39" s="417">
        <v>41842</v>
      </c>
      <c r="CC39" s="420">
        <v>5.4</v>
      </c>
      <c r="CD39" s="417">
        <v>41838</v>
      </c>
      <c r="CL39" s="420">
        <v>7</v>
      </c>
      <c r="CM39" s="419">
        <v>41810</v>
      </c>
    </row>
    <row r="40" spans="1:91" s="421" customFormat="1" ht="15">
      <c r="A40" s="412" t="s">
        <v>8026</v>
      </c>
      <c r="B40" s="413" t="s">
        <v>235</v>
      </c>
      <c r="C40" s="413" t="s">
        <v>8081</v>
      </c>
      <c r="D40" s="413">
        <v>11333</v>
      </c>
      <c r="E40" s="414">
        <v>11</v>
      </c>
      <c r="F40" s="414">
        <v>513</v>
      </c>
      <c r="G40" s="414"/>
      <c r="H40" s="414"/>
      <c r="I40" s="415"/>
      <c r="J40" s="413"/>
      <c r="K40" s="416">
        <v>5</v>
      </c>
      <c r="L40" s="417">
        <v>41701</v>
      </c>
      <c r="M40" s="418">
        <v>2.9</v>
      </c>
      <c r="N40" s="417">
        <v>41838</v>
      </c>
      <c r="O40" s="416"/>
      <c r="P40" s="417"/>
      <c r="Q40" s="497"/>
      <c r="R40" s="417"/>
      <c r="S40" s="416">
        <v>9.36</v>
      </c>
      <c r="T40" s="417">
        <v>41842</v>
      </c>
      <c r="U40" s="416">
        <v>13.5</v>
      </c>
      <c r="V40" s="417">
        <v>41838</v>
      </c>
      <c r="W40" s="418">
        <v>9</v>
      </c>
      <c r="X40" s="417">
        <v>41829</v>
      </c>
      <c r="Y40" s="134">
        <f t="shared" si="0"/>
        <v>3.8407599999999995</v>
      </c>
      <c r="Z40" s="417"/>
      <c r="AA40" s="416"/>
      <c r="AB40" s="417"/>
      <c r="AC40" s="416">
        <v>21.48</v>
      </c>
      <c r="AD40" s="417">
        <v>41838</v>
      </c>
      <c r="AE40" s="416">
        <v>22.33</v>
      </c>
      <c r="AF40" s="417">
        <v>41838</v>
      </c>
      <c r="AG40" s="418">
        <v>4.2</v>
      </c>
      <c r="AH40" s="417">
        <v>41843</v>
      </c>
      <c r="AI40" s="418">
        <v>5</v>
      </c>
      <c r="AJ40" s="417">
        <v>41778</v>
      </c>
      <c r="AK40" s="418">
        <v>4</v>
      </c>
      <c r="AL40" s="417">
        <v>41709</v>
      </c>
      <c r="AM40" s="416"/>
      <c r="AN40" s="417"/>
      <c r="AO40" s="416"/>
      <c r="AP40" s="416"/>
      <c r="AQ40" s="416"/>
      <c r="AR40" s="416"/>
      <c r="AS40" s="416"/>
      <c r="AT40" s="416"/>
      <c r="AU40" s="416"/>
      <c r="AV40" s="416"/>
      <c r="AW40" s="416"/>
      <c r="AX40" s="416"/>
      <c r="AY40" s="416"/>
      <c r="AZ40" s="416"/>
      <c r="BA40" s="416"/>
      <c r="BB40" s="416"/>
      <c r="BC40" s="416"/>
      <c r="BD40" s="416"/>
      <c r="BE40" s="418">
        <v>4</v>
      </c>
      <c r="BF40" s="419">
        <v>41555</v>
      </c>
      <c r="BG40" s="420">
        <v>-1</v>
      </c>
      <c r="BH40" s="417">
        <v>41842</v>
      </c>
      <c r="BM40" s="420">
        <v>62</v>
      </c>
      <c r="BN40" s="417">
        <v>41842</v>
      </c>
      <c r="BQ40" s="420">
        <v>11.4</v>
      </c>
      <c r="BR40" s="417">
        <v>41842</v>
      </c>
      <c r="BS40" s="420">
        <v>41.9</v>
      </c>
      <c r="BT40" s="417">
        <v>41842</v>
      </c>
      <c r="BU40" s="420">
        <v>17.2</v>
      </c>
      <c r="BV40" s="417">
        <v>41842</v>
      </c>
      <c r="BW40" s="420">
        <v>68.3</v>
      </c>
      <c r="BX40" s="417">
        <v>41842</v>
      </c>
      <c r="BY40" s="420">
        <v>7.65</v>
      </c>
      <c r="BZ40" s="417">
        <v>41842</v>
      </c>
      <c r="CA40" s="420">
        <v>35</v>
      </c>
      <c r="CB40" s="417">
        <v>41842</v>
      </c>
      <c r="CC40" s="420">
        <v>5.4</v>
      </c>
      <c r="CD40" s="417">
        <v>41838</v>
      </c>
      <c r="CL40" s="420">
        <v>9</v>
      </c>
      <c r="CM40" s="419">
        <v>41810</v>
      </c>
    </row>
    <row r="41" spans="1:91" s="421" customFormat="1" ht="15">
      <c r="A41" s="412" t="s">
        <v>8026</v>
      </c>
      <c r="B41" s="413" t="s">
        <v>233</v>
      </c>
      <c r="C41" s="413" t="s">
        <v>8083</v>
      </c>
      <c r="D41" s="413">
        <v>11799</v>
      </c>
      <c r="E41" s="414">
        <v>12</v>
      </c>
      <c r="F41" s="414">
        <v>653</v>
      </c>
      <c r="G41" s="414"/>
      <c r="H41" s="414"/>
      <c r="I41" s="415"/>
      <c r="J41" s="413"/>
      <c r="K41" s="416">
        <v>5</v>
      </c>
      <c r="L41" s="417">
        <v>41701</v>
      </c>
      <c r="M41" s="418">
        <v>2.6</v>
      </c>
      <c r="N41" s="417">
        <v>41838</v>
      </c>
      <c r="O41" s="416"/>
      <c r="P41" s="417"/>
      <c r="Q41" s="497"/>
      <c r="R41" s="417"/>
      <c r="S41" s="416">
        <v>8.48</v>
      </c>
      <c r="T41" s="417">
        <v>41842</v>
      </c>
      <c r="U41" s="416">
        <v>13.5</v>
      </c>
      <c r="V41" s="417">
        <v>41838</v>
      </c>
      <c r="W41" s="418">
        <v>9</v>
      </c>
      <c r="X41" s="417">
        <v>41829</v>
      </c>
      <c r="Y41" s="134">
        <f t="shared" si="0"/>
        <v>3.2632600000000003</v>
      </c>
      <c r="Z41" s="417"/>
      <c r="AA41" s="416"/>
      <c r="AB41" s="417"/>
      <c r="AC41" s="416">
        <v>19.260000000000002</v>
      </c>
      <c r="AD41" s="417">
        <v>41838</v>
      </c>
      <c r="AE41" s="416">
        <v>20.02</v>
      </c>
      <c r="AF41" s="417">
        <v>41838</v>
      </c>
      <c r="AG41" s="418">
        <v>4.5999999999999996</v>
      </c>
      <c r="AH41" s="417">
        <v>41843</v>
      </c>
      <c r="AI41" s="418">
        <v>5</v>
      </c>
      <c r="AJ41" s="417">
        <v>41778</v>
      </c>
      <c r="AK41" s="418">
        <v>5</v>
      </c>
      <c r="AL41" s="417">
        <v>41709</v>
      </c>
      <c r="AM41" s="416"/>
      <c r="AN41" s="417"/>
      <c r="AO41" s="416"/>
      <c r="AP41" s="416"/>
      <c r="AQ41" s="416"/>
      <c r="AR41" s="416"/>
      <c r="AS41" s="416"/>
      <c r="AT41" s="416"/>
      <c r="AU41" s="416"/>
      <c r="AV41" s="416"/>
      <c r="AW41" s="416"/>
      <c r="AX41" s="416"/>
      <c r="AY41" s="416"/>
      <c r="AZ41" s="416"/>
      <c r="BA41" s="416"/>
      <c r="BB41" s="416"/>
      <c r="BC41" s="416"/>
      <c r="BD41" s="416"/>
      <c r="BE41" s="418">
        <v>5</v>
      </c>
      <c r="BF41" s="419">
        <v>41555</v>
      </c>
      <c r="BG41" s="420">
        <v>-1.2</v>
      </c>
      <c r="BH41" s="417">
        <v>41842</v>
      </c>
      <c r="BM41" s="420">
        <v>63.9</v>
      </c>
      <c r="BN41" s="417">
        <v>41842</v>
      </c>
      <c r="BQ41" s="420">
        <v>11.5</v>
      </c>
      <c r="BR41" s="417">
        <v>41842</v>
      </c>
      <c r="BS41" s="420">
        <v>42.4</v>
      </c>
      <c r="BT41" s="417">
        <v>41842</v>
      </c>
      <c r="BU41" s="420">
        <v>16.3</v>
      </c>
      <c r="BV41" s="417">
        <v>41842</v>
      </c>
      <c r="BW41" s="420">
        <v>69.599999999999994</v>
      </c>
      <c r="BX41" s="417">
        <v>41842</v>
      </c>
      <c r="BY41" s="420">
        <v>7.68</v>
      </c>
      <c r="BZ41" s="417">
        <v>41842</v>
      </c>
      <c r="CA41" s="420">
        <v>33.5</v>
      </c>
      <c r="CB41" s="417">
        <v>41842</v>
      </c>
      <c r="CC41" s="420">
        <v>5.4</v>
      </c>
      <c r="CD41" s="417">
        <v>41838</v>
      </c>
      <c r="CL41" s="420">
        <v>7</v>
      </c>
      <c r="CM41" s="419">
        <v>41810</v>
      </c>
    </row>
    <row r="42" spans="1:91" ht="15">
      <c r="A42" s="152" t="s">
        <v>8027</v>
      </c>
      <c r="B42" s="110" t="s">
        <v>235</v>
      </c>
      <c r="C42" s="110" t="s">
        <v>8082</v>
      </c>
      <c r="D42" s="110">
        <v>11413</v>
      </c>
      <c r="E42" s="111">
        <v>1</v>
      </c>
      <c r="F42" s="111">
        <v>693</v>
      </c>
      <c r="I42" s="137"/>
      <c r="K42" s="138">
        <v>5</v>
      </c>
      <c r="L42" s="151">
        <v>41701</v>
      </c>
      <c r="M42" s="169">
        <v>3.95</v>
      </c>
      <c r="N42" s="151">
        <v>41838</v>
      </c>
      <c r="Q42" s="497"/>
      <c r="S42" s="134">
        <v>14.72</v>
      </c>
      <c r="T42" s="151">
        <v>41842</v>
      </c>
      <c r="U42" s="138">
        <v>13.5</v>
      </c>
      <c r="V42" s="151">
        <v>41838</v>
      </c>
      <c r="W42" s="196">
        <v>1</v>
      </c>
      <c r="X42" s="151">
        <v>41829</v>
      </c>
      <c r="Y42" s="134">
        <f t="shared" si="0"/>
        <v>5.16249</v>
      </c>
      <c r="AA42" s="138"/>
      <c r="AC42" s="138">
        <v>29.26</v>
      </c>
      <c r="AD42" s="151">
        <v>41838</v>
      </c>
      <c r="AE42" s="137">
        <v>30.19</v>
      </c>
      <c r="AF42" s="151">
        <v>41838</v>
      </c>
      <c r="AG42" s="197">
        <v>4.8</v>
      </c>
      <c r="AH42" s="151">
        <v>41843</v>
      </c>
      <c r="AI42" s="198">
        <v>9</v>
      </c>
      <c r="AJ42" s="151">
        <v>41778</v>
      </c>
      <c r="AK42" s="199">
        <v>5</v>
      </c>
      <c r="AL42" s="151">
        <v>41709</v>
      </c>
      <c r="AM42" s="138"/>
      <c r="BE42" s="200">
        <v>5</v>
      </c>
      <c r="BF42" s="201">
        <v>41555</v>
      </c>
      <c r="BG42" s="202">
        <v>41.3</v>
      </c>
      <c r="BH42" s="151">
        <v>41842</v>
      </c>
      <c r="BM42" s="204">
        <v>71.2</v>
      </c>
      <c r="BN42" s="151">
        <v>41842</v>
      </c>
      <c r="BQ42" s="205">
        <v>4.9000000000000004</v>
      </c>
      <c r="BR42" s="151">
        <v>41842</v>
      </c>
      <c r="BS42" s="206">
        <v>48.8</v>
      </c>
      <c r="BT42" s="151">
        <v>41842</v>
      </c>
      <c r="BU42" s="207">
        <v>17.100000000000001</v>
      </c>
      <c r="BV42" s="151">
        <v>41842</v>
      </c>
      <c r="BW42" s="206">
        <v>65.5</v>
      </c>
      <c r="BX42" s="151">
        <v>41842</v>
      </c>
      <c r="BY42" s="210">
        <v>7.05</v>
      </c>
      <c r="BZ42" s="151">
        <v>41842</v>
      </c>
      <c r="CA42" s="206">
        <v>40.4</v>
      </c>
      <c r="CB42" s="151">
        <v>41842</v>
      </c>
      <c r="CC42" s="208">
        <v>6.1</v>
      </c>
      <c r="CD42" s="151">
        <v>41838</v>
      </c>
      <c r="CL42" s="209">
        <v>5</v>
      </c>
      <c r="CM42" s="201">
        <v>41810</v>
      </c>
    </row>
    <row r="43" spans="1:91" ht="15">
      <c r="A43" s="152" t="s">
        <v>8027</v>
      </c>
      <c r="B43" s="110" t="s">
        <v>233</v>
      </c>
      <c r="C43" s="110" t="s">
        <v>381</v>
      </c>
      <c r="D43" s="110">
        <v>11100</v>
      </c>
      <c r="E43" s="111">
        <v>4</v>
      </c>
      <c r="F43" s="111">
        <v>589</v>
      </c>
      <c r="I43" s="372"/>
      <c r="K43" s="134">
        <v>5</v>
      </c>
      <c r="L43" s="151">
        <v>41701</v>
      </c>
      <c r="M43" s="169">
        <v>3.05</v>
      </c>
      <c r="N43" s="151">
        <v>41838</v>
      </c>
      <c r="Q43" s="497"/>
      <c r="S43" s="134">
        <v>11.67</v>
      </c>
      <c r="T43" s="151">
        <v>41842</v>
      </c>
      <c r="U43" s="134">
        <v>13.5</v>
      </c>
      <c r="V43" s="151">
        <v>41838</v>
      </c>
      <c r="W43" s="196">
        <v>1</v>
      </c>
      <c r="X43" s="151">
        <v>41829</v>
      </c>
      <c r="Y43" s="134">
        <f t="shared" si="0"/>
        <v>3.6208</v>
      </c>
      <c r="AC43" s="134">
        <v>22.59</v>
      </c>
      <c r="AD43" s="151">
        <v>41838</v>
      </c>
      <c r="AE43" s="134">
        <v>23.36</v>
      </c>
      <c r="AF43" s="151">
        <v>41838</v>
      </c>
      <c r="AG43" s="197">
        <v>4.8</v>
      </c>
      <c r="AH43" s="151">
        <v>41843</v>
      </c>
      <c r="AI43" s="198">
        <v>7</v>
      </c>
      <c r="AJ43" s="151">
        <v>41778</v>
      </c>
      <c r="AK43" s="199">
        <v>5</v>
      </c>
      <c r="AL43" s="151">
        <v>41709</v>
      </c>
      <c r="BE43" s="200">
        <v>5</v>
      </c>
      <c r="BF43" s="201">
        <v>41555</v>
      </c>
      <c r="BG43" s="202">
        <v>39.4</v>
      </c>
      <c r="BH43" s="151">
        <v>41842</v>
      </c>
      <c r="BM43" s="204">
        <v>71.8</v>
      </c>
      <c r="BN43" s="151">
        <v>41842</v>
      </c>
      <c r="BQ43" s="205">
        <v>5</v>
      </c>
      <c r="BR43" s="151">
        <v>41842</v>
      </c>
      <c r="BS43" s="206">
        <v>49.9</v>
      </c>
      <c r="BT43" s="151">
        <v>41842</v>
      </c>
      <c r="BU43" s="207">
        <v>15.5</v>
      </c>
      <c r="BV43" s="151">
        <v>41842</v>
      </c>
      <c r="BW43" s="206">
        <v>60.2</v>
      </c>
      <c r="BX43" s="151">
        <v>41842</v>
      </c>
      <c r="BY43" s="210">
        <v>7.04</v>
      </c>
      <c r="BZ43" s="151">
        <v>41842</v>
      </c>
      <c r="CA43" s="206">
        <v>37.700000000000003</v>
      </c>
      <c r="CB43" s="151">
        <v>41842</v>
      </c>
      <c r="CC43" s="208">
        <v>5.9</v>
      </c>
      <c r="CD43" s="151">
        <v>41838</v>
      </c>
      <c r="CL43" s="209">
        <v>5</v>
      </c>
      <c r="CM43" s="201">
        <v>41810</v>
      </c>
    </row>
    <row r="44" spans="1:91" ht="15">
      <c r="A44" s="152" t="s">
        <v>8027</v>
      </c>
      <c r="B44" s="110" t="s">
        <v>235</v>
      </c>
      <c r="C44" s="110" t="s">
        <v>8081</v>
      </c>
      <c r="D44" s="110">
        <v>11182</v>
      </c>
      <c r="E44" s="111">
        <v>7</v>
      </c>
      <c r="F44" s="111">
        <v>485</v>
      </c>
      <c r="I44" s="372"/>
      <c r="K44" s="134">
        <v>5</v>
      </c>
      <c r="L44" s="151">
        <v>41701</v>
      </c>
      <c r="M44" s="169">
        <v>4.05</v>
      </c>
      <c r="N44" s="151">
        <v>41838</v>
      </c>
      <c r="Q44" s="497"/>
      <c r="S44" s="134">
        <v>15.03</v>
      </c>
      <c r="T44" s="151">
        <v>41842</v>
      </c>
      <c r="U44" s="134">
        <v>13.5</v>
      </c>
      <c r="V44" s="151">
        <v>41838</v>
      </c>
      <c r="W44" s="196">
        <v>9</v>
      </c>
      <c r="X44" s="151">
        <v>41829</v>
      </c>
      <c r="Y44" s="134">
        <f t="shared" si="0"/>
        <v>5.0446400000000002</v>
      </c>
      <c r="AC44" s="134">
        <v>30</v>
      </c>
      <c r="AD44" s="151">
        <v>41838</v>
      </c>
      <c r="AE44" s="134">
        <v>30.76</v>
      </c>
      <c r="AF44" s="151">
        <v>41838</v>
      </c>
      <c r="AG44" s="197">
        <v>4.5999999999999996</v>
      </c>
      <c r="AH44" s="151">
        <v>41843</v>
      </c>
      <c r="AI44" s="198">
        <v>9</v>
      </c>
      <c r="AJ44" s="151">
        <v>41778</v>
      </c>
      <c r="AK44" s="199">
        <v>5</v>
      </c>
      <c r="AL44" s="151">
        <v>41709</v>
      </c>
      <c r="BE44" s="200">
        <v>5</v>
      </c>
      <c r="BF44" s="201">
        <v>41555</v>
      </c>
      <c r="BG44" s="202">
        <v>40.299999999999997</v>
      </c>
      <c r="BH44" s="151">
        <v>41842</v>
      </c>
      <c r="BM44" s="204">
        <v>71.900000000000006</v>
      </c>
      <c r="BN44" s="151">
        <v>41842</v>
      </c>
      <c r="BQ44" s="205">
        <v>5.2</v>
      </c>
      <c r="BR44" s="151">
        <v>41842</v>
      </c>
      <c r="BS44" s="206">
        <v>48.9</v>
      </c>
      <c r="BT44" s="151">
        <v>41842</v>
      </c>
      <c r="BU44" s="207">
        <v>16.399999999999999</v>
      </c>
      <c r="BV44" s="151">
        <v>41842</v>
      </c>
      <c r="BW44" s="206">
        <v>61.9</v>
      </c>
      <c r="BX44" s="151">
        <v>41842</v>
      </c>
      <c r="BY44" s="210">
        <v>7.1</v>
      </c>
      <c r="BZ44" s="151">
        <v>41842</v>
      </c>
      <c r="CA44" s="206">
        <v>39</v>
      </c>
      <c r="CB44" s="151">
        <v>41842</v>
      </c>
      <c r="CC44" s="208">
        <v>6.7</v>
      </c>
      <c r="CD44" s="151">
        <v>41838</v>
      </c>
      <c r="CL44" s="209">
        <v>5</v>
      </c>
      <c r="CM44" s="201">
        <v>41810</v>
      </c>
    </row>
    <row r="45" spans="1:91" ht="15">
      <c r="A45" s="152" t="s">
        <v>8027</v>
      </c>
      <c r="B45" s="110" t="s">
        <v>233</v>
      </c>
      <c r="C45" s="110" t="s">
        <v>8083</v>
      </c>
      <c r="D45" s="110">
        <v>11682</v>
      </c>
      <c r="E45" s="111">
        <v>8</v>
      </c>
      <c r="F45" s="111">
        <v>761</v>
      </c>
      <c r="I45" s="372"/>
      <c r="K45" s="134">
        <v>5</v>
      </c>
      <c r="L45" s="151">
        <v>41701</v>
      </c>
      <c r="M45" s="169">
        <v>2.4</v>
      </c>
      <c r="N45" s="151">
        <v>41838</v>
      </c>
      <c r="Q45" s="497"/>
      <c r="S45" s="134">
        <v>8.93</v>
      </c>
      <c r="T45" s="151">
        <v>41842</v>
      </c>
      <c r="U45" s="134">
        <v>13.5</v>
      </c>
      <c r="V45" s="151">
        <v>41838</v>
      </c>
      <c r="W45" s="196">
        <v>1</v>
      </c>
      <c r="X45" s="151">
        <v>41829</v>
      </c>
      <c r="Y45" s="134">
        <f t="shared" si="0"/>
        <v>2.8220399999999999</v>
      </c>
      <c r="AC45" s="134">
        <v>17.78</v>
      </c>
      <c r="AD45" s="151">
        <v>41838</v>
      </c>
      <c r="AE45" s="134">
        <v>18.09</v>
      </c>
      <c r="AF45" s="151">
        <v>41838</v>
      </c>
      <c r="AG45" s="197">
        <v>4.8</v>
      </c>
      <c r="AH45" s="151">
        <v>41843</v>
      </c>
      <c r="AI45" s="198">
        <v>9</v>
      </c>
      <c r="AJ45" s="151">
        <v>41778</v>
      </c>
      <c r="AK45" s="199">
        <v>4</v>
      </c>
      <c r="AL45" s="151">
        <v>41709</v>
      </c>
      <c r="BE45" s="200">
        <v>4</v>
      </c>
      <c r="BF45" s="201">
        <v>41555</v>
      </c>
      <c r="BG45" s="202">
        <v>34.9</v>
      </c>
      <c r="BH45" s="151">
        <v>41842</v>
      </c>
      <c r="BM45" s="204">
        <v>70.5</v>
      </c>
      <c r="BN45" s="151">
        <v>41842</v>
      </c>
      <c r="BQ45" s="205">
        <v>6</v>
      </c>
      <c r="BR45" s="151">
        <v>41842</v>
      </c>
      <c r="BS45" s="206">
        <v>49.4</v>
      </c>
      <c r="BT45" s="151">
        <v>41842</v>
      </c>
      <c r="BU45" s="207">
        <v>15.6</v>
      </c>
      <c r="BV45" s="151">
        <v>41842</v>
      </c>
      <c r="BW45" s="206">
        <v>55.4</v>
      </c>
      <c r="BX45" s="151">
        <v>41842</v>
      </c>
      <c r="BY45" s="210">
        <v>6.99</v>
      </c>
      <c r="BZ45" s="151">
        <v>41842</v>
      </c>
      <c r="CA45" s="206">
        <v>37.5</v>
      </c>
      <c r="CB45" s="151">
        <v>41842</v>
      </c>
      <c r="CC45" s="208">
        <v>7.4</v>
      </c>
      <c r="CD45" s="151">
        <v>41838</v>
      </c>
      <c r="CL45" s="209">
        <v>5</v>
      </c>
      <c r="CM45" s="201">
        <v>41810</v>
      </c>
    </row>
    <row r="46" spans="1:91" ht="15">
      <c r="A46" s="152" t="s">
        <v>8028</v>
      </c>
      <c r="B46" s="110" t="s">
        <v>233</v>
      </c>
      <c r="C46" s="110" t="s">
        <v>381</v>
      </c>
      <c r="D46" s="110">
        <v>11057</v>
      </c>
      <c r="E46" s="111">
        <v>3</v>
      </c>
      <c r="F46" s="111">
        <v>561</v>
      </c>
      <c r="I46" s="372"/>
      <c r="K46" s="134">
        <v>5</v>
      </c>
      <c r="L46" s="151">
        <v>41701</v>
      </c>
      <c r="M46" s="169">
        <v>4.3499999999999996</v>
      </c>
      <c r="N46" s="151">
        <v>41838</v>
      </c>
      <c r="Q46" s="497"/>
      <c r="S46" s="134">
        <v>16.11</v>
      </c>
      <c r="T46" s="151">
        <v>41842</v>
      </c>
      <c r="U46" s="134">
        <v>13.5</v>
      </c>
      <c r="V46" s="151">
        <v>41838</v>
      </c>
      <c r="W46" s="196">
        <v>9</v>
      </c>
      <c r="X46" s="151">
        <v>41829</v>
      </c>
      <c r="Y46" s="134">
        <f t="shared" si="0"/>
        <v>4.1069700000000005</v>
      </c>
      <c r="AC46" s="134">
        <v>32.22</v>
      </c>
      <c r="AD46" s="151">
        <v>41838</v>
      </c>
      <c r="AE46" s="134">
        <v>33.39</v>
      </c>
      <c r="AF46" s="151">
        <v>41838</v>
      </c>
      <c r="AG46" s="197">
        <v>5</v>
      </c>
      <c r="AH46" s="151">
        <v>41843</v>
      </c>
      <c r="AI46" s="198">
        <v>5</v>
      </c>
      <c r="AJ46" s="151">
        <v>41778</v>
      </c>
      <c r="AK46" s="199">
        <v>4</v>
      </c>
      <c r="AL46" s="151">
        <v>41709</v>
      </c>
      <c r="BE46" s="200">
        <v>4</v>
      </c>
      <c r="BF46" s="201">
        <v>41555</v>
      </c>
      <c r="BG46" s="202">
        <v>-3.7</v>
      </c>
      <c r="BH46" s="151">
        <v>41842</v>
      </c>
      <c r="BM46" s="204">
        <v>65.400000000000006</v>
      </c>
      <c r="BN46" s="151">
        <v>41842</v>
      </c>
      <c r="BQ46" s="205">
        <v>10.6</v>
      </c>
      <c r="BR46" s="151">
        <v>41842</v>
      </c>
      <c r="BS46" s="206">
        <v>48.3</v>
      </c>
      <c r="BT46" s="151">
        <v>41842</v>
      </c>
      <c r="BU46" s="207">
        <v>12.3</v>
      </c>
      <c r="BV46" s="151">
        <v>41842</v>
      </c>
      <c r="BW46" s="206">
        <v>13.5</v>
      </c>
      <c r="BX46" s="151">
        <v>41842</v>
      </c>
      <c r="BY46" s="210">
        <v>7.36</v>
      </c>
      <c r="BZ46" s="151">
        <v>41842</v>
      </c>
      <c r="CA46" s="206">
        <v>28.9</v>
      </c>
      <c r="CB46" s="151">
        <v>41842</v>
      </c>
      <c r="CC46" s="208">
        <v>5.7</v>
      </c>
      <c r="CD46" s="151">
        <v>41838</v>
      </c>
      <c r="CL46" s="209">
        <v>3</v>
      </c>
      <c r="CM46" s="201">
        <v>41810</v>
      </c>
    </row>
    <row r="47" spans="1:91" ht="15">
      <c r="A47" s="152" t="s">
        <v>8028</v>
      </c>
      <c r="B47" s="110" t="s">
        <v>235</v>
      </c>
      <c r="C47" s="110" t="s">
        <v>8082</v>
      </c>
      <c r="D47" s="110">
        <v>11582</v>
      </c>
      <c r="E47" s="111">
        <v>6</v>
      </c>
      <c r="F47" s="111">
        <v>649</v>
      </c>
      <c r="I47" s="372"/>
      <c r="K47" s="134">
        <v>5</v>
      </c>
      <c r="L47" s="151">
        <v>41701</v>
      </c>
      <c r="M47" s="169">
        <v>4.5999999999999996</v>
      </c>
      <c r="N47" s="151">
        <v>41838</v>
      </c>
      <c r="Q47" s="497"/>
      <c r="S47" s="134">
        <v>17.25</v>
      </c>
      <c r="T47" s="151">
        <v>41842</v>
      </c>
      <c r="U47" s="134">
        <v>13.5</v>
      </c>
      <c r="V47" s="151">
        <v>41838</v>
      </c>
      <c r="W47" s="196">
        <v>9</v>
      </c>
      <c r="X47" s="151">
        <v>41829</v>
      </c>
      <c r="Y47" s="134">
        <f t="shared" si="0"/>
        <v>4.4541000000000004</v>
      </c>
      <c r="AC47" s="134">
        <v>34.07</v>
      </c>
      <c r="AD47" s="151">
        <v>41838</v>
      </c>
      <c r="AE47" s="134">
        <v>35.35</v>
      </c>
      <c r="AF47" s="151">
        <v>41838</v>
      </c>
      <c r="AG47" s="197">
        <v>4.9000000000000004</v>
      </c>
      <c r="AH47" s="151">
        <v>41843</v>
      </c>
      <c r="AI47" s="198">
        <v>5</v>
      </c>
      <c r="AJ47" s="151">
        <v>41778</v>
      </c>
      <c r="AK47" s="199">
        <v>4</v>
      </c>
      <c r="AL47" s="151">
        <v>41709</v>
      </c>
      <c r="BE47" s="200">
        <v>4</v>
      </c>
      <c r="BF47" s="201">
        <v>41555</v>
      </c>
      <c r="BG47" s="202">
        <v>-7.6</v>
      </c>
      <c r="BH47" s="151">
        <v>41842</v>
      </c>
      <c r="BM47" s="204">
        <v>66.2</v>
      </c>
      <c r="BN47" s="151">
        <v>41842</v>
      </c>
      <c r="BQ47" s="205">
        <v>9.8000000000000007</v>
      </c>
      <c r="BR47" s="151">
        <v>41842</v>
      </c>
      <c r="BS47" s="206">
        <v>48.8</v>
      </c>
      <c r="BT47" s="151">
        <v>41842</v>
      </c>
      <c r="BU47" s="207">
        <v>12.6</v>
      </c>
      <c r="BV47" s="151">
        <v>41842</v>
      </c>
      <c r="BW47" s="206">
        <v>13.5</v>
      </c>
      <c r="BX47" s="151">
        <v>41842</v>
      </c>
      <c r="BY47" s="210">
        <v>7.41</v>
      </c>
      <c r="BZ47" s="151">
        <v>41842</v>
      </c>
      <c r="CA47" s="206">
        <v>29.7</v>
      </c>
      <c r="CB47" s="151">
        <v>41842</v>
      </c>
      <c r="CC47" s="208">
        <v>5.6</v>
      </c>
      <c r="CD47" s="151">
        <v>41838</v>
      </c>
      <c r="CL47" s="209">
        <v>3</v>
      </c>
      <c r="CM47" s="201">
        <v>41810</v>
      </c>
    </row>
    <row r="48" spans="1:91" ht="15">
      <c r="A48" s="152" t="s">
        <v>8028</v>
      </c>
      <c r="B48" s="110" t="s">
        <v>235</v>
      </c>
      <c r="C48" s="110" t="s">
        <v>8081</v>
      </c>
      <c r="D48" s="110">
        <v>11210</v>
      </c>
      <c r="E48" s="111">
        <v>7</v>
      </c>
      <c r="F48" s="111">
        <v>597</v>
      </c>
      <c r="I48" s="372"/>
      <c r="K48" s="191">
        <v>3</v>
      </c>
      <c r="L48" s="151">
        <v>41701</v>
      </c>
      <c r="M48" s="169">
        <v>4.95</v>
      </c>
      <c r="N48" s="151">
        <v>41838</v>
      </c>
      <c r="Q48" s="497"/>
      <c r="S48" s="134">
        <v>18.27</v>
      </c>
      <c r="T48" s="151">
        <v>41842</v>
      </c>
      <c r="U48" s="134">
        <v>13.5</v>
      </c>
      <c r="V48" s="151">
        <v>41838</v>
      </c>
      <c r="W48" s="196">
        <v>9</v>
      </c>
      <c r="X48" s="151">
        <v>41829</v>
      </c>
      <c r="Y48" s="134">
        <f t="shared" si="0"/>
        <v>4.9727600000000001</v>
      </c>
      <c r="AC48" s="134">
        <v>36.67</v>
      </c>
      <c r="AD48" s="151">
        <v>41838</v>
      </c>
      <c r="AE48" s="134">
        <v>37.96</v>
      </c>
      <c r="AF48" s="151">
        <v>41838</v>
      </c>
      <c r="AG48" s="197">
        <v>5</v>
      </c>
      <c r="AH48" s="151">
        <v>41843</v>
      </c>
      <c r="AI48" s="198">
        <v>5</v>
      </c>
      <c r="AJ48" s="151">
        <v>41778</v>
      </c>
      <c r="AK48" s="199">
        <v>4</v>
      </c>
      <c r="AL48" s="151">
        <v>41709</v>
      </c>
      <c r="BE48" s="200">
        <v>4</v>
      </c>
      <c r="BF48" s="201">
        <v>41555</v>
      </c>
      <c r="BG48" s="202">
        <v>-4.8</v>
      </c>
      <c r="BH48" s="151">
        <v>41842</v>
      </c>
      <c r="BM48" s="204">
        <v>66.7</v>
      </c>
      <c r="BN48" s="151">
        <v>41842</v>
      </c>
      <c r="BQ48" s="205">
        <v>9.1999999999999993</v>
      </c>
      <c r="BR48" s="151">
        <v>41842</v>
      </c>
      <c r="BS48" s="206">
        <v>48.1</v>
      </c>
      <c r="BT48" s="151">
        <v>41842</v>
      </c>
      <c r="BU48" s="207">
        <v>13.1</v>
      </c>
      <c r="BV48" s="151">
        <v>41842</v>
      </c>
      <c r="BW48" s="206">
        <v>13.6</v>
      </c>
      <c r="BX48" s="151">
        <v>41842</v>
      </c>
      <c r="BY48" s="210">
        <v>7.35</v>
      </c>
      <c r="BZ48" s="151">
        <v>41842</v>
      </c>
      <c r="CA48" s="206">
        <v>30.6</v>
      </c>
      <c r="CB48" s="151">
        <v>41842</v>
      </c>
      <c r="CC48" s="208">
        <v>5.8</v>
      </c>
      <c r="CD48" s="151">
        <v>41838</v>
      </c>
      <c r="CL48" s="209">
        <v>3</v>
      </c>
      <c r="CM48" s="201">
        <v>41810</v>
      </c>
    </row>
    <row r="49" spans="1:91" ht="15">
      <c r="A49" s="152" t="s">
        <v>8028</v>
      </c>
      <c r="B49" s="110" t="s">
        <v>233</v>
      </c>
      <c r="C49" s="110" t="s">
        <v>8083</v>
      </c>
      <c r="D49" s="110">
        <v>11713</v>
      </c>
      <c r="E49" s="111">
        <v>9</v>
      </c>
      <c r="F49" s="111">
        <v>741</v>
      </c>
      <c r="I49" s="372"/>
      <c r="K49" s="191">
        <v>3</v>
      </c>
      <c r="L49" s="151">
        <v>41701</v>
      </c>
      <c r="M49" s="169">
        <v>3.85</v>
      </c>
      <c r="N49" s="151">
        <v>41838</v>
      </c>
      <c r="Q49" s="497"/>
      <c r="S49" s="134">
        <v>14.37</v>
      </c>
      <c r="T49" s="151">
        <v>41842</v>
      </c>
      <c r="U49" s="134">
        <v>13.5</v>
      </c>
      <c r="V49" s="151">
        <v>41838</v>
      </c>
      <c r="W49" s="196">
        <v>9</v>
      </c>
      <c r="X49" s="151">
        <v>41829</v>
      </c>
      <c r="Y49" s="134">
        <f t="shared" si="0"/>
        <v>3.3953199999999999</v>
      </c>
      <c r="AC49" s="134">
        <v>28.52</v>
      </c>
      <c r="AD49" s="151">
        <v>41838</v>
      </c>
      <c r="AE49" s="134">
        <v>29.27</v>
      </c>
      <c r="AF49" s="151">
        <v>41838</v>
      </c>
      <c r="AG49" s="197">
        <v>5.0999999999999996</v>
      </c>
      <c r="AH49" s="151">
        <v>41843</v>
      </c>
      <c r="AI49" s="198">
        <v>5</v>
      </c>
      <c r="AJ49" s="151">
        <v>41778</v>
      </c>
      <c r="AK49" s="199">
        <v>5</v>
      </c>
      <c r="AL49" s="151">
        <v>41709</v>
      </c>
      <c r="BE49" s="200">
        <v>5</v>
      </c>
      <c r="BF49" s="201">
        <v>41555</v>
      </c>
      <c r="BG49" s="202">
        <v>-7.8</v>
      </c>
      <c r="BH49" s="151">
        <v>41842</v>
      </c>
      <c r="BM49" s="204">
        <v>67.900000000000006</v>
      </c>
      <c r="BN49" s="151">
        <v>41842</v>
      </c>
      <c r="BQ49" s="205">
        <v>9</v>
      </c>
      <c r="BR49" s="151">
        <v>41842</v>
      </c>
      <c r="BS49" s="206">
        <v>49.1</v>
      </c>
      <c r="BT49" s="151">
        <v>41842</v>
      </c>
      <c r="BU49" s="207">
        <v>11.6</v>
      </c>
      <c r="BV49" s="151">
        <v>41842</v>
      </c>
      <c r="BW49" s="206">
        <v>16</v>
      </c>
      <c r="BX49" s="151">
        <v>41842</v>
      </c>
      <c r="BY49" s="210">
        <v>7.16</v>
      </c>
      <c r="BZ49" s="151">
        <v>41842</v>
      </c>
      <c r="CA49" s="206">
        <v>27.7</v>
      </c>
      <c r="CB49" s="151">
        <v>41842</v>
      </c>
      <c r="CC49" s="208">
        <v>6.6</v>
      </c>
      <c r="CD49" s="151">
        <v>41838</v>
      </c>
      <c r="CL49" s="209">
        <v>3</v>
      </c>
      <c r="CM49" s="201">
        <v>41810</v>
      </c>
    </row>
    <row r="50" spans="1:91" ht="15">
      <c r="A50" s="152" t="s">
        <v>7874</v>
      </c>
      <c r="B50" s="110" t="s">
        <v>233</v>
      </c>
      <c r="C50" s="110" t="s">
        <v>381</v>
      </c>
      <c r="D50" s="110">
        <v>11017</v>
      </c>
      <c r="E50" s="111">
        <v>2</v>
      </c>
      <c r="F50" s="111">
        <v>545</v>
      </c>
      <c r="I50" s="137"/>
      <c r="K50" s="138">
        <v>5</v>
      </c>
      <c r="L50" s="151">
        <v>41701</v>
      </c>
      <c r="M50" s="169">
        <v>3</v>
      </c>
      <c r="N50" s="151">
        <v>41838</v>
      </c>
      <c r="Q50" s="497"/>
      <c r="S50" s="134">
        <v>11.04</v>
      </c>
      <c r="T50" s="151">
        <v>41842</v>
      </c>
      <c r="U50" s="138">
        <v>13.5</v>
      </c>
      <c r="V50" s="151">
        <v>41838</v>
      </c>
      <c r="W50" s="196">
        <v>1</v>
      </c>
      <c r="X50" s="151">
        <v>41829</v>
      </c>
      <c r="Y50" s="134">
        <f t="shared" si="0"/>
        <v>3.3927599999999996</v>
      </c>
      <c r="AA50" s="138"/>
      <c r="AC50" s="138">
        <v>22.22</v>
      </c>
      <c r="AD50" s="151">
        <v>41838</v>
      </c>
      <c r="AE50" s="137">
        <v>23.08</v>
      </c>
      <c r="AF50" s="151">
        <v>41838</v>
      </c>
      <c r="AG50" s="197">
        <v>4.3</v>
      </c>
      <c r="AH50" s="151">
        <v>41843</v>
      </c>
      <c r="AI50" s="198">
        <v>5</v>
      </c>
      <c r="AJ50" s="151">
        <v>41778</v>
      </c>
      <c r="AK50" s="199">
        <v>5</v>
      </c>
      <c r="AL50" s="151">
        <v>41709</v>
      </c>
      <c r="AM50" s="138"/>
      <c r="BE50" s="200">
        <v>5</v>
      </c>
      <c r="BF50" s="201">
        <v>41555</v>
      </c>
      <c r="BG50" s="202">
        <v>40.6</v>
      </c>
      <c r="BH50" s="151">
        <v>41842</v>
      </c>
      <c r="BM50" s="204">
        <v>71.3</v>
      </c>
      <c r="BN50" s="151">
        <v>41842</v>
      </c>
      <c r="BQ50" s="205">
        <v>5.6</v>
      </c>
      <c r="BR50" s="151">
        <v>41842</v>
      </c>
      <c r="BS50" s="206">
        <v>47.8</v>
      </c>
      <c r="BT50" s="151">
        <v>41842</v>
      </c>
      <c r="BU50" s="207">
        <v>14.7</v>
      </c>
      <c r="BV50" s="151">
        <v>41842</v>
      </c>
      <c r="BW50" s="206">
        <v>53.7</v>
      </c>
      <c r="BX50" s="151">
        <v>41842</v>
      </c>
      <c r="BY50" s="210">
        <v>7.02</v>
      </c>
      <c r="BZ50" s="151">
        <v>41842</v>
      </c>
      <c r="CA50" s="206">
        <v>34</v>
      </c>
      <c r="CB50" s="151">
        <v>41842</v>
      </c>
      <c r="CC50" s="208">
        <v>5.5</v>
      </c>
      <c r="CD50" s="151">
        <v>41838</v>
      </c>
      <c r="CL50" s="209">
        <v>5</v>
      </c>
      <c r="CM50" s="201">
        <v>41810</v>
      </c>
    </row>
    <row r="51" spans="1:91" ht="15">
      <c r="A51" s="152" t="s">
        <v>7874</v>
      </c>
      <c r="B51" s="110" t="s">
        <v>235</v>
      </c>
      <c r="C51" s="110" t="s">
        <v>8082</v>
      </c>
      <c r="D51" s="110">
        <v>11607</v>
      </c>
      <c r="E51" s="111">
        <v>6</v>
      </c>
      <c r="F51" s="111">
        <v>749</v>
      </c>
      <c r="I51" s="372"/>
      <c r="K51" s="134">
        <v>5</v>
      </c>
      <c r="L51" s="151">
        <v>41701</v>
      </c>
      <c r="M51" s="169">
        <v>3.05</v>
      </c>
      <c r="N51" s="151">
        <v>41838</v>
      </c>
      <c r="Q51" s="497"/>
      <c r="S51" s="134">
        <v>11.16</v>
      </c>
      <c r="T51" s="151">
        <v>41842</v>
      </c>
      <c r="U51" s="134">
        <v>13.5</v>
      </c>
      <c r="V51" s="151">
        <v>41838</v>
      </c>
      <c r="W51" s="196">
        <v>9</v>
      </c>
      <c r="X51" s="151">
        <v>41829</v>
      </c>
      <c r="Y51" s="134">
        <f t="shared" si="0"/>
        <v>3.4247200000000002</v>
      </c>
      <c r="AC51" s="134">
        <v>22.59</v>
      </c>
      <c r="AD51" s="151">
        <v>41838</v>
      </c>
      <c r="AE51" s="134">
        <v>23.14</v>
      </c>
      <c r="AF51" s="151">
        <v>41838</v>
      </c>
      <c r="AG51" s="197">
        <v>4.2</v>
      </c>
      <c r="AH51" s="151">
        <v>41843</v>
      </c>
      <c r="AI51" s="198">
        <v>5</v>
      </c>
      <c r="AJ51" s="151">
        <v>41778</v>
      </c>
      <c r="AK51" s="199">
        <v>4</v>
      </c>
      <c r="AL51" s="151">
        <v>41709</v>
      </c>
      <c r="BE51" s="200">
        <v>4</v>
      </c>
      <c r="BF51" s="201">
        <v>41555</v>
      </c>
      <c r="BG51" s="202">
        <v>37.6</v>
      </c>
      <c r="BH51" s="151">
        <v>41842</v>
      </c>
      <c r="BM51" s="204">
        <v>70.2</v>
      </c>
      <c r="BN51" s="151">
        <v>41842</v>
      </c>
      <c r="BQ51" s="205">
        <v>5.2</v>
      </c>
      <c r="BR51" s="151">
        <v>41842</v>
      </c>
      <c r="BS51" s="206">
        <v>48.2</v>
      </c>
      <c r="BT51" s="151">
        <v>41842</v>
      </c>
      <c r="BU51" s="207">
        <v>14.8</v>
      </c>
      <c r="BV51" s="151">
        <v>41842</v>
      </c>
      <c r="BW51" s="206">
        <v>52.3</v>
      </c>
      <c r="BX51" s="151">
        <v>41842</v>
      </c>
      <c r="BY51" s="210">
        <v>7.73</v>
      </c>
      <c r="BZ51" s="151">
        <v>41842</v>
      </c>
      <c r="CA51" s="206">
        <v>34.6</v>
      </c>
      <c r="CB51" s="151">
        <v>41842</v>
      </c>
      <c r="CC51" s="208">
        <v>6.8</v>
      </c>
      <c r="CD51" s="151">
        <v>41838</v>
      </c>
      <c r="CL51" s="209">
        <v>5</v>
      </c>
      <c r="CM51" s="201">
        <v>41810</v>
      </c>
    </row>
    <row r="52" spans="1:91" ht="15">
      <c r="A52" s="152" t="s">
        <v>7874</v>
      </c>
      <c r="B52" s="110" t="s">
        <v>233</v>
      </c>
      <c r="C52" s="110" t="s">
        <v>8083</v>
      </c>
      <c r="D52" s="110">
        <v>11666</v>
      </c>
      <c r="E52" s="111">
        <v>8</v>
      </c>
      <c r="F52" s="111">
        <v>697</v>
      </c>
      <c r="I52" s="372"/>
      <c r="K52" s="134">
        <v>5</v>
      </c>
      <c r="L52" s="151">
        <v>41701</v>
      </c>
      <c r="M52" s="169">
        <v>2.35</v>
      </c>
      <c r="N52" s="151">
        <v>41838</v>
      </c>
      <c r="Q52" s="497"/>
      <c r="S52" s="134">
        <v>8.76</v>
      </c>
      <c r="T52" s="151">
        <v>41842</v>
      </c>
      <c r="U52" s="134">
        <v>13.5</v>
      </c>
      <c r="V52" s="151">
        <v>41838</v>
      </c>
      <c r="W52" s="196">
        <v>1</v>
      </c>
      <c r="X52" s="151">
        <v>41829</v>
      </c>
      <c r="Y52" s="134">
        <f t="shared" si="0"/>
        <v>2.6367599999999998</v>
      </c>
      <c r="AC52" s="134">
        <v>17.41</v>
      </c>
      <c r="AD52" s="151">
        <v>41838</v>
      </c>
      <c r="AE52" s="134">
        <v>18.059999999999999</v>
      </c>
      <c r="AF52" s="151">
        <v>41838</v>
      </c>
      <c r="AG52" s="197">
        <v>4.2</v>
      </c>
      <c r="AH52" s="151">
        <v>41843</v>
      </c>
      <c r="AI52" s="198">
        <v>5</v>
      </c>
      <c r="AJ52" s="151">
        <v>41778</v>
      </c>
      <c r="AK52" s="199">
        <v>5</v>
      </c>
      <c r="AL52" s="151">
        <v>41709</v>
      </c>
      <c r="BE52" s="200">
        <v>5</v>
      </c>
      <c r="BF52" s="201">
        <v>41555</v>
      </c>
      <c r="BG52" s="202">
        <v>43.8</v>
      </c>
      <c r="BH52" s="151">
        <v>41842</v>
      </c>
      <c r="BM52" s="204">
        <v>70.8</v>
      </c>
      <c r="BN52" s="151">
        <v>41842</v>
      </c>
      <c r="BQ52" s="205">
        <v>4.7</v>
      </c>
      <c r="BR52" s="151">
        <v>41842</v>
      </c>
      <c r="BS52" s="206">
        <v>48.5</v>
      </c>
      <c r="BT52" s="151">
        <v>41842</v>
      </c>
      <c r="BU52" s="207">
        <v>14.6</v>
      </c>
      <c r="BV52" s="151">
        <v>41842</v>
      </c>
      <c r="BW52" s="206">
        <v>59.4</v>
      </c>
      <c r="BX52" s="151">
        <v>41842</v>
      </c>
      <c r="BY52" s="210">
        <v>7.39</v>
      </c>
      <c r="BZ52" s="151">
        <v>41842</v>
      </c>
      <c r="CA52" s="206">
        <v>34.4</v>
      </c>
      <c r="CB52" s="151">
        <v>41842</v>
      </c>
      <c r="CC52" s="208">
        <v>5.6</v>
      </c>
      <c r="CD52" s="151">
        <v>41838</v>
      </c>
      <c r="CL52" s="209">
        <v>7</v>
      </c>
      <c r="CM52" s="201">
        <v>41810</v>
      </c>
    </row>
    <row r="53" spans="1:91" ht="15">
      <c r="A53" s="152" t="s">
        <v>7874</v>
      </c>
      <c r="B53" s="110" t="s">
        <v>235</v>
      </c>
      <c r="C53" s="110" t="s">
        <v>8081</v>
      </c>
      <c r="D53" s="110">
        <v>11313</v>
      </c>
      <c r="E53" s="111">
        <v>10</v>
      </c>
      <c r="F53" s="111">
        <v>577</v>
      </c>
      <c r="I53" s="372"/>
      <c r="K53" s="134">
        <v>5</v>
      </c>
      <c r="L53" s="151">
        <v>41701</v>
      </c>
      <c r="M53" s="169">
        <v>3.15</v>
      </c>
      <c r="N53" s="151">
        <v>41838</v>
      </c>
      <c r="Q53" s="497"/>
      <c r="S53" s="134">
        <v>11.69</v>
      </c>
      <c r="T53" s="151">
        <v>41842</v>
      </c>
      <c r="U53" s="134">
        <v>13.5</v>
      </c>
      <c r="V53" s="151">
        <v>41838</v>
      </c>
      <c r="W53" s="196">
        <v>9</v>
      </c>
      <c r="X53" s="151">
        <v>41829</v>
      </c>
      <c r="Y53" s="134">
        <f t="shared" si="0"/>
        <v>3.5544599999999997</v>
      </c>
      <c r="AC53" s="134">
        <v>23.33</v>
      </c>
      <c r="AD53" s="151">
        <v>41838</v>
      </c>
      <c r="AE53" s="134">
        <v>24.18</v>
      </c>
      <c r="AF53" s="151">
        <v>41838</v>
      </c>
      <c r="AG53" s="197">
        <v>4</v>
      </c>
      <c r="AH53" s="151">
        <v>41843</v>
      </c>
      <c r="AI53" s="198">
        <v>5</v>
      </c>
      <c r="AJ53" s="151">
        <v>41778</v>
      </c>
      <c r="AK53" s="199">
        <v>5</v>
      </c>
      <c r="AL53" s="151">
        <v>41709</v>
      </c>
      <c r="BE53" s="200">
        <v>5</v>
      </c>
      <c r="BF53" s="201">
        <v>41555</v>
      </c>
      <c r="BG53" s="202">
        <v>42</v>
      </c>
      <c r="BH53" s="151">
        <v>41842</v>
      </c>
      <c r="BM53" s="204">
        <v>71.5</v>
      </c>
      <c r="BN53" s="151">
        <v>41842</v>
      </c>
      <c r="BQ53" s="205">
        <v>4.8</v>
      </c>
      <c r="BR53" s="151">
        <v>41842</v>
      </c>
      <c r="BS53" s="206">
        <v>48.4</v>
      </c>
      <c r="BT53" s="151">
        <v>41842</v>
      </c>
      <c r="BU53" s="207">
        <v>14.7</v>
      </c>
      <c r="BV53" s="151">
        <v>41842</v>
      </c>
      <c r="BW53" s="206">
        <v>56.6</v>
      </c>
      <c r="BX53" s="151">
        <v>41842</v>
      </c>
      <c r="BY53" s="210">
        <v>7.32</v>
      </c>
      <c r="BZ53" s="151">
        <v>41842</v>
      </c>
      <c r="CA53" s="206">
        <v>34.4</v>
      </c>
      <c r="CB53" s="151">
        <v>41842</v>
      </c>
      <c r="CC53" s="208">
        <v>5.7</v>
      </c>
      <c r="CD53" s="151">
        <v>41838</v>
      </c>
      <c r="CL53" s="209">
        <v>7</v>
      </c>
      <c r="CM53" s="201">
        <v>41810</v>
      </c>
    </row>
    <row r="54" spans="1:91" ht="15">
      <c r="A54" s="152" t="s">
        <v>7875</v>
      </c>
      <c r="B54" s="110" t="s">
        <v>235</v>
      </c>
      <c r="C54" s="110" t="s">
        <v>8082</v>
      </c>
      <c r="D54" s="110">
        <v>11429</v>
      </c>
      <c r="E54" s="111">
        <v>1</v>
      </c>
      <c r="F54" s="111">
        <v>757</v>
      </c>
      <c r="I54" s="137"/>
      <c r="K54" s="138">
        <v>5</v>
      </c>
      <c r="L54" s="151">
        <v>41701</v>
      </c>
      <c r="M54" s="169">
        <v>3.05</v>
      </c>
      <c r="N54" s="151">
        <v>41838</v>
      </c>
      <c r="Q54" s="497"/>
      <c r="S54" s="134">
        <v>10.88</v>
      </c>
      <c r="T54" s="151">
        <v>41842</v>
      </c>
      <c r="U54" s="138">
        <v>13.5</v>
      </c>
      <c r="V54" s="151">
        <v>41838</v>
      </c>
      <c r="W54" s="196">
        <v>1</v>
      </c>
      <c r="X54" s="151">
        <v>41829</v>
      </c>
      <c r="Y54" s="134">
        <f t="shared" si="0"/>
        <v>3.6329799999999999</v>
      </c>
      <c r="AA54" s="138"/>
      <c r="AC54" s="138">
        <v>22.59</v>
      </c>
      <c r="AD54" s="151">
        <v>41838</v>
      </c>
      <c r="AE54" s="137">
        <v>23.14</v>
      </c>
      <c r="AF54" s="151">
        <v>41838</v>
      </c>
      <c r="AG54" s="197">
        <v>4.8</v>
      </c>
      <c r="AH54" s="151">
        <v>41843</v>
      </c>
      <c r="AI54" s="198">
        <v>5</v>
      </c>
      <c r="AJ54" s="151">
        <v>41778</v>
      </c>
      <c r="AK54" s="199">
        <v>5</v>
      </c>
      <c r="AL54" s="151">
        <v>41709</v>
      </c>
      <c r="AM54" s="138"/>
      <c r="BE54" s="200">
        <v>5</v>
      </c>
      <c r="BF54" s="201">
        <v>41555</v>
      </c>
      <c r="BG54" s="202">
        <v>38.700000000000003</v>
      </c>
      <c r="BH54" s="151">
        <v>41842</v>
      </c>
      <c r="BM54" s="204">
        <v>67</v>
      </c>
      <c r="BN54" s="151">
        <v>41842</v>
      </c>
      <c r="BQ54" s="205">
        <v>5.5</v>
      </c>
      <c r="BR54" s="151">
        <v>41842</v>
      </c>
      <c r="BS54" s="206">
        <v>47</v>
      </c>
      <c r="BT54" s="151">
        <v>41842</v>
      </c>
      <c r="BU54" s="207">
        <v>15.7</v>
      </c>
      <c r="BV54" s="151">
        <v>41842</v>
      </c>
      <c r="BW54" s="206">
        <v>56.3</v>
      </c>
      <c r="BX54" s="151">
        <v>41842</v>
      </c>
      <c r="BY54" s="210">
        <v>7.51</v>
      </c>
      <c r="BZ54" s="151">
        <v>41842</v>
      </c>
      <c r="CA54" s="206">
        <v>35.700000000000003</v>
      </c>
      <c r="CB54" s="151">
        <v>41842</v>
      </c>
      <c r="CC54" s="208">
        <v>6.8</v>
      </c>
      <c r="CD54" s="151">
        <v>41838</v>
      </c>
      <c r="CL54" s="209">
        <v>7</v>
      </c>
      <c r="CM54" s="201">
        <v>41810</v>
      </c>
    </row>
    <row r="55" spans="1:91" ht="15">
      <c r="A55" s="152" t="s">
        <v>7875</v>
      </c>
      <c r="B55" s="110" t="s">
        <v>233</v>
      </c>
      <c r="C55" s="110" t="s">
        <v>381</v>
      </c>
      <c r="D55" s="110">
        <v>11070</v>
      </c>
      <c r="E55" s="111">
        <v>3</v>
      </c>
      <c r="F55" s="111">
        <v>613</v>
      </c>
      <c r="I55" s="372"/>
      <c r="K55" s="134">
        <v>5</v>
      </c>
      <c r="L55" s="151">
        <v>41701</v>
      </c>
      <c r="M55" s="169">
        <v>2.6</v>
      </c>
      <c r="N55" s="151">
        <v>41838</v>
      </c>
      <c r="Q55" s="497"/>
      <c r="S55" s="134">
        <v>9.5399999999999991</v>
      </c>
      <c r="T55" s="151">
        <v>41842</v>
      </c>
      <c r="U55" s="134">
        <v>13.5</v>
      </c>
      <c r="V55" s="151">
        <v>41838</v>
      </c>
      <c r="W55" s="196">
        <v>1</v>
      </c>
      <c r="X55" s="151">
        <v>41829</v>
      </c>
      <c r="Y55" s="134">
        <f t="shared" si="0"/>
        <v>3.0370500000000002</v>
      </c>
      <c r="AC55" s="134">
        <v>19.260000000000002</v>
      </c>
      <c r="AD55" s="151">
        <v>41838</v>
      </c>
      <c r="AE55" s="134">
        <v>19.850000000000001</v>
      </c>
      <c r="AF55" s="151">
        <v>41838</v>
      </c>
      <c r="AG55" s="197">
        <v>5.0999999999999996</v>
      </c>
      <c r="AH55" s="151">
        <v>41843</v>
      </c>
      <c r="AI55" s="198">
        <v>5</v>
      </c>
      <c r="AJ55" s="151">
        <v>41778</v>
      </c>
      <c r="AK55" s="199">
        <v>5</v>
      </c>
      <c r="AL55" s="151">
        <v>41709</v>
      </c>
      <c r="BE55" s="200">
        <v>5</v>
      </c>
      <c r="BF55" s="201">
        <v>41555</v>
      </c>
      <c r="BG55" s="202">
        <v>45.2</v>
      </c>
      <c r="BH55" s="151">
        <v>41842</v>
      </c>
      <c r="BM55" s="204">
        <v>68</v>
      </c>
      <c r="BN55" s="151">
        <v>41842</v>
      </c>
      <c r="BQ55" s="205">
        <v>4.4000000000000004</v>
      </c>
      <c r="BR55" s="151">
        <v>41842</v>
      </c>
      <c r="BS55" s="206">
        <v>48.1</v>
      </c>
      <c r="BT55" s="151">
        <v>41842</v>
      </c>
      <c r="BU55" s="207">
        <v>15.3</v>
      </c>
      <c r="BV55" s="151">
        <v>41842</v>
      </c>
      <c r="BW55" s="206">
        <v>57.5</v>
      </c>
      <c r="BX55" s="151">
        <v>41842</v>
      </c>
      <c r="BY55" s="210">
        <v>6.93</v>
      </c>
      <c r="BZ55" s="151">
        <v>41842</v>
      </c>
      <c r="CA55" s="206">
        <v>35.6</v>
      </c>
      <c r="CB55" s="151">
        <v>41842</v>
      </c>
      <c r="CC55" s="208">
        <v>6.2</v>
      </c>
      <c r="CD55" s="151">
        <v>41838</v>
      </c>
      <c r="CL55" s="209">
        <v>7</v>
      </c>
      <c r="CM55" s="201">
        <v>41810</v>
      </c>
    </row>
    <row r="56" spans="1:91" ht="15">
      <c r="A56" s="152" t="s">
        <v>7875</v>
      </c>
      <c r="B56" s="110" t="s">
        <v>235</v>
      </c>
      <c r="C56" s="110" t="s">
        <v>8081</v>
      </c>
      <c r="D56" s="110">
        <v>11242</v>
      </c>
      <c r="E56" s="111">
        <v>8</v>
      </c>
      <c r="F56" s="111">
        <v>581</v>
      </c>
      <c r="I56" s="372"/>
      <c r="K56" s="134">
        <v>5</v>
      </c>
      <c r="L56" s="151">
        <v>41701</v>
      </c>
      <c r="M56" s="169">
        <v>3.6</v>
      </c>
      <c r="N56" s="151">
        <v>41838</v>
      </c>
      <c r="Q56" s="497"/>
      <c r="S56" s="134">
        <v>13.49</v>
      </c>
      <c r="T56" s="151">
        <v>41842</v>
      </c>
      <c r="U56" s="134">
        <v>13.5</v>
      </c>
      <c r="V56" s="151">
        <v>41838</v>
      </c>
      <c r="W56" s="196">
        <v>1</v>
      </c>
      <c r="X56" s="151">
        <v>41829</v>
      </c>
      <c r="Y56" s="134">
        <f t="shared" si="0"/>
        <v>3.9715199999999999</v>
      </c>
      <c r="AC56" s="134">
        <v>26.67</v>
      </c>
      <c r="AD56" s="151">
        <v>41838</v>
      </c>
      <c r="AE56" s="134">
        <v>27.58</v>
      </c>
      <c r="AF56" s="151">
        <v>41838</v>
      </c>
      <c r="AG56" s="197">
        <v>4.7</v>
      </c>
      <c r="AH56" s="151">
        <v>41843</v>
      </c>
      <c r="AI56" s="198">
        <v>5</v>
      </c>
      <c r="AJ56" s="151">
        <v>41778</v>
      </c>
      <c r="AK56" s="199">
        <v>5</v>
      </c>
      <c r="AL56" s="151">
        <v>41709</v>
      </c>
      <c r="BE56" s="200">
        <v>5</v>
      </c>
      <c r="BF56" s="201">
        <v>41555</v>
      </c>
      <c r="BG56" s="202">
        <v>46.7</v>
      </c>
      <c r="BH56" s="151">
        <v>41842</v>
      </c>
      <c r="BM56" s="204">
        <v>68.900000000000006</v>
      </c>
      <c r="BN56" s="151">
        <v>41842</v>
      </c>
      <c r="BQ56" s="205">
        <v>4.2</v>
      </c>
      <c r="BR56" s="151">
        <v>41842</v>
      </c>
      <c r="BS56" s="206">
        <v>48.9</v>
      </c>
      <c r="BT56" s="151">
        <v>41842</v>
      </c>
      <c r="BU56" s="207">
        <v>14.4</v>
      </c>
      <c r="BV56" s="151">
        <v>41842</v>
      </c>
      <c r="BW56" s="206">
        <v>52.9</v>
      </c>
      <c r="BX56" s="151">
        <v>41842</v>
      </c>
      <c r="BY56" s="210">
        <v>6.7</v>
      </c>
      <c r="BZ56" s="151">
        <v>41842</v>
      </c>
      <c r="CA56" s="206">
        <v>34.1</v>
      </c>
      <c r="CB56" s="151">
        <v>41842</v>
      </c>
      <c r="CC56" s="208">
        <v>5.9</v>
      </c>
      <c r="CD56" s="151">
        <v>41838</v>
      </c>
      <c r="CL56" s="209">
        <v>5</v>
      </c>
      <c r="CM56" s="201">
        <v>41810</v>
      </c>
    </row>
    <row r="57" spans="1:91" ht="15">
      <c r="A57" s="152" t="s">
        <v>7875</v>
      </c>
      <c r="B57" s="110" t="s">
        <v>233</v>
      </c>
      <c r="C57" s="110" t="s">
        <v>8083</v>
      </c>
      <c r="D57" s="110">
        <v>11744</v>
      </c>
      <c r="E57" s="111">
        <v>10</v>
      </c>
      <c r="F57" s="111">
        <v>721</v>
      </c>
      <c r="I57" s="372"/>
      <c r="K57" s="134">
        <v>5</v>
      </c>
      <c r="L57" s="151">
        <v>41701</v>
      </c>
      <c r="M57" s="169">
        <v>2.75</v>
      </c>
      <c r="N57" s="151">
        <v>41838</v>
      </c>
      <c r="Q57" s="497"/>
      <c r="S57" s="134">
        <v>10.38</v>
      </c>
      <c r="T57" s="151">
        <v>41842</v>
      </c>
      <c r="U57" s="134">
        <v>13.5</v>
      </c>
      <c r="V57" s="151">
        <v>41838</v>
      </c>
      <c r="W57" s="196">
        <v>1</v>
      </c>
      <c r="X57" s="151">
        <v>41829</v>
      </c>
      <c r="Y57" s="134">
        <f t="shared" si="0"/>
        <v>2.9638200000000001</v>
      </c>
      <c r="AC57" s="134">
        <v>20.37</v>
      </c>
      <c r="AD57" s="151">
        <v>41838</v>
      </c>
      <c r="AE57" s="134">
        <v>21.02</v>
      </c>
      <c r="AF57" s="151">
        <v>41838</v>
      </c>
      <c r="AG57" s="197">
        <v>5.2</v>
      </c>
      <c r="AH57" s="151">
        <v>41843</v>
      </c>
      <c r="AI57" s="198">
        <v>5</v>
      </c>
      <c r="AJ57" s="151">
        <v>41778</v>
      </c>
      <c r="AK57" s="199">
        <v>5</v>
      </c>
      <c r="AL57" s="151">
        <v>41709</v>
      </c>
      <c r="BE57" s="200">
        <v>5</v>
      </c>
      <c r="BF57" s="201">
        <v>41555</v>
      </c>
      <c r="BG57" s="202">
        <v>42.5</v>
      </c>
      <c r="BH57" s="151">
        <v>41842</v>
      </c>
      <c r="BM57" s="204">
        <v>69</v>
      </c>
      <c r="BN57" s="151">
        <v>41842</v>
      </c>
      <c r="BQ57" s="205">
        <v>3.9</v>
      </c>
      <c r="BR57" s="151">
        <v>41842</v>
      </c>
      <c r="BS57" s="206">
        <v>49.4</v>
      </c>
      <c r="BT57" s="151">
        <v>41842</v>
      </c>
      <c r="BU57" s="207">
        <v>14.1</v>
      </c>
      <c r="BV57" s="151">
        <v>41842</v>
      </c>
      <c r="BW57" s="206">
        <v>50.1</v>
      </c>
      <c r="BX57" s="151">
        <v>41842</v>
      </c>
      <c r="BY57" s="210">
        <v>6.96</v>
      </c>
      <c r="BZ57" s="151">
        <v>41842</v>
      </c>
      <c r="CA57" s="206">
        <v>33.700000000000003</v>
      </c>
      <c r="CB57" s="151">
        <v>41842</v>
      </c>
      <c r="CC57" s="208">
        <v>6.1</v>
      </c>
      <c r="CD57" s="151">
        <v>41838</v>
      </c>
      <c r="CL57" s="209">
        <v>5</v>
      </c>
      <c r="CM57" s="201">
        <v>41810</v>
      </c>
    </row>
    <row r="58" spans="1:91" ht="15">
      <c r="A58" s="152" t="s">
        <v>7876</v>
      </c>
      <c r="B58" s="110" t="s">
        <v>233</v>
      </c>
      <c r="C58" s="110" t="s">
        <v>381</v>
      </c>
      <c r="D58" s="110">
        <v>11032</v>
      </c>
      <c r="E58" s="111">
        <v>2</v>
      </c>
      <c r="F58" s="111">
        <v>605</v>
      </c>
      <c r="I58" s="372"/>
      <c r="J58" s="187"/>
      <c r="K58" s="134">
        <v>5</v>
      </c>
      <c r="L58" s="151">
        <v>41701</v>
      </c>
      <c r="M58" s="169">
        <v>2.4</v>
      </c>
      <c r="N58" s="151">
        <v>41838</v>
      </c>
      <c r="Q58" s="497"/>
      <c r="S58" s="134">
        <v>8.64</v>
      </c>
      <c r="T58" s="151">
        <v>41842</v>
      </c>
      <c r="U58" s="134">
        <v>13.5</v>
      </c>
      <c r="V58" s="151">
        <v>41838</v>
      </c>
      <c r="W58" s="196">
        <v>1</v>
      </c>
      <c r="X58" s="151">
        <v>41829</v>
      </c>
      <c r="Y58" s="134">
        <f t="shared" si="0"/>
        <v>2.8652499999999996</v>
      </c>
      <c r="AC58" s="134">
        <v>17.78</v>
      </c>
      <c r="AD58" s="151">
        <v>41838</v>
      </c>
      <c r="AE58" s="134">
        <v>18.25</v>
      </c>
      <c r="AF58" s="151">
        <v>41838</v>
      </c>
      <c r="AG58" s="197">
        <v>5.3</v>
      </c>
      <c r="AH58" s="151">
        <v>41843</v>
      </c>
      <c r="AI58" s="198">
        <v>7</v>
      </c>
      <c r="AJ58" s="151">
        <v>41778</v>
      </c>
      <c r="AK58" s="199">
        <v>5</v>
      </c>
      <c r="AL58" s="151">
        <v>41709</v>
      </c>
      <c r="BE58" s="200">
        <v>5</v>
      </c>
      <c r="BF58" s="201">
        <v>41555</v>
      </c>
      <c r="BG58" s="202">
        <v>42.9</v>
      </c>
      <c r="BH58" s="151">
        <v>41842</v>
      </c>
      <c r="BM58" s="204">
        <v>71.5</v>
      </c>
      <c r="BN58" s="151">
        <v>41842</v>
      </c>
      <c r="BQ58" s="205">
        <v>5.0999999999999996</v>
      </c>
      <c r="BR58" s="151">
        <v>41842</v>
      </c>
      <c r="BS58" s="206">
        <v>47.4</v>
      </c>
      <c r="BT58" s="151">
        <v>41842</v>
      </c>
      <c r="BU58" s="207">
        <v>15.7</v>
      </c>
      <c r="BV58" s="151">
        <v>41842</v>
      </c>
      <c r="BW58" s="206">
        <v>79</v>
      </c>
      <c r="BX58" s="151">
        <v>41842</v>
      </c>
      <c r="BY58" s="210">
        <v>7.13</v>
      </c>
      <c r="BZ58" s="151">
        <v>41842</v>
      </c>
      <c r="CA58" s="206">
        <v>36</v>
      </c>
      <c r="CB58" s="151">
        <v>41842</v>
      </c>
      <c r="CC58" s="208">
        <v>6.6</v>
      </c>
      <c r="CD58" s="151">
        <v>41838</v>
      </c>
      <c r="CL58" s="209">
        <v>7</v>
      </c>
      <c r="CM58" s="201">
        <v>41810</v>
      </c>
    </row>
    <row r="59" spans="1:91" ht="15">
      <c r="A59" s="152" t="s">
        <v>7876</v>
      </c>
      <c r="B59" s="110" t="s">
        <v>235</v>
      </c>
      <c r="C59" s="110" t="s">
        <v>8082</v>
      </c>
      <c r="D59" s="110">
        <v>11493</v>
      </c>
      <c r="E59" s="111">
        <v>3</v>
      </c>
      <c r="F59" s="111">
        <v>725</v>
      </c>
      <c r="I59" s="372"/>
      <c r="K59" s="134">
        <v>5</v>
      </c>
      <c r="L59" s="151">
        <v>41701</v>
      </c>
      <c r="M59" s="169">
        <v>3.05</v>
      </c>
      <c r="N59" s="151">
        <v>41838</v>
      </c>
      <c r="Q59" s="497"/>
      <c r="S59" s="134">
        <v>10.78</v>
      </c>
      <c r="T59" s="151">
        <v>41842</v>
      </c>
      <c r="U59" s="134">
        <v>13.5</v>
      </c>
      <c r="V59" s="151">
        <v>41838</v>
      </c>
      <c r="W59" s="196">
        <v>1</v>
      </c>
      <c r="X59" s="151">
        <v>41829</v>
      </c>
      <c r="Y59" s="134">
        <f t="shared" si="0"/>
        <v>3.5864399999999996</v>
      </c>
      <c r="AC59" s="134">
        <v>22.59</v>
      </c>
      <c r="AD59" s="151">
        <v>41838</v>
      </c>
      <c r="AE59" s="134">
        <v>22.99</v>
      </c>
      <c r="AF59" s="151">
        <v>41838</v>
      </c>
      <c r="AG59" s="197">
        <v>4.5</v>
      </c>
      <c r="AH59" s="151">
        <v>41843</v>
      </c>
      <c r="AI59" s="198">
        <v>7</v>
      </c>
      <c r="AJ59" s="151">
        <v>41778</v>
      </c>
      <c r="AK59" s="199">
        <v>5</v>
      </c>
      <c r="AL59" s="151">
        <v>41709</v>
      </c>
      <c r="BE59" s="200">
        <v>5</v>
      </c>
      <c r="BF59" s="201">
        <v>41555</v>
      </c>
      <c r="BG59" s="202">
        <v>37</v>
      </c>
      <c r="BH59" s="151">
        <v>41842</v>
      </c>
      <c r="BM59" s="204">
        <v>68.7</v>
      </c>
      <c r="BN59" s="151">
        <v>41842</v>
      </c>
      <c r="BQ59" s="205">
        <v>5.7</v>
      </c>
      <c r="BR59" s="151">
        <v>41842</v>
      </c>
      <c r="BS59" s="206">
        <v>46.9</v>
      </c>
      <c r="BT59" s="151">
        <v>41842</v>
      </c>
      <c r="BU59" s="207">
        <v>15.6</v>
      </c>
      <c r="BV59" s="151">
        <v>41842</v>
      </c>
      <c r="BW59" s="206">
        <v>66.599999999999994</v>
      </c>
      <c r="BX59" s="151">
        <v>41842</v>
      </c>
      <c r="BY59" s="210">
        <v>7.96</v>
      </c>
      <c r="BZ59" s="151">
        <v>41842</v>
      </c>
      <c r="CA59" s="206">
        <v>35.4</v>
      </c>
      <c r="CB59" s="151">
        <v>41842</v>
      </c>
      <c r="CC59" s="208">
        <v>7.4</v>
      </c>
      <c r="CD59" s="151">
        <v>41838</v>
      </c>
      <c r="CL59" s="209">
        <v>7</v>
      </c>
      <c r="CM59" s="201">
        <v>41810</v>
      </c>
    </row>
    <row r="60" spans="1:91" ht="15">
      <c r="A60" s="152" t="s">
        <v>7876</v>
      </c>
      <c r="B60" s="110" t="s">
        <v>235</v>
      </c>
      <c r="C60" s="110" t="s">
        <v>8081</v>
      </c>
      <c r="D60" s="110">
        <v>11260</v>
      </c>
      <c r="E60" s="111">
        <v>9</v>
      </c>
      <c r="F60" s="111">
        <v>509</v>
      </c>
      <c r="I60" s="372"/>
      <c r="K60" s="194">
        <v>7</v>
      </c>
      <c r="L60" s="151">
        <v>41701</v>
      </c>
      <c r="M60" s="169">
        <v>3.75</v>
      </c>
      <c r="N60" s="151">
        <v>41838</v>
      </c>
      <c r="Q60" s="497"/>
      <c r="S60" s="134">
        <v>13.41</v>
      </c>
      <c r="T60" s="151">
        <v>41842</v>
      </c>
      <c r="U60" s="134">
        <v>13.5</v>
      </c>
      <c r="V60" s="151">
        <v>41838</v>
      </c>
      <c r="W60" s="196">
        <v>9</v>
      </c>
      <c r="X60" s="151">
        <v>41829</v>
      </c>
      <c r="Y60" s="134">
        <f t="shared" si="0"/>
        <v>4.3849800000000005</v>
      </c>
      <c r="AC60" s="134">
        <v>27.78</v>
      </c>
      <c r="AD60" s="151">
        <v>41838</v>
      </c>
      <c r="AE60" s="134">
        <v>28.66</v>
      </c>
      <c r="AF60" s="151">
        <v>41838</v>
      </c>
      <c r="AG60" s="197">
        <v>4.5</v>
      </c>
      <c r="AH60" s="151">
        <v>41843</v>
      </c>
      <c r="AI60" s="198">
        <v>7</v>
      </c>
      <c r="AJ60" s="151">
        <v>41778</v>
      </c>
      <c r="AK60" s="199">
        <v>5</v>
      </c>
      <c r="AL60" s="151">
        <v>41709</v>
      </c>
      <c r="BE60" s="200">
        <v>5</v>
      </c>
      <c r="BF60" s="201">
        <v>41555</v>
      </c>
      <c r="BG60" s="202">
        <v>42.2</v>
      </c>
      <c r="BH60" s="151">
        <v>41842</v>
      </c>
      <c r="BM60" s="204">
        <v>69.900000000000006</v>
      </c>
      <c r="BN60" s="151">
        <v>41842</v>
      </c>
      <c r="BQ60" s="205">
        <v>4.9000000000000004</v>
      </c>
      <c r="BR60" s="151">
        <v>41842</v>
      </c>
      <c r="BS60" s="206">
        <v>46.8</v>
      </c>
      <c r="BT60" s="151">
        <v>41842</v>
      </c>
      <c r="BU60" s="207">
        <v>15.3</v>
      </c>
      <c r="BV60" s="151">
        <v>41842</v>
      </c>
      <c r="BW60" s="206">
        <v>71.5</v>
      </c>
      <c r="BX60" s="151">
        <v>41842</v>
      </c>
      <c r="BY60" s="210">
        <v>7.57</v>
      </c>
      <c r="BZ60" s="151">
        <v>41842</v>
      </c>
      <c r="CA60" s="206">
        <v>34.700000000000003</v>
      </c>
      <c r="CB60" s="151">
        <v>41842</v>
      </c>
      <c r="CC60" s="208">
        <v>6.1</v>
      </c>
      <c r="CD60" s="151">
        <v>41838</v>
      </c>
      <c r="CL60" s="209">
        <v>7</v>
      </c>
      <c r="CM60" s="201">
        <v>41810</v>
      </c>
    </row>
    <row r="61" spans="1:91" ht="15">
      <c r="A61" s="152" t="s">
        <v>7876</v>
      </c>
      <c r="B61" s="110" t="s">
        <v>233</v>
      </c>
      <c r="C61" s="110" t="s">
        <v>8083</v>
      </c>
      <c r="D61" s="110">
        <v>11805</v>
      </c>
      <c r="E61" s="111">
        <v>12</v>
      </c>
      <c r="F61" s="111">
        <v>677</v>
      </c>
      <c r="I61" s="372"/>
      <c r="K61" s="134">
        <v>5</v>
      </c>
      <c r="L61" s="151">
        <v>41701</v>
      </c>
      <c r="M61" s="169">
        <v>2.15</v>
      </c>
      <c r="N61" s="151">
        <v>41838</v>
      </c>
      <c r="Q61" s="497"/>
      <c r="S61" s="134">
        <v>7.93</v>
      </c>
      <c r="T61" s="151">
        <v>41842</v>
      </c>
      <c r="U61" s="134">
        <v>13.5</v>
      </c>
      <c r="V61" s="151">
        <v>41838</v>
      </c>
      <c r="W61" s="196">
        <v>1</v>
      </c>
      <c r="X61" s="151">
        <v>41829</v>
      </c>
      <c r="Y61" s="134">
        <f t="shared" si="0"/>
        <v>2.3823499999999997</v>
      </c>
      <c r="AC61" s="134">
        <v>15.93</v>
      </c>
      <c r="AD61" s="151">
        <v>41838</v>
      </c>
      <c r="AE61" s="134">
        <v>16.43</v>
      </c>
      <c r="AF61" s="151">
        <v>41838</v>
      </c>
      <c r="AG61" s="197">
        <v>5.8</v>
      </c>
      <c r="AH61" s="151">
        <v>41843</v>
      </c>
      <c r="AI61" s="198">
        <v>7</v>
      </c>
      <c r="AJ61" s="151">
        <v>41778</v>
      </c>
      <c r="AK61" s="199">
        <v>5</v>
      </c>
      <c r="AL61" s="151">
        <v>41709</v>
      </c>
      <c r="BE61" s="200">
        <v>5</v>
      </c>
      <c r="BF61" s="201">
        <v>41555</v>
      </c>
      <c r="BG61" s="202">
        <v>37</v>
      </c>
      <c r="BH61" s="151">
        <v>41842</v>
      </c>
      <c r="BM61" s="204">
        <v>71</v>
      </c>
      <c r="BN61" s="151">
        <v>41842</v>
      </c>
      <c r="BQ61" s="205">
        <v>4.8</v>
      </c>
      <c r="BR61" s="151">
        <v>41842</v>
      </c>
      <c r="BS61" s="206">
        <v>48.3</v>
      </c>
      <c r="BT61" s="151">
        <v>41842</v>
      </c>
      <c r="BU61" s="207">
        <v>14.5</v>
      </c>
      <c r="BV61" s="151">
        <v>41842</v>
      </c>
      <c r="BW61" s="206">
        <v>68.5</v>
      </c>
      <c r="BX61" s="151">
        <v>41842</v>
      </c>
      <c r="BY61" s="210">
        <v>7.43</v>
      </c>
      <c r="BZ61" s="151">
        <v>41842</v>
      </c>
      <c r="CA61" s="206">
        <v>33.799999999999997</v>
      </c>
      <c r="CB61" s="151">
        <v>41842</v>
      </c>
      <c r="CC61" s="208">
        <v>6.1</v>
      </c>
      <c r="CD61" s="151">
        <v>41838</v>
      </c>
      <c r="CL61" s="209">
        <v>7</v>
      </c>
      <c r="CM61" s="201">
        <v>41810</v>
      </c>
    </row>
    <row r="62" spans="1:91" s="421" customFormat="1" ht="15">
      <c r="A62" s="412" t="s">
        <v>7877</v>
      </c>
      <c r="B62" s="413" t="s">
        <v>233</v>
      </c>
      <c r="C62" s="413" t="s">
        <v>381</v>
      </c>
      <c r="D62" s="413">
        <v>11067</v>
      </c>
      <c r="E62" s="414">
        <v>3</v>
      </c>
      <c r="F62" s="414">
        <v>601</v>
      </c>
      <c r="G62" s="414"/>
      <c r="H62" s="414"/>
      <c r="I62" s="415"/>
      <c r="J62" s="413"/>
      <c r="K62" s="422">
        <v>7</v>
      </c>
      <c r="L62" s="417">
        <v>41701</v>
      </c>
      <c r="M62" s="418">
        <v>1.05</v>
      </c>
      <c r="N62" s="417">
        <v>41838</v>
      </c>
      <c r="O62" s="416"/>
      <c r="P62" s="417"/>
      <c r="Q62" s="497"/>
      <c r="R62" s="417"/>
      <c r="S62" s="416">
        <v>3.8</v>
      </c>
      <c r="T62" s="417">
        <v>41842</v>
      </c>
      <c r="U62" s="416">
        <v>13.5</v>
      </c>
      <c r="V62" s="417">
        <v>41838</v>
      </c>
      <c r="W62" s="418">
        <v>1</v>
      </c>
      <c r="X62" s="417">
        <v>41829</v>
      </c>
      <c r="Y62" s="134">
        <f t="shared" si="0"/>
        <v>1.33334</v>
      </c>
      <c r="Z62" s="417"/>
      <c r="AA62" s="416"/>
      <c r="AB62" s="417"/>
      <c r="AC62" s="416">
        <v>7.78</v>
      </c>
      <c r="AD62" s="417">
        <v>41838</v>
      </c>
      <c r="AE62" s="416">
        <v>8.18</v>
      </c>
      <c r="AF62" s="417">
        <v>41838</v>
      </c>
      <c r="AG62" s="418">
        <v>4.5</v>
      </c>
      <c r="AH62" s="417">
        <v>41843</v>
      </c>
      <c r="AI62" s="418">
        <v>5</v>
      </c>
      <c r="AJ62" s="417">
        <v>41778</v>
      </c>
      <c r="AK62" s="418">
        <v>7</v>
      </c>
      <c r="AL62" s="417">
        <v>41709</v>
      </c>
      <c r="AM62" s="416"/>
      <c r="AN62" s="417"/>
      <c r="AO62" s="416"/>
      <c r="AP62" s="416"/>
      <c r="AQ62" s="416"/>
      <c r="AR62" s="416"/>
      <c r="AS62" s="416"/>
      <c r="AT62" s="416"/>
      <c r="AU62" s="416"/>
      <c r="AV62" s="416"/>
      <c r="AW62" s="416"/>
      <c r="AX62" s="416"/>
      <c r="AY62" s="416"/>
      <c r="AZ62" s="416"/>
      <c r="BA62" s="416"/>
      <c r="BB62" s="416"/>
      <c r="BC62" s="416"/>
      <c r="BD62" s="416"/>
      <c r="BE62" s="418">
        <v>7</v>
      </c>
      <c r="BF62" s="419">
        <v>41555</v>
      </c>
      <c r="BG62" s="420">
        <v>31.5</v>
      </c>
      <c r="BH62" s="417">
        <v>41842</v>
      </c>
      <c r="BM62" s="420">
        <v>70.900000000000006</v>
      </c>
      <c r="BN62" s="417">
        <v>41842</v>
      </c>
      <c r="BQ62" s="420">
        <v>6.2</v>
      </c>
      <c r="BR62" s="417">
        <v>41842</v>
      </c>
      <c r="BS62" s="420">
        <v>46.5</v>
      </c>
      <c r="BT62" s="417">
        <v>41842</v>
      </c>
      <c r="BU62" s="420">
        <v>16.3</v>
      </c>
      <c r="BV62" s="417">
        <v>41842</v>
      </c>
      <c r="BW62" s="420">
        <v>62.7</v>
      </c>
      <c r="BX62" s="417">
        <v>41842</v>
      </c>
      <c r="BY62" s="420">
        <v>7.43</v>
      </c>
      <c r="BZ62" s="417">
        <v>41842</v>
      </c>
      <c r="CA62" s="420">
        <v>36.6</v>
      </c>
      <c r="CB62" s="417">
        <v>41842</v>
      </c>
      <c r="CC62" s="420">
        <v>4.3</v>
      </c>
      <c r="CD62" s="417">
        <v>41838</v>
      </c>
      <c r="CL62" s="420">
        <v>7</v>
      </c>
      <c r="CM62" s="419">
        <v>41810</v>
      </c>
    </row>
    <row r="63" spans="1:91" s="421" customFormat="1" ht="15">
      <c r="A63" s="412" t="s">
        <v>7877</v>
      </c>
      <c r="B63" s="413" t="s">
        <v>235</v>
      </c>
      <c r="C63" s="413" t="s">
        <v>8082</v>
      </c>
      <c r="D63" s="413">
        <v>11524</v>
      </c>
      <c r="E63" s="414">
        <v>4</v>
      </c>
      <c r="F63" s="414">
        <v>705</v>
      </c>
      <c r="G63" s="414"/>
      <c r="H63" s="414"/>
      <c r="I63" s="415"/>
      <c r="J63" s="413"/>
      <c r="K63" s="422">
        <v>7</v>
      </c>
      <c r="L63" s="417">
        <v>41701</v>
      </c>
      <c r="M63" s="418">
        <v>1.5</v>
      </c>
      <c r="N63" s="417">
        <v>41838</v>
      </c>
      <c r="O63" s="416"/>
      <c r="P63" s="417"/>
      <c r="Q63" s="497"/>
      <c r="R63" s="417"/>
      <c r="S63" s="416">
        <v>5.26</v>
      </c>
      <c r="T63" s="417">
        <v>41842</v>
      </c>
      <c r="U63" s="416">
        <v>13.5</v>
      </c>
      <c r="V63" s="417">
        <v>41838</v>
      </c>
      <c r="W63" s="418">
        <v>1</v>
      </c>
      <c r="X63" s="417">
        <v>41829</v>
      </c>
      <c r="Y63" s="134">
        <f t="shared" si="0"/>
        <v>1.8727199999999999</v>
      </c>
      <c r="Z63" s="417"/>
      <c r="AA63" s="416"/>
      <c r="AB63" s="417"/>
      <c r="AC63" s="416">
        <v>11.11</v>
      </c>
      <c r="AD63" s="417">
        <v>41838</v>
      </c>
      <c r="AE63" s="416">
        <v>11.56</v>
      </c>
      <c r="AF63" s="417">
        <v>41838</v>
      </c>
      <c r="AG63" s="418">
        <v>4</v>
      </c>
      <c r="AH63" s="417">
        <v>41843</v>
      </c>
      <c r="AI63" s="418">
        <v>5</v>
      </c>
      <c r="AJ63" s="417">
        <v>41778</v>
      </c>
      <c r="AK63" s="418">
        <v>7</v>
      </c>
      <c r="AL63" s="417">
        <v>41709</v>
      </c>
      <c r="AM63" s="416"/>
      <c r="AN63" s="417"/>
      <c r="AO63" s="416"/>
      <c r="AP63" s="416"/>
      <c r="AQ63" s="416"/>
      <c r="AR63" s="416"/>
      <c r="AS63" s="416"/>
      <c r="AT63" s="416"/>
      <c r="AU63" s="416"/>
      <c r="AV63" s="416"/>
      <c r="AW63" s="416"/>
      <c r="AX63" s="416"/>
      <c r="AY63" s="416"/>
      <c r="AZ63" s="416"/>
      <c r="BA63" s="416"/>
      <c r="BB63" s="416"/>
      <c r="BC63" s="416"/>
      <c r="BD63" s="416"/>
      <c r="BE63" s="418">
        <v>7</v>
      </c>
      <c r="BF63" s="419">
        <v>41555</v>
      </c>
      <c r="BG63" s="420">
        <v>22.9</v>
      </c>
      <c r="BH63" s="417">
        <v>41842</v>
      </c>
      <c r="BM63" s="420">
        <v>68.8</v>
      </c>
      <c r="BN63" s="417">
        <v>41842</v>
      </c>
      <c r="BQ63" s="420">
        <v>6.2</v>
      </c>
      <c r="BR63" s="417">
        <v>41842</v>
      </c>
      <c r="BS63" s="420">
        <v>45.5</v>
      </c>
      <c r="BT63" s="417">
        <v>41842</v>
      </c>
      <c r="BU63" s="420">
        <v>16.2</v>
      </c>
      <c r="BV63" s="417">
        <v>41842</v>
      </c>
      <c r="BW63" s="420">
        <v>56.5</v>
      </c>
      <c r="BX63" s="417">
        <v>41842</v>
      </c>
      <c r="BY63" s="420">
        <v>8.2799999999999994</v>
      </c>
      <c r="BZ63" s="417">
        <v>41842</v>
      </c>
      <c r="CA63" s="420">
        <v>35.6</v>
      </c>
      <c r="CB63" s="417">
        <v>41842</v>
      </c>
      <c r="CC63" s="420">
        <v>5.3</v>
      </c>
      <c r="CD63" s="417">
        <v>41838</v>
      </c>
      <c r="CL63" s="420">
        <v>9</v>
      </c>
      <c r="CM63" s="419">
        <v>41810</v>
      </c>
    </row>
    <row r="64" spans="1:91" s="421" customFormat="1" ht="15">
      <c r="A64" s="412" t="s">
        <v>7877</v>
      </c>
      <c r="B64" s="413" t="s">
        <v>235</v>
      </c>
      <c r="C64" s="413" t="s">
        <v>8081</v>
      </c>
      <c r="D64" s="413">
        <v>11187</v>
      </c>
      <c r="E64" s="414">
        <v>7</v>
      </c>
      <c r="F64" s="414">
        <v>505</v>
      </c>
      <c r="G64" s="414"/>
      <c r="H64" s="414"/>
      <c r="I64" s="415"/>
      <c r="J64" s="413"/>
      <c r="K64" s="422">
        <v>7</v>
      </c>
      <c r="L64" s="417">
        <v>41701</v>
      </c>
      <c r="M64" s="418">
        <v>2.65</v>
      </c>
      <c r="N64" s="417">
        <v>41838</v>
      </c>
      <c r="O64" s="416"/>
      <c r="P64" s="417"/>
      <c r="Q64" s="497"/>
      <c r="R64" s="417"/>
      <c r="S64" s="416">
        <v>9.07</v>
      </c>
      <c r="T64" s="417">
        <v>41842</v>
      </c>
      <c r="U64" s="416">
        <v>13.5</v>
      </c>
      <c r="V64" s="417">
        <v>41838</v>
      </c>
      <c r="W64" s="418">
        <v>1</v>
      </c>
      <c r="X64" s="417">
        <v>41829</v>
      </c>
      <c r="Y64" s="134">
        <f t="shared" si="0"/>
        <v>3.4692400000000005</v>
      </c>
      <c r="Z64" s="417"/>
      <c r="AA64" s="416"/>
      <c r="AB64" s="417"/>
      <c r="AC64" s="416">
        <v>19.63</v>
      </c>
      <c r="AD64" s="417">
        <v>41838</v>
      </c>
      <c r="AE64" s="416">
        <v>20.170000000000002</v>
      </c>
      <c r="AF64" s="417">
        <v>41838</v>
      </c>
      <c r="AG64" s="418">
        <v>4.0999999999999996</v>
      </c>
      <c r="AH64" s="417">
        <v>41843</v>
      </c>
      <c r="AI64" s="418">
        <v>5</v>
      </c>
      <c r="AJ64" s="417">
        <v>41778</v>
      </c>
      <c r="AK64" s="418">
        <v>7</v>
      </c>
      <c r="AL64" s="417">
        <v>41709</v>
      </c>
      <c r="AM64" s="416"/>
      <c r="AN64" s="417"/>
      <c r="AO64" s="416"/>
      <c r="AP64" s="416"/>
      <c r="AQ64" s="416"/>
      <c r="AR64" s="416"/>
      <c r="AS64" s="416"/>
      <c r="AT64" s="416"/>
      <c r="AU64" s="416"/>
      <c r="AV64" s="416"/>
      <c r="AW64" s="416"/>
      <c r="AX64" s="416"/>
      <c r="AY64" s="416"/>
      <c r="AZ64" s="416"/>
      <c r="BA64" s="416"/>
      <c r="BB64" s="416"/>
      <c r="BC64" s="416"/>
      <c r="BD64" s="416"/>
      <c r="BE64" s="418">
        <v>7</v>
      </c>
      <c r="BF64" s="419">
        <v>41555</v>
      </c>
      <c r="BG64" s="420">
        <v>35.200000000000003</v>
      </c>
      <c r="BH64" s="417">
        <v>41842</v>
      </c>
      <c r="BM64" s="420">
        <v>70.900000000000006</v>
      </c>
      <c r="BN64" s="417">
        <v>41842</v>
      </c>
      <c r="BQ64" s="420">
        <v>4.8</v>
      </c>
      <c r="BR64" s="417">
        <v>41842</v>
      </c>
      <c r="BS64" s="420">
        <v>45</v>
      </c>
      <c r="BT64" s="417">
        <v>41842</v>
      </c>
      <c r="BU64" s="420">
        <v>17.2</v>
      </c>
      <c r="BV64" s="417">
        <v>41842</v>
      </c>
      <c r="BW64" s="420">
        <v>59.6</v>
      </c>
      <c r="BX64" s="417">
        <v>41842</v>
      </c>
      <c r="BY64" s="420">
        <v>7.99</v>
      </c>
      <c r="BZ64" s="417">
        <v>41842</v>
      </c>
      <c r="CA64" s="420">
        <v>37.4</v>
      </c>
      <c r="CB64" s="417">
        <v>41842</v>
      </c>
      <c r="CC64" s="420">
        <v>6.5</v>
      </c>
      <c r="CD64" s="417">
        <v>41838</v>
      </c>
      <c r="CL64" s="420">
        <v>7</v>
      </c>
      <c r="CM64" s="419">
        <v>41810</v>
      </c>
    </row>
    <row r="65" spans="1:91" s="421" customFormat="1" ht="15">
      <c r="A65" s="412" t="s">
        <v>7877</v>
      </c>
      <c r="B65" s="413" t="s">
        <v>233</v>
      </c>
      <c r="C65" s="413" t="s">
        <v>8083</v>
      </c>
      <c r="D65" s="413">
        <v>11808</v>
      </c>
      <c r="E65" s="414">
        <v>12</v>
      </c>
      <c r="F65" s="414">
        <v>689</v>
      </c>
      <c r="G65" s="414"/>
      <c r="H65" s="414"/>
      <c r="I65" s="415"/>
      <c r="J65" s="413"/>
      <c r="K65" s="416">
        <v>5</v>
      </c>
      <c r="L65" s="417">
        <v>41701</v>
      </c>
      <c r="M65" s="418">
        <v>1.35</v>
      </c>
      <c r="N65" s="417">
        <v>41838</v>
      </c>
      <c r="O65" s="416"/>
      <c r="P65" s="417"/>
      <c r="Q65" s="497"/>
      <c r="R65" s="417"/>
      <c r="S65" s="416">
        <v>4.74</v>
      </c>
      <c r="T65" s="417">
        <v>41842</v>
      </c>
      <c r="U65" s="416">
        <v>13.5</v>
      </c>
      <c r="V65" s="417">
        <v>41838</v>
      </c>
      <c r="W65" s="418">
        <v>1</v>
      </c>
      <c r="X65" s="417">
        <v>41829</v>
      </c>
      <c r="Y65" s="134">
        <f t="shared" si="0"/>
        <v>1.7225999999999999</v>
      </c>
      <c r="Z65" s="417"/>
      <c r="AA65" s="416"/>
      <c r="AB65" s="417"/>
      <c r="AC65" s="416">
        <v>10</v>
      </c>
      <c r="AD65" s="417">
        <v>41838</v>
      </c>
      <c r="AE65" s="416">
        <v>10.44</v>
      </c>
      <c r="AF65" s="417">
        <v>41838</v>
      </c>
      <c r="AG65" s="418">
        <v>4.5</v>
      </c>
      <c r="AH65" s="417">
        <v>41843</v>
      </c>
      <c r="AI65" s="418">
        <v>5</v>
      </c>
      <c r="AJ65" s="417">
        <v>41778</v>
      </c>
      <c r="AK65" s="418">
        <v>7</v>
      </c>
      <c r="AL65" s="417">
        <v>41709</v>
      </c>
      <c r="AM65" s="416"/>
      <c r="AN65" s="417"/>
      <c r="AO65" s="416"/>
      <c r="AP65" s="416"/>
      <c r="AQ65" s="416"/>
      <c r="AR65" s="416"/>
      <c r="AS65" s="416"/>
      <c r="AT65" s="416"/>
      <c r="AU65" s="416"/>
      <c r="AV65" s="416"/>
      <c r="AW65" s="416"/>
      <c r="AX65" s="416"/>
      <c r="AY65" s="416"/>
      <c r="AZ65" s="416"/>
      <c r="BA65" s="416"/>
      <c r="BB65" s="416"/>
      <c r="BC65" s="416"/>
      <c r="BD65" s="416"/>
      <c r="BE65" s="418">
        <v>7</v>
      </c>
      <c r="BF65" s="419">
        <v>41555</v>
      </c>
      <c r="BG65" s="420">
        <v>19</v>
      </c>
      <c r="BH65" s="417">
        <v>41842</v>
      </c>
      <c r="BM65" s="420">
        <v>69.099999999999994</v>
      </c>
      <c r="BN65" s="417">
        <v>41842</v>
      </c>
      <c r="BQ65" s="420">
        <v>6.1</v>
      </c>
      <c r="BR65" s="417">
        <v>41842</v>
      </c>
      <c r="BS65" s="420">
        <v>45.4</v>
      </c>
      <c r="BT65" s="417">
        <v>41842</v>
      </c>
      <c r="BU65" s="420">
        <v>16.5</v>
      </c>
      <c r="BV65" s="417">
        <v>41842</v>
      </c>
      <c r="BW65" s="420">
        <v>49.8</v>
      </c>
      <c r="BX65" s="417">
        <v>41842</v>
      </c>
      <c r="BY65" s="420">
        <v>7.9</v>
      </c>
      <c r="BZ65" s="417">
        <v>41842</v>
      </c>
      <c r="CA65" s="420">
        <v>36.200000000000003</v>
      </c>
      <c r="CB65" s="417">
        <v>41842</v>
      </c>
      <c r="CC65" s="420">
        <v>5</v>
      </c>
      <c r="CD65" s="417">
        <v>41838</v>
      </c>
      <c r="CL65" s="420">
        <v>7</v>
      </c>
      <c r="CM65" s="419">
        <v>41810</v>
      </c>
    </row>
    <row r="66" spans="1:91" ht="15">
      <c r="A66" s="152" t="s">
        <v>7878</v>
      </c>
      <c r="B66" s="110" t="s">
        <v>235</v>
      </c>
      <c r="C66" s="110" t="s">
        <v>8082</v>
      </c>
      <c r="D66" s="110">
        <v>11549</v>
      </c>
      <c r="E66" s="111">
        <v>5</v>
      </c>
      <c r="F66" s="111">
        <v>661</v>
      </c>
      <c r="I66" s="372"/>
      <c r="K66" s="134">
        <v>5</v>
      </c>
      <c r="L66" s="151">
        <v>41701</v>
      </c>
      <c r="M66" s="169">
        <v>4.3</v>
      </c>
      <c r="N66" s="151">
        <v>41838</v>
      </c>
      <c r="Q66" s="497"/>
      <c r="S66" s="134">
        <v>15.38</v>
      </c>
      <c r="T66" s="151">
        <v>41842</v>
      </c>
      <c r="U66" s="134">
        <v>13.5</v>
      </c>
      <c r="V66" s="151">
        <v>41838</v>
      </c>
      <c r="W66" s="196">
        <v>1</v>
      </c>
      <c r="X66" s="151">
        <v>41829</v>
      </c>
      <c r="Y66" s="134">
        <f t="shared" si="0"/>
        <v>5.411999999999999</v>
      </c>
      <c r="AC66" s="134">
        <v>31.85</v>
      </c>
      <c r="AD66" s="151">
        <v>41838</v>
      </c>
      <c r="AE66" s="134">
        <v>32.799999999999997</v>
      </c>
      <c r="AF66" s="151">
        <v>41838</v>
      </c>
      <c r="AG66" s="197">
        <v>5</v>
      </c>
      <c r="AH66" s="151">
        <v>41843</v>
      </c>
      <c r="AI66" s="198">
        <v>5</v>
      </c>
      <c r="AJ66" s="151">
        <v>41778</v>
      </c>
      <c r="AK66" s="199">
        <v>4</v>
      </c>
      <c r="AL66" s="151">
        <v>41709</v>
      </c>
      <c r="BE66" s="200">
        <v>4</v>
      </c>
      <c r="BF66" s="201">
        <v>41555</v>
      </c>
      <c r="BG66" s="202">
        <v>37</v>
      </c>
      <c r="BH66" s="151">
        <v>41842</v>
      </c>
      <c r="BM66" s="204">
        <v>70.900000000000006</v>
      </c>
      <c r="BN66" s="151">
        <v>41842</v>
      </c>
      <c r="BQ66" s="205">
        <v>4.4000000000000004</v>
      </c>
      <c r="BR66" s="151">
        <v>41842</v>
      </c>
      <c r="BS66" s="206">
        <v>46.9</v>
      </c>
      <c r="BT66" s="151">
        <v>41842</v>
      </c>
      <c r="BU66" s="207">
        <v>16.5</v>
      </c>
      <c r="BV66" s="151">
        <v>41842</v>
      </c>
      <c r="BW66" s="206">
        <v>77.900000000000006</v>
      </c>
      <c r="BX66" s="151">
        <v>41842</v>
      </c>
      <c r="BY66" s="210">
        <v>7.41</v>
      </c>
      <c r="BZ66" s="151">
        <v>41842</v>
      </c>
      <c r="CA66" s="206">
        <v>37.5</v>
      </c>
      <c r="CB66" s="151">
        <v>41842</v>
      </c>
      <c r="CC66" s="208">
        <v>6.3</v>
      </c>
      <c r="CD66" s="151">
        <v>41838</v>
      </c>
      <c r="CL66" s="209">
        <v>3</v>
      </c>
      <c r="CM66" s="201">
        <v>41810</v>
      </c>
    </row>
    <row r="67" spans="1:91" ht="15">
      <c r="A67" s="152" t="s">
        <v>7878</v>
      </c>
      <c r="B67" s="110" t="s">
        <v>233</v>
      </c>
      <c r="C67" s="110" t="s">
        <v>381</v>
      </c>
      <c r="D67" s="110">
        <v>11149</v>
      </c>
      <c r="E67" s="111">
        <v>6</v>
      </c>
      <c r="F67" s="111">
        <v>497</v>
      </c>
      <c r="I67" s="372"/>
      <c r="K67" s="134">
        <v>5</v>
      </c>
      <c r="L67" s="151">
        <v>41701</v>
      </c>
      <c r="M67" s="169">
        <v>3.2</v>
      </c>
      <c r="N67" s="151">
        <v>41838</v>
      </c>
      <c r="Q67" s="497"/>
      <c r="S67" s="134">
        <v>11.91</v>
      </c>
      <c r="T67" s="151">
        <v>41842</v>
      </c>
      <c r="U67" s="134">
        <v>13.5</v>
      </c>
      <c r="V67" s="151">
        <v>41838</v>
      </c>
      <c r="W67" s="196">
        <v>1</v>
      </c>
      <c r="X67" s="151">
        <v>41829</v>
      </c>
      <c r="Y67" s="134">
        <f t="shared" ref="Y67:Y130" si="1">(AE67*BU67)/100</f>
        <v>3.6644999999999999</v>
      </c>
      <c r="AC67" s="134">
        <v>23.7</v>
      </c>
      <c r="AD67" s="151">
        <v>41838</v>
      </c>
      <c r="AE67" s="134">
        <v>24.43</v>
      </c>
      <c r="AF67" s="151">
        <v>41838</v>
      </c>
      <c r="AG67" s="197">
        <v>5.0999999999999996</v>
      </c>
      <c r="AH67" s="151">
        <v>41843</v>
      </c>
      <c r="AI67" s="198">
        <v>5</v>
      </c>
      <c r="AJ67" s="151">
        <v>41778</v>
      </c>
      <c r="AK67" s="199">
        <v>4</v>
      </c>
      <c r="AL67" s="151">
        <v>41709</v>
      </c>
      <c r="BE67" s="200">
        <v>4</v>
      </c>
      <c r="BF67" s="201">
        <v>41555</v>
      </c>
      <c r="BG67" s="202">
        <v>41.3</v>
      </c>
      <c r="BH67" s="151">
        <v>41842</v>
      </c>
      <c r="BM67" s="204">
        <v>72.900000000000006</v>
      </c>
      <c r="BN67" s="151">
        <v>41842</v>
      </c>
      <c r="BQ67" s="205">
        <v>3.6</v>
      </c>
      <c r="BR67" s="151">
        <v>41842</v>
      </c>
      <c r="BS67" s="206">
        <v>48.7</v>
      </c>
      <c r="BT67" s="151">
        <v>41842</v>
      </c>
      <c r="BU67" s="207">
        <v>15</v>
      </c>
      <c r="BV67" s="151">
        <v>41842</v>
      </c>
      <c r="BW67" s="206">
        <v>78.400000000000006</v>
      </c>
      <c r="BX67" s="151">
        <v>41842</v>
      </c>
      <c r="BY67" s="210">
        <v>6.69</v>
      </c>
      <c r="BZ67" s="151">
        <v>41842</v>
      </c>
      <c r="CA67" s="206">
        <v>35.4</v>
      </c>
      <c r="CB67" s="151">
        <v>41842</v>
      </c>
      <c r="CC67" s="208">
        <v>6.2</v>
      </c>
      <c r="CD67" s="151">
        <v>41838</v>
      </c>
      <c r="CL67" s="209">
        <v>3</v>
      </c>
      <c r="CM67" s="201">
        <v>41810</v>
      </c>
    </row>
    <row r="68" spans="1:91" ht="15">
      <c r="A68" s="152" t="s">
        <v>7878</v>
      </c>
      <c r="B68" s="110" t="s">
        <v>235</v>
      </c>
      <c r="C68" s="110" t="s">
        <v>8081</v>
      </c>
      <c r="D68" s="110">
        <v>11251</v>
      </c>
      <c r="E68" s="111">
        <v>8</v>
      </c>
      <c r="F68" s="111">
        <v>617</v>
      </c>
      <c r="I68" s="372"/>
      <c r="K68" s="134">
        <v>5</v>
      </c>
      <c r="L68" s="151">
        <v>41701</v>
      </c>
      <c r="M68" s="169">
        <v>4.5</v>
      </c>
      <c r="N68" s="151">
        <v>41838</v>
      </c>
      <c r="Q68" s="497"/>
      <c r="S68" s="134">
        <v>15.75</v>
      </c>
      <c r="T68" s="151">
        <v>41842</v>
      </c>
      <c r="U68" s="134">
        <v>13.5</v>
      </c>
      <c r="V68" s="151">
        <v>41838</v>
      </c>
      <c r="W68" s="196">
        <v>9</v>
      </c>
      <c r="X68" s="151">
        <v>41829</v>
      </c>
      <c r="Y68" s="134">
        <f t="shared" si="1"/>
        <v>6.0498599999999998</v>
      </c>
      <c r="AC68" s="134">
        <v>33.33</v>
      </c>
      <c r="AD68" s="151">
        <v>41838</v>
      </c>
      <c r="AE68" s="134">
        <v>34.18</v>
      </c>
      <c r="AF68" s="151">
        <v>41838</v>
      </c>
      <c r="AG68" s="197">
        <v>5</v>
      </c>
      <c r="AH68" s="151">
        <v>41843</v>
      </c>
      <c r="AI68" s="198">
        <v>5</v>
      </c>
      <c r="AJ68" s="151">
        <v>41778</v>
      </c>
      <c r="AK68" s="199">
        <v>4</v>
      </c>
      <c r="AL68" s="151">
        <v>41709</v>
      </c>
      <c r="BE68" s="200">
        <v>4</v>
      </c>
      <c r="BF68" s="201">
        <v>41555</v>
      </c>
      <c r="BG68" s="202">
        <v>40.6</v>
      </c>
      <c r="BH68" s="151">
        <v>41842</v>
      </c>
      <c r="BM68" s="204">
        <v>71.5</v>
      </c>
      <c r="BN68" s="151">
        <v>41842</v>
      </c>
      <c r="BQ68" s="205">
        <v>4.4000000000000004</v>
      </c>
      <c r="BR68" s="151">
        <v>41842</v>
      </c>
      <c r="BS68" s="206">
        <v>46.1</v>
      </c>
      <c r="BT68" s="151">
        <v>41842</v>
      </c>
      <c r="BU68" s="207">
        <v>17.7</v>
      </c>
      <c r="BV68" s="151">
        <v>41842</v>
      </c>
      <c r="BW68" s="206">
        <v>82.7</v>
      </c>
      <c r="BX68" s="151">
        <v>41842</v>
      </c>
      <c r="BY68" s="210">
        <v>7.04</v>
      </c>
      <c r="BZ68" s="151">
        <v>41842</v>
      </c>
      <c r="CA68" s="206">
        <v>39.299999999999997</v>
      </c>
      <c r="CB68" s="151">
        <v>41842</v>
      </c>
      <c r="CC68" s="208">
        <v>6.7</v>
      </c>
      <c r="CD68" s="151">
        <v>41838</v>
      </c>
      <c r="CL68" s="209">
        <v>5</v>
      </c>
      <c r="CM68" s="201">
        <v>41810</v>
      </c>
    </row>
    <row r="69" spans="1:91" ht="15">
      <c r="A69" s="152" t="s">
        <v>7878</v>
      </c>
      <c r="B69" s="110" t="s">
        <v>233</v>
      </c>
      <c r="C69" s="110" t="s">
        <v>8083</v>
      </c>
      <c r="D69" s="110">
        <v>11724</v>
      </c>
      <c r="E69" s="111">
        <v>10</v>
      </c>
      <c r="F69" s="111">
        <v>641</v>
      </c>
      <c r="I69" s="372"/>
      <c r="K69" s="134">
        <v>5</v>
      </c>
      <c r="L69" s="151">
        <v>41701</v>
      </c>
      <c r="M69" s="169">
        <v>3.5</v>
      </c>
      <c r="N69" s="151">
        <v>41838</v>
      </c>
      <c r="Q69" s="497"/>
      <c r="S69" s="134">
        <v>13.07</v>
      </c>
      <c r="T69" s="151">
        <v>41842</v>
      </c>
      <c r="U69" s="134">
        <v>13.5</v>
      </c>
      <c r="V69" s="151">
        <v>41838</v>
      </c>
      <c r="W69" s="196">
        <v>9</v>
      </c>
      <c r="X69" s="151">
        <v>41829</v>
      </c>
      <c r="Y69" s="134">
        <f t="shared" si="1"/>
        <v>3.9454799999999999</v>
      </c>
      <c r="AC69" s="134">
        <v>25.93</v>
      </c>
      <c r="AD69" s="151">
        <v>41838</v>
      </c>
      <c r="AE69" s="134">
        <v>26.84</v>
      </c>
      <c r="AF69" s="151">
        <v>41838</v>
      </c>
      <c r="AG69" s="197">
        <v>4.8</v>
      </c>
      <c r="AH69" s="151">
        <v>41843</v>
      </c>
      <c r="AI69" s="198">
        <v>5</v>
      </c>
      <c r="AJ69" s="151">
        <v>41778</v>
      </c>
      <c r="AK69" s="199">
        <v>4</v>
      </c>
      <c r="AL69" s="151">
        <v>41709</v>
      </c>
      <c r="BE69" s="200">
        <v>4</v>
      </c>
      <c r="BF69" s="201">
        <v>41555</v>
      </c>
      <c r="BG69" s="202">
        <v>34.799999999999997</v>
      </c>
      <c r="BH69" s="151">
        <v>41842</v>
      </c>
      <c r="BM69" s="204">
        <v>71.2</v>
      </c>
      <c r="BN69" s="151">
        <v>41842</v>
      </c>
      <c r="BQ69" s="205">
        <v>3.6</v>
      </c>
      <c r="BR69" s="151">
        <v>41842</v>
      </c>
      <c r="BS69" s="206">
        <v>48.7</v>
      </c>
      <c r="BT69" s="151">
        <v>41842</v>
      </c>
      <c r="BU69" s="207">
        <v>14.7</v>
      </c>
      <c r="BV69" s="151">
        <v>41842</v>
      </c>
      <c r="BW69" s="206">
        <v>68.900000000000006</v>
      </c>
      <c r="BX69" s="151">
        <v>41842</v>
      </c>
      <c r="BY69" s="210">
        <v>6.91</v>
      </c>
      <c r="BZ69" s="151">
        <v>41842</v>
      </c>
      <c r="CA69" s="206">
        <v>34.700000000000003</v>
      </c>
      <c r="CB69" s="151">
        <v>41842</v>
      </c>
      <c r="CC69" s="208">
        <v>5.8</v>
      </c>
      <c r="CD69" s="151">
        <v>41838</v>
      </c>
      <c r="CL69" s="209">
        <v>3</v>
      </c>
      <c r="CM69" s="201">
        <v>41810</v>
      </c>
    </row>
    <row r="70" spans="1:91" ht="15">
      <c r="A70" s="152" t="s">
        <v>7879</v>
      </c>
      <c r="B70" s="110" t="s">
        <v>233</v>
      </c>
      <c r="C70" s="110" t="s">
        <v>381</v>
      </c>
      <c r="D70" s="110">
        <v>10996</v>
      </c>
      <c r="E70" s="111">
        <v>1</v>
      </c>
      <c r="F70" s="111">
        <v>605</v>
      </c>
      <c r="I70" s="137"/>
      <c r="K70" s="138">
        <v>7</v>
      </c>
      <c r="L70" s="151">
        <v>41701</v>
      </c>
      <c r="M70" s="169">
        <v>2.35</v>
      </c>
      <c r="N70" s="151">
        <v>41838</v>
      </c>
      <c r="Q70" s="497"/>
      <c r="S70" s="134">
        <v>8.3800000000000008</v>
      </c>
      <c r="T70" s="151">
        <v>41842</v>
      </c>
      <c r="U70" s="138">
        <v>13.5</v>
      </c>
      <c r="V70" s="151">
        <v>41838</v>
      </c>
      <c r="W70" s="196">
        <v>1</v>
      </c>
      <c r="X70" s="151">
        <v>41829</v>
      </c>
      <c r="Y70" s="134">
        <f t="shared" si="1"/>
        <v>3.13104</v>
      </c>
      <c r="AA70" s="138"/>
      <c r="AC70" s="138">
        <v>17.41</v>
      </c>
      <c r="AD70" s="151">
        <v>41838</v>
      </c>
      <c r="AE70" s="137">
        <v>17.79</v>
      </c>
      <c r="AF70" s="151">
        <v>41838</v>
      </c>
      <c r="AG70" s="197">
        <v>5.6</v>
      </c>
      <c r="AH70" s="151">
        <v>41843</v>
      </c>
      <c r="AI70" s="198">
        <v>7</v>
      </c>
      <c r="AJ70" s="151">
        <v>41778</v>
      </c>
      <c r="AK70" s="199">
        <v>5</v>
      </c>
      <c r="AL70" s="151">
        <v>41709</v>
      </c>
      <c r="AM70" s="138"/>
      <c r="BE70" s="200">
        <v>5</v>
      </c>
      <c r="BF70" s="201">
        <v>41555</v>
      </c>
      <c r="BG70" s="202">
        <v>41</v>
      </c>
      <c r="BH70" s="151">
        <v>41842</v>
      </c>
      <c r="BM70" s="204">
        <v>70.7</v>
      </c>
      <c r="BN70" s="151">
        <v>41842</v>
      </c>
      <c r="BQ70" s="205">
        <v>5.8</v>
      </c>
      <c r="BR70" s="151">
        <v>41842</v>
      </c>
      <c r="BS70" s="206">
        <v>47.1</v>
      </c>
      <c r="BT70" s="151">
        <v>41842</v>
      </c>
      <c r="BU70" s="207">
        <v>17.600000000000001</v>
      </c>
      <c r="BV70" s="151">
        <v>41842</v>
      </c>
      <c r="BW70" s="206">
        <v>86.1</v>
      </c>
      <c r="BX70" s="151">
        <v>41842</v>
      </c>
      <c r="BY70" s="210">
        <v>7.14</v>
      </c>
      <c r="BZ70" s="151">
        <v>41842</v>
      </c>
      <c r="CA70" s="206">
        <v>40.1</v>
      </c>
      <c r="CB70" s="151">
        <v>41842</v>
      </c>
      <c r="CC70" s="208">
        <v>7</v>
      </c>
      <c r="CD70" s="151">
        <v>41838</v>
      </c>
      <c r="CL70" s="209">
        <v>5</v>
      </c>
      <c r="CM70" s="201">
        <v>41810</v>
      </c>
    </row>
    <row r="71" spans="1:91" ht="15">
      <c r="A71" s="152" t="s">
        <v>7879</v>
      </c>
      <c r="B71" s="110" t="s">
        <v>235</v>
      </c>
      <c r="C71" s="110" t="s">
        <v>8082</v>
      </c>
      <c r="D71" s="110">
        <v>11465</v>
      </c>
      <c r="E71" s="111">
        <v>2</v>
      </c>
      <c r="F71" s="111">
        <v>757</v>
      </c>
      <c r="I71" s="372"/>
      <c r="K71" s="134">
        <v>5</v>
      </c>
      <c r="L71" s="151">
        <v>41701</v>
      </c>
      <c r="M71" s="169">
        <v>2.8</v>
      </c>
      <c r="N71" s="151">
        <v>41838</v>
      </c>
      <c r="Q71" s="497"/>
      <c r="S71" s="134">
        <v>10.1</v>
      </c>
      <c r="T71" s="151">
        <v>41842</v>
      </c>
      <c r="U71" s="134">
        <v>13.5</v>
      </c>
      <c r="V71" s="151">
        <v>41838</v>
      </c>
      <c r="W71" s="196">
        <v>1</v>
      </c>
      <c r="X71" s="151">
        <v>41829</v>
      </c>
      <c r="Y71" s="134">
        <f t="shared" si="1"/>
        <v>3.5225200000000001</v>
      </c>
      <c r="AC71" s="134">
        <v>20.74</v>
      </c>
      <c r="AD71" s="151">
        <v>41838</v>
      </c>
      <c r="AE71" s="134">
        <v>21.22</v>
      </c>
      <c r="AF71" s="151">
        <v>41838</v>
      </c>
      <c r="AG71" s="197">
        <v>5.3</v>
      </c>
      <c r="AH71" s="151">
        <v>41843</v>
      </c>
      <c r="AI71" s="198">
        <v>7</v>
      </c>
      <c r="AJ71" s="151">
        <v>41778</v>
      </c>
      <c r="AK71" s="199">
        <v>5</v>
      </c>
      <c r="AL71" s="151">
        <v>41709</v>
      </c>
      <c r="BE71" s="200">
        <v>5</v>
      </c>
      <c r="BF71" s="201">
        <v>41555</v>
      </c>
      <c r="BG71" s="202">
        <v>32.700000000000003</v>
      </c>
      <c r="BH71" s="151">
        <v>41842</v>
      </c>
      <c r="BM71" s="204">
        <v>69.900000000000006</v>
      </c>
      <c r="BN71" s="151">
        <v>41842</v>
      </c>
      <c r="BQ71" s="205">
        <v>5.7</v>
      </c>
      <c r="BR71" s="151">
        <v>41842</v>
      </c>
      <c r="BS71" s="206">
        <v>47.6</v>
      </c>
      <c r="BT71" s="151">
        <v>41842</v>
      </c>
      <c r="BU71" s="207">
        <v>16.600000000000001</v>
      </c>
      <c r="BV71" s="151">
        <v>41842</v>
      </c>
      <c r="BW71" s="206">
        <v>74.3</v>
      </c>
      <c r="BX71" s="151">
        <v>41842</v>
      </c>
      <c r="BY71" s="210">
        <v>7.42</v>
      </c>
      <c r="BZ71" s="151">
        <v>41842</v>
      </c>
      <c r="CA71" s="206">
        <v>38.200000000000003</v>
      </c>
      <c r="CB71" s="151">
        <v>41842</v>
      </c>
      <c r="CC71" s="208">
        <v>6.9</v>
      </c>
      <c r="CD71" s="151">
        <v>41838</v>
      </c>
      <c r="CL71" s="209">
        <v>3</v>
      </c>
      <c r="CM71" s="201">
        <v>41810</v>
      </c>
    </row>
    <row r="72" spans="1:91" ht="15">
      <c r="A72" s="152" t="s">
        <v>7879</v>
      </c>
      <c r="B72" s="110" t="s">
        <v>235</v>
      </c>
      <c r="C72" s="110" t="s">
        <v>8081</v>
      </c>
      <c r="D72" s="110">
        <v>11276</v>
      </c>
      <c r="E72" s="111">
        <v>9</v>
      </c>
      <c r="F72" s="111">
        <v>573</v>
      </c>
      <c r="I72" s="372"/>
      <c r="K72" s="194">
        <v>7</v>
      </c>
      <c r="L72" s="151">
        <v>41701</v>
      </c>
      <c r="M72" s="169">
        <v>2.7</v>
      </c>
      <c r="N72" s="151">
        <v>41838</v>
      </c>
      <c r="Q72" s="497"/>
      <c r="S72" s="134">
        <v>9.77</v>
      </c>
      <c r="T72" s="151">
        <v>41842</v>
      </c>
      <c r="U72" s="134">
        <v>13.5</v>
      </c>
      <c r="V72" s="151">
        <v>41838</v>
      </c>
      <c r="W72" s="196">
        <v>1</v>
      </c>
      <c r="X72" s="151">
        <v>41829</v>
      </c>
      <c r="Y72" s="134">
        <f t="shared" si="1"/>
        <v>3.6638999999999999</v>
      </c>
      <c r="AC72" s="134">
        <v>20</v>
      </c>
      <c r="AD72" s="151">
        <v>41838</v>
      </c>
      <c r="AE72" s="134">
        <v>20.7</v>
      </c>
      <c r="AF72" s="151">
        <v>41838</v>
      </c>
      <c r="AG72" s="197">
        <v>5.5</v>
      </c>
      <c r="AH72" s="151">
        <v>41843</v>
      </c>
      <c r="AI72" s="198">
        <v>7</v>
      </c>
      <c r="AJ72" s="151">
        <v>41778</v>
      </c>
      <c r="AK72" s="199">
        <v>7</v>
      </c>
      <c r="AL72" s="151">
        <v>41709</v>
      </c>
      <c r="BE72" s="200">
        <v>7</v>
      </c>
      <c r="BF72" s="201">
        <v>41555</v>
      </c>
      <c r="BG72" s="202">
        <v>36.5</v>
      </c>
      <c r="BH72" s="151">
        <v>41842</v>
      </c>
      <c r="BM72" s="204">
        <v>70.7</v>
      </c>
      <c r="BN72" s="151">
        <v>41842</v>
      </c>
      <c r="BQ72" s="205">
        <v>5.6</v>
      </c>
      <c r="BR72" s="151">
        <v>41842</v>
      </c>
      <c r="BS72" s="206">
        <v>47.2</v>
      </c>
      <c r="BT72" s="151">
        <v>41842</v>
      </c>
      <c r="BU72" s="207">
        <v>17.7</v>
      </c>
      <c r="BV72" s="151">
        <v>41842</v>
      </c>
      <c r="BW72" s="206">
        <v>81.900000000000006</v>
      </c>
      <c r="BX72" s="151">
        <v>41842</v>
      </c>
      <c r="BY72" s="210">
        <v>6.86</v>
      </c>
      <c r="BZ72" s="151">
        <v>41842</v>
      </c>
      <c r="CA72" s="206">
        <v>40.299999999999997</v>
      </c>
      <c r="CB72" s="151">
        <v>41842</v>
      </c>
      <c r="CC72" s="208">
        <v>5.8</v>
      </c>
      <c r="CD72" s="151">
        <v>41838</v>
      </c>
      <c r="CL72" s="209">
        <v>7</v>
      </c>
      <c r="CM72" s="201">
        <v>41810</v>
      </c>
    </row>
    <row r="73" spans="1:91" ht="15">
      <c r="A73" s="152" t="s">
        <v>7879</v>
      </c>
      <c r="B73" s="110" t="s">
        <v>233</v>
      </c>
      <c r="C73" s="110" t="s">
        <v>8083</v>
      </c>
      <c r="D73" s="110">
        <v>11738</v>
      </c>
      <c r="E73" s="111">
        <v>10</v>
      </c>
      <c r="F73" s="111">
        <v>697</v>
      </c>
      <c r="I73" s="372"/>
      <c r="K73" s="191">
        <v>3</v>
      </c>
      <c r="L73" s="151">
        <v>41701</v>
      </c>
      <c r="M73" s="169">
        <v>2</v>
      </c>
      <c r="N73" s="151">
        <v>41838</v>
      </c>
      <c r="Q73" s="497"/>
      <c r="S73" s="134">
        <v>7.37</v>
      </c>
      <c r="T73" s="151">
        <v>41842</v>
      </c>
      <c r="U73" s="134">
        <v>13.5</v>
      </c>
      <c r="V73" s="151">
        <v>41838</v>
      </c>
      <c r="W73" s="196">
        <v>1</v>
      </c>
      <c r="X73" s="151">
        <v>41829</v>
      </c>
      <c r="Y73" s="134">
        <f t="shared" si="1"/>
        <v>2.4911599999999994</v>
      </c>
      <c r="AC73" s="134">
        <v>14.81</v>
      </c>
      <c r="AD73" s="151">
        <v>41838</v>
      </c>
      <c r="AE73" s="134">
        <v>15.19</v>
      </c>
      <c r="AF73" s="151">
        <v>41838</v>
      </c>
      <c r="AG73" s="197">
        <v>5.5</v>
      </c>
      <c r="AH73" s="151">
        <v>41843</v>
      </c>
      <c r="AI73" s="198">
        <v>7</v>
      </c>
      <c r="AJ73" s="151">
        <v>41778</v>
      </c>
      <c r="AK73" s="199">
        <v>5</v>
      </c>
      <c r="AL73" s="151">
        <v>41709</v>
      </c>
      <c r="BE73" s="200">
        <v>5</v>
      </c>
      <c r="BF73" s="201">
        <v>41555</v>
      </c>
      <c r="BG73" s="202">
        <v>37.4</v>
      </c>
      <c r="BH73" s="151">
        <v>41842</v>
      </c>
      <c r="BM73" s="204">
        <v>71.400000000000006</v>
      </c>
      <c r="BN73" s="151">
        <v>41842</v>
      </c>
      <c r="BQ73" s="205">
        <v>5.6</v>
      </c>
      <c r="BR73" s="151">
        <v>41842</v>
      </c>
      <c r="BS73" s="206">
        <v>48.5</v>
      </c>
      <c r="BT73" s="151">
        <v>41842</v>
      </c>
      <c r="BU73" s="207">
        <v>16.399999999999999</v>
      </c>
      <c r="BV73" s="151">
        <v>41842</v>
      </c>
      <c r="BW73" s="206">
        <v>72.900000000000006</v>
      </c>
      <c r="BX73" s="151">
        <v>41842</v>
      </c>
      <c r="BY73" s="210">
        <v>7.13</v>
      </c>
      <c r="BZ73" s="151">
        <v>41842</v>
      </c>
      <c r="CA73" s="206">
        <v>38.6</v>
      </c>
      <c r="CB73" s="151">
        <v>41842</v>
      </c>
      <c r="CC73" s="208">
        <v>6.7</v>
      </c>
      <c r="CD73" s="151">
        <v>41838</v>
      </c>
      <c r="CL73" s="209">
        <v>5</v>
      </c>
      <c r="CM73" s="201">
        <v>41810</v>
      </c>
    </row>
    <row r="74" spans="1:91" ht="15">
      <c r="A74" s="152" t="s">
        <v>7880</v>
      </c>
      <c r="B74" s="110" t="s">
        <v>235</v>
      </c>
      <c r="C74" s="110" t="s">
        <v>8082</v>
      </c>
      <c r="D74" s="110">
        <v>11500</v>
      </c>
      <c r="E74" s="111">
        <v>3</v>
      </c>
      <c r="F74" s="111">
        <v>753</v>
      </c>
      <c r="I74" s="372"/>
      <c r="K74" s="138">
        <v>7</v>
      </c>
      <c r="L74" s="151">
        <v>41701</v>
      </c>
      <c r="M74" s="169">
        <v>3.25</v>
      </c>
      <c r="N74" s="151">
        <v>41838</v>
      </c>
      <c r="Q74" s="497"/>
      <c r="S74" s="134">
        <v>11.24</v>
      </c>
      <c r="T74" s="151">
        <v>41842</v>
      </c>
      <c r="U74" s="134">
        <v>13.5</v>
      </c>
      <c r="V74" s="151">
        <v>41838</v>
      </c>
      <c r="W74" s="196">
        <v>1</v>
      </c>
      <c r="X74" s="151">
        <v>41829</v>
      </c>
      <c r="Y74" s="134">
        <f t="shared" si="1"/>
        <v>3.9327999999999999</v>
      </c>
      <c r="AC74" s="134">
        <v>24.07</v>
      </c>
      <c r="AD74" s="151">
        <v>41838</v>
      </c>
      <c r="AE74" s="134">
        <v>24.58</v>
      </c>
      <c r="AF74" s="151">
        <v>41838</v>
      </c>
      <c r="AG74" s="197">
        <v>5.3</v>
      </c>
      <c r="AH74" s="151">
        <v>41843</v>
      </c>
      <c r="AI74" s="198">
        <v>5</v>
      </c>
      <c r="AJ74" s="151">
        <v>41778</v>
      </c>
      <c r="AK74" s="199">
        <v>7</v>
      </c>
      <c r="AL74" s="151">
        <v>41709</v>
      </c>
      <c r="BE74" s="200">
        <v>7</v>
      </c>
      <c r="BF74" s="201">
        <v>41555</v>
      </c>
      <c r="BG74" s="202">
        <v>35.1</v>
      </c>
      <c r="BH74" s="151">
        <v>41842</v>
      </c>
      <c r="BM74" s="204">
        <v>68.2</v>
      </c>
      <c r="BN74" s="151">
        <v>41842</v>
      </c>
      <c r="BQ74" s="205">
        <v>7.6</v>
      </c>
      <c r="BR74" s="151">
        <v>41842</v>
      </c>
      <c r="BS74" s="206">
        <v>45.7</v>
      </c>
      <c r="BT74" s="151">
        <v>41842</v>
      </c>
      <c r="BU74" s="207">
        <v>16</v>
      </c>
      <c r="BV74" s="151">
        <v>41842</v>
      </c>
      <c r="BW74" s="206">
        <v>63.1</v>
      </c>
      <c r="BX74" s="151">
        <v>41842</v>
      </c>
      <c r="BY74" s="210">
        <v>7.96</v>
      </c>
      <c r="BZ74" s="151">
        <v>41842</v>
      </c>
      <c r="CA74" s="206">
        <v>35.4</v>
      </c>
      <c r="CB74" s="151">
        <v>41842</v>
      </c>
      <c r="CC74" s="208">
        <v>7.1</v>
      </c>
      <c r="CD74" s="151">
        <v>41838</v>
      </c>
      <c r="CL74" s="209">
        <v>7</v>
      </c>
      <c r="CM74" s="201">
        <v>41810</v>
      </c>
    </row>
    <row r="75" spans="1:91" ht="15">
      <c r="A75" s="152" t="s">
        <v>7880</v>
      </c>
      <c r="B75" s="110" t="s">
        <v>233</v>
      </c>
      <c r="C75" s="110" t="s">
        <v>381</v>
      </c>
      <c r="D75" s="110">
        <v>11173</v>
      </c>
      <c r="E75" s="111">
        <v>6</v>
      </c>
      <c r="F75" s="111">
        <v>593</v>
      </c>
      <c r="I75" s="372"/>
      <c r="K75" s="138">
        <v>7</v>
      </c>
      <c r="L75" s="151">
        <v>41701</v>
      </c>
      <c r="M75" s="169">
        <v>2.15</v>
      </c>
      <c r="N75" s="151">
        <v>41838</v>
      </c>
      <c r="Q75" s="497"/>
      <c r="S75" s="134">
        <v>7.54</v>
      </c>
      <c r="T75" s="151">
        <v>41842</v>
      </c>
      <c r="U75" s="134">
        <v>13.5</v>
      </c>
      <c r="V75" s="151">
        <v>41838</v>
      </c>
      <c r="W75" s="196">
        <v>1</v>
      </c>
      <c r="X75" s="151">
        <v>41829</v>
      </c>
      <c r="Y75" s="134">
        <f t="shared" si="1"/>
        <v>2.7043599999999999</v>
      </c>
      <c r="AC75" s="134">
        <v>15.93</v>
      </c>
      <c r="AD75" s="151">
        <v>41838</v>
      </c>
      <c r="AE75" s="134">
        <v>16.489999999999998</v>
      </c>
      <c r="AF75" s="151">
        <v>41838</v>
      </c>
      <c r="AG75" s="197">
        <v>5.7</v>
      </c>
      <c r="AH75" s="151">
        <v>41843</v>
      </c>
      <c r="AI75" s="198">
        <v>5</v>
      </c>
      <c r="AJ75" s="151">
        <v>41778</v>
      </c>
      <c r="AK75" s="199">
        <v>7</v>
      </c>
      <c r="AL75" s="151">
        <v>41709</v>
      </c>
      <c r="BE75" s="200">
        <v>7</v>
      </c>
      <c r="BF75" s="201">
        <v>41555</v>
      </c>
      <c r="BG75" s="202">
        <v>41.5</v>
      </c>
      <c r="BH75" s="151">
        <v>41842</v>
      </c>
      <c r="BM75" s="204">
        <v>67.3</v>
      </c>
      <c r="BN75" s="151">
        <v>41842</v>
      </c>
      <c r="BQ75" s="205">
        <v>7.2</v>
      </c>
      <c r="BR75" s="151">
        <v>41842</v>
      </c>
      <c r="BS75" s="206">
        <v>45.8</v>
      </c>
      <c r="BT75" s="151">
        <v>41842</v>
      </c>
      <c r="BU75" s="207">
        <v>16.399999999999999</v>
      </c>
      <c r="BV75" s="151">
        <v>41842</v>
      </c>
      <c r="BW75" s="206">
        <v>77.400000000000006</v>
      </c>
      <c r="BX75" s="151">
        <v>41842</v>
      </c>
      <c r="BY75" s="210">
        <v>7.3</v>
      </c>
      <c r="BZ75" s="151">
        <v>41842</v>
      </c>
      <c r="CA75" s="206">
        <v>36.200000000000003</v>
      </c>
      <c r="CB75" s="151">
        <v>41842</v>
      </c>
      <c r="CC75" s="208">
        <v>5.8</v>
      </c>
      <c r="CD75" s="151">
        <v>41838</v>
      </c>
      <c r="CL75" s="209">
        <v>5</v>
      </c>
      <c r="CM75" s="201">
        <v>41810</v>
      </c>
    </row>
    <row r="76" spans="1:91" ht="15">
      <c r="A76" s="152" t="s">
        <v>7880</v>
      </c>
      <c r="B76" s="110" t="s">
        <v>233</v>
      </c>
      <c r="C76" s="110" t="s">
        <v>8083</v>
      </c>
      <c r="D76" s="110">
        <v>11671</v>
      </c>
      <c r="E76" s="111">
        <v>8</v>
      </c>
      <c r="F76" s="111">
        <v>717</v>
      </c>
      <c r="I76" s="372"/>
      <c r="K76" s="138">
        <v>7</v>
      </c>
      <c r="L76" s="151">
        <v>41701</v>
      </c>
      <c r="M76" s="169">
        <v>2.2000000000000002</v>
      </c>
      <c r="N76" s="151">
        <v>41838</v>
      </c>
      <c r="Q76" s="497"/>
      <c r="S76" s="134">
        <v>7.87</v>
      </c>
      <c r="T76" s="151">
        <v>41842</v>
      </c>
      <c r="U76" s="134">
        <v>13.5</v>
      </c>
      <c r="V76" s="151">
        <v>41838</v>
      </c>
      <c r="W76" s="196">
        <v>1</v>
      </c>
      <c r="X76" s="151">
        <v>41829</v>
      </c>
      <c r="Y76" s="134">
        <f t="shared" si="1"/>
        <v>2.5902800000000004</v>
      </c>
      <c r="AC76" s="134">
        <v>16.3</v>
      </c>
      <c r="AD76" s="151">
        <v>41838</v>
      </c>
      <c r="AE76" s="134">
        <v>16.82</v>
      </c>
      <c r="AF76" s="151">
        <v>41838</v>
      </c>
      <c r="AG76" s="197">
        <v>5.8</v>
      </c>
      <c r="AH76" s="151">
        <v>41843</v>
      </c>
      <c r="AI76" s="198">
        <v>5</v>
      </c>
      <c r="AJ76" s="151">
        <v>41778</v>
      </c>
      <c r="AK76" s="199">
        <v>7</v>
      </c>
      <c r="AL76" s="151">
        <v>41709</v>
      </c>
      <c r="BE76" s="200">
        <v>7</v>
      </c>
      <c r="BF76" s="201">
        <v>41555</v>
      </c>
      <c r="BG76" s="202">
        <v>41.3</v>
      </c>
      <c r="BH76" s="151">
        <v>41842</v>
      </c>
      <c r="BM76" s="204">
        <v>67.900000000000006</v>
      </c>
      <c r="BN76" s="151">
        <v>41842</v>
      </c>
      <c r="BQ76" s="205">
        <v>6.7</v>
      </c>
      <c r="BR76" s="151">
        <v>41842</v>
      </c>
      <c r="BS76" s="206">
        <v>46.8</v>
      </c>
      <c r="BT76" s="151">
        <v>41842</v>
      </c>
      <c r="BU76" s="207">
        <v>15.4</v>
      </c>
      <c r="BV76" s="151">
        <v>41842</v>
      </c>
      <c r="BW76" s="206">
        <v>73.5</v>
      </c>
      <c r="BX76" s="151">
        <v>41842</v>
      </c>
      <c r="BY76" s="210">
        <v>7.67</v>
      </c>
      <c r="BZ76" s="151">
        <v>41842</v>
      </c>
      <c r="CA76" s="206">
        <v>34.9</v>
      </c>
      <c r="CB76" s="151">
        <v>41842</v>
      </c>
      <c r="CC76" s="208">
        <v>6.1</v>
      </c>
      <c r="CD76" s="151">
        <v>41838</v>
      </c>
      <c r="CL76" s="209">
        <v>5</v>
      </c>
      <c r="CM76" s="201">
        <v>41810</v>
      </c>
    </row>
    <row r="77" spans="1:91" ht="15">
      <c r="A77" s="152" t="s">
        <v>7880</v>
      </c>
      <c r="B77" s="110" t="s">
        <v>235</v>
      </c>
      <c r="C77" s="110" t="s">
        <v>8081</v>
      </c>
      <c r="D77" s="110">
        <v>11349</v>
      </c>
      <c r="E77" s="111">
        <v>11</v>
      </c>
      <c r="F77" s="111">
        <v>577</v>
      </c>
      <c r="I77" s="372"/>
      <c r="K77" s="138">
        <v>7</v>
      </c>
      <c r="L77" s="151">
        <v>41701</v>
      </c>
      <c r="M77" s="169">
        <v>3.3</v>
      </c>
      <c r="N77" s="151">
        <v>41838</v>
      </c>
      <c r="Q77" s="497"/>
      <c r="S77" s="134">
        <v>11.88</v>
      </c>
      <c r="T77" s="151">
        <v>41842</v>
      </c>
      <c r="U77" s="134">
        <v>13.5</v>
      </c>
      <c r="V77" s="151">
        <v>41838</v>
      </c>
      <c r="W77" s="196">
        <v>1</v>
      </c>
      <c r="X77" s="151">
        <v>41829</v>
      </c>
      <c r="Y77" s="134">
        <f t="shared" si="1"/>
        <v>3.9514799999999997</v>
      </c>
      <c r="AC77" s="134">
        <v>24.44</v>
      </c>
      <c r="AD77" s="151">
        <v>41838</v>
      </c>
      <c r="AE77" s="134">
        <v>25.33</v>
      </c>
      <c r="AF77" s="151">
        <v>41838</v>
      </c>
      <c r="AG77" s="197">
        <v>5</v>
      </c>
      <c r="AH77" s="151">
        <v>41843</v>
      </c>
      <c r="AI77" s="198">
        <v>5</v>
      </c>
      <c r="AJ77" s="151">
        <v>41778</v>
      </c>
      <c r="AK77" s="199">
        <v>7</v>
      </c>
      <c r="AL77" s="151">
        <v>41709</v>
      </c>
      <c r="BE77" s="200">
        <v>7</v>
      </c>
      <c r="BF77" s="201">
        <v>41555</v>
      </c>
      <c r="BG77" s="202">
        <v>44</v>
      </c>
      <c r="BH77" s="151">
        <v>41842</v>
      </c>
      <c r="BM77" s="204">
        <v>68.5</v>
      </c>
      <c r="BN77" s="151">
        <v>41842</v>
      </c>
      <c r="BQ77" s="205">
        <v>6.2</v>
      </c>
      <c r="BR77" s="151">
        <v>41842</v>
      </c>
      <c r="BS77" s="206">
        <v>46.9</v>
      </c>
      <c r="BT77" s="151">
        <v>41842</v>
      </c>
      <c r="BU77" s="207">
        <v>15.6</v>
      </c>
      <c r="BV77" s="151">
        <v>41842</v>
      </c>
      <c r="BW77" s="206">
        <v>68.2</v>
      </c>
      <c r="BX77" s="151">
        <v>41842</v>
      </c>
      <c r="BY77" s="210">
        <v>7.3</v>
      </c>
      <c r="BZ77" s="151">
        <v>41842</v>
      </c>
      <c r="CA77" s="206">
        <v>35.4</v>
      </c>
      <c r="CB77" s="151">
        <v>41842</v>
      </c>
      <c r="CC77" s="208">
        <v>5.7</v>
      </c>
      <c r="CD77" s="151">
        <v>41838</v>
      </c>
      <c r="CL77" s="209">
        <v>5</v>
      </c>
      <c r="CM77" s="201">
        <v>41810</v>
      </c>
    </row>
    <row r="78" spans="1:91" ht="15">
      <c r="A78" s="152" t="s">
        <v>7881</v>
      </c>
      <c r="B78" s="110" t="s">
        <v>233</v>
      </c>
      <c r="C78" s="110" t="s">
        <v>381</v>
      </c>
      <c r="D78" s="110">
        <v>11074</v>
      </c>
      <c r="E78" s="111">
        <v>4</v>
      </c>
      <c r="F78" s="111">
        <v>485</v>
      </c>
      <c r="I78" s="372"/>
      <c r="K78" s="138">
        <v>7</v>
      </c>
      <c r="L78" s="151">
        <v>41701</v>
      </c>
      <c r="M78" s="169">
        <v>3.1</v>
      </c>
      <c r="N78" s="151">
        <v>41838</v>
      </c>
      <c r="Q78" s="497"/>
      <c r="S78" s="134">
        <v>11.19</v>
      </c>
      <c r="T78" s="151">
        <v>41842</v>
      </c>
      <c r="U78" s="134">
        <v>13.5</v>
      </c>
      <c r="V78" s="151">
        <v>41838</v>
      </c>
      <c r="W78" s="196">
        <v>1</v>
      </c>
      <c r="X78" s="151">
        <v>41829</v>
      </c>
      <c r="Y78" s="134">
        <f t="shared" si="1"/>
        <v>3.9043200000000002</v>
      </c>
      <c r="AC78" s="134">
        <v>22.96</v>
      </c>
      <c r="AD78" s="151">
        <v>41838</v>
      </c>
      <c r="AE78" s="134">
        <v>23.52</v>
      </c>
      <c r="AF78" s="151">
        <v>41838</v>
      </c>
      <c r="AG78" s="197">
        <v>6.2</v>
      </c>
      <c r="AH78" s="151">
        <v>41843</v>
      </c>
      <c r="AI78" s="198">
        <v>5</v>
      </c>
      <c r="AJ78" s="151">
        <v>41778</v>
      </c>
      <c r="AK78" s="199">
        <v>7</v>
      </c>
      <c r="AL78" s="151">
        <v>41709</v>
      </c>
      <c r="BE78" s="200">
        <v>7</v>
      </c>
      <c r="BF78" s="201">
        <v>41555</v>
      </c>
      <c r="BG78" s="202">
        <v>46.7</v>
      </c>
      <c r="BH78" s="151">
        <v>41842</v>
      </c>
      <c r="BM78" s="204">
        <v>71</v>
      </c>
      <c r="BN78" s="151">
        <v>41842</v>
      </c>
      <c r="BQ78" s="205">
        <v>5.2</v>
      </c>
      <c r="BR78" s="151">
        <v>41842</v>
      </c>
      <c r="BS78" s="206">
        <v>47.6</v>
      </c>
      <c r="BT78" s="151">
        <v>41842</v>
      </c>
      <c r="BU78" s="207">
        <v>16.600000000000001</v>
      </c>
      <c r="BV78" s="151">
        <v>41842</v>
      </c>
      <c r="BW78" s="206">
        <v>82.6</v>
      </c>
      <c r="BX78" s="151">
        <v>41842</v>
      </c>
      <c r="BY78" s="210">
        <v>6.5</v>
      </c>
      <c r="BZ78" s="151">
        <v>41842</v>
      </c>
      <c r="CA78" s="206">
        <v>38.299999999999997</v>
      </c>
      <c r="CB78" s="151">
        <v>41842</v>
      </c>
      <c r="CC78" s="208">
        <v>6.8</v>
      </c>
      <c r="CD78" s="151">
        <v>41838</v>
      </c>
      <c r="CL78" s="209">
        <v>5</v>
      </c>
      <c r="CM78" s="201">
        <v>41810</v>
      </c>
    </row>
    <row r="79" spans="1:91" ht="15">
      <c r="A79" s="152" t="s">
        <v>7881</v>
      </c>
      <c r="B79" s="110" t="s">
        <v>235</v>
      </c>
      <c r="C79" s="110" t="s">
        <v>8082</v>
      </c>
      <c r="D79" s="110">
        <v>11527</v>
      </c>
      <c r="E79" s="111">
        <v>4</v>
      </c>
      <c r="F79" s="111">
        <v>717</v>
      </c>
      <c r="I79" s="372"/>
      <c r="K79" s="138">
        <v>7</v>
      </c>
      <c r="L79" s="151">
        <v>41701</v>
      </c>
      <c r="M79" s="169">
        <v>3.4</v>
      </c>
      <c r="N79" s="151">
        <v>41838</v>
      </c>
      <c r="Q79" s="497"/>
      <c r="S79" s="134">
        <v>12.58</v>
      </c>
      <c r="T79" s="151">
        <v>41842</v>
      </c>
      <c r="U79" s="134">
        <v>13.5</v>
      </c>
      <c r="V79" s="151">
        <v>41838</v>
      </c>
      <c r="W79" s="196">
        <v>1</v>
      </c>
      <c r="X79" s="151">
        <v>41829</v>
      </c>
      <c r="Y79" s="134">
        <f t="shared" si="1"/>
        <v>3.7784799999999996</v>
      </c>
      <c r="AC79" s="134">
        <v>25.19</v>
      </c>
      <c r="AD79" s="151">
        <v>41838</v>
      </c>
      <c r="AE79" s="134">
        <v>25.88</v>
      </c>
      <c r="AF79" s="151">
        <v>41838</v>
      </c>
      <c r="AG79" s="197">
        <v>5.3</v>
      </c>
      <c r="AH79" s="151">
        <v>41843</v>
      </c>
      <c r="AI79" s="198">
        <v>5</v>
      </c>
      <c r="AJ79" s="151">
        <v>41778</v>
      </c>
      <c r="AK79" s="199">
        <v>7</v>
      </c>
      <c r="AL79" s="151">
        <v>41709</v>
      </c>
      <c r="BE79" s="200">
        <v>7</v>
      </c>
      <c r="BF79" s="201">
        <v>41555</v>
      </c>
      <c r="BG79" s="202">
        <v>38</v>
      </c>
      <c r="BH79" s="151">
        <v>41842</v>
      </c>
      <c r="BM79" s="204">
        <v>69.7</v>
      </c>
      <c r="BN79" s="151">
        <v>41842</v>
      </c>
      <c r="BQ79" s="205">
        <v>5.7</v>
      </c>
      <c r="BR79" s="151">
        <v>41842</v>
      </c>
      <c r="BS79" s="206">
        <v>48.6</v>
      </c>
      <c r="BT79" s="151">
        <v>41842</v>
      </c>
      <c r="BU79" s="207">
        <v>14.6</v>
      </c>
      <c r="BV79" s="151">
        <v>41842</v>
      </c>
      <c r="BW79" s="206">
        <v>66</v>
      </c>
      <c r="BX79" s="151">
        <v>41842</v>
      </c>
      <c r="BY79" s="210">
        <v>7.33</v>
      </c>
      <c r="BZ79" s="151">
        <v>41842</v>
      </c>
      <c r="CA79" s="206">
        <v>34.5</v>
      </c>
      <c r="CB79" s="151">
        <v>41842</v>
      </c>
      <c r="CC79" s="208">
        <v>6.5</v>
      </c>
      <c r="CD79" s="151">
        <v>41838</v>
      </c>
      <c r="CL79" s="209">
        <v>5</v>
      </c>
      <c r="CM79" s="201">
        <v>41810</v>
      </c>
    </row>
    <row r="80" spans="1:91" ht="15">
      <c r="A80" s="152" t="s">
        <v>7881</v>
      </c>
      <c r="B80" s="110" t="s">
        <v>235</v>
      </c>
      <c r="C80" s="110" t="s">
        <v>8081</v>
      </c>
      <c r="D80" s="110">
        <v>11339</v>
      </c>
      <c r="E80" s="111">
        <v>11</v>
      </c>
      <c r="F80" s="111">
        <v>537</v>
      </c>
      <c r="I80" s="372"/>
      <c r="K80" s="138">
        <v>7</v>
      </c>
      <c r="L80" s="151">
        <v>41701</v>
      </c>
      <c r="M80" s="169">
        <v>3.85</v>
      </c>
      <c r="N80" s="151">
        <v>41838</v>
      </c>
      <c r="Q80" s="497"/>
      <c r="S80" s="134">
        <v>14.42</v>
      </c>
      <c r="T80" s="151">
        <v>41842</v>
      </c>
      <c r="U80" s="134">
        <v>13.5</v>
      </c>
      <c r="V80" s="151">
        <v>41838</v>
      </c>
      <c r="W80" s="196">
        <v>9</v>
      </c>
      <c r="X80" s="151">
        <v>41829</v>
      </c>
      <c r="Y80" s="134">
        <f t="shared" si="1"/>
        <v>4.5507</v>
      </c>
      <c r="AC80" s="134">
        <v>28.52</v>
      </c>
      <c r="AD80" s="151">
        <v>41838</v>
      </c>
      <c r="AE80" s="134">
        <v>29.55</v>
      </c>
      <c r="AF80" s="151">
        <v>41838</v>
      </c>
      <c r="AG80" s="197">
        <v>5.3</v>
      </c>
      <c r="AH80" s="151">
        <v>41843</v>
      </c>
      <c r="AI80" s="198">
        <v>5</v>
      </c>
      <c r="AJ80" s="151">
        <v>41778</v>
      </c>
      <c r="AK80" s="199">
        <v>7</v>
      </c>
      <c r="AL80" s="151">
        <v>41709</v>
      </c>
      <c r="BE80" s="200">
        <v>7</v>
      </c>
      <c r="BF80" s="201">
        <v>41555</v>
      </c>
      <c r="BG80" s="202">
        <v>47.5</v>
      </c>
      <c r="BH80" s="151">
        <v>41842</v>
      </c>
      <c r="BM80" s="204">
        <v>70.400000000000006</v>
      </c>
      <c r="BN80" s="151">
        <v>41842</v>
      </c>
      <c r="BQ80" s="205">
        <v>4.5999999999999996</v>
      </c>
      <c r="BR80" s="151">
        <v>41842</v>
      </c>
      <c r="BS80" s="206">
        <v>48.8</v>
      </c>
      <c r="BT80" s="151">
        <v>41842</v>
      </c>
      <c r="BU80" s="207">
        <v>15.4</v>
      </c>
      <c r="BV80" s="151">
        <v>41842</v>
      </c>
      <c r="BW80" s="206">
        <v>70.900000000000006</v>
      </c>
      <c r="BX80" s="151">
        <v>41842</v>
      </c>
      <c r="BY80" s="210">
        <v>6.67</v>
      </c>
      <c r="BZ80" s="151">
        <v>41842</v>
      </c>
      <c r="CA80" s="206">
        <v>36.6</v>
      </c>
      <c r="CB80" s="151">
        <v>41842</v>
      </c>
      <c r="CC80" s="208">
        <v>5.7</v>
      </c>
      <c r="CD80" s="151">
        <v>41838</v>
      </c>
      <c r="CL80" s="209">
        <v>7</v>
      </c>
      <c r="CM80" s="201">
        <v>41810</v>
      </c>
    </row>
    <row r="81" spans="1:91" ht="15">
      <c r="A81" s="152" t="s">
        <v>7881</v>
      </c>
      <c r="B81" s="110" t="s">
        <v>233</v>
      </c>
      <c r="C81" s="110" t="s">
        <v>8083</v>
      </c>
      <c r="D81" s="110">
        <v>11803</v>
      </c>
      <c r="E81" s="111">
        <v>12</v>
      </c>
      <c r="F81" s="111">
        <v>669</v>
      </c>
      <c r="I81" s="372"/>
      <c r="K81" s="134">
        <v>5</v>
      </c>
      <c r="L81" s="151">
        <v>41701</v>
      </c>
      <c r="M81" s="169">
        <v>2.4</v>
      </c>
      <c r="N81" s="151">
        <v>41838</v>
      </c>
      <c r="Q81" s="497"/>
      <c r="S81" s="134">
        <v>8.86</v>
      </c>
      <c r="T81" s="151">
        <v>41842</v>
      </c>
      <c r="U81" s="134">
        <v>13.5</v>
      </c>
      <c r="V81" s="151">
        <v>41838</v>
      </c>
      <c r="W81" s="196">
        <v>1</v>
      </c>
      <c r="X81" s="151">
        <v>41829</v>
      </c>
      <c r="Y81" s="134">
        <f t="shared" si="1"/>
        <v>2.83805</v>
      </c>
      <c r="AC81" s="134">
        <v>17.78</v>
      </c>
      <c r="AD81" s="151">
        <v>41838</v>
      </c>
      <c r="AE81" s="134">
        <v>18.309999999999999</v>
      </c>
      <c r="AF81" s="151">
        <v>41838</v>
      </c>
      <c r="AG81" s="197">
        <v>6.6</v>
      </c>
      <c r="AH81" s="151">
        <v>41843</v>
      </c>
      <c r="AI81" s="198">
        <v>3</v>
      </c>
      <c r="AJ81" s="151">
        <v>41778</v>
      </c>
      <c r="AK81" s="199">
        <v>7</v>
      </c>
      <c r="AL81" s="151">
        <v>41709</v>
      </c>
      <c r="BE81" s="200">
        <v>7</v>
      </c>
      <c r="BF81" s="201">
        <v>41555</v>
      </c>
      <c r="BG81" s="202">
        <v>40</v>
      </c>
      <c r="BH81" s="151">
        <v>41842</v>
      </c>
      <c r="BM81" s="204">
        <v>71.2</v>
      </c>
      <c r="BN81" s="151">
        <v>41842</v>
      </c>
      <c r="BQ81" s="205">
        <v>5.9</v>
      </c>
      <c r="BR81" s="151">
        <v>41842</v>
      </c>
      <c r="BS81" s="206">
        <v>48.4</v>
      </c>
      <c r="BT81" s="151">
        <v>41842</v>
      </c>
      <c r="BU81" s="207">
        <v>15.5</v>
      </c>
      <c r="BV81" s="151">
        <v>41842</v>
      </c>
      <c r="BW81" s="206">
        <v>72.2</v>
      </c>
      <c r="BX81" s="151">
        <v>41842</v>
      </c>
      <c r="BY81" s="210">
        <v>6.61</v>
      </c>
      <c r="BZ81" s="151">
        <v>41842</v>
      </c>
      <c r="CA81" s="206">
        <v>36.4</v>
      </c>
      <c r="CB81" s="151">
        <v>41842</v>
      </c>
      <c r="CC81" s="208">
        <v>6.3</v>
      </c>
      <c r="CD81" s="151">
        <v>41838</v>
      </c>
      <c r="CL81" s="209">
        <v>3</v>
      </c>
      <c r="CM81" s="201">
        <v>41810</v>
      </c>
    </row>
    <row r="82" spans="1:91" ht="15">
      <c r="A82" s="152" t="s">
        <v>7882</v>
      </c>
      <c r="B82" s="110" t="s">
        <v>235</v>
      </c>
      <c r="C82" s="110" t="s">
        <v>8082</v>
      </c>
      <c r="D82" s="110">
        <v>11398</v>
      </c>
      <c r="E82" s="111">
        <v>1</v>
      </c>
      <c r="F82" s="111">
        <v>633</v>
      </c>
      <c r="I82" s="137"/>
      <c r="K82" s="138">
        <v>7</v>
      </c>
      <c r="L82" s="151">
        <v>41701</v>
      </c>
      <c r="M82" s="169">
        <v>2.1</v>
      </c>
      <c r="N82" s="151">
        <v>41838</v>
      </c>
      <c r="Q82" s="497"/>
      <c r="S82" s="134">
        <v>7.21</v>
      </c>
      <c r="T82" s="151">
        <v>41842</v>
      </c>
      <c r="U82" s="138">
        <v>13.5</v>
      </c>
      <c r="V82" s="151">
        <v>41838</v>
      </c>
      <c r="W82" s="196">
        <v>1</v>
      </c>
      <c r="X82" s="151">
        <v>41829</v>
      </c>
      <c r="Y82" s="134">
        <f t="shared" si="1"/>
        <v>2.8406400000000001</v>
      </c>
      <c r="AA82" s="138"/>
      <c r="AC82" s="138">
        <v>15.56</v>
      </c>
      <c r="AD82" s="151">
        <v>41838</v>
      </c>
      <c r="AE82" s="137">
        <v>16.14</v>
      </c>
      <c r="AF82" s="151">
        <v>41838</v>
      </c>
      <c r="AG82" s="197">
        <v>4.4000000000000004</v>
      </c>
      <c r="AH82" s="151">
        <v>41843</v>
      </c>
      <c r="AI82" s="198">
        <v>5</v>
      </c>
      <c r="AJ82" s="151">
        <v>41778</v>
      </c>
      <c r="AK82" s="199">
        <v>7</v>
      </c>
      <c r="AL82" s="151">
        <v>41709</v>
      </c>
      <c r="AM82" s="138"/>
      <c r="BE82" s="200">
        <v>7</v>
      </c>
      <c r="BF82" s="201">
        <v>41555</v>
      </c>
      <c r="BG82" s="202">
        <v>28.5</v>
      </c>
      <c r="BH82" s="151">
        <v>41842</v>
      </c>
      <c r="BM82" s="204">
        <v>70</v>
      </c>
      <c r="BN82" s="151">
        <v>41842</v>
      </c>
      <c r="BQ82" s="205">
        <v>6.3</v>
      </c>
      <c r="BR82" s="151">
        <v>41842</v>
      </c>
      <c r="BS82" s="206">
        <v>44.7</v>
      </c>
      <c r="BT82" s="151">
        <v>41842</v>
      </c>
      <c r="BU82" s="207">
        <v>17.600000000000001</v>
      </c>
      <c r="BV82" s="151">
        <v>41842</v>
      </c>
      <c r="BW82" s="206">
        <v>60.7</v>
      </c>
      <c r="BX82" s="151">
        <v>41842</v>
      </c>
      <c r="BY82" s="210">
        <v>7.66</v>
      </c>
      <c r="BZ82" s="151">
        <v>41842</v>
      </c>
      <c r="CA82" s="206">
        <v>38</v>
      </c>
      <c r="CB82" s="151">
        <v>41842</v>
      </c>
      <c r="CC82" s="208">
        <v>5.6</v>
      </c>
      <c r="CD82" s="151">
        <v>41838</v>
      </c>
      <c r="CL82" s="209">
        <v>9</v>
      </c>
      <c r="CM82" s="201">
        <v>41810</v>
      </c>
    </row>
    <row r="83" spans="1:91" ht="15">
      <c r="A83" s="152" t="s">
        <v>7882</v>
      </c>
      <c r="B83" s="110" t="s">
        <v>233</v>
      </c>
      <c r="C83" s="110" t="s">
        <v>381</v>
      </c>
      <c r="D83" s="110">
        <v>11011</v>
      </c>
      <c r="E83" s="111">
        <v>2</v>
      </c>
      <c r="F83" s="111">
        <v>521</v>
      </c>
      <c r="I83" s="137"/>
      <c r="K83" s="138">
        <v>5</v>
      </c>
      <c r="L83" s="151">
        <v>41701</v>
      </c>
      <c r="M83" s="169">
        <v>1.8</v>
      </c>
      <c r="N83" s="151">
        <v>41838</v>
      </c>
      <c r="Q83" s="497"/>
      <c r="S83" s="134">
        <v>6.52</v>
      </c>
      <c r="T83" s="151">
        <v>41842</v>
      </c>
      <c r="U83" s="138">
        <v>13.5</v>
      </c>
      <c r="V83" s="151">
        <v>41838</v>
      </c>
      <c r="W83" s="196">
        <v>1</v>
      </c>
      <c r="X83" s="151">
        <v>41829</v>
      </c>
      <c r="Y83" s="134">
        <f t="shared" si="1"/>
        <v>2.1894300000000002</v>
      </c>
      <c r="AA83" s="138"/>
      <c r="AC83" s="138">
        <v>13.33</v>
      </c>
      <c r="AD83" s="151">
        <v>41838</v>
      </c>
      <c r="AE83" s="137">
        <v>13.77</v>
      </c>
      <c r="AF83" s="151">
        <v>41838</v>
      </c>
      <c r="AG83" s="197">
        <v>4.5999999999999996</v>
      </c>
      <c r="AH83" s="151">
        <v>41843</v>
      </c>
      <c r="AI83" s="198">
        <v>5</v>
      </c>
      <c r="AJ83" s="151">
        <v>41778</v>
      </c>
      <c r="AK83" s="199">
        <v>7</v>
      </c>
      <c r="AL83" s="151">
        <v>41709</v>
      </c>
      <c r="AM83" s="138"/>
      <c r="BE83" s="200">
        <v>7</v>
      </c>
      <c r="BF83" s="201">
        <v>41555</v>
      </c>
      <c r="BG83" s="202">
        <v>32.799999999999997</v>
      </c>
      <c r="BH83" s="151">
        <v>41842</v>
      </c>
      <c r="BM83" s="204">
        <v>72.900000000000006</v>
      </c>
      <c r="BN83" s="151">
        <v>41842</v>
      </c>
      <c r="BQ83" s="205">
        <v>5.3</v>
      </c>
      <c r="BR83" s="151">
        <v>41842</v>
      </c>
      <c r="BS83" s="206">
        <v>47.4</v>
      </c>
      <c r="BT83" s="151">
        <v>41842</v>
      </c>
      <c r="BU83" s="207">
        <v>15.9</v>
      </c>
      <c r="BV83" s="151">
        <v>41842</v>
      </c>
      <c r="BW83" s="206">
        <v>64.099999999999994</v>
      </c>
      <c r="BX83" s="151">
        <v>41842</v>
      </c>
      <c r="BY83" s="210">
        <v>7.38</v>
      </c>
      <c r="BZ83" s="151">
        <v>41842</v>
      </c>
      <c r="CA83" s="206">
        <v>36.4</v>
      </c>
      <c r="CB83" s="151">
        <v>41842</v>
      </c>
      <c r="CC83" s="208">
        <v>6</v>
      </c>
      <c r="CD83" s="151">
        <v>41838</v>
      </c>
      <c r="CL83" s="209">
        <v>7</v>
      </c>
      <c r="CM83" s="201">
        <v>41810</v>
      </c>
    </row>
    <row r="84" spans="1:91" ht="15">
      <c r="A84" s="152" t="s">
        <v>7882</v>
      </c>
      <c r="B84" s="110" t="s">
        <v>235</v>
      </c>
      <c r="C84" s="110" t="s">
        <v>8081</v>
      </c>
      <c r="D84" s="110">
        <v>11246</v>
      </c>
      <c r="E84" s="111">
        <v>8</v>
      </c>
      <c r="F84" s="111">
        <v>597</v>
      </c>
      <c r="I84" s="372"/>
      <c r="K84" s="138">
        <v>7</v>
      </c>
      <c r="L84" s="151">
        <v>41701</v>
      </c>
      <c r="M84" s="169">
        <v>2.5</v>
      </c>
      <c r="N84" s="151">
        <v>41838</v>
      </c>
      <c r="Q84" s="497"/>
      <c r="S84" s="134">
        <v>8.52</v>
      </c>
      <c r="T84" s="151">
        <v>41842</v>
      </c>
      <c r="U84" s="134">
        <v>13.5</v>
      </c>
      <c r="V84" s="151">
        <v>41838</v>
      </c>
      <c r="W84" s="196">
        <v>1</v>
      </c>
      <c r="X84" s="151">
        <v>41829</v>
      </c>
      <c r="Y84" s="134">
        <f t="shared" si="1"/>
        <v>3.3129500000000003</v>
      </c>
      <c r="AC84" s="134">
        <v>18.52</v>
      </c>
      <c r="AD84" s="151">
        <v>41838</v>
      </c>
      <c r="AE84" s="134">
        <v>19.149999999999999</v>
      </c>
      <c r="AF84" s="151">
        <v>41838</v>
      </c>
      <c r="AG84" s="197">
        <v>4.7</v>
      </c>
      <c r="AH84" s="151">
        <v>41843</v>
      </c>
      <c r="AI84" s="198">
        <v>5</v>
      </c>
      <c r="AJ84" s="151">
        <v>41778</v>
      </c>
      <c r="AK84" s="199">
        <v>5</v>
      </c>
      <c r="AL84" s="151">
        <v>41709</v>
      </c>
      <c r="BE84" s="200">
        <v>5</v>
      </c>
      <c r="BF84" s="201">
        <v>41555</v>
      </c>
      <c r="BG84" s="202">
        <v>24.9</v>
      </c>
      <c r="BH84" s="151">
        <v>41842</v>
      </c>
      <c r="BM84" s="204">
        <v>69</v>
      </c>
      <c r="BN84" s="151">
        <v>41842</v>
      </c>
      <c r="BQ84" s="205">
        <v>6.4</v>
      </c>
      <c r="BR84" s="151">
        <v>41842</v>
      </c>
      <c r="BS84" s="206">
        <v>44.5</v>
      </c>
      <c r="BT84" s="151">
        <v>41842</v>
      </c>
      <c r="BU84" s="207">
        <v>17.3</v>
      </c>
      <c r="BV84" s="151">
        <v>41842</v>
      </c>
      <c r="BW84" s="206">
        <v>48.6</v>
      </c>
      <c r="BX84" s="151">
        <v>41842</v>
      </c>
      <c r="BY84" s="210">
        <v>7.76</v>
      </c>
      <c r="BZ84" s="151">
        <v>41842</v>
      </c>
      <c r="CA84" s="206">
        <v>37.200000000000003</v>
      </c>
      <c r="CB84" s="151">
        <v>41842</v>
      </c>
      <c r="CC84" s="208">
        <v>5.9</v>
      </c>
      <c r="CD84" s="151">
        <v>41838</v>
      </c>
      <c r="CL84" s="209">
        <v>7</v>
      </c>
      <c r="CM84" s="201">
        <v>41810</v>
      </c>
    </row>
    <row r="85" spans="1:91" ht="15">
      <c r="A85" s="152" t="s">
        <v>7882</v>
      </c>
      <c r="B85" s="110" t="s">
        <v>233</v>
      </c>
      <c r="C85" s="110" t="s">
        <v>8083</v>
      </c>
      <c r="D85" s="110">
        <v>11714</v>
      </c>
      <c r="E85" s="111">
        <v>9</v>
      </c>
      <c r="F85" s="111">
        <v>745</v>
      </c>
      <c r="I85" s="372"/>
      <c r="K85" s="134">
        <v>5</v>
      </c>
      <c r="L85" s="151">
        <v>41701</v>
      </c>
      <c r="M85" s="169">
        <v>1.75</v>
      </c>
      <c r="N85" s="151">
        <v>41838</v>
      </c>
      <c r="Q85" s="497"/>
      <c r="S85" s="134">
        <v>6.2</v>
      </c>
      <c r="T85" s="151">
        <v>41842</v>
      </c>
      <c r="U85" s="134">
        <v>13.5</v>
      </c>
      <c r="V85" s="151">
        <v>41838</v>
      </c>
      <c r="W85" s="196">
        <v>1</v>
      </c>
      <c r="X85" s="151">
        <v>41829</v>
      </c>
      <c r="Y85" s="134">
        <f t="shared" si="1"/>
        <v>2.1248</v>
      </c>
      <c r="AC85" s="134">
        <v>12.96</v>
      </c>
      <c r="AD85" s="151">
        <v>41838</v>
      </c>
      <c r="AE85" s="134">
        <v>13.28</v>
      </c>
      <c r="AF85" s="151">
        <v>41838</v>
      </c>
      <c r="AG85" s="197">
        <v>4.8</v>
      </c>
      <c r="AH85" s="151">
        <v>41843</v>
      </c>
      <c r="AI85" s="198">
        <v>3</v>
      </c>
      <c r="AJ85" s="151">
        <v>41778</v>
      </c>
      <c r="AK85" s="199">
        <v>7</v>
      </c>
      <c r="AL85" s="151">
        <v>41709</v>
      </c>
      <c r="BE85" s="200">
        <v>7</v>
      </c>
      <c r="BF85" s="201">
        <v>41555</v>
      </c>
      <c r="BG85" s="202">
        <v>20.8</v>
      </c>
      <c r="BH85" s="151">
        <v>41842</v>
      </c>
      <c r="BM85" s="204">
        <v>69.599999999999994</v>
      </c>
      <c r="BN85" s="151">
        <v>41842</v>
      </c>
      <c r="BQ85" s="205">
        <v>6.7</v>
      </c>
      <c r="BR85" s="151">
        <v>41842</v>
      </c>
      <c r="BS85" s="206">
        <v>46.7</v>
      </c>
      <c r="BT85" s="151">
        <v>41842</v>
      </c>
      <c r="BU85" s="207">
        <v>16</v>
      </c>
      <c r="BV85" s="151">
        <v>41842</v>
      </c>
      <c r="BW85" s="206">
        <v>51.5</v>
      </c>
      <c r="BX85" s="151">
        <v>41842</v>
      </c>
      <c r="BY85" s="210">
        <v>7.51</v>
      </c>
      <c r="BZ85" s="151">
        <v>41842</v>
      </c>
      <c r="CA85" s="206">
        <v>36.200000000000003</v>
      </c>
      <c r="CB85" s="151">
        <v>41842</v>
      </c>
      <c r="CC85" s="208">
        <v>6.8</v>
      </c>
      <c r="CD85" s="151">
        <v>41838</v>
      </c>
      <c r="CL85" s="209">
        <v>7</v>
      </c>
      <c r="CM85" s="201">
        <v>41810</v>
      </c>
    </row>
    <row r="86" spans="1:91" ht="15">
      <c r="A86" s="152" t="s">
        <v>7883</v>
      </c>
      <c r="B86" s="110" t="s">
        <v>233</v>
      </c>
      <c r="C86" s="110" t="s">
        <v>381</v>
      </c>
      <c r="D86" s="110">
        <v>10967</v>
      </c>
      <c r="E86" s="111">
        <v>1</v>
      </c>
      <c r="F86" s="111">
        <v>489</v>
      </c>
      <c r="I86" s="137"/>
      <c r="K86" s="138">
        <v>5</v>
      </c>
      <c r="L86" s="151">
        <v>41701</v>
      </c>
      <c r="M86" s="169">
        <v>2.85</v>
      </c>
      <c r="N86" s="151">
        <v>41838</v>
      </c>
      <c r="Q86" s="497"/>
      <c r="S86" s="134">
        <v>10.34</v>
      </c>
      <c r="T86" s="151">
        <v>41842</v>
      </c>
      <c r="U86" s="138">
        <v>13.5</v>
      </c>
      <c r="V86" s="151">
        <v>41838</v>
      </c>
      <c r="W86" s="196">
        <v>1</v>
      </c>
      <c r="X86" s="151">
        <v>41829</v>
      </c>
      <c r="Y86" s="134">
        <f t="shared" si="1"/>
        <v>3.2616000000000001</v>
      </c>
      <c r="AA86" s="138"/>
      <c r="AC86" s="138">
        <v>21.11</v>
      </c>
      <c r="AD86" s="151">
        <v>41838</v>
      </c>
      <c r="AE86" s="137">
        <v>21.6</v>
      </c>
      <c r="AF86" s="151">
        <v>41838</v>
      </c>
      <c r="AG86" s="197">
        <v>4.7</v>
      </c>
      <c r="AH86" s="151">
        <v>41843</v>
      </c>
      <c r="AI86" s="198">
        <v>7</v>
      </c>
      <c r="AJ86" s="151">
        <v>41778</v>
      </c>
      <c r="AK86" s="199">
        <v>4</v>
      </c>
      <c r="AL86" s="151">
        <v>41709</v>
      </c>
      <c r="AM86" s="138"/>
      <c r="BE86" s="200">
        <v>4</v>
      </c>
      <c r="BF86" s="201">
        <v>41555</v>
      </c>
      <c r="BG86" s="202">
        <v>34</v>
      </c>
      <c r="BH86" s="151">
        <v>41842</v>
      </c>
      <c r="BM86" s="204">
        <v>70.2</v>
      </c>
      <c r="BN86" s="151">
        <v>41842</v>
      </c>
      <c r="BQ86" s="205">
        <v>6.1</v>
      </c>
      <c r="BR86" s="151">
        <v>41842</v>
      </c>
      <c r="BS86" s="206">
        <v>47.9</v>
      </c>
      <c r="BT86" s="151">
        <v>41842</v>
      </c>
      <c r="BU86" s="207">
        <v>15.1</v>
      </c>
      <c r="BV86" s="151">
        <v>41842</v>
      </c>
      <c r="BW86" s="206">
        <v>63.2</v>
      </c>
      <c r="BX86" s="151">
        <v>41842</v>
      </c>
      <c r="BY86" s="210">
        <v>6.86</v>
      </c>
      <c r="BZ86" s="151">
        <v>41842</v>
      </c>
      <c r="CA86" s="206">
        <v>34.9</v>
      </c>
      <c r="CB86" s="151">
        <v>41842</v>
      </c>
      <c r="CC86" s="208">
        <v>6.9</v>
      </c>
      <c r="CD86" s="151">
        <v>41838</v>
      </c>
      <c r="CL86" s="209">
        <v>5</v>
      </c>
      <c r="CM86" s="201">
        <v>41810</v>
      </c>
    </row>
    <row r="87" spans="1:91" ht="15">
      <c r="A87" s="152" t="s">
        <v>7883</v>
      </c>
      <c r="B87" s="110" t="s">
        <v>235</v>
      </c>
      <c r="C87" s="110" t="s">
        <v>8082</v>
      </c>
      <c r="D87" s="110">
        <v>11490</v>
      </c>
      <c r="E87" s="111">
        <v>3</v>
      </c>
      <c r="F87" s="111">
        <v>713</v>
      </c>
      <c r="I87" s="372"/>
      <c r="K87" s="134">
        <v>5</v>
      </c>
      <c r="L87" s="151">
        <v>41701</v>
      </c>
      <c r="M87" s="169">
        <v>3.05</v>
      </c>
      <c r="N87" s="151">
        <v>41838</v>
      </c>
      <c r="Q87" s="497"/>
      <c r="S87" s="134">
        <v>11.09</v>
      </c>
      <c r="T87" s="151">
        <v>41842</v>
      </c>
      <c r="U87" s="134">
        <v>13.5</v>
      </c>
      <c r="V87" s="151">
        <v>41838</v>
      </c>
      <c r="W87" s="196">
        <v>1</v>
      </c>
      <c r="X87" s="151">
        <v>41829</v>
      </c>
      <c r="Y87" s="134">
        <f t="shared" si="1"/>
        <v>3.6285599999999998</v>
      </c>
      <c r="AC87" s="134">
        <v>22.59</v>
      </c>
      <c r="AD87" s="151">
        <v>41838</v>
      </c>
      <c r="AE87" s="134">
        <v>23.26</v>
      </c>
      <c r="AF87" s="151">
        <v>41838</v>
      </c>
      <c r="AG87" s="197">
        <v>4.8</v>
      </c>
      <c r="AH87" s="151">
        <v>41843</v>
      </c>
      <c r="AI87" s="198">
        <v>9</v>
      </c>
      <c r="AJ87" s="151">
        <v>41778</v>
      </c>
      <c r="AK87" s="199">
        <v>5</v>
      </c>
      <c r="AL87" s="151">
        <v>41709</v>
      </c>
      <c r="BE87" s="200">
        <v>5</v>
      </c>
      <c r="BF87" s="201">
        <v>41555</v>
      </c>
      <c r="BG87" s="202">
        <v>43.6</v>
      </c>
      <c r="BH87" s="151">
        <v>41842</v>
      </c>
      <c r="BM87" s="204">
        <v>71.3</v>
      </c>
      <c r="BN87" s="151">
        <v>41842</v>
      </c>
      <c r="BQ87" s="205">
        <v>4.7</v>
      </c>
      <c r="BR87" s="151">
        <v>41842</v>
      </c>
      <c r="BS87" s="206">
        <v>47.7</v>
      </c>
      <c r="BT87" s="151">
        <v>41842</v>
      </c>
      <c r="BU87" s="207">
        <v>15.6</v>
      </c>
      <c r="BV87" s="151">
        <v>41842</v>
      </c>
      <c r="BW87" s="206">
        <v>67.5</v>
      </c>
      <c r="BX87" s="151">
        <v>41842</v>
      </c>
      <c r="BY87" s="210">
        <v>6.93</v>
      </c>
      <c r="BZ87" s="151">
        <v>41842</v>
      </c>
      <c r="CA87" s="206">
        <v>35.9</v>
      </c>
      <c r="CB87" s="151">
        <v>41842</v>
      </c>
      <c r="CC87" s="208">
        <v>6.3</v>
      </c>
      <c r="CD87" s="151">
        <v>41838</v>
      </c>
      <c r="CL87" s="209">
        <v>5</v>
      </c>
      <c r="CM87" s="201">
        <v>41810</v>
      </c>
    </row>
    <row r="88" spans="1:91" ht="15">
      <c r="A88" s="152" t="s">
        <v>7883</v>
      </c>
      <c r="B88" s="110" t="s">
        <v>233</v>
      </c>
      <c r="C88" s="110" t="s">
        <v>8083</v>
      </c>
      <c r="D88" s="110">
        <v>11629</v>
      </c>
      <c r="E88" s="111">
        <v>7</v>
      </c>
      <c r="F88" s="111">
        <v>693</v>
      </c>
      <c r="I88" s="372"/>
      <c r="K88" s="134">
        <v>5</v>
      </c>
      <c r="L88" s="151">
        <v>41701</v>
      </c>
      <c r="M88" s="169">
        <v>2.5499999999999998</v>
      </c>
      <c r="N88" s="151">
        <v>41838</v>
      </c>
      <c r="Q88" s="497"/>
      <c r="S88" s="134">
        <v>9.58</v>
      </c>
      <c r="T88" s="151">
        <v>41842</v>
      </c>
      <c r="U88" s="134">
        <v>13.5</v>
      </c>
      <c r="V88" s="151">
        <v>41838</v>
      </c>
      <c r="W88" s="196">
        <v>9</v>
      </c>
      <c r="X88" s="151">
        <v>41829</v>
      </c>
      <c r="Y88" s="134">
        <f t="shared" si="1"/>
        <v>2.89805</v>
      </c>
      <c r="AC88" s="134">
        <v>18.89</v>
      </c>
      <c r="AD88" s="151">
        <v>41838</v>
      </c>
      <c r="AE88" s="134">
        <v>19.45</v>
      </c>
      <c r="AF88" s="151">
        <v>41838</v>
      </c>
      <c r="AG88" s="197">
        <v>4.8</v>
      </c>
      <c r="AH88" s="151">
        <v>41843</v>
      </c>
      <c r="AI88" s="198">
        <v>7</v>
      </c>
      <c r="AJ88" s="151">
        <v>41778</v>
      </c>
      <c r="AK88" s="199">
        <v>5</v>
      </c>
      <c r="AL88" s="151">
        <v>41709</v>
      </c>
      <c r="BE88" s="200">
        <v>5</v>
      </c>
      <c r="BF88" s="201">
        <v>41555</v>
      </c>
      <c r="BG88" s="202">
        <v>43.3</v>
      </c>
      <c r="BH88" s="151">
        <v>41842</v>
      </c>
      <c r="BM88" s="204">
        <v>72.099999999999994</v>
      </c>
      <c r="BN88" s="151">
        <v>41842</v>
      </c>
      <c r="BQ88" s="205">
        <v>4</v>
      </c>
      <c r="BR88" s="151">
        <v>41842</v>
      </c>
      <c r="BS88" s="206">
        <v>49.3</v>
      </c>
      <c r="BT88" s="151">
        <v>41842</v>
      </c>
      <c r="BU88" s="207">
        <v>14.9</v>
      </c>
      <c r="BV88" s="151">
        <v>41842</v>
      </c>
      <c r="BW88" s="206">
        <v>69.2</v>
      </c>
      <c r="BX88" s="151">
        <v>41842</v>
      </c>
      <c r="BY88" s="210">
        <v>6.94</v>
      </c>
      <c r="BZ88" s="151">
        <v>41842</v>
      </c>
      <c r="CA88" s="206">
        <v>35.700000000000003</v>
      </c>
      <c r="CB88" s="151">
        <v>41842</v>
      </c>
      <c r="CC88" s="208">
        <v>6.3</v>
      </c>
      <c r="CD88" s="151">
        <v>41838</v>
      </c>
      <c r="CL88" s="209">
        <v>5</v>
      </c>
      <c r="CM88" s="201">
        <v>41810</v>
      </c>
    </row>
    <row r="89" spans="1:91" ht="15">
      <c r="A89" s="152" t="s">
        <v>7883</v>
      </c>
      <c r="B89" s="110" t="s">
        <v>235</v>
      </c>
      <c r="C89" s="110" t="s">
        <v>8081</v>
      </c>
      <c r="D89" s="110">
        <v>11240</v>
      </c>
      <c r="E89" s="111">
        <v>8</v>
      </c>
      <c r="F89" s="111">
        <v>573</v>
      </c>
      <c r="I89" s="372"/>
      <c r="K89" s="134">
        <v>5</v>
      </c>
      <c r="L89" s="151">
        <v>41701</v>
      </c>
      <c r="M89" s="169">
        <v>3.7</v>
      </c>
      <c r="N89" s="151">
        <v>41838</v>
      </c>
      <c r="Q89" s="497"/>
      <c r="S89" s="134">
        <v>13.52</v>
      </c>
      <c r="T89" s="151">
        <v>41842</v>
      </c>
      <c r="U89" s="134">
        <v>13.5</v>
      </c>
      <c r="V89" s="151">
        <v>41838</v>
      </c>
      <c r="W89" s="196">
        <v>1</v>
      </c>
      <c r="X89" s="151">
        <v>41829</v>
      </c>
      <c r="Y89" s="134">
        <f t="shared" si="1"/>
        <v>4.4634999999999998</v>
      </c>
      <c r="AC89" s="134">
        <v>27.41</v>
      </c>
      <c r="AD89" s="151">
        <v>41838</v>
      </c>
      <c r="AE89" s="134">
        <v>28.25</v>
      </c>
      <c r="AF89" s="151">
        <v>41838</v>
      </c>
      <c r="AG89" s="197">
        <v>4.9000000000000004</v>
      </c>
      <c r="AH89" s="151">
        <v>41843</v>
      </c>
      <c r="AI89" s="198">
        <v>5</v>
      </c>
      <c r="AJ89" s="151">
        <v>41778</v>
      </c>
      <c r="AK89" s="199">
        <v>5</v>
      </c>
      <c r="AL89" s="151">
        <v>41709</v>
      </c>
      <c r="BE89" s="200">
        <v>5</v>
      </c>
      <c r="BF89" s="201">
        <v>41555</v>
      </c>
      <c r="BG89" s="202">
        <v>43.2</v>
      </c>
      <c r="BH89" s="151">
        <v>41842</v>
      </c>
      <c r="BM89" s="204">
        <v>71.400000000000006</v>
      </c>
      <c r="BN89" s="151">
        <v>41842</v>
      </c>
      <c r="BQ89" s="205">
        <v>4.8</v>
      </c>
      <c r="BR89" s="151">
        <v>41842</v>
      </c>
      <c r="BS89" s="206">
        <v>47.9</v>
      </c>
      <c r="BT89" s="151">
        <v>41842</v>
      </c>
      <c r="BU89" s="207">
        <v>15.8</v>
      </c>
      <c r="BV89" s="151">
        <v>41842</v>
      </c>
      <c r="BW89" s="206">
        <v>71.3</v>
      </c>
      <c r="BX89" s="151">
        <v>41842</v>
      </c>
      <c r="BY89" s="210">
        <v>6.81</v>
      </c>
      <c r="BZ89" s="151">
        <v>41842</v>
      </c>
      <c r="CA89" s="206">
        <v>36.5</v>
      </c>
      <c r="CB89" s="151">
        <v>41842</v>
      </c>
      <c r="CC89" s="208">
        <v>6.2</v>
      </c>
      <c r="CD89" s="151">
        <v>41838</v>
      </c>
      <c r="CL89" s="209">
        <v>7</v>
      </c>
      <c r="CM89" s="201">
        <v>41810</v>
      </c>
    </row>
    <row r="90" spans="1:91" ht="15">
      <c r="A90" s="152" t="s">
        <v>7884</v>
      </c>
      <c r="B90" s="110" t="s">
        <v>233</v>
      </c>
      <c r="C90" s="110" t="s">
        <v>381</v>
      </c>
      <c r="D90" s="110">
        <v>11042</v>
      </c>
      <c r="E90" s="111">
        <v>3</v>
      </c>
      <c r="F90" s="111">
        <v>501</v>
      </c>
      <c r="I90" s="372"/>
      <c r="K90" s="134">
        <v>5</v>
      </c>
      <c r="L90" s="151">
        <v>41701</v>
      </c>
      <c r="M90" s="169">
        <v>3.65</v>
      </c>
      <c r="N90" s="151">
        <v>41838</v>
      </c>
      <c r="Q90" s="497"/>
      <c r="S90" s="134">
        <v>13.84</v>
      </c>
      <c r="T90" s="151">
        <v>41842</v>
      </c>
      <c r="U90" s="134">
        <v>13.5</v>
      </c>
      <c r="V90" s="151">
        <v>41838</v>
      </c>
      <c r="W90" s="196">
        <v>9</v>
      </c>
      <c r="X90" s="151">
        <v>41829</v>
      </c>
      <c r="Y90" s="134">
        <f t="shared" si="1"/>
        <v>4.0454999999999997</v>
      </c>
      <c r="AC90" s="134">
        <v>27.04</v>
      </c>
      <c r="AD90" s="151">
        <v>41838</v>
      </c>
      <c r="AE90" s="134">
        <v>27.9</v>
      </c>
      <c r="AF90" s="151">
        <v>41838</v>
      </c>
      <c r="AG90" s="197">
        <v>4.8</v>
      </c>
      <c r="AH90" s="151">
        <v>41843</v>
      </c>
      <c r="AI90" s="198">
        <v>5</v>
      </c>
      <c r="AJ90" s="151">
        <v>41778</v>
      </c>
      <c r="AK90" s="199">
        <v>5</v>
      </c>
      <c r="AL90" s="151">
        <v>41709</v>
      </c>
      <c r="BE90" s="200">
        <v>5</v>
      </c>
      <c r="BF90" s="201">
        <v>41555</v>
      </c>
      <c r="BG90" s="202">
        <v>36.6</v>
      </c>
      <c r="BH90" s="151">
        <v>41842</v>
      </c>
      <c r="BM90" s="204">
        <v>72</v>
      </c>
      <c r="BN90" s="151">
        <v>41842</v>
      </c>
      <c r="BQ90" s="205">
        <v>5.0999999999999996</v>
      </c>
      <c r="BR90" s="151">
        <v>41842</v>
      </c>
      <c r="BS90" s="206">
        <v>49.6</v>
      </c>
      <c r="BT90" s="151">
        <v>41842</v>
      </c>
      <c r="BU90" s="207">
        <v>14.5</v>
      </c>
      <c r="BV90" s="151">
        <v>41842</v>
      </c>
      <c r="BW90" s="206">
        <v>66.3</v>
      </c>
      <c r="BX90" s="151">
        <v>41842</v>
      </c>
      <c r="BY90" s="210">
        <v>6.54</v>
      </c>
      <c r="BZ90" s="151">
        <v>41842</v>
      </c>
      <c r="CA90" s="206">
        <v>35</v>
      </c>
      <c r="CB90" s="151">
        <v>41842</v>
      </c>
      <c r="CC90" s="208">
        <v>6.1</v>
      </c>
      <c r="CD90" s="151">
        <v>41838</v>
      </c>
      <c r="CL90" s="209">
        <v>5</v>
      </c>
      <c r="CM90" s="201">
        <v>41810</v>
      </c>
    </row>
    <row r="91" spans="1:91" ht="15">
      <c r="A91" s="152" t="s">
        <v>7884</v>
      </c>
      <c r="B91" s="110" t="s">
        <v>235</v>
      </c>
      <c r="C91" s="110" t="s">
        <v>8082</v>
      </c>
      <c r="D91" s="110">
        <v>11531</v>
      </c>
      <c r="E91" s="111">
        <v>4</v>
      </c>
      <c r="F91" s="111">
        <v>733</v>
      </c>
      <c r="I91" s="372"/>
      <c r="K91" s="134">
        <v>5</v>
      </c>
      <c r="L91" s="151">
        <v>41701</v>
      </c>
      <c r="M91" s="169">
        <v>4</v>
      </c>
      <c r="N91" s="151">
        <v>41838</v>
      </c>
      <c r="Q91" s="497"/>
      <c r="S91" s="134">
        <v>14.98</v>
      </c>
      <c r="T91" s="151">
        <v>41842</v>
      </c>
      <c r="U91" s="134">
        <v>13.5</v>
      </c>
      <c r="V91" s="151">
        <v>41838</v>
      </c>
      <c r="W91" s="196">
        <v>9</v>
      </c>
      <c r="X91" s="151">
        <v>41829</v>
      </c>
      <c r="Y91" s="134">
        <f t="shared" si="1"/>
        <v>4.6634400000000005</v>
      </c>
      <c r="AC91" s="134">
        <v>29.63</v>
      </c>
      <c r="AD91" s="151">
        <v>41838</v>
      </c>
      <c r="AE91" s="134">
        <v>30.48</v>
      </c>
      <c r="AF91" s="151">
        <v>41838</v>
      </c>
      <c r="AG91" s="197">
        <v>5.0999999999999996</v>
      </c>
      <c r="AH91" s="151">
        <v>41843</v>
      </c>
      <c r="AI91" s="198">
        <v>5</v>
      </c>
      <c r="AJ91" s="151">
        <v>41778</v>
      </c>
      <c r="AK91" s="199">
        <v>5</v>
      </c>
      <c r="AL91" s="151">
        <v>41709</v>
      </c>
      <c r="BE91" s="200">
        <v>5</v>
      </c>
      <c r="BF91" s="201">
        <v>41555</v>
      </c>
      <c r="BG91" s="202">
        <v>41.7</v>
      </c>
      <c r="BH91" s="151">
        <v>41842</v>
      </c>
      <c r="BM91" s="204">
        <v>72.7</v>
      </c>
      <c r="BN91" s="151">
        <v>41842</v>
      </c>
      <c r="BQ91" s="205">
        <v>4.5</v>
      </c>
      <c r="BR91" s="151">
        <v>41842</v>
      </c>
      <c r="BS91" s="206">
        <v>49.2</v>
      </c>
      <c r="BT91" s="151">
        <v>41842</v>
      </c>
      <c r="BU91" s="207">
        <v>15.3</v>
      </c>
      <c r="BV91" s="151">
        <v>41842</v>
      </c>
      <c r="BW91" s="206">
        <v>75</v>
      </c>
      <c r="BX91" s="151">
        <v>41842</v>
      </c>
      <c r="BY91" s="210">
        <v>6.68</v>
      </c>
      <c r="BZ91" s="151">
        <v>41842</v>
      </c>
      <c r="CA91" s="206">
        <v>36.5</v>
      </c>
      <c r="CB91" s="151">
        <v>41842</v>
      </c>
      <c r="CC91" s="208">
        <v>6.4</v>
      </c>
      <c r="CD91" s="151">
        <v>41838</v>
      </c>
      <c r="CL91" s="209">
        <v>5</v>
      </c>
      <c r="CM91" s="201">
        <v>41810</v>
      </c>
    </row>
    <row r="92" spans="1:91" ht="15">
      <c r="A92" s="152" t="s">
        <v>7884</v>
      </c>
      <c r="B92" s="110" t="s">
        <v>235</v>
      </c>
      <c r="C92" s="110" t="s">
        <v>8081</v>
      </c>
      <c r="D92" s="110">
        <v>11311</v>
      </c>
      <c r="E92" s="111">
        <v>10</v>
      </c>
      <c r="F92" s="111">
        <v>569</v>
      </c>
      <c r="I92" s="372"/>
      <c r="K92" s="134">
        <v>5</v>
      </c>
      <c r="L92" s="151">
        <v>41701</v>
      </c>
      <c r="M92" s="169">
        <v>4.8</v>
      </c>
      <c r="N92" s="151">
        <v>41838</v>
      </c>
      <c r="Q92" s="497"/>
      <c r="S92" s="134">
        <v>18.39</v>
      </c>
      <c r="T92" s="151">
        <v>41842</v>
      </c>
      <c r="U92" s="134">
        <v>13.5</v>
      </c>
      <c r="V92" s="151">
        <v>41838</v>
      </c>
      <c r="W92" s="196">
        <v>9</v>
      </c>
      <c r="X92" s="151">
        <v>41829</v>
      </c>
      <c r="Y92" s="134">
        <f t="shared" si="1"/>
        <v>5.2369599999999998</v>
      </c>
      <c r="AC92" s="134">
        <v>35.56</v>
      </c>
      <c r="AD92" s="151">
        <v>41838</v>
      </c>
      <c r="AE92" s="134">
        <v>36.880000000000003</v>
      </c>
      <c r="AF92" s="151">
        <v>41838</v>
      </c>
      <c r="AG92" s="197">
        <v>4.5</v>
      </c>
      <c r="AH92" s="151">
        <v>41843</v>
      </c>
      <c r="AI92" s="198">
        <v>5</v>
      </c>
      <c r="AJ92" s="151">
        <v>41778</v>
      </c>
      <c r="AK92" s="199">
        <v>5</v>
      </c>
      <c r="AL92" s="151">
        <v>41709</v>
      </c>
      <c r="BE92" s="200">
        <v>5</v>
      </c>
      <c r="BF92" s="201">
        <v>41555</v>
      </c>
      <c r="BG92" s="202">
        <v>41.7</v>
      </c>
      <c r="BH92" s="151">
        <v>41842</v>
      </c>
      <c r="BM92" s="204">
        <v>72.900000000000006</v>
      </c>
      <c r="BN92" s="151">
        <v>41842</v>
      </c>
      <c r="BQ92" s="205">
        <v>3.5</v>
      </c>
      <c r="BR92" s="151">
        <v>41842</v>
      </c>
      <c r="BS92" s="206">
        <v>49.9</v>
      </c>
      <c r="BT92" s="151">
        <v>41842</v>
      </c>
      <c r="BU92" s="207">
        <v>14.2</v>
      </c>
      <c r="BV92" s="151">
        <v>41842</v>
      </c>
      <c r="BW92" s="206">
        <v>64</v>
      </c>
      <c r="BX92" s="151">
        <v>41842</v>
      </c>
      <c r="BY92" s="210">
        <v>6.73</v>
      </c>
      <c r="BZ92" s="151">
        <v>41842</v>
      </c>
      <c r="CA92" s="206">
        <v>34.6</v>
      </c>
      <c r="CB92" s="151">
        <v>41842</v>
      </c>
      <c r="CC92" s="208">
        <v>5.6</v>
      </c>
      <c r="CD92" s="151">
        <v>41838</v>
      </c>
      <c r="CL92" s="209">
        <v>5</v>
      </c>
      <c r="CM92" s="201">
        <v>41810</v>
      </c>
    </row>
    <row r="93" spans="1:91" ht="15">
      <c r="A93" s="152" t="s">
        <v>7884</v>
      </c>
      <c r="B93" s="110" t="s">
        <v>233</v>
      </c>
      <c r="C93" s="110" t="s">
        <v>8083</v>
      </c>
      <c r="D93" s="110">
        <v>11818</v>
      </c>
      <c r="E93" s="111">
        <v>12</v>
      </c>
      <c r="F93" s="111">
        <v>729</v>
      </c>
      <c r="K93" s="134">
        <v>5</v>
      </c>
      <c r="L93" s="151">
        <v>41701</v>
      </c>
      <c r="M93" s="169">
        <v>3.35</v>
      </c>
      <c r="N93" s="151">
        <v>41838</v>
      </c>
      <c r="Q93" s="497"/>
      <c r="S93" s="134">
        <v>12.76</v>
      </c>
      <c r="T93" s="151">
        <v>41842</v>
      </c>
      <c r="U93" s="134">
        <v>13.5</v>
      </c>
      <c r="V93" s="151">
        <v>41838</v>
      </c>
      <c r="W93" s="196">
        <v>9</v>
      </c>
      <c r="X93" s="151">
        <v>41829</v>
      </c>
      <c r="Y93" s="134">
        <f t="shared" si="1"/>
        <v>3.7932399999999999</v>
      </c>
      <c r="AC93" s="134">
        <v>24.81</v>
      </c>
      <c r="AD93" s="151">
        <v>41838</v>
      </c>
      <c r="AE93" s="134">
        <v>25.63</v>
      </c>
      <c r="AF93" s="151">
        <v>41838</v>
      </c>
      <c r="AG93" s="197">
        <v>4.9000000000000004</v>
      </c>
      <c r="AH93" s="151">
        <v>41843</v>
      </c>
      <c r="AI93" s="198">
        <v>3</v>
      </c>
      <c r="AJ93" s="151">
        <v>41778</v>
      </c>
      <c r="AK93" s="199">
        <v>5</v>
      </c>
      <c r="AL93" s="151">
        <v>41709</v>
      </c>
      <c r="BE93" s="200">
        <v>5</v>
      </c>
      <c r="BF93" s="201">
        <v>41555</v>
      </c>
      <c r="BG93" s="202">
        <v>42.5</v>
      </c>
      <c r="BH93" s="151">
        <v>41842</v>
      </c>
      <c r="BM93" s="204">
        <v>73.099999999999994</v>
      </c>
      <c r="BN93" s="151">
        <v>41842</v>
      </c>
      <c r="BQ93" s="205">
        <v>3.5</v>
      </c>
      <c r="BR93" s="151">
        <v>41842</v>
      </c>
      <c r="BS93" s="206">
        <v>49.8</v>
      </c>
      <c r="BT93" s="151">
        <v>41842</v>
      </c>
      <c r="BU93" s="207">
        <v>14.8</v>
      </c>
      <c r="BV93" s="151">
        <v>41842</v>
      </c>
      <c r="BW93" s="206">
        <v>73.099999999999994</v>
      </c>
      <c r="BX93" s="151">
        <v>41842</v>
      </c>
      <c r="BY93" s="210">
        <v>6.67</v>
      </c>
      <c r="BZ93" s="151">
        <v>41842</v>
      </c>
      <c r="CA93" s="206">
        <v>35.799999999999997</v>
      </c>
      <c r="CB93" s="151">
        <v>41842</v>
      </c>
      <c r="CC93" s="208">
        <v>6</v>
      </c>
      <c r="CD93" s="151">
        <v>41838</v>
      </c>
      <c r="CL93" s="209">
        <v>5</v>
      </c>
      <c r="CM93" s="201">
        <v>41810</v>
      </c>
    </row>
    <row r="94" spans="1:91" ht="15">
      <c r="A94" s="152" t="s">
        <v>7885</v>
      </c>
      <c r="B94" s="110" t="s">
        <v>235</v>
      </c>
      <c r="C94" s="110" t="s">
        <v>8082</v>
      </c>
      <c r="D94" s="110">
        <v>11481</v>
      </c>
      <c r="E94" s="111">
        <v>3</v>
      </c>
      <c r="F94" s="111">
        <v>677</v>
      </c>
      <c r="K94" s="134">
        <v>5</v>
      </c>
      <c r="L94" s="151">
        <v>41701</v>
      </c>
      <c r="M94" s="169">
        <v>4.25</v>
      </c>
      <c r="N94" s="151">
        <v>41838</v>
      </c>
      <c r="Q94" s="497"/>
      <c r="S94" s="134">
        <v>16.36</v>
      </c>
      <c r="T94" s="151">
        <v>41842</v>
      </c>
      <c r="U94" s="134">
        <v>13.5</v>
      </c>
      <c r="V94" s="151">
        <v>41838</v>
      </c>
      <c r="W94" s="196">
        <v>9</v>
      </c>
      <c r="X94" s="151">
        <v>41829</v>
      </c>
      <c r="Y94" s="134">
        <f t="shared" si="1"/>
        <v>4.9536800000000003</v>
      </c>
      <c r="AC94" s="134">
        <v>31.48</v>
      </c>
      <c r="AD94" s="151">
        <v>41838</v>
      </c>
      <c r="AE94" s="134">
        <v>32.590000000000003</v>
      </c>
      <c r="AF94" s="151">
        <v>41838</v>
      </c>
      <c r="AG94" s="197">
        <v>4.8</v>
      </c>
      <c r="AH94" s="151">
        <v>41843</v>
      </c>
      <c r="AI94" s="198">
        <v>7</v>
      </c>
      <c r="AJ94" s="151">
        <v>41778</v>
      </c>
      <c r="AK94" s="199">
        <v>4</v>
      </c>
      <c r="AL94" s="151">
        <v>41709</v>
      </c>
      <c r="BE94" s="200">
        <v>4</v>
      </c>
      <c r="BF94" s="201">
        <v>41555</v>
      </c>
      <c r="BG94" s="202">
        <v>44.5</v>
      </c>
      <c r="BH94" s="151">
        <v>41842</v>
      </c>
      <c r="BM94" s="204">
        <v>72.099999999999994</v>
      </c>
      <c r="BN94" s="151">
        <v>41842</v>
      </c>
      <c r="BQ94" s="205">
        <v>3.1</v>
      </c>
      <c r="BR94" s="151">
        <v>41842</v>
      </c>
      <c r="BS94" s="206">
        <v>50.2</v>
      </c>
      <c r="BT94" s="151">
        <v>41842</v>
      </c>
      <c r="BU94" s="207">
        <v>15.2</v>
      </c>
      <c r="BV94" s="151">
        <v>41842</v>
      </c>
      <c r="BW94" s="206">
        <v>58</v>
      </c>
      <c r="BX94" s="151">
        <v>41842</v>
      </c>
      <c r="BY94" s="210">
        <v>7</v>
      </c>
      <c r="BZ94" s="151">
        <v>41842</v>
      </c>
      <c r="CA94" s="206">
        <v>37.299999999999997</v>
      </c>
      <c r="CB94" s="151">
        <v>41842</v>
      </c>
      <c r="CC94" s="208">
        <v>5.8</v>
      </c>
      <c r="CD94" s="151">
        <v>41838</v>
      </c>
      <c r="CL94" s="209">
        <v>3</v>
      </c>
      <c r="CM94" s="201">
        <v>41810</v>
      </c>
    </row>
    <row r="95" spans="1:91" ht="15">
      <c r="A95" s="152" t="s">
        <v>7885</v>
      </c>
      <c r="B95" s="110" t="s">
        <v>233</v>
      </c>
      <c r="C95" s="110" t="s">
        <v>381</v>
      </c>
      <c r="D95" s="110">
        <v>11077</v>
      </c>
      <c r="E95" s="111">
        <v>4</v>
      </c>
      <c r="F95" s="111">
        <v>497</v>
      </c>
      <c r="K95" s="134">
        <v>5</v>
      </c>
      <c r="L95" s="151">
        <v>41701</v>
      </c>
      <c r="M95" s="169">
        <v>5.4</v>
      </c>
      <c r="N95" s="151">
        <v>41838</v>
      </c>
      <c r="Q95" s="497"/>
      <c r="S95" s="134">
        <v>19.73</v>
      </c>
      <c r="T95" s="151">
        <v>41842</v>
      </c>
      <c r="U95" s="134">
        <v>13.5</v>
      </c>
      <c r="V95" s="151">
        <v>41838</v>
      </c>
      <c r="W95" s="196">
        <v>1</v>
      </c>
      <c r="X95" s="151">
        <v>41829</v>
      </c>
      <c r="Y95" s="134">
        <f t="shared" si="1"/>
        <v>7.3873299999999995</v>
      </c>
      <c r="AC95" s="134">
        <v>40</v>
      </c>
      <c r="AD95" s="151">
        <v>41838</v>
      </c>
      <c r="AE95" s="134">
        <v>41.27</v>
      </c>
      <c r="AF95" s="151">
        <v>41838</v>
      </c>
      <c r="AG95" s="197">
        <v>4.7</v>
      </c>
      <c r="AH95" s="151">
        <v>41843</v>
      </c>
      <c r="AI95" s="198">
        <v>7</v>
      </c>
      <c r="AJ95" s="151">
        <v>41778</v>
      </c>
      <c r="AK95" s="199">
        <v>4</v>
      </c>
      <c r="AL95" s="151">
        <v>41709</v>
      </c>
      <c r="BE95" s="200">
        <v>4</v>
      </c>
      <c r="BF95" s="201">
        <v>41555</v>
      </c>
      <c r="BG95" s="202">
        <v>47.7</v>
      </c>
      <c r="BH95" s="151">
        <v>41842</v>
      </c>
      <c r="BM95" s="204">
        <v>71.2</v>
      </c>
      <c r="BN95" s="151">
        <v>41842</v>
      </c>
      <c r="BQ95" s="205">
        <v>4.2</v>
      </c>
      <c r="BR95" s="151">
        <v>41842</v>
      </c>
      <c r="BS95" s="206">
        <v>47.8</v>
      </c>
      <c r="BT95" s="151">
        <v>41842</v>
      </c>
      <c r="BU95" s="207">
        <v>17.899999999999999</v>
      </c>
      <c r="BV95" s="151">
        <v>41842</v>
      </c>
      <c r="BW95" s="206">
        <v>67.3</v>
      </c>
      <c r="BX95" s="151">
        <v>41842</v>
      </c>
      <c r="BY95" s="210">
        <v>6.83</v>
      </c>
      <c r="BZ95" s="151">
        <v>41842</v>
      </c>
      <c r="CA95" s="206">
        <v>41.5</v>
      </c>
      <c r="CB95" s="151">
        <v>41842</v>
      </c>
      <c r="CC95" s="208">
        <v>6.1</v>
      </c>
      <c r="CD95" s="151">
        <v>41838</v>
      </c>
      <c r="CL95" s="209">
        <v>3</v>
      </c>
      <c r="CM95" s="201">
        <v>41810</v>
      </c>
    </row>
    <row r="96" spans="1:91" ht="15">
      <c r="A96" s="152" t="s">
        <v>7885</v>
      </c>
      <c r="B96" s="110" t="s">
        <v>235</v>
      </c>
      <c r="C96" s="110" t="s">
        <v>8081</v>
      </c>
      <c r="D96" s="110">
        <v>11308</v>
      </c>
      <c r="E96" s="111">
        <v>10</v>
      </c>
      <c r="F96" s="111">
        <v>557</v>
      </c>
      <c r="K96" s="134">
        <v>5</v>
      </c>
      <c r="L96" s="151">
        <v>41701</v>
      </c>
      <c r="M96" s="169">
        <v>4.25</v>
      </c>
      <c r="N96" s="151">
        <v>41838</v>
      </c>
      <c r="Q96" s="497"/>
      <c r="S96" s="134">
        <v>16.73</v>
      </c>
      <c r="T96" s="151">
        <v>41842</v>
      </c>
      <c r="U96" s="134">
        <v>13.5</v>
      </c>
      <c r="V96" s="151">
        <v>41838</v>
      </c>
      <c r="W96" s="196">
        <v>9</v>
      </c>
      <c r="X96" s="151">
        <v>41829</v>
      </c>
      <c r="Y96" s="134">
        <f t="shared" si="1"/>
        <v>4.6646600000000005</v>
      </c>
      <c r="AC96" s="134">
        <v>31.48</v>
      </c>
      <c r="AD96" s="151">
        <v>41838</v>
      </c>
      <c r="AE96" s="134">
        <v>32.619999999999997</v>
      </c>
      <c r="AF96" s="151">
        <v>41838</v>
      </c>
      <c r="AG96" s="197">
        <v>4.2</v>
      </c>
      <c r="AH96" s="151">
        <v>41843</v>
      </c>
      <c r="AI96" s="198">
        <v>7</v>
      </c>
      <c r="AJ96" s="151">
        <v>41778</v>
      </c>
      <c r="AK96" s="199">
        <v>4</v>
      </c>
      <c r="AL96" s="151">
        <v>41709</v>
      </c>
      <c r="BE96" s="200">
        <v>4</v>
      </c>
      <c r="BF96" s="201">
        <v>41555</v>
      </c>
      <c r="BG96" s="202">
        <v>44.4</v>
      </c>
      <c r="BH96" s="151">
        <v>41842</v>
      </c>
      <c r="BM96" s="204">
        <v>72.3</v>
      </c>
      <c r="BN96" s="151">
        <v>41842</v>
      </c>
      <c r="BQ96" s="205">
        <v>2.6</v>
      </c>
      <c r="BR96" s="151">
        <v>41842</v>
      </c>
      <c r="BS96" s="206">
        <v>51.3</v>
      </c>
      <c r="BT96" s="151">
        <v>41842</v>
      </c>
      <c r="BU96" s="207">
        <v>14.3</v>
      </c>
      <c r="BV96" s="151">
        <v>41842</v>
      </c>
      <c r="BW96" s="206">
        <v>50.6</v>
      </c>
      <c r="BX96" s="151">
        <v>41842</v>
      </c>
      <c r="BY96" s="210">
        <v>6.93</v>
      </c>
      <c r="BZ96" s="151">
        <v>41842</v>
      </c>
      <c r="CA96" s="206">
        <v>35.9</v>
      </c>
      <c r="CB96" s="151">
        <v>41842</v>
      </c>
      <c r="CC96" s="208">
        <v>5.7</v>
      </c>
      <c r="CD96" s="151">
        <v>41838</v>
      </c>
      <c r="CL96" s="209">
        <v>3</v>
      </c>
      <c r="CM96" s="201">
        <v>41810</v>
      </c>
    </row>
    <row r="97" spans="1:91" ht="15">
      <c r="A97" s="152" t="s">
        <v>7885</v>
      </c>
      <c r="B97" s="110" t="s">
        <v>233</v>
      </c>
      <c r="C97" s="110" t="s">
        <v>8083</v>
      </c>
      <c r="D97" s="110">
        <v>11813</v>
      </c>
      <c r="E97" s="111">
        <v>12</v>
      </c>
      <c r="F97" s="111">
        <v>709</v>
      </c>
      <c r="K97" s="191">
        <v>3</v>
      </c>
      <c r="L97" s="151">
        <v>41701</v>
      </c>
      <c r="M97" s="169">
        <v>3.2</v>
      </c>
      <c r="N97" s="151">
        <v>41838</v>
      </c>
      <c r="Q97" s="497"/>
      <c r="S97" s="134">
        <v>12.45</v>
      </c>
      <c r="T97" s="151">
        <v>41842</v>
      </c>
      <c r="U97" s="134">
        <v>13.5</v>
      </c>
      <c r="V97" s="151">
        <v>41838</v>
      </c>
      <c r="W97" s="196">
        <v>1</v>
      </c>
      <c r="X97" s="151">
        <v>41829</v>
      </c>
      <c r="Y97" s="134">
        <f t="shared" si="1"/>
        <v>3.7085599999999999</v>
      </c>
      <c r="AC97" s="134">
        <v>23.7</v>
      </c>
      <c r="AD97" s="151">
        <v>41838</v>
      </c>
      <c r="AE97" s="134">
        <v>24.56</v>
      </c>
      <c r="AF97" s="151">
        <v>41838</v>
      </c>
      <c r="AG97" s="197">
        <v>4.7</v>
      </c>
      <c r="AH97" s="151">
        <v>41843</v>
      </c>
      <c r="AI97" s="198">
        <v>7</v>
      </c>
      <c r="AJ97" s="151">
        <v>41778</v>
      </c>
      <c r="AK97" s="199">
        <v>4</v>
      </c>
      <c r="AL97" s="151">
        <v>41709</v>
      </c>
      <c r="BE97" s="200">
        <v>4</v>
      </c>
      <c r="BF97" s="201">
        <v>41555</v>
      </c>
      <c r="BG97" s="202">
        <v>43.7</v>
      </c>
      <c r="BH97" s="151">
        <v>41842</v>
      </c>
      <c r="BM97" s="204">
        <v>73</v>
      </c>
      <c r="BN97" s="151">
        <v>41842</v>
      </c>
      <c r="BQ97" s="205">
        <v>3.3</v>
      </c>
      <c r="BR97" s="151">
        <v>41842</v>
      </c>
      <c r="BS97" s="206">
        <v>50.7</v>
      </c>
      <c r="BT97" s="151">
        <v>41842</v>
      </c>
      <c r="BU97" s="207">
        <v>15.1</v>
      </c>
      <c r="BV97" s="151">
        <v>41842</v>
      </c>
      <c r="BW97" s="206">
        <v>59.2</v>
      </c>
      <c r="BX97" s="151">
        <v>41842</v>
      </c>
      <c r="BY97" s="210">
        <v>7.04</v>
      </c>
      <c r="BZ97" s="151">
        <v>41842</v>
      </c>
      <c r="CA97" s="206">
        <v>37.5</v>
      </c>
      <c r="CB97" s="151">
        <v>41842</v>
      </c>
      <c r="CC97" s="208">
        <v>5.7</v>
      </c>
      <c r="CD97" s="151">
        <v>41838</v>
      </c>
      <c r="CL97" s="209">
        <v>3</v>
      </c>
      <c r="CM97" s="201">
        <v>41810</v>
      </c>
    </row>
    <row r="98" spans="1:91" ht="15">
      <c r="A98" s="152" t="s">
        <v>7886</v>
      </c>
      <c r="B98" s="110" t="s">
        <v>235</v>
      </c>
      <c r="C98" s="110" t="s">
        <v>8082</v>
      </c>
      <c r="D98" s="110">
        <v>11408</v>
      </c>
      <c r="E98" s="111">
        <v>1</v>
      </c>
      <c r="F98" s="111">
        <v>673</v>
      </c>
      <c r="I98" s="373"/>
      <c r="K98" s="194">
        <v>5</v>
      </c>
      <c r="L98" s="151">
        <v>41701</v>
      </c>
      <c r="M98" s="169">
        <v>3.5</v>
      </c>
      <c r="N98" s="151">
        <v>41838</v>
      </c>
      <c r="Q98" s="497"/>
      <c r="S98" s="134">
        <v>13.25</v>
      </c>
      <c r="T98" s="151">
        <v>41842</v>
      </c>
      <c r="U98" s="194">
        <v>13.5</v>
      </c>
      <c r="V98" s="151">
        <v>41838</v>
      </c>
      <c r="W98" s="196">
        <v>1</v>
      </c>
      <c r="X98" s="151">
        <v>41829</v>
      </c>
      <c r="Y98" s="134">
        <f t="shared" si="1"/>
        <v>3.9590000000000005</v>
      </c>
      <c r="AA98" s="194"/>
      <c r="AC98" s="194">
        <v>25.93</v>
      </c>
      <c r="AD98" s="151">
        <v>41838</v>
      </c>
      <c r="AE98" s="137">
        <v>26.75</v>
      </c>
      <c r="AF98" s="151">
        <v>41838</v>
      </c>
      <c r="AG98" s="197">
        <v>4.5999999999999996</v>
      </c>
      <c r="AH98" s="151">
        <v>41843</v>
      </c>
      <c r="AI98" s="198">
        <v>5</v>
      </c>
      <c r="AJ98" s="151">
        <v>41778</v>
      </c>
      <c r="AK98" s="199">
        <v>5</v>
      </c>
      <c r="AL98" s="151">
        <v>41709</v>
      </c>
      <c r="AM98" s="194"/>
      <c r="BE98" s="200">
        <v>5</v>
      </c>
      <c r="BF98" s="201">
        <v>41555</v>
      </c>
      <c r="BG98" s="202">
        <v>40.700000000000003</v>
      </c>
      <c r="BH98" s="151">
        <v>41842</v>
      </c>
      <c r="BM98" s="204">
        <v>71.3</v>
      </c>
      <c r="BN98" s="151">
        <v>41842</v>
      </c>
      <c r="BQ98" s="205">
        <v>4.0999999999999996</v>
      </c>
      <c r="BR98" s="151">
        <v>41842</v>
      </c>
      <c r="BS98" s="206">
        <v>49.5</v>
      </c>
      <c r="BT98" s="151">
        <v>41842</v>
      </c>
      <c r="BU98" s="207">
        <v>14.8</v>
      </c>
      <c r="BV98" s="151">
        <v>41842</v>
      </c>
      <c r="BW98" s="206">
        <v>63.6</v>
      </c>
      <c r="BX98" s="151">
        <v>41842</v>
      </c>
      <c r="BY98" s="210">
        <v>6.38</v>
      </c>
      <c r="BZ98" s="151">
        <v>41842</v>
      </c>
      <c r="CA98" s="206">
        <v>35.700000000000003</v>
      </c>
      <c r="CB98" s="151">
        <v>41842</v>
      </c>
      <c r="CC98" s="208">
        <v>6.1</v>
      </c>
      <c r="CD98" s="151">
        <v>41838</v>
      </c>
      <c r="CL98" s="209">
        <v>7</v>
      </c>
      <c r="CM98" s="201">
        <v>41810</v>
      </c>
    </row>
    <row r="99" spans="1:91" ht="15">
      <c r="A99" s="152" t="s">
        <v>7886</v>
      </c>
      <c r="B99" s="110" t="s">
        <v>233</v>
      </c>
      <c r="C99" s="110" t="s">
        <v>381</v>
      </c>
      <c r="D99" s="110">
        <v>11144</v>
      </c>
      <c r="E99" s="111">
        <v>6</v>
      </c>
      <c r="F99" s="111">
        <v>477</v>
      </c>
      <c r="K99" s="134">
        <v>5</v>
      </c>
      <c r="L99" s="151">
        <v>41701</v>
      </c>
      <c r="M99" s="169">
        <v>3.2</v>
      </c>
      <c r="N99" s="151">
        <v>41838</v>
      </c>
      <c r="Q99" s="497"/>
      <c r="S99" s="134">
        <v>11.98</v>
      </c>
      <c r="T99" s="151">
        <v>41842</v>
      </c>
      <c r="U99" s="134">
        <v>13.5</v>
      </c>
      <c r="V99" s="151">
        <v>41838</v>
      </c>
      <c r="W99" s="196">
        <v>9</v>
      </c>
      <c r="X99" s="151">
        <v>41829</v>
      </c>
      <c r="Y99" s="134">
        <f t="shared" si="1"/>
        <v>3.6859100000000002</v>
      </c>
      <c r="AC99" s="134">
        <v>23.7</v>
      </c>
      <c r="AD99" s="151">
        <v>41838</v>
      </c>
      <c r="AE99" s="134">
        <v>24.41</v>
      </c>
      <c r="AF99" s="151">
        <v>41838</v>
      </c>
      <c r="AG99" s="197">
        <v>4.5999999999999996</v>
      </c>
      <c r="AH99" s="151">
        <v>41843</v>
      </c>
      <c r="AI99" s="198">
        <v>5</v>
      </c>
      <c r="AJ99" s="151">
        <v>41778</v>
      </c>
      <c r="AK99" s="199">
        <v>5</v>
      </c>
      <c r="AL99" s="151">
        <v>41709</v>
      </c>
      <c r="BE99" s="200">
        <v>5</v>
      </c>
      <c r="BF99" s="201">
        <v>41555</v>
      </c>
      <c r="BG99" s="202">
        <v>40.6</v>
      </c>
      <c r="BH99" s="151">
        <v>41842</v>
      </c>
      <c r="BM99" s="204">
        <v>72.3</v>
      </c>
      <c r="BN99" s="151">
        <v>41842</v>
      </c>
      <c r="BQ99" s="205">
        <v>4.5</v>
      </c>
      <c r="BR99" s="151">
        <v>41842</v>
      </c>
      <c r="BS99" s="206">
        <v>49.1</v>
      </c>
      <c r="BT99" s="151">
        <v>41842</v>
      </c>
      <c r="BU99" s="207">
        <v>15.1</v>
      </c>
      <c r="BV99" s="151">
        <v>41842</v>
      </c>
      <c r="BW99" s="206">
        <v>60.6</v>
      </c>
      <c r="BX99" s="151">
        <v>41842</v>
      </c>
      <c r="BY99" s="210">
        <v>6.32</v>
      </c>
      <c r="BZ99" s="151">
        <v>41842</v>
      </c>
      <c r="CA99" s="206">
        <v>36.1</v>
      </c>
      <c r="CB99" s="151">
        <v>41842</v>
      </c>
      <c r="CC99" s="208">
        <v>6.3</v>
      </c>
      <c r="CD99" s="151">
        <v>41838</v>
      </c>
      <c r="CL99" s="209">
        <v>7</v>
      </c>
      <c r="CM99" s="201">
        <v>41810</v>
      </c>
    </row>
    <row r="100" spans="1:91" ht="15">
      <c r="A100" s="152" t="s">
        <v>7886</v>
      </c>
      <c r="B100" s="110" t="s">
        <v>235</v>
      </c>
      <c r="C100" s="110" t="s">
        <v>8081</v>
      </c>
      <c r="D100" s="110">
        <v>11283</v>
      </c>
      <c r="E100" s="111">
        <v>9</v>
      </c>
      <c r="F100" s="111">
        <v>601</v>
      </c>
      <c r="K100" s="134">
        <v>5</v>
      </c>
      <c r="L100" s="151">
        <v>41701</v>
      </c>
      <c r="M100" s="169">
        <v>4.1500000000000004</v>
      </c>
      <c r="N100" s="151">
        <v>41838</v>
      </c>
      <c r="Q100" s="497"/>
      <c r="S100" s="134">
        <v>15.5</v>
      </c>
      <c r="T100" s="151">
        <v>41842</v>
      </c>
      <c r="U100" s="134">
        <v>13.5</v>
      </c>
      <c r="V100" s="151">
        <v>41838</v>
      </c>
      <c r="W100" s="196">
        <v>9</v>
      </c>
      <c r="X100" s="151">
        <v>41829</v>
      </c>
      <c r="Y100" s="134">
        <f t="shared" si="1"/>
        <v>4.8107999999999995</v>
      </c>
      <c r="AC100" s="134">
        <v>30.74</v>
      </c>
      <c r="AD100" s="151">
        <v>41838</v>
      </c>
      <c r="AE100" s="134">
        <v>31.65</v>
      </c>
      <c r="AF100" s="151">
        <v>41838</v>
      </c>
      <c r="AG100" s="197">
        <v>4.5999999999999996</v>
      </c>
      <c r="AH100" s="151">
        <v>41843</v>
      </c>
      <c r="AI100" s="198">
        <v>5</v>
      </c>
      <c r="AJ100" s="151">
        <v>41778</v>
      </c>
      <c r="AK100" s="199">
        <v>5</v>
      </c>
      <c r="AL100" s="151">
        <v>41709</v>
      </c>
      <c r="BE100" s="200">
        <v>5</v>
      </c>
      <c r="BF100" s="201">
        <v>41555</v>
      </c>
      <c r="BG100" s="202">
        <v>39.6</v>
      </c>
      <c r="BH100" s="151">
        <v>41842</v>
      </c>
      <c r="BM100" s="204">
        <v>72.3</v>
      </c>
      <c r="BN100" s="151">
        <v>41842</v>
      </c>
      <c r="BQ100" s="205">
        <v>4.5999999999999996</v>
      </c>
      <c r="BR100" s="151">
        <v>41842</v>
      </c>
      <c r="BS100" s="206">
        <v>49</v>
      </c>
      <c r="BT100" s="151">
        <v>41842</v>
      </c>
      <c r="BU100" s="207">
        <v>15.2</v>
      </c>
      <c r="BV100" s="151">
        <v>41842</v>
      </c>
      <c r="BW100" s="206">
        <v>59.1</v>
      </c>
      <c r="BX100" s="151">
        <v>41842</v>
      </c>
      <c r="BY100" s="210">
        <v>6.46</v>
      </c>
      <c r="BZ100" s="151">
        <v>41842</v>
      </c>
      <c r="CA100" s="206">
        <v>36.200000000000003</v>
      </c>
      <c r="CB100" s="151">
        <v>41842</v>
      </c>
      <c r="CC100" s="208">
        <v>6.3</v>
      </c>
      <c r="CD100" s="151">
        <v>41838</v>
      </c>
      <c r="CL100" s="209">
        <v>7</v>
      </c>
      <c r="CM100" s="201">
        <v>41810</v>
      </c>
    </row>
    <row r="101" spans="1:91" ht="15">
      <c r="A101" s="152" t="s">
        <v>7886</v>
      </c>
      <c r="B101" s="110" t="s">
        <v>233</v>
      </c>
      <c r="C101" s="110" t="s">
        <v>8083</v>
      </c>
      <c r="D101" s="110">
        <v>11740</v>
      </c>
      <c r="E101" s="111">
        <v>10</v>
      </c>
      <c r="F101" s="111">
        <v>705</v>
      </c>
      <c r="K101" s="191">
        <v>3</v>
      </c>
      <c r="L101" s="151">
        <v>41701</v>
      </c>
      <c r="M101" s="169">
        <v>3.35</v>
      </c>
      <c r="N101" s="151">
        <v>41838</v>
      </c>
      <c r="Q101" s="497"/>
      <c r="S101" s="134">
        <v>12.79</v>
      </c>
      <c r="T101" s="151">
        <v>41842</v>
      </c>
      <c r="U101" s="134">
        <v>13.5</v>
      </c>
      <c r="V101" s="151">
        <v>41838</v>
      </c>
      <c r="W101" s="196">
        <v>1</v>
      </c>
      <c r="X101" s="151">
        <v>41829</v>
      </c>
      <c r="Y101" s="134">
        <f t="shared" si="1"/>
        <v>3.65082</v>
      </c>
      <c r="AC101" s="134">
        <v>24.81</v>
      </c>
      <c r="AD101" s="151">
        <v>41838</v>
      </c>
      <c r="AE101" s="134">
        <v>25.71</v>
      </c>
      <c r="AF101" s="151">
        <v>41838</v>
      </c>
      <c r="AG101" s="197">
        <v>4.5</v>
      </c>
      <c r="AH101" s="151">
        <v>41843</v>
      </c>
      <c r="AI101" s="198">
        <v>5</v>
      </c>
      <c r="AJ101" s="151">
        <v>41778</v>
      </c>
      <c r="AK101" s="199">
        <v>5</v>
      </c>
      <c r="AL101" s="151">
        <v>41709</v>
      </c>
      <c r="BE101" s="200">
        <v>5</v>
      </c>
      <c r="BF101" s="201">
        <v>41555</v>
      </c>
      <c r="BG101" s="202">
        <v>38.6</v>
      </c>
      <c r="BH101" s="151">
        <v>41842</v>
      </c>
      <c r="BM101" s="204">
        <v>71.900000000000006</v>
      </c>
      <c r="BN101" s="151">
        <v>41842</v>
      </c>
      <c r="BQ101" s="205">
        <v>4.4000000000000004</v>
      </c>
      <c r="BR101" s="151">
        <v>41842</v>
      </c>
      <c r="BS101" s="206">
        <v>49.7</v>
      </c>
      <c r="BT101" s="151">
        <v>41842</v>
      </c>
      <c r="BU101" s="207">
        <v>14.2</v>
      </c>
      <c r="BV101" s="151">
        <v>41842</v>
      </c>
      <c r="BW101" s="206">
        <v>58.3</v>
      </c>
      <c r="BX101" s="151">
        <v>41842</v>
      </c>
      <c r="BY101" s="210">
        <v>6.45</v>
      </c>
      <c r="BZ101" s="151">
        <v>41842</v>
      </c>
      <c r="CA101" s="206">
        <v>34.4</v>
      </c>
      <c r="CB101" s="151">
        <v>41842</v>
      </c>
      <c r="CC101" s="208">
        <v>5.7</v>
      </c>
      <c r="CD101" s="151">
        <v>41838</v>
      </c>
      <c r="CL101" s="209">
        <v>7</v>
      </c>
      <c r="CM101" s="201">
        <v>41810</v>
      </c>
    </row>
    <row r="102" spans="1:91" ht="15">
      <c r="A102" s="152" t="s">
        <v>7887</v>
      </c>
      <c r="B102" s="110" t="s">
        <v>233</v>
      </c>
      <c r="C102" s="110" t="s">
        <v>381</v>
      </c>
      <c r="D102" s="110">
        <v>11024</v>
      </c>
      <c r="E102" s="111">
        <v>2</v>
      </c>
      <c r="F102" s="111">
        <v>573</v>
      </c>
      <c r="K102" s="134">
        <v>5</v>
      </c>
      <c r="L102" s="151">
        <v>41701</v>
      </c>
      <c r="M102" s="169">
        <v>2.6</v>
      </c>
      <c r="N102" s="151">
        <v>41838</v>
      </c>
      <c r="Q102" s="497"/>
      <c r="S102" s="134">
        <v>9.66</v>
      </c>
      <c r="T102" s="151">
        <v>41842</v>
      </c>
      <c r="U102" s="134">
        <v>13.5</v>
      </c>
      <c r="V102" s="151">
        <v>41838</v>
      </c>
      <c r="W102" s="196">
        <v>9</v>
      </c>
      <c r="X102" s="151">
        <v>41829</v>
      </c>
      <c r="Y102" s="134">
        <f t="shared" si="1"/>
        <v>2.98</v>
      </c>
      <c r="AC102" s="134">
        <v>19.260000000000002</v>
      </c>
      <c r="AD102" s="151">
        <v>41838</v>
      </c>
      <c r="AE102" s="134">
        <v>20</v>
      </c>
      <c r="AF102" s="151">
        <v>41838</v>
      </c>
      <c r="AG102" s="197">
        <v>3.9</v>
      </c>
      <c r="AH102" s="151">
        <v>41843</v>
      </c>
      <c r="AI102" s="198">
        <v>1</v>
      </c>
      <c r="AJ102" s="151">
        <v>41778</v>
      </c>
      <c r="AK102" s="199">
        <v>7</v>
      </c>
      <c r="AL102" s="151">
        <v>41709</v>
      </c>
      <c r="BE102" s="200">
        <v>7</v>
      </c>
      <c r="BF102" s="201">
        <v>41555</v>
      </c>
      <c r="BG102" s="202">
        <v>40.1</v>
      </c>
      <c r="BH102" s="151">
        <v>41842</v>
      </c>
      <c r="BM102" s="204">
        <v>68.900000000000006</v>
      </c>
      <c r="BN102" s="151">
        <v>41842</v>
      </c>
      <c r="BQ102" s="205">
        <v>6.7</v>
      </c>
      <c r="BR102" s="151">
        <v>41842</v>
      </c>
      <c r="BS102" s="206">
        <v>48.3</v>
      </c>
      <c r="BT102" s="151">
        <v>41842</v>
      </c>
      <c r="BU102" s="207">
        <v>14.9</v>
      </c>
      <c r="BV102" s="151">
        <v>41842</v>
      </c>
      <c r="BW102" s="206">
        <v>60.8</v>
      </c>
      <c r="BX102" s="151">
        <v>41842</v>
      </c>
      <c r="BY102" s="210">
        <v>7.31</v>
      </c>
      <c r="BZ102" s="151">
        <v>41842</v>
      </c>
      <c r="CA102" s="206">
        <v>34.9</v>
      </c>
      <c r="CB102" s="151">
        <v>41842</v>
      </c>
      <c r="CC102" s="208">
        <v>5.5</v>
      </c>
      <c r="CD102" s="151">
        <v>41838</v>
      </c>
      <c r="CL102" s="209">
        <v>3</v>
      </c>
      <c r="CM102" s="201">
        <v>41810</v>
      </c>
    </row>
    <row r="103" spans="1:91" ht="15">
      <c r="A103" s="152" t="s">
        <v>7887</v>
      </c>
      <c r="B103" s="110" t="s">
        <v>235</v>
      </c>
      <c r="C103" s="110" t="s">
        <v>8082</v>
      </c>
      <c r="D103" s="110">
        <v>11603</v>
      </c>
      <c r="E103" s="111">
        <v>6</v>
      </c>
      <c r="F103" s="111">
        <v>733</v>
      </c>
      <c r="K103" s="134">
        <v>5</v>
      </c>
      <c r="L103" s="151">
        <v>41701</v>
      </c>
      <c r="M103" s="169">
        <v>3.9</v>
      </c>
      <c r="N103" s="151">
        <v>41838</v>
      </c>
      <c r="Q103" s="497"/>
      <c r="S103" s="134">
        <v>14.19</v>
      </c>
      <c r="T103" s="151">
        <v>41842</v>
      </c>
      <c r="U103" s="134">
        <v>13.5</v>
      </c>
      <c r="V103" s="151">
        <v>41838</v>
      </c>
      <c r="W103" s="196">
        <v>9</v>
      </c>
      <c r="X103" s="151">
        <v>41829</v>
      </c>
      <c r="Y103" s="134">
        <f t="shared" si="1"/>
        <v>4.6004000000000005</v>
      </c>
      <c r="AC103" s="134">
        <v>28.89</v>
      </c>
      <c r="AD103" s="151">
        <v>41838</v>
      </c>
      <c r="AE103" s="134">
        <v>29.68</v>
      </c>
      <c r="AF103" s="151">
        <v>41838</v>
      </c>
      <c r="AG103" s="197">
        <v>4.0999999999999996</v>
      </c>
      <c r="AH103" s="151">
        <v>41843</v>
      </c>
      <c r="AI103" s="198">
        <v>3</v>
      </c>
      <c r="AJ103" s="151">
        <v>41778</v>
      </c>
      <c r="AK103" s="199">
        <v>5</v>
      </c>
      <c r="AL103" s="151">
        <v>41709</v>
      </c>
      <c r="BE103" s="200">
        <v>5</v>
      </c>
      <c r="BF103" s="201">
        <v>41555</v>
      </c>
      <c r="BG103" s="202">
        <v>41.3</v>
      </c>
      <c r="BH103" s="151">
        <v>41842</v>
      </c>
      <c r="BM103" s="204">
        <v>69.3</v>
      </c>
      <c r="BN103" s="151">
        <v>41842</v>
      </c>
      <c r="BQ103" s="205">
        <v>5.2</v>
      </c>
      <c r="BR103" s="151">
        <v>41842</v>
      </c>
      <c r="BS103" s="206">
        <v>47.8</v>
      </c>
      <c r="BT103" s="151">
        <v>41842</v>
      </c>
      <c r="BU103" s="207">
        <v>15.5</v>
      </c>
      <c r="BV103" s="151">
        <v>41842</v>
      </c>
      <c r="BW103" s="206">
        <v>59.3</v>
      </c>
      <c r="BX103" s="151">
        <v>41842</v>
      </c>
      <c r="BY103" s="210">
        <v>7.47</v>
      </c>
      <c r="BZ103" s="151">
        <v>41842</v>
      </c>
      <c r="CA103" s="206">
        <v>35.799999999999997</v>
      </c>
      <c r="CB103" s="151">
        <v>41842</v>
      </c>
      <c r="CC103" s="208">
        <v>6.5</v>
      </c>
      <c r="CD103" s="151">
        <v>41838</v>
      </c>
      <c r="CL103" s="209">
        <v>3</v>
      </c>
      <c r="CM103" s="201">
        <v>41810</v>
      </c>
    </row>
    <row r="104" spans="1:91" ht="15">
      <c r="A104" s="152" t="s">
        <v>7887</v>
      </c>
      <c r="B104" s="110" t="s">
        <v>233</v>
      </c>
      <c r="C104" s="110" t="s">
        <v>8083</v>
      </c>
      <c r="D104" s="110">
        <v>11620</v>
      </c>
      <c r="E104" s="111">
        <v>7</v>
      </c>
      <c r="F104" s="111">
        <v>657</v>
      </c>
      <c r="K104" s="134">
        <v>5</v>
      </c>
      <c r="L104" s="151">
        <v>41701</v>
      </c>
      <c r="M104" s="169">
        <v>2.65</v>
      </c>
      <c r="N104" s="151">
        <v>41838</v>
      </c>
      <c r="Q104" s="497"/>
      <c r="S104" s="134">
        <v>10.119999999999999</v>
      </c>
      <c r="T104" s="151">
        <v>41842</v>
      </c>
      <c r="U104" s="134">
        <v>13.5</v>
      </c>
      <c r="V104" s="151">
        <v>41838</v>
      </c>
      <c r="W104" s="196">
        <v>9</v>
      </c>
      <c r="X104" s="151">
        <v>41829</v>
      </c>
      <c r="Y104" s="134">
        <f t="shared" si="1"/>
        <v>2.7961699999999996</v>
      </c>
      <c r="AC104" s="134">
        <v>19.63</v>
      </c>
      <c r="AD104" s="151">
        <v>41838</v>
      </c>
      <c r="AE104" s="134">
        <v>20.41</v>
      </c>
      <c r="AF104" s="151">
        <v>41838</v>
      </c>
      <c r="AG104" s="197">
        <v>4.3</v>
      </c>
      <c r="AH104" s="151">
        <v>41843</v>
      </c>
      <c r="AI104" s="198">
        <v>3</v>
      </c>
      <c r="AJ104" s="151">
        <v>41778</v>
      </c>
      <c r="AK104" s="199">
        <v>5</v>
      </c>
      <c r="AL104" s="151">
        <v>41709</v>
      </c>
      <c r="BE104" s="200">
        <v>5</v>
      </c>
      <c r="BF104" s="201">
        <v>41555</v>
      </c>
      <c r="BG104" s="202">
        <v>33.6</v>
      </c>
      <c r="BH104" s="151">
        <v>41842</v>
      </c>
      <c r="BM104" s="204">
        <v>68.900000000000006</v>
      </c>
      <c r="BN104" s="151">
        <v>41842</v>
      </c>
      <c r="BQ104" s="205">
        <v>5.7</v>
      </c>
      <c r="BR104" s="151">
        <v>41842</v>
      </c>
      <c r="BS104" s="206">
        <v>49.6</v>
      </c>
      <c r="BT104" s="151">
        <v>41842</v>
      </c>
      <c r="BU104" s="207">
        <v>13.7</v>
      </c>
      <c r="BV104" s="151">
        <v>41842</v>
      </c>
      <c r="BW104" s="206">
        <v>50.9</v>
      </c>
      <c r="BX104" s="151">
        <v>41842</v>
      </c>
      <c r="BY104" s="210">
        <v>7.46</v>
      </c>
      <c r="BZ104" s="151">
        <v>41842</v>
      </c>
      <c r="CA104" s="206">
        <v>33</v>
      </c>
      <c r="CB104" s="151">
        <v>41842</v>
      </c>
      <c r="CC104" s="208">
        <v>5.4</v>
      </c>
      <c r="CD104" s="151">
        <v>41838</v>
      </c>
      <c r="CL104" s="209">
        <v>3</v>
      </c>
      <c r="CM104" s="201">
        <v>41810</v>
      </c>
    </row>
    <row r="105" spans="1:91" ht="15">
      <c r="A105" s="152" t="s">
        <v>7887</v>
      </c>
      <c r="B105" s="110" t="s">
        <v>235</v>
      </c>
      <c r="C105" s="110" t="s">
        <v>8081</v>
      </c>
      <c r="D105" s="110">
        <v>11243</v>
      </c>
      <c r="E105" s="111">
        <v>8</v>
      </c>
      <c r="F105" s="111">
        <v>585</v>
      </c>
      <c r="K105" s="134">
        <v>5</v>
      </c>
      <c r="L105" s="151">
        <v>41701</v>
      </c>
      <c r="M105" s="169">
        <v>3.25</v>
      </c>
      <c r="N105" s="151">
        <v>41838</v>
      </c>
      <c r="Q105" s="497"/>
      <c r="S105" s="134">
        <v>11.88</v>
      </c>
      <c r="T105" s="151">
        <v>41842</v>
      </c>
      <c r="U105" s="134">
        <v>13.5</v>
      </c>
      <c r="V105" s="151">
        <v>41838</v>
      </c>
      <c r="W105" s="196">
        <v>9</v>
      </c>
      <c r="X105" s="151">
        <v>41829</v>
      </c>
      <c r="Y105" s="134">
        <f t="shared" si="1"/>
        <v>3.96705</v>
      </c>
      <c r="AC105" s="134">
        <v>24.07</v>
      </c>
      <c r="AD105" s="151">
        <v>41838</v>
      </c>
      <c r="AE105" s="134">
        <v>24.95</v>
      </c>
      <c r="AF105" s="151">
        <v>41838</v>
      </c>
      <c r="AG105" s="197">
        <v>3.8</v>
      </c>
      <c r="AH105" s="151">
        <v>41843</v>
      </c>
      <c r="AI105" s="198">
        <v>3</v>
      </c>
      <c r="AJ105" s="151">
        <v>41778</v>
      </c>
      <c r="AK105" s="199">
        <v>5</v>
      </c>
      <c r="AL105" s="151">
        <v>41709</v>
      </c>
      <c r="BE105" s="200">
        <v>5</v>
      </c>
      <c r="BF105" s="201">
        <v>41555</v>
      </c>
      <c r="BG105" s="202">
        <v>46.4</v>
      </c>
      <c r="BH105" s="151">
        <v>41842</v>
      </c>
      <c r="BM105" s="204">
        <v>68.900000000000006</v>
      </c>
      <c r="BN105" s="151">
        <v>41842</v>
      </c>
      <c r="BQ105" s="205">
        <v>5.4</v>
      </c>
      <c r="BR105" s="151">
        <v>41842</v>
      </c>
      <c r="BS105" s="206">
        <v>47.6</v>
      </c>
      <c r="BT105" s="151">
        <v>41842</v>
      </c>
      <c r="BU105" s="207">
        <v>15.9</v>
      </c>
      <c r="BV105" s="151">
        <v>41842</v>
      </c>
      <c r="BW105" s="206">
        <v>66.5</v>
      </c>
      <c r="BX105" s="151">
        <v>41842</v>
      </c>
      <c r="BY105" s="210">
        <v>7.49</v>
      </c>
      <c r="BZ105" s="151">
        <v>41842</v>
      </c>
      <c r="CA105" s="206">
        <v>36.6</v>
      </c>
      <c r="CB105" s="151">
        <v>41842</v>
      </c>
      <c r="CC105" s="208">
        <v>5.7</v>
      </c>
      <c r="CD105" s="151">
        <v>41838</v>
      </c>
      <c r="CL105" s="209">
        <v>3</v>
      </c>
      <c r="CM105" s="201">
        <v>41810</v>
      </c>
    </row>
    <row r="106" spans="1:91" ht="15">
      <c r="A106" s="152" t="s">
        <v>7888</v>
      </c>
      <c r="B106" s="110" t="s">
        <v>233</v>
      </c>
      <c r="C106" s="110" t="s">
        <v>381</v>
      </c>
      <c r="D106" s="110">
        <v>10989</v>
      </c>
      <c r="E106" s="111">
        <v>1</v>
      </c>
      <c r="F106" s="111">
        <v>577</v>
      </c>
      <c r="I106" s="373"/>
      <c r="K106" s="194">
        <v>5</v>
      </c>
      <c r="L106" s="151">
        <v>41701</v>
      </c>
      <c r="M106" s="169">
        <v>2.6</v>
      </c>
      <c r="N106" s="151">
        <v>41838</v>
      </c>
      <c r="Q106" s="497"/>
      <c r="S106" s="134">
        <v>9.3800000000000008</v>
      </c>
      <c r="T106" s="151">
        <v>41842</v>
      </c>
      <c r="U106" s="194">
        <v>13.5</v>
      </c>
      <c r="V106" s="151">
        <v>41838</v>
      </c>
      <c r="W106" s="196">
        <v>1</v>
      </c>
      <c r="X106" s="151">
        <v>41829</v>
      </c>
      <c r="Y106" s="134">
        <f t="shared" si="1"/>
        <v>3.2632600000000003</v>
      </c>
      <c r="AA106" s="194"/>
      <c r="AC106" s="194">
        <v>19.260000000000002</v>
      </c>
      <c r="AD106" s="151">
        <v>41838</v>
      </c>
      <c r="AE106" s="137">
        <v>20.02</v>
      </c>
      <c r="AF106" s="151">
        <v>41838</v>
      </c>
      <c r="AG106" s="197">
        <v>3.9</v>
      </c>
      <c r="AH106" s="151">
        <v>41843</v>
      </c>
      <c r="AI106" s="198">
        <v>1</v>
      </c>
      <c r="AJ106" s="151">
        <v>41778</v>
      </c>
      <c r="AK106" s="199">
        <v>5</v>
      </c>
      <c r="AL106" s="151">
        <v>41709</v>
      </c>
      <c r="AM106" s="194"/>
      <c r="BE106" s="200">
        <v>5</v>
      </c>
      <c r="BF106" s="201">
        <v>41555</v>
      </c>
      <c r="BG106" s="202">
        <v>33.1</v>
      </c>
      <c r="BH106" s="151">
        <v>41842</v>
      </c>
      <c r="BM106" s="204">
        <v>70.3</v>
      </c>
      <c r="BN106" s="151">
        <v>41842</v>
      </c>
      <c r="BQ106" s="205">
        <v>8.1</v>
      </c>
      <c r="BR106" s="151">
        <v>41842</v>
      </c>
      <c r="BS106" s="206">
        <v>46.9</v>
      </c>
      <c r="BT106" s="151">
        <v>41842</v>
      </c>
      <c r="BU106" s="207">
        <v>16.3</v>
      </c>
      <c r="BV106" s="151">
        <v>41842</v>
      </c>
      <c r="BW106" s="206">
        <v>64.2</v>
      </c>
      <c r="BX106" s="151">
        <v>41842</v>
      </c>
      <c r="BY106" s="210">
        <v>7.63</v>
      </c>
      <c r="BZ106" s="151">
        <v>41842</v>
      </c>
      <c r="CA106" s="206">
        <v>37</v>
      </c>
      <c r="CB106" s="151">
        <v>41842</v>
      </c>
      <c r="CC106" s="208">
        <v>5.4</v>
      </c>
      <c r="CD106" s="151">
        <v>41838</v>
      </c>
      <c r="CL106" s="209">
        <v>3</v>
      </c>
      <c r="CM106" s="201">
        <v>41810</v>
      </c>
    </row>
    <row r="107" spans="1:91" ht="15">
      <c r="A107" s="152" t="s">
        <v>7888</v>
      </c>
      <c r="B107" s="110" t="s">
        <v>235</v>
      </c>
      <c r="C107" s="110" t="s">
        <v>8082</v>
      </c>
      <c r="D107" s="110">
        <v>11592</v>
      </c>
      <c r="E107" s="111">
        <v>6</v>
      </c>
      <c r="F107" s="111">
        <v>689</v>
      </c>
      <c r="K107" s="134">
        <v>5</v>
      </c>
      <c r="L107" s="151">
        <v>41701</v>
      </c>
      <c r="M107" s="169">
        <v>2.9</v>
      </c>
      <c r="N107" s="151">
        <v>41838</v>
      </c>
      <c r="Q107" s="497"/>
      <c r="S107" s="134">
        <v>10.51</v>
      </c>
      <c r="T107" s="151">
        <v>41842</v>
      </c>
      <c r="U107" s="134">
        <v>13.5</v>
      </c>
      <c r="V107" s="151">
        <v>41838</v>
      </c>
      <c r="W107" s="196">
        <v>9</v>
      </c>
      <c r="X107" s="151">
        <v>41829</v>
      </c>
      <c r="Y107" s="134">
        <f t="shared" si="1"/>
        <v>3.8407599999999995</v>
      </c>
      <c r="AC107" s="134">
        <v>21.48</v>
      </c>
      <c r="AD107" s="151">
        <v>41838</v>
      </c>
      <c r="AE107" s="134">
        <v>22.33</v>
      </c>
      <c r="AF107" s="151">
        <v>41838</v>
      </c>
      <c r="AG107" s="197">
        <v>3.9</v>
      </c>
      <c r="AH107" s="151">
        <v>41843</v>
      </c>
      <c r="AI107" s="198">
        <v>1</v>
      </c>
      <c r="AJ107" s="151">
        <v>41778</v>
      </c>
      <c r="AK107" s="199">
        <v>5</v>
      </c>
      <c r="AL107" s="151">
        <v>41709</v>
      </c>
      <c r="BE107" s="200">
        <v>5</v>
      </c>
      <c r="BF107" s="201">
        <v>41555</v>
      </c>
      <c r="BG107" s="202">
        <v>41.7</v>
      </c>
      <c r="BH107" s="151">
        <v>41842</v>
      </c>
      <c r="BM107" s="204">
        <v>70</v>
      </c>
      <c r="BN107" s="151">
        <v>41842</v>
      </c>
      <c r="BQ107" s="205">
        <v>6.3</v>
      </c>
      <c r="BR107" s="151">
        <v>41842</v>
      </c>
      <c r="BS107" s="206">
        <v>47.1</v>
      </c>
      <c r="BT107" s="151">
        <v>41842</v>
      </c>
      <c r="BU107" s="207">
        <v>17.2</v>
      </c>
      <c r="BV107" s="151">
        <v>41842</v>
      </c>
      <c r="BW107" s="206">
        <v>73</v>
      </c>
      <c r="BX107" s="151">
        <v>41842</v>
      </c>
      <c r="BY107" s="210">
        <v>7.56</v>
      </c>
      <c r="BZ107" s="151">
        <v>41842</v>
      </c>
      <c r="CA107" s="206">
        <v>39.1</v>
      </c>
      <c r="CB107" s="151">
        <v>41842</v>
      </c>
      <c r="CC107" s="208">
        <v>5.4</v>
      </c>
      <c r="CD107" s="151">
        <v>41838</v>
      </c>
      <c r="CL107" s="209">
        <v>3</v>
      </c>
      <c r="CM107" s="201">
        <v>41810</v>
      </c>
    </row>
    <row r="108" spans="1:91" ht="15">
      <c r="A108" s="152" t="s">
        <v>7888</v>
      </c>
      <c r="B108" s="110" t="s">
        <v>235</v>
      </c>
      <c r="C108" s="110" t="s">
        <v>8081</v>
      </c>
      <c r="D108" s="110">
        <v>11266</v>
      </c>
      <c r="E108" s="111">
        <v>9</v>
      </c>
      <c r="F108" s="111">
        <v>533</v>
      </c>
      <c r="K108" s="134">
        <v>5</v>
      </c>
      <c r="L108" s="151">
        <v>41701</v>
      </c>
      <c r="M108" s="169">
        <v>3.3</v>
      </c>
      <c r="N108" s="151">
        <v>41838</v>
      </c>
      <c r="Q108" s="497"/>
      <c r="S108" s="134">
        <v>11.78</v>
      </c>
      <c r="T108" s="151">
        <v>41842</v>
      </c>
      <c r="U108" s="134">
        <v>13.5</v>
      </c>
      <c r="V108" s="151">
        <v>41838</v>
      </c>
      <c r="W108" s="196">
        <v>9</v>
      </c>
      <c r="X108" s="151">
        <v>41829</v>
      </c>
      <c r="Y108" s="134">
        <f t="shared" si="1"/>
        <v>4.5792000000000002</v>
      </c>
      <c r="AC108" s="134">
        <v>24.44</v>
      </c>
      <c r="AD108" s="151">
        <v>41838</v>
      </c>
      <c r="AE108" s="134">
        <v>25.44</v>
      </c>
      <c r="AF108" s="151">
        <v>41838</v>
      </c>
      <c r="AG108" s="197">
        <v>3.7</v>
      </c>
      <c r="AH108" s="151">
        <v>41843</v>
      </c>
      <c r="AI108" s="198">
        <v>5</v>
      </c>
      <c r="AJ108" s="151">
        <v>41778</v>
      </c>
      <c r="AK108" s="199">
        <v>5</v>
      </c>
      <c r="AL108" s="151">
        <v>41709</v>
      </c>
      <c r="BE108" s="200">
        <v>5</v>
      </c>
      <c r="BF108" s="201">
        <v>41555</v>
      </c>
      <c r="BG108" s="202">
        <v>40.9</v>
      </c>
      <c r="BH108" s="151">
        <v>41842</v>
      </c>
      <c r="BM108" s="204">
        <v>70.3</v>
      </c>
      <c r="BN108" s="151">
        <v>41842</v>
      </c>
      <c r="BQ108" s="205">
        <v>6.5</v>
      </c>
      <c r="BR108" s="151">
        <v>41842</v>
      </c>
      <c r="BS108" s="206">
        <v>46.3</v>
      </c>
      <c r="BT108" s="151">
        <v>41842</v>
      </c>
      <c r="BU108" s="207">
        <v>18</v>
      </c>
      <c r="BV108" s="151">
        <v>41842</v>
      </c>
      <c r="BW108" s="206">
        <v>78.900000000000006</v>
      </c>
      <c r="BX108" s="151">
        <v>41842</v>
      </c>
      <c r="BY108" s="210">
        <v>7.67</v>
      </c>
      <c r="BZ108" s="151">
        <v>41842</v>
      </c>
      <c r="CA108" s="206">
        <v>40.299999999999997</v>
      </c>
      <c r="CB108" s="151">
        <v>41842</v>
      </c>
      <c r="CC108" s="208">
        <v>5.3</v>
      </c>
      <c r="CD108" s="151">
        <v>41838</v>
      </c>
      <c r="CL108" s="209">
        <v>5</v>
      </c>
      <c r="CM108" s="201">
        <v>41810</v>
      </c>
    </row>
    <row r="109" spans="1:91" ht="15">
      <c r="A109" s="152" t="s">
        <v>7888</v>
      </c>
      <c r="B109" s="110" t="s">
        <v>233</v>
      </c>
      <c r="C109" s="110" t="s">
        <v>8083</v>
      </c>
      <c r="D109" s="110">
        <v>11702</v>
      </c>
      <c r="E109" s="111">
        <v>9</v>
      </c>
      <c r="F109" s="111">
        <v>697</v>
      </c>
      <c r="K109" s="134">
        <v>5</v>
      </c>
      <c r="L109" s="151">
        <v>41701</v>
      </c>
      <c r="M109" s="169">
        <v>2.15</v>
      </c>
      <c r="N109" s="151">
        <v>41838</v>
      </c>
      <c r="Q109" s="497"/>
      <c r="S109" s="134">
        <v>7.76</v>
      </c>
      <c r="T109" s="151">
        <v>41842</v>
      </c>
      <c r="U109" s="134">
        <v>13.5</v>
      </c>
      <c r="V109" s="151">
        <v>41838</v>
      </c>
      <c r="W109" s="196">
        <v>9</v>
      </c>
      <c r="X109" s="151">
        <v>41829</v>
      </c>
      <c r="Y109" s="134">
        <f t="shared" si="1"/>
        <v>2.8317600000000001</v>
      </c>
      <c r="AC109" s="134">
        <v>15.93</v>
      </c>
      <c r="AD109" s="151">
        <v>41838</v>
      </c>
      <c r="AE109" s="134">
        <v>16.559999999999999</v>
      </c>
      <c r="AF109" s="151">
        <v>41838</v>
      </c>
      <c r="AG109" s="197">
        <v>3.8</v>
      </c>
      <c r="AH109" s="151">
        <v>41843</v>
      </c>
      <c r="AI109" s="198">
        <v>1</v>
      </c>
      <c r="AJ109" s="151">
        <v>41778</v>
      </c>
      <c r="AK109" s="199">
        <v>5</v>
      </c>
      <c r="AL109" s="151">
        <v>41709</v>
      </c>
      <c r="BE109" s="200">
        <v>5</v>
      </c>
      <c r="BF109" s="201">
        <v>41555</v>
      </c>
      <c r="BG109" s="202">
        <v>37.299999999999997</v>
      </c>
      <c r="BH109" s="151">
        <v>41842</v>
      </c>
      <c r="BM109" s="204">
        <v>70</v>
      </c>
      <c r="BN109" s="151">
        <v>41842</v>
      </c>
      <c r="BQ109" s="205">
        <v>6.8</v>
      </c>
      <c r="BR109" s="151">
        <v>41842</v>
      </c>
      <c r="BS109" s="206">
        <v>46.9</v>
      </c>
      <c r="BT109" s="151">
        <v>41842</v>
      </c>
      <c r="BU109" s="207">
        <v>17.100000000000001</v>
      </c>
      <c r="BV109" s="151">
        <v>41842</v>
      </c>
      <c r="BW109" s="206">
        <v>71.2</v>
      </c>
      <c r="BX109" s="151">
        <v>41842</v>
      </c>
      <c r="BY109" s="210">
        <v>7.67</v>
      </c>
      <c r="BZ109" s="151">
        <v>41842</v>
      </c>
      <c r="CA109" s="206">
        <v>38.799999999999997</v>
      </c>
      <c r="CB109" s="151">
        <v>41842</v>
      </c>
      <c r="CC109" s="208">
        <v>5.4</v>
      </c>
      <c r="CD109" s="151">
        <v>41838</v>
      </c>
      <c r="CL109" s="209">
        <v>3</v>
      </c>
      <c r="CM109" s="201">
        <v>41810</v>
      </c>
    </row>
    <row r="110" spans="1:91" ht="15">
      <c r="A110" s="152" t="s">
        <v>7889</v>
      </c>
      <c r="B110" s="110" t="s">
        <v>233</v>
      </c>
      <c r="C110" s="110" t="s">
        <v>381</v>
      </c>
      <c r="D110" s="110">
        <v>11068</v>
      </c>
      <c r="E110" s="111">
        <v>3</v>
      </c>
      <c r="F110" s="111">
        <v>605</v>
      </c>
      <c r="K110" s="134">
        <v>5</v>
      </c>
      <c r="L110" s="151">
        <v>41701</v>
      </c>
      <c r="M110" s="169">
        <v>2.2000000000000002</v>
      </c>
      <c r="N110" s="151">
        <v>41838</v>
      </c>
      <c r="Q110" s="497"/>
      <c r="S110" s="134">
        <v>7.61</v>
      </c>
      <c r="T110" s="151">
        <v>41842</v>
      </c>
      <c r="U110" s="134">
        <v>13.5</v>
      </c>
      <c r="V110" s="151">
        <v>41838</v>
      </c>
      <c r="W110" s="196">
        <v>1</v>
      </c>
      <c r="X110" s="151">
        <v>41829</v>
      </c>
      <c r="Y110" s="134">
        <f t="shared" si="1"/>
        <v>2.7297000000000002</v>
      </c>
      <c r="AC110" s="134">
        <v>16.3</v>
      </c>
      <c r="AD110" s="151">
        <v>41838</v>
      </c>
      <c r="AE110" s="134">
        <v>16.850000000000001</v>
      </c>
      <c r="AF110" s="151">
        <v>41838</v>
      </c>
      <c r="AG110" s="197">
        <v>5</v>
      </c>
      <c r="AH110" s="151">
        <v>41843</v>
      </c>
      <c r="AI110" s="198">
        <v>3</v>
      </c>
      <c r="AJ110" s="151">
        <v>41778</v>
      </c>
      <c r="AK110" s="199">
        <v>5</v>
      </c>
      <c r="AL110" s="151">
        <v>41709</v>
      </c>
      <c r="BE110" s="200">
        <v>5</v>
      </c>
      <c r="BF110" s="201">
        <v>41555</v>
      </c>
      <c r="BG110" s="202">
        <v>38.700000000000003</v>
      </c>
      <c r="BH110" s="151">
        <v>41842</v>
      </c>
      <c r="BM110" s="204">
        <v>65.5</v>
      </c>
      <c r="BN110" s="151">
        <v>41842</v>
      </c>
      <c r="BQ110" s="205">
        <v>7.9</v>
      </c>
      <c r="BR110" s="151">
        <v>41842</v>
      </c>
      <c r="BS110" s="206">
        <v>45.2</v>
      </c>
      <c r="BT110" s="151">
        <v>41842</v>
      </c>
      <c r="BU110" s="207">
        <v>16.2</v>
      </c>
      <c r="BV110" s="151">
        <v>41842</v>
      </c>
      <c r="BW110" s="206">
        <v>69.2</v>
      </c>
      <c r="BX110" s="151">
        <v>41842</v>
      </c>
      <c r="BY110" s="210">
        <v>8.0299999999999994</v>
      </c>
      <c r="BZ110" s="151">
        <v>41842</v>
      </c>
      <c r="CA110" s="206">
        <v>35.4</v>
      </c>
      <c r="CB110" s="151">
        <v>41842</v>
      </c>
      <c r="CC110" s="208">
        <v>5.9</v>
      </c>
      <c r="CD110" s="151">
        <v>41838</v>
      </c>
      <c r="CL110" s="209">
        <v>7</v>
      </c>
      <c r="CM110" s="201">
        <v>41810</v>
      </c>
    </row>
    <row r="111" spans="1:91" ht="15">
      <c r="A111" s="152" t="s">
        <v>7889</v>
      </c>
      <c r="B111" s="110" t="s">
        <v>235</v>
      </c>
      <c r="C111" s="110" t="s">
        <v>8082</v>
      </c>
      <c r="D111" s="110">
        <v>11476</v>
      </c>
      <c r="E111" s="111">
        <v>3</v>
      </c>
      <c r="F111" s="111">
        <v>657</v>
      </c>
      <c r="K111" s="134">
        <v>5</v>
      </c>
      <c r="L111" s="151">
        <v>41701</v>
      </c>
      <c r="M111" s="169">
        <v>3.55</v>
      </c>
      <c r="N111" s="151">
        <v>41838</v>
      </c>
      <c r="Q111" s="497"/>
      <c r="S111" s="134">
        <v>12.09</v>
      </c>
      <c r="T111" s="151">
        <v>41842</v>
      </c>
      <c r="U111" s="134">
        <v>13.5</v>
      </c>
      <c r="V111" s="151">
        <v>41838</v>
      </c>
      <c r="W111" s="196">
        <v>1</v>
      </c>
      <c r="X111" s="151">
        <v>41829</v>
      </c>
      <c r="Y111" s="134">
        <f t="shared" si="1"/>
        <v>4.7519399999999994</v>
      </c>
      <c r="AC111" s="134">
        <v>26.3</v>
      </c>
      <c r="AD111" s="151">
        <v>41838</v>
      </c>
      <c r="AE111" s="134">
        <v>27.31</v>
      </c>
      <c r="AF111" s="151">
        <v>41838</v>
      </c>
      <c r="AG111" s="197">
        <v>4.8</v>
      </c>
      <c r="AH111" s="151">
        <v>41843</v>
      </c>
      <c r="AI111" s="198">
        <v>5</v>
      </c>
      <c r="AJ111" s="151">
        <v>41778</v>
      </c>
      <c r="AK111" s="199">
        <v>5</v>
      </c>
      <c r="AL111" s="151">
        <v>41709</v>
      </c>
      <c r="BE111" s="200">
        <v>5</v>
      </c>
      <c r="BF111" s="201">
        <v>41555</v>
      </c>
      <c r="BG111" s="202">
        <v>41</v>
      </c>
      <c r="BH111" s="151">
        <v>41842</v>
      </c>
      <c r="BM111" s="204">
        <v>65.2</v>
      </c>
      <c r="BN111" s="151">
        <v>41842</v>
      </c>
      <c r="BQ111" s="205">
        <v>7.5</v>
      </c>
      <c r="BR111" s="151">
        <v>41842</v>
      </c>
      <c r="BS111" s="206">
        <v>44.3</v>
      </c>
      <c r="BT111" s="151">
        <v>41842</v>
      </c>
      <c r="BU111" s="207">
        <v>17.399999999999999</v>
      </c>
      <c r="BV111" s="151">
        <v>41842</v>
      </c>
      <c r="BW111" s="206">
        <v>72.5</v>
      </c>
      <c r="BX111" s="151">
        <v>41842</v>
      </c>
      <c r="BY111" s="210">
        <v>7.91</v>
      </c>
      <c r="BZ111" s="151">
        <v>41842</v>
      </c>
      <c r="CA111" s="206">
        <v>37.299999999999997</v>
      </c>
      <c r="CB111" s="151">
        <v>41842</v>
      </c>
      <c r="CC111" s="208">
        <v>5.5</v>
      </c>
      <c r="CD111" s="151">
        <v>41838</v>
      </c>
      <c r="CL111" s="209">
        <v>5</v>
      </c>
      <c r="CM111" s="201">
        <v>41810</v>
      </c>
    </row>
    <row r="112" spans="1:91" ht="15">
      <c r="A112" s="152" t="s">
        <v>7889</v>
      </c>
      <c r="B112" s="110" t="s">
        <v>235</v>
      </c>
      <c r="C112" s="110" t="s">
        <v>8081</v>
      </c>
      <c r="D112" s="110">
        <v>11324</v>
      </c>
      <c r="E112" s="111">
        <v>11</v>
      </c>
      <c r="F112" s="111">
        <v>477</v>
      </c>
      <c r="K112" s="134">
        <v>5</v>
      </c>
      <c r="L112" s="151">
        <v>41701</v>
      </c>
      <c r="M112" s="169">
        <v>3.75</v>
      </c>
      <c r="N112" s="151">
        <v>41838</v>
      </c>
      <c r="Q112" s="497"/>
      <c r="S112" s="134">
        <v>12.76</v>
      </c>
      <c r="T112" s="151">
        <v>41842</v>
      </c>
      <c r="U112" s="134">
        <v>13.5</v>
      </c>
      <c r="V112" s="151">
        <v>41838</v>
      </c>
      <c r="W112" s="196">
        <v>1</v>
      </c>
      <c r="X112" s="151">
        <v>41829</v>
      </c>
      <c r="Y112" s="134">
        <f t="shared" si="1"/>
        <v>4.7561599999999995</v>
      </c>
      <c r="AC112" s="134">
        <v>27.78</v>
      </c>
      <c r="AD112" s="151">
        <v>41838</v>
      </c>
      <c r="AE112" s="134">
        <v>28.48</v>
      </c>
      <c r="AF112" s="151">
        <v>41838</v>
      </c>
      <c r="AG112" s="197">
        <v>4.9000000000000004</v>
      </c>
      <c r="AH112" s="151">
        <v>41843</v>
      </c>
      <c r="AI112" s="198">
        <v>5</v>
      </c>
      <c r="AJ112" s="151">
        <v>41778</v>
      </c>
      <c r="AK112" s="199">
        <v>5</v>
      </c>
      <c r="AL112" s="151">
        <v>41709</v>
      </c>
      <c r="BE112" s="200">
        <v>5</v>
      </c>
      <c r="BF112" s="201">
        <v>41555</v>
      </c>
      <c r="BG112" s="202">
        <v>39.200000000000003</v>
      </c>
      <c r="BH112" s="151">
        <v>41842</v>
      </c>
      <c r="BM112" s="204">
        <v>65.900000000000006</v>
      </c>
      <c r="BN112" s="151">
        <v>41842</v>
      </c>
      <c r="BQ112" s="205">
        <v>7.4</v>
      </c>
      <c r="BR112" s="151">
        <v>41842</v>
      </c>
      <c r="BS112" s="206">
        <v>44.8</v>
      </c>
      <c r="BT112" s="151">
        <v>41842</v>
      </c>
      <c r="BU112" s="207">
        <v>16.7</v>
      </c>
      <c r="BV112" s="151">
        <v>41842</v>
      </c>
      <c r="BW112" s="206">
        <v>66.599999999999994</v>
      </c>
      <c r="BX112" s="151">
        <v>41842</v>
      </c>
      <c r="BY112" s="210">
        <v>8.0399999999999991</v>
      </c>
      <c r="BZ112" s="151">
        <v>41842</v>
      </c>
      <c r="CA112" s="206">
        <v>36.200000000000003</v>
      </c>
      <c r="CB112" s="151">
        <v>41842</v>
      </c>
      <c r="CC112" s="208">
        <v>6.7</v>
      </c>
      <c r="CD112" s="151">
        <v>41838</v>
      </c>
      <c r="CL112" s="209">
        <v>5</v>
      </c>
      <c r="CM112" s="201">
        <v>41810</v>
      </c>
    </row>
    <row r="113" spans="1:91" ht="15">
      <c r="A113" s="152" t="s">
        <v>7889</v>
      </c>
      <c r="B113" s="110" t="s">
        <v>233</v>
      </c>
      <c r="C113" s="110" t="s">
        <v>8083</v>
      </c>
      <c r="D113" s="110">
        <v>11767</v>
      </c>
      <c r="E113" s="111">
        <v>11</v>
      </c>
      <c r="F113" s="111">
        <v>669</v>
      </c>
      <c r="K113" s="134">
        <v>5</v>
      </c>
      <c r="L113" s="151">
        <v>41701</v>
      </c>
      <c r="M113" s="169">
        <v>3.15</v>
      </c>
      <c r="N113" s="151">
        <v>41838</v>
      </c>
      <c r="Q113" s="497"/>
      <c r="S113" s="134">
        <v>10.74</v>
      </c>
      <c r="T113" s="151">
        <v>41842</v>
      </c>
      <c r="U113" s="134">
        <v>13.5</v>
      </c>
      <c r="V113" s="151">
        <v>41838</v>
      </c>
      <c r="W113" s="196">
        <v>1</v>
      </c>
      <c r="X113" s="151">
        <v>41829</v>
      </c>
      <c r="Y113" s="134">
        <f t="shared" si="1"/>
        <v>3.9009599999999995</v>
      </c>
      <c r="AC113" s="134">
        <v>23.33</v>
      </c>
      <c r="AD113" s="151">
        <v>41838</v>
      </c>
      <c r="AE113" s="134">
        <v>24.08</v>
      </c>
      <c r="AF113" s="151">
        <v>41838</v>
      </c>
      <c r="AG113" s="197">
        <v>5.0999999999999996</v>
      </c>
      <c r="AH113" s="151">
        <v>41843</v>
      </c>
      <c r="AI113" s="198">
        <v>3</v>
      </c>
      <c r="AJ113" s="151">
        <v>41778</v>
      </c>
      <c r="AK113" s="199">
        <v>5</v>
      </c>
      <c r="AL113" s="151">
        <v>41709</v>
      </c>
      <c r="BE113" s="200">
        <v>5</v>
      </c>
      <c r="BF113" s="201">
        <v>41555</v>
      </c>
      <c r="BG113" s="202">
        <v>37.700000000000003</v>
      </c>
      <c r="BH113" s="151">
        <v>41842</v>
      </c>
      <c r="BM113" s="204">
        <v>67.5</v>
      </c>
      <c r="BN113" s="151">
        <v>41842</v>
      </c>
      <c r="BQ113" s="205">
        <v>6.8</v>
      </c>
      <c r="BR113" s="151">
        <v>41842</v>
      </c>
      <c r="BS113" s="206">
        <v>44.6</v>
      </c>
      <c r="BT113" s="151">
        <v>41842</v>
      </c>
      <c r="BU113" s="207">
        <v>16.2</v>
      </c>
      <c r="BV113" s="151">
        <v>41842</v>
      </c>
      <c r="BW113" s="206">
        <v>69.599999999999994</v>
      </c>
      <c r="BX113" s="151">
        <v>41842</v>
      </c>
      <c r="BY113" s="210">
        <v>7.88</v>
      </c>
      <c r="BZ113" s="151">
        <v>41842</v>
      </c>
      <c r="CA113" s="206">
        <v>35</v>
      </c>
      <c r="CB113" s="151">
        <v>41842</v>
      </c>
      <c r="CC113" s="208">
        <v>6.1</v>
      </c>
      <c r="CD113" s="151">
        <v>41838</v>
      </c>
      <c r="CL113" s="209">
        <v>3</v>
      </c>
      <c r="CM113" s="201">
        <v>41810</v>
      </c>
    </row>
    <row r="114" spans="1:91" ht="15">
      <c r="A114" s="152" t="s">
        <v>7890</v>
      </c>
      <c r="B114" s="110" t="s">
        <v>233</v>
      </c>
      <c r="C114" s="110" t="s">
        <v>381</v>
      </c>
      <c r="D114" s="110">
        <v>11103</v>
      </c>
      <c r="E114" s="111">
        <v>4</v>
      </c>
      <c r="F114" s="111">
        <v>601</v>
      </c>
      <c r="K114" s="134">
        <v>5</v>
      </c>
      <c r="L114" s="151">
        <v>41701</v>
      </c>
      <c r="M114" s="169">
        <v>3.65</v>
      </c>
      <c r="N114" s="151">
        <v>41838</v>
      </c>
      <c r="Q114" s="497"/>
      <c r="S114" s="134">
        <v>13.19</v>
      </c>
      <c r="T114" s="151">
        <v>41842</v>
      </c>
      <c r="U114" s="134">
        <v>13.5</v>
      </c>
      <c r="V114" s="151">
        <v>41838</v>
      </c>
      <c r="W114" s="196">
        <v>9</v>
      </c>
      <c r="X114" s="151">
        <v>41829</v>
      </c>
      <c r="Y114" s="134">
        <f t="shared" si="1"/>
        <v>4.2732900000000003</v>
      </c>
      <c r="AC114" s="134">
        <v>27.04</v>
      </c>
      <c r="AD114" s="151">
        <v>41838</v>
      </c>
      <c r="AE114" s="134">
        <v>27.93</v>
      </c>
      <c r="AF114" s="151">
        <v>41838</v>
      </c>
      <c r="AG114" s="197">
        <v>5.2</v>
      </c>
      <c r="AH114" s="151">
        <v>41843</v>
      </c>
      <c r="AI114" s="198">
        <v>5</v>
      </c>
      <c r="AJ114" s="151">
        <v>41778</v>
      </c>
      <c r="AK114" s="199">
        <v>5</v>
      </c>
      <c r="AL114" s="151">
        <v>41709</v>
      </c>
      <c r="BE114" s="200">
        <v>5</v>
      </c>
      <c r="BF114" s="201">
        <v>41555</v>
      </c>
      <c r="BG114" s="202">
        <v>21.7</v>
      </c>
      <c r="BH114" s="151">
        <v>41842</v>
      </c>
      <c r="BM114" s="204">
        <v>68.3</v>
      </c>
      <c r="BN114" s="151">
        <v>41842</v>
      </c>
      <c r="BQ114" s="205">
        <v>7.8</v>
      </c>
      <c r="BR114" s="151">
        <v>41842</v>
      </c>
      <c r="BS114" s="206">
        <v>47.2</v>
      </c>
      <c r="BT114" s="151">
        <v>41842</v>
      </c>
      <c r="BU114" s="207">
        <v>15.3</v>
      </c>
      <c r="BV114" s="151">
        <v>41842</v>
      </c>
      <c r="BW114" s="206">
        <v>53.7</v>
      </c>
      <c r="BX114" s="151">
        <v>41842</v>
      </c>
      <c r="BY114" s="210">
        <v>6.87</v>
      </c>
      <c r="BZ114" s="151">
        <v>41842</v>
      </c>
      <c r="CA114" s="206">
        <v>34.9</v>
      </c>
      <c r="CB114" s="151">
        <v>41842</v>
      </c>
      <c r="CC114" s="208">
        <v>6</v>
      </c>
      <c r="CD114" s="151">
        <v>41838</v>
      </c>
      <c r="CL114" s="209">
        <v>3</v>
      </c>
      <c r="CM114" s="201">
        <v>41810</v>
      </c>
    </row>
    <row r="115" spans="1:91" ht="15">
      <c r="A115" s="152" t="s">
        <v>7890</v>
      </c>
      <c r="B115" s="110" t="s">
        <v>235</v>
      </c>
      <c r="C115" s="110" t="s">
        <v>8082</v>
      </c>
      <c r="D115" s="110">
        <v>11562</v>
      </c>
      <c r="E115" s="111">
        <v>5</v>
      </c>
      <c r="F115" s="111">
        <v>713</v>
      </c>
      <c r="K115" s="134">
        <v>5</v>
      </c>
      <c r="L115" s="151">
        <v>41701</v>
      </c>
      <c r="M115" s="169">
        <v>4.25</v>
      </c>
      <c r="N115" s="151">
        <v>41838</v>
      </c>
      <c r="Q115" s="497"/>
      <c r="S115" s="134">
        <v>15.5</v>
      </c>
      <c r="T115" s="151">
        <v>41842</v>
      </c>
      <c r="U115" s="134">
        <v>13.5</v>
      </c>
      <c r="V115" s="151">
        <v>41838</v>
      </c>
      <c r="W115" s="196">
        <v>1</v>
      </c>
      <c r="X115" s="151">
        <v>41829</v>
      </c>
      <c r="Y115" s="134">
        <f t="shared" si="1"/>
        <v>4.8559100000000006</v>
      </c>
      <c r="AC115" s="134">
        <v>31.48</v>
      </c>
      <c r="AD115" s="151">
        <v>41838</v>
      </c>
      <c r="AE115" s="134">
        <v>32.590000000000003</v>
      </c>
      <c r="AF115" s="151">
        <v>41838</v>
      </c>
      <c r="AG115" s="197">
        <v>5.3</v>
      </c>
      <c r="AH115" s="151">
        <v>41843</v>
      </c>
      <c r="AI115" s="198">
        <v>7</v>
      </c>
      <c r="AJ115" s="151">
        <v>41778</v>
      </c>
      <c r="AK115" s="199">
        <v>5</v>
      </c>
      <c r="AL115" s="151">
        <v>41709</v>
      </c>
      <c r="BE115" s="200">
        <v>5</v>
      </c>
      <c r="BF115" s="201">
        <v>41555</v>
      </c>
      <c r="BG115" s="203">
        <v>24.7</v>
      </c>
      <c r="BH115" s="151">
        <v>41842</v>
      </c>
      <c r="BM115" s="204">
        <v>68.400000000000006</v>
      </c>
      <c r="BN115" s="151">
        <v>41842</v>
      </c>
      <c r="BQ115" s="205">
        <v>6.8</v>
      </c>
      <c r="BR115" s="151">
        <v>41842</v>
      </c>
      <c r="BS115" s="206">
        <v>47.6</v>
      </c>
      <c r="BT115" s="151">
        <v>41842</v>
      </c>
      <c r="BU115" s="207">
        <v>14.9</v>
      </c>
      <c r="BV115" s="151">
        <v>41842</v>
      </c>
      <c r="BW115" s="206">
        <v>55.5</v>
      </c>
      <c r="BX115" s="151">
        <v>41842</v>
      </c>
      <c r="BY115" s="210">
        <v>7.04</v>
      </c>
      <c r="BZ115" s="151">
        <v>41842</v>
      </c>
      <c r="CA115" s="206">
        <v>34.299999999999997</v>
      </c>
      <c r="CB115" s="151">
        <v>41842</v>
      </c>
      <c r="CC115" s="208">
        <v>5.8</v>
      </c>
      <c r="CD115" s="151">
        <v>41838</v>
      </c>
      <c r="CL115" s="209">
        <v>7</v>
      </c>
      <c r="CM115" s="201">
        <v>41810</v>
      </c>
    </row>
    <row r="116" spans="1:91" ht="15">
      <c r="A116" s="152" t="s">
        <v>7890</v>
      </c>
      <c r="B116" s="110" t="s">
        <v>235</v>
      </c>
      <c r="C116" s="110" t="s">
        <v>8081</v>
      </c>
      <c r="D116" s="110">
        <v>11274</v>
      </c>
      <c r="E116" s="111">
        <v>9</v>
      </c>
      <c r="F116" s="111">
        <v>565</v>
      </c>
      <c r="K116" s="134">
        <v>5</v>
      </c>
      <c r="L116" s="151">
        <v>41701</v>
      </c>
      <c r="M116" s="169">
        <v>3.95</v>
      </c>
      <c r="N116" s="151">
        <v>41838</v>
      </c>
      <c r="Q116" s="497"/>
      <c r="S116" s="134">
        <v>14.45</v>
      </c>
      <c r="T116" s="151">
        <v>41842</v>
      </c>
      <c r="U116" s="134">
        <v>13.5</v>
      </c>
      <c r="V116" s="151">
        <v>41838</v>
      </c>
      <c r="W116" s="196">
        <v>9</v>
      </c>
      <c r="X116" s="151">
        <v>41829</v>
      </c>
      <c r="Y116" s="134">
        <f t="shared" si="1"/>
        <v>4.5828500000000005</v>
      </c>
      <c r="AC116" s="134">
        <v>29.26</v>
      </c>
      <c r="AD116" s="151">
        <v>41838</v>
      </c>
      <c r="AE116" s="134">
        <v>30.35</v>
      </c>
      <c r="AF116" s="151">
        <v>41838</v>
      </c>
      <c r="AG116" s="197">
        <v>5</v>
      </c>
      <c r="AH116" s="151">
        <v>41843</v>
      </c>
      <c r="AI116" s="198">
        <v>7</v>
      </c>
      <c r="AJ116" s="151">
        <v>41778</v>
      </c>
      <c r="AK116" s="199">
        <v>5</v>
      </c>
      <c r="AL116" s="151">
        <v>41709</v>
      </c>
      <c r="BE116" s="200">
        <v>5</v>
      </c>
      <c r="BF116" s="201">
        <v>41555</v>
      </c>
      <c r="BG116" s="203">
        <v>26</v>
      </c>
      <c r="BH116" s="151">
        <v>41842</v>
      </c>
      <c r="BM116" s="204">
        <v>68.7</v>
      </c>
      <c r="BN116" s="151">
        <v>41842</v>
      </c>
      <c r="BQ116" s="205">
        <v>6.9</v>
      </c>
      <c r="BR116" s="151">
        <v>41842</v>
      </c>
      <c r="BS116" s="206">
        <v>47.6</v>
      </c>
      <c r="BT116" s="151">
        <v>41842</v>
      </c>
      <c r="BU116" s="207">
        <v>15.1</v>
      </c>
      <c r="BV116" s="151">
        <v>41842</v>
      </c>
      <c r="BW116" s="206">
        <v>52.3</v>
      </c>
      <c r="BX116" s="151">
        <v>41842</v>
      </c>
      <c r="BY116" s="210">
        <v>7.14</v>
      </c>
      <c r="BZ116" s="151">
        <v>41842</v>
      </c>
      <c r="CA116" s="206">
        <v>34.9</v>
      </c>
      <c r="CB116" s="151">
        <v>41842</v>
      </c>
      <c r="CC116" s="208">
        <v>5.6</v>
      </c>
      <c r="CD116" s="151">
        <v>41838</v>
      </c>
      <c r="CL116" s="209">
        <v>5</v>
      </c>
      <c r="CM116" s="201">
        <v>41810</v>
      </c>
    </row>
    <row r="117" spans="1:91" ht="15">
      <c r="A117" s="152" t="s">
        <v>7890</v>
      </c>
      <c r="B117" s="110" t="s">
        <v>233</v>
      </c>
      <c r="C117" s="110" t="s">
        <v>8083</v>
      </c>
      <c r="D117" s="110">
        <v>11686</v>
      </c>
      <c r="E117" s="111">
        <v>9</v>
      </c>
      <c r="F117" s="111">
        <v>633</v>
      </c>
      <c r="K117" s="134">
        <v>5</v>
      </c>
      <c r="L117" s="151">
        <v>41701</v>
      </c>
      <c r="M117" s="169">
        <v>3.9</v>
      </c>
      <c r="N117" s="151">
        <v>41838</v>
      </c>
      <c r="Q117" s="497"/>
      <c r="S117" s="134">
        <v>14.19</v>
      </c>
      <c r="T117" s="151">
        <v>41842</v>
      </c>
      <c r="U117" s="134">
        <v>13.5</v>
      </c>
      <c r="V117" s="151">
        <v>41838</v>
      </c>
      <c r="W117" s="196">
        <v>9</v>
      </c>
      <c r="X117" s="151">
        <v>41829</v>
      </c>
      <c r="Y117" s="134">
        <f t="shared" si="1"/>
        <v>4.7147100000000002</v>
      </c>
      <c r="AC117" s="134">
        <v>28.89</v>
      </c>
      <c r="AD117" s="151">
        <v>41838</v>
      </c>
      <c r="AE117" s="134">
        <v>30.03</v>
      </c>
      <c r="AF117" s="151">
        <v>41838</v>
      </c>
      <c r="AG117" s="197">
        <v>5.2</v>
      </c>
      <c r="AH117" s="151">
        <v>41843</v>
      </c>
      <c r="AI117" s="198">
        <v>5</v>
      </c>
      <c r="AJ117" s="151">
        <v>41778</v>
      </c>
      <c r="AK117" s="199">
        <v>5</v>
      </c>
      <c r="AL117" s="151">
        <v>41709</v>
      </c>
      <c r="BE117" s="200">
        <v>5</v>
      </c>
      <c r="BF117" s="201">
        <v>41555</v>
      </c>
      <c r="BG117" s="203">
        <v>23.4</v>
      </c>
      <c r="BH117" s="151">
        <v>41842</v>
      </c>
      <c r="BM117" s="204">
        <v>68.7</v>
      </c>
      <c r="BN117" s="151">
        <v>41842</v>
      </c>
      <c r="BQ117" s="205">
        <v>7.2</v>
      </c>
      <c r="BR117" s="151">
        <v>41842</v>
      </c>
      <c r="BS117" s="206">
        <v>47.2</v>
      </c>
      <c r="BT117" s="151">
        <v>41842</v>
      </c>
      <c r="BU117" s="207">
        <v>15.7</v>
      </c>
      <c r="BV117" s="151">
        <v>41842</v>
      </c>
      <c r="BW117" s="206">
        <v>59.7</v>
      </c>
      <c r="BX117" s="151">
        <v>41842</v>
      </c>
      <c r="BY117" s="210">
        <v>7.02</v>
      </c>
      <c r="BZ117" s="151">
        <v>41842</v>
      </c>
      <c r="CA117" s="206">
        <v>35.9</v>
      </c>
      <c r="CB117" s="151">
        <v>41842</v>
      </c>
      <c r="CC117" s="208">
        <v>5.4</v>
      </c>
      <c r="CD117" s="151">
        <v>41838</v>
      </c>
      <c r="CL117" s="209">
        <v>5</v>
      </c>
      <c r="CM117" s="201">
        <v>41810</v>
      </c>
    </row>
    <row r="118" spans="1:91" ht="15">
      <c r="A118" s="152" t="s">
        <v>7891</v>
      </c>
      <c r="B118" s="110" t="s">
        <v>233</v>
      </c>
      <c r="C118" s="110" t="s">
        <v>381</v>
      </c>
      <c r="D118" s="110">
        <v>11051</v>
      </c>
      <c r="E118" s="111">
        <v>3</v>
      </c>
      <c r="F118" s="111">
        <v>537</v>
      </c>
      <c r="K118" s="134">
        <v>5</v>
      </c>
      <c r="L118" s="151">
        <v>41701</v>
      </c>
      <c r="M118" s="169">
        <v>3.85</v>
      </c>
      <c r="N118" s="151">
        <v>41838</v>
      </c>
      <c r="Q118" s="497"/>
      <c r="S118" s="134">
        <v>15.1</v>
      </c>
      <c r="T118" s="151">
        <v>41842</v>
      </c>
      <c r="U118" s="134">
        <v>13.5</v>
      </c>
      <c r="V118" s="151">
        <v>41838</v>
      </c>
      <c r="W118" s="196">
        <v>9</v>
      </c>
      <c r="X118" s="151">
        <v>41829</v>
      </c>
      <c r="Y118" s="134">
        <f t="shared" si="1"/>
        <v>4.22994</v>
      </c>
      <c r="AC118" s="134">
        <v>28.52</v>
      </c>
      <c r="AD118" s="151">
        <v>41838</v>
      </c>
      <c r="AE118" s="134">
        <v>29.58</v>
      </c>
      <c r="AF118" s="151">
        <v>41838</v>
      </c>
      <c r="AG118" s="197">
        <v>4.9000000000000004</v>
      </c>
      <c r="AH118" s="151">
        <v>41843</v>
      </c>
      <c r="AI118" s="198">
        <v>5</v>
      </c>
      <c r="AJ118" s="151">
        <v>41778</v>
      </c>
      <c r="AK118" s="199">
        <v>5</v>
      </c>
      <c r="AL118" s="151">
        <v>41709</v>
      </c>
      <c r="BE118" s="200">
        <v>5</v>
      </c>
      <c r="BF118" s="201">
        <v>41555</v>
      </c>
      <c r="BG118" s="203">
        <v>41.2</v>
      </c>
      <c r="BH118" s="151">
        <v>41842</v>
      </c>
      <c r="BM118" s="204">
        <v>71.8</v>
      </c>
      <c r="BN118" s="151">
        <v>41842</v>
      </c>
      <c r="BQ118" s="205">
        <v>4.5999999999999996</v>
      </c>
      <c r="BR118" s="151">
        <v>41842</v>
      </c>
      <c r="BS118" s="206">
        <v>51</v>
      </c>
      <c r="BT118" s="151">
        <v>41842</v>
      </c>
      <c r="BU118" s="207">
        <v>14.3</v>
      </c>
      <c r="BV118" s="151">
        <v>41842</v>
      </c>
      <c r="BW118" s="206">
        <v>58.3</v>
      </c>
      <c r="BX118" s="151">
        <v>41842</v>
      </c>
      <c r="BY118" s="210">
        <v>6.62</v>
      </c>
      <c r="BZ118" s="151">
        <v>41842</v>
      </c>
      <c r="CA118" s="206">
        <v>35.799999999999997</v>
      </c>
      <c r="CB118" s="151">
        <v>41842</v>
      </c>
      <c r="CC118" s="208">
        <v>5.6</v>
      </c>
      <c r="CD118" s="151">
        <v>41838</v>
      </c>
      <c r="CL118" s="209">
        <v>3</v>
      </c>
      <c r="CM118" s="201">
        <v>41810</v>
      </c>
    </row>
    <row r="119" spans="1:91" ht="15">
      <c r="A119" s="152" t="s">
        <v>7891</v>
      </c>
      <c r="B119" s="110" t="s">
        <v>235</v>
      </c>
      <c r="C119" s="110" t="s">
        <v>8082</v>
      </c>
      <c r="D119" s="110">
        <v>11485</v>
      </c>
      <c r="E119" s="111">
        <v>3</v>
      </c>
      <c r="F119" s="111">
        <v>693</v>
      </c>
      <c r="K119" s="134">
        <v>5</v>
      </c>
      <c r="L119" s="151">
        <v>41701</v>
      </c>
      <c r="M119" s="169">
        <v>4.0999999999999996</v>
      </c>
      <c r="N119" s="151">
        <v>41838</v>
      </c>
      <c r="Q119" s="497"/>
      <c r="S119" s="134">
        <v>15.69</v>
      </c>
      <c r="T119" s="151">
        <v>41842</v>
      </c>
      <c r="U119" s="134">
        <v>13.5</v>
      </c>
      <c r="V119" s="151">
        <v>41838</v>
      </c>
      <c r="W119" s="196">
        <v>9</v>
      </c>
      <c r="X119" s="151">
        <v>41829</v>
      </c>
      <c r="Y119" s="134">
        <f t="shared" si="1"/>
        <v>4.8840500000000002</v>
      </c>
      <c r="AC119" s="134">
        <v>30.37</v>
      </c>
      <c r="AD119" s="151">
        <v>41838</v>
      </c>
      <c r="AE119" s="134">
        <v>31.51</v>
      </c>
      <c r="AF119" s="151">
        <v>41838</v>
      </c>
      <c r="AG119" s="197">
        <v>4.9000000000000004</v>
      </c>
      <c r="AH119" s="151">
        <v>41843</v>
      </c>
      <c r="AI119" s="198">
        <v>5</v>
      </c>
      <c r="AJ119" s="151">
        <v>41778</v>
      </c>
      <c r="AK119" s="199">
        <v>5</v>
      </c>
      <c r="AL119" s="151">
        <v>41709</v>
      </c>
      <c r="BE119" s="200">
        <v>5</v>
      </c>
      <c r="BF119" s="201">
        <v>41555</v>
      </c>
      <c r="BG119" s="203">
        <v>42.5</v>
      </c>
      <c r="BH119" s="151">
        <v>41842</v>
      </c>
      <c r="BM119" s="204">
        <v>72</v>
      </c>
      <c r="BN119" s="151">
        <v>41842</v>
      </c>
      <c r="BQ119" s="205">
        <v>4.5</v>
      </c>
      <c r="BR119" s="151">
        <v>41842</v>
      </c>
      <c r="BS119" s="206">
        <v>49.8</v>
      </c>
      <c r="BT119" s="151">
        <v>41842</v>
      </c>
      <c r="BU119" s="207">
        <v>15.5</v>
      </c>
      <c r="BV119" s="151">
        <v>41842</v>
      </c>
      <c r="BW119" s="206">
        <v>60.7</v>
      </c>
      <c r="BX119" s="151">
        <v>41842</v>
      </c>
      <c r="BY119" s="210">
        <v>6.77</v>
      </c>
      <c r="BZ119" s="151">
        <v>41842</v>
      </c>
      <c r="CA119" s="206">
        <v>37.700000000000003</v>
      </c>
      <c r="CB119" s="151">
        <v>41842</v>
      </c>
      <c r="CC119" s="208">
        <v>5.6</v>
      </c>
      <c r="CD119" s="151">
        <v>41838</v>
      </c>
      <c r="CL119" s="209">
        <v>3</v>
      </c>
      <c r="CM119" s="201">
        <v>41810</v>
      </c>
    </row>
    <row r="120" spans="1:91" ht="15">
      <c r="A120" s="152" t="s">
        <v>7891</v>
      </c>
      <c r="B120" s="110" t="s">
        <v>235</v>
      </c>
      <c r="C120" s="110" t="s">
        <v>8081</v>
      </c>
      <c r="D120" s="110">
        <v>11203</v>
      </c>
      <c r="E120" s="111">
        <v>7</v>
      </c>
      <c r="F120" s="111">
        <v>569</v>
      </c>
      <c r="K120" s="134">
        <v>5</v>
      </c>
      <c r="L120" s="151">
        <v>41701</v>
      </c>
      <c r="M120" s="169">
        <v>3.7</v>
      </c>
      <c r="N120" s="151">
        <v>41838</v>
      </c>
      <c r="Q120" s="497"/>
      <c r="S120" s="134">
        <v>14.24</v>
      </c>
      <c r="T120" s="151">
        <v>41842</v>
      </c>
      <c r="U120" s="134">
        <v>13.5</v>
      </c>
      <c r="V120" s="151">
        <v>41838</v>
      </c>
      <c r="W120" s="196">
        <v>9</v>
      </c>
      <c r="X120" s="151">
        <v>41829</v>
      </c>
      <c r="Y120" s="134">
        <f t="shared" si="1"/>
        <v>4.26</v>
      </c>
      <c r="AC120" s="134">
        <v>27.41</v>
      </c>
      <c r="AD120" s="151">
        <v>41838</v>
      </c>
      <c r="AE120" s="134">
        <v>28.4</v>
      </c>
      <c r="AF120" s="151">
        <v>41838</v>
      </c>
      <c r="AG120" s="197">
        <v>4.8</v>
      </c>
      <c r="AH120" s="151">
        <v>41843</v>
      </c>
      <c r="AI120" s="198">
        <v>3</v>
      </c>
      <c r="AJ120" s="151">
        <v>41778</v>
      </c>
      <c r="AK120" s="199">
        <v>5</v>
      </c>
      <c r="AL120" s="151">
        <v>41709</v>
      </c>
      <c r="BE120" s="200">
        <v>5</v>
      </c>
      <c r="BF120" s="201">
        <v>41555</v>
      </c>
      <c r="BG120" s="203">
        <v>39</v>
      </c>
      <c r="BH120" s="151">
        <v>41842</v>
      </c>
      <c r="BM120" s="204">
        <v>71.599999999999994</v>
      </c>
      <c r="BN120" s="151">
        <v>41842</v>
      </c>
      <c r="BQ120" s="205">
        <v>4.7</v>
      </c>
      <c r="BR120" s="151">
        <v>41842</v>
      </c>
      <c r="BS120" s="206">
        <v>50.1</v>
      </c>
      <c r="BT120" s="151">
        <v>41842</v>
      </c>
      <c r="BU120" s="207">
        <v>15</v>
      </c>
      <c r="BV120" s="151">
        <v>41842</v>
      </c>
      <c r="BW120" s="206">
        <v>58.7</v>
      </c>
      <c r="BX120" s="151">
        <v>41842</v>
      </c>
      <c r="BY120" s="210">
        <v>6.82</v>
      </c>
      <c r="BZ120" s="151">
        <v>41842</v>
      </c>
      <c r="CA120" s="206">
        <v>36.700000000000003</v>
      </c>
      <c r="CB120" s="151">
        <v>41842</v>
      </c>
      <c r="CC120" s="208">
        <v>5.7</v>
      </c>
      <c r="CD120" s="151">
        <v>41838</v>
      </c>
      <c r="CL120" s="209">
        <v>5</v>
      </c>
      <c r="CM120" s="201">
        <v>41810</v>
      </c>
    </row>
    <row r="121" spans="1:91" ht="15">
      <c r="A121" s="152" t="s">
        <v>7891</v>
      </c>
      <c r="B121" s="110" t="s">
        <v>233</v>
      </c>
      <c r="C121" s="110" t="s">
        <v>8083</v>
      </c>
      <c r="D121" s="110">
        <v>11703</v>
      </c>
      <c r="E121" s="111">
        <v>9</v>
      </c>
      <c r="F121" s="111">
        <v>701</v>
      </c>
      <c r="K121" s="134">
        <v>5</v>
      </c>
      <c r="L121" s="151">
        <v>41701</v>
      </c>
      <c r="M121" s="169">
        <v>2.75</v>
      </c>
      <c r="N121" s="151">
        <v>41838</v>
      </c>
      <c r="Q121" s="497"/>
      <c r="S121" s="134">
        <v>11.05</v>
      </c>
      <c r="T121" s="151">
        <v>41842</v>
      </c>
      <c r="U121" s="134">
        <v>13.5</v>
      </c>
      <c r="V121" s="151">
        <v>41838</v>
      </c>
      <c r="W121" s="196">
        <v>9</v>
      </c>
      <c r="X121" s="151">
        <v>41829</v>
      </c>
      <c r="Y121" s="134">
        <f t="shared" si="1"/>
        <v>2.8340999999999998</v>
      </c>
      <c r="AC121" s="134">
        <v>20.37</v>
      </c>
      <c r="AD121" s="151">
        <v>41838</v>
      </c>
      <c r="AE121" s="134">
        <v>21.15</v>
      </c>
      <c r="AF121" s="151">
        <v>41838</v>
      </c>
      <c r="AG121" s="197">
        <v>4.8</v>
      </c>
      <c r="AH121" s="151">
        <v>41843</v>
      </c>
      <c r="AI121" s="198">
        <v>3</v>
      </c>
      <c r="AJ121" s="151">
        <v>41778</v>
      </c>
      <c r="AK121" s="199">
        <v>5</v>
      </c>
      <c r="AL121" s="151">
        <v>41709</v>
      </c>
      <c r="BE121" s="200">
        <v>5</v>
      </c>
      <c r="BF121" s="201">
        <v>41555</v>
      </c>
      <c r="BG121" s="203">
        <v>40.5</v>
      </c>
      <c r="BH121" s="151">
        <v>41842</v>
      </c>
      <c r="BM121" s="204">
        <v>74</v>
      </c>
      <c r="BN121" s="151">
        <v>41842</v>
      </c>
      <c r="BQ121" s="205">
        <v>3.7</v>
      </c>
      <c r="BR121" s="151">
        <v>41842</v>
      </c>
      <c r="BS121" s="206">
        <v>52.2</v>
      </c>
      <c r="BT121" s="151">
        <v>41842</v>
      </c>
      <c r="BU121" s="207">
        <v>13.4</v>
      </c>
      <c r="BV121" s="151">
        <v>41842</v>
      </c>
      <c r="BW121" s="206">
        <v>55.3</v>
      </c>
      <c r="BX121" s="151">
        <v>41842</v>
      </c>
      <c r="BY121" s="210">
        <v>6.58</v>
      </c>
      <c r="BZ121" s="151">
        <v>41842</v>
      </c>
      <c r="CA121" s="206">
        <v>34.5</v>
      </c>
      <c r="CB121" s="151">
        <v>41842</v>
      </c>
      <c r="CC121" s="208">
        <v>5.5</v>
      </c>
      <c r="CD121" s="151">
        <v>41838</v>
      </c>
      <c r="CL121" s="209">
        <v>3</v>
      </c>
      <c r="CM121" s="201">
        <v>41810</v>
      </c>
    </row>
    <row r="122" spans="1:91" ht="15">
      <c r="A122" s="152" t="s">
        <v>7892</v>
      </c>
      <c r="B122" s="110" t="s">
        <v>235</v>
      </c>
      <c r="C122" s="110" t="s">
        <v>8082</v>
      </c>
      <c r="D122" s="110">
        <v>11422</v>
      </c>
      <c r="E122" s="111">
        <v>1</v>
      </c>
      <c r="F122" s="111">
        <v>729</v>
      </c>
      <c r="I122" s="373"/>
      <c r="K122" s="194">
        <v>5</v>
      </c>
      <c r="L122" s="151">
        <v>41701</v>
      </c>
      <c r="M122" s="169">
        <v>3.25</v>
      </c>
      <c r="N122" s="151">
        <v>41838</v>
      </c>
      <c r="Q122" s="497"/>
      <c r="S122" s="134">
        <v>11.11</v>
      </c>
      <c r="T122" s="151">
        <v>41842</v>
      </c>
      <c r="U122" s="194">
        <v>13.5</v>
      </c>
      <c r="V122" s="151">
        <v>41838</v>
      </c>
      <c r="W122" s="196">
        <v>1</v>
      </c>
      <c r="X122" s="151">
        <v>41829</v>
      </c>
      <c r="Y122" s="134">
        <f t="shared" si="1"/>
        <v>4.0556999999999999</v>
      </c>
      <c r="AA122" s="194"/>
      <c r="AC122" s="194">
        <v>24.07</v>
      </c>
      <c r="AD122" s="151">
        <v>41838</v>
      </c>
      <c r="AE122" s="137">
        <v>24.58</v>
      </c>
      <c r="AF122" s="151">
        <v>41838</v>
      </c>
      <c r="AG122" s="197">
        <v>5.6</v>
      </c>
      <c r="AH122" s="151">
        <v>41843</v>
      </c>
      <c r="AI122" s="198">
        <v>7</v>
      </c>
      <c r="AJ122" s="151">
        <v>41778</v>
      </c>
      <c r="AK122" s="199">
        <v>5</v>
      </c>
      <c r="AL122" s="151">
        <v>41709</v>
      </c>
      <c r="AM122" s="194"/>
      <c r="BE122" s="200">
        <v>5</v>
      </c>
      <c r="BF122" s="201">
        <v>41555</v>
      </c>
      <c r="BG122" s="203">
        <v>22.9</v>
      </c>
      <c r="BH122" s="151">
        <v>41842</v>
      </c>
      <c r="BM122" s="204">
        <v>67.900000000000006</v>
      </c>
      <c r="BN122" s="151">
        <v>41842</v>
      </c>
      <c r="BQ122" s="205">
        <v>7.4</v>
      </c>
      <c r="BR122" s="151">
        <v>41842</v>
      </c>
      <c r="BS122" s="206">
        <v>45.2</v>
      </c>
      <c r="BT122" s="151">
        <v>41842</v>
      </c>
      <c r="BU122" s="207">
        <v>16.5</v>
      </c>
      <c r="BV122" s="151">
        <v>41842</v>
      </c>
      <c r="BW122" s="206">
        <v>60</v>
      </c>
      <c r="BX122" s="151">
        <v>41842</v>
      </c>
      <c r="BY122" s="210">
        <v>7.45</v>
      </c>
      <c r="BZ122" s="151">
        <v>41842</v>
      </c>
      <c r="CA122" s="206">
        <v>35.9</v>
      </c>
      <c r="CB122" s="151">
        <v>41842</v>
      </c>
      <c r="CC122" s="208">
        <v>7.1</v>
      </c>
      <c r="CD122" s="151">
        <v>41838</v>
      </c>
      <c r="CL122" s="209">
        <v>5</v>
      </c>
      <c r="CM122" s="201">
        <v>41810</v>
      </c>
    </row>
    <row r="123" spans="1:91" ht="15">
      <c r="A123" s="152" t="s">
        <v>7892</v>
      </c>
      <c r="B123" s="110" t="s">
        <v>233</v>
      </c>
      <c r="C123" s="110" t="s">
        <v>381</v>
      </c>
      <c r="D123" s="110">
        <v>11027</v>
      </c>
      <c r="E123" s="111">
        <v>2</v>
      </c>
      <c r="F123" s="111">
        <v>585</v>
      </c>
      <c r="K123" s="134">
        <v>5</v>
      </c>
      <c r="L123" s="151">
        <v>41701</v>
      </c>
      <c r="M123" s="169">
        <v>2.4500000000000002</v>
      </c>
      <c r="N123" s="151">
        <v>41838</v>
      </c>
      <c r="Q123" s="497"/>
      <c r="S123" s="134">
        <v>8.51</v>
      </c>
      <c r="T123" s="151">
        <v>41842</v>
      </c>
      <c r="U123" s="134">
        <v>13.5</v>
      </c>
      <c r="V123" s="151">
        <v>41838</v>
      </c>
      <c r="W123" s="196">
        <v>9</v>
      </c>
      <c r="X123" s="151">
        <v>41829</v>
      </c>
      <c r="Y123" s="134">
        <f t="shared" si="1"/>
        <v>3.2299100000000003</v>
      </c>
      <c r="AC123" s="134">
        <v>18.149999999999999</v>
      </c>
      <c r="AD123" s="151">
        <v>41838</v>
      </c>
      <c r="AE123" s="134">
        <v>18.670000000000002</v>
      </c>
      <c r="AF123" s="151">
        <v>41838</v>
      </c>
      <c r="AG123" s="197">
        <v>5.9</v>
      </c>
      <c r="AH123" s="151">
        <v>41843</v>
      </c>
      <c r="AI123" s="198">
        <v>7</v>
      </c>
      <c r="AJ123" s="151">
        <v>41778</v>
      </c>
      <c r="AK123" s="199">
        <v>5</v>
      </c>
      <c r="AL123" s="151">
        <v>41709</v>
      </c>
      <c r="BE123" s="200">
        <v>5</v>
      </c>
      <c r="BF123" s="201">
        <v>41555</v>
      </c>
      <c r="BG123" s="203">
        <v>30.3</v>
      </c>
      <c r="BH123" s="151">
        <v>41842</v>
      </c>
      <c r="BM123" s="204">
        <v>70.400000000000006</v>
      </c>
      <c r="BN123" s="151">
        <v>41842</v>
      </c>
      <c r="BQ123" s="205">
        <v>7.1</v>
      </c>
      <c r="BR123" s="151">
        <v>41842</v>
      </c>
      <c r="BS123" s="206">
        <v>45.6</v>
      </c>
      <c r="BT123" s="151">
        <v>41842</v>
      </c>
      <c r="BU123" s="207">
        <v>17.3</v>
      </c>
      <c r="BV123" s="151">
        <v>41842</v>
      </c>
      <c r="BW123" s="206">
        <v>75.400000000000006</v>
      </c>
      <c r="BX123" s="151">
        <v>41842</v>
      </c>
      <c r="BY123" s="210">
        <v>7.05</v>
      </c>
      <c r="BZ123" s="151">
        <v>41842</v>
      </c>
      <c r="CA123" s="206">
        <v>38</v>
      </c>
      <c r="CB123" s="151">
        <v>41842</v>
      </c>
      <c r="CC123" s="208">
        <v>6.4</v>
      </c>
      <c r="CD123" s="151">
        <v>41838</v>
      </c>
      <c r="CL123" s="209">
        <v>7</v>
      </c>
      <c r="CM123" s="201">
        <v>41810</v>
      </c>
    </row>
    <row r="124" spans="1:91" ht="15">
      <c r="A124" s="152" t="s">
        <v>7892</v>
      </c>
      <c r="B124" s="110" t="s">
        <v>233</v>
      </c>
      <c r="C124" s="110" t="s">
        <v>8083</v>
      </c>
      <c r="D124" s="110">
        <v>11623</v>
      </c>
      <c r="E124" s="111">
        <v>7</v>
      </c>
      <c r="F124" s="111">
        <v>669</v>
      </c>
      <c r="K124" s="134">
        <v>5</v>
      </c>
      <c r="L124" s="151">
        <v>41701</v>
      </c>
      <c r="M124" s="169">
        <v>2.5</v>
      </c>
      <c r="N124" s="151">
        <v>41838</v>
      </c>
      <c r="Q124" s="497"/>
      <c r="S124" s="134">
        <v>8.76</v>
      </c>
      <c r="T124" s="151">
        <v>41842</v>
      </c>
      <c r="U124" s="134">
        <v>13.5</v>
      </c>
      <c r="V124" s="151">
        <v>41838</v>
      </c>
      <c r="W124" s="196">
        <v>1</v>
      </c>
      <c r="X124" s="151">
        <v>41829</v>
      </c>
      <c r="Y124" s="134">
        <f t="shared" si="1"/>
        <v>3.1679899999999996</v>
      </c>
      <c r="AC124" s="134">
        <v>18.52</v>
      </c>
      <c r="AD124" s="151">
        <v>41838</v>
      </c>
      <c r="AE124" s="134">
        <v>18.97</v>
      </c>
      <c r="AF124" s="151">
        <v>41838</v>
      </c>
      <c r="AG124" s="197">
        <v>5.9</v>
      </c>
      <c r="AH124" s="151">
        <v>41843</v>
      </c>
      <c r="AI124" s="198">
        <v>7</v>
      </c>
      <c r="AJ124" s="151">
        <v>41778</v>
      </c>
      <c r="AK124" s="199">
        <v>5</v>
      </c>
      <c r="AL124" s="151">
        <v>41709</v>
      </c>
      <c r="BE124" s="200">
        <v>5</v>
      </c>
      <c r="BF124" s="201">
        <v>41555</v>
      </c>
      <c r="BG124" s="203">
        <v>32.1</v>
      </c>
      <c r="BH124" s="151">
        <v>41842</v>
      </c>
      <c r="BM124" s="204">
        <v>72.099999999999994</v>
      </c>
      <c r="BN124" s="151">
        <v>41842</v>
      </c>
      <c r="BQ124" s="205">
        <v>6.4</v>
      </c>
      <c r="BR124" s="151">
        <v>41842</v>
      </c>
      <c r="BS124" s="206">
        <v>46.2</v>
      </c>
      <c r="BT124" s="151">
        <v>41842</v>
      </c>
      <c r="BU124" s="207">
        <v>16.7</v>
      </c>
      <c r="BV124" s="151">
        <v>41842</v>
      </c>
      <c r="BW124" s="206">
        <v>79</v>
      </c>
      <c r="BX124" s="151">
        <v>41842</v>
      </c>
      <c r="BY124" s="210">
        <v>7.36</v>
      </c>
      <c r="BZ124" s="151">
        <v>41842</v>
      </c>
      <c r="CA124" s="206">
        <v>37.299999999999997</v>
      </c>
      <c r="CB124" s="151">
        <v>41842</v>
      </c>
      <c r="CC124" s="208">
        <v>6.8</v>
      </c>
      <c r="CD124" s="151">
        <v>41838</v>
      </c>
      <c r="CL124" s="209">
        <v>5</v>
      </c>
      <c r="CM124" s="201">
        <v>41810</v>
      </c>
    </row>
    <row r="125" spans="1:91" ht="15">
      <c r="A125" s="152" t="s">
        <v>7892</v>
      </c>
      <c r="B125" s="110" t="s">
        <v>235</v>
      </c>
      <c r="C125" s="110" t="s">
        <v>8081</v>
      </c>
      <c r="D125" s="110">
        <v>11217</v>
      </c>
      <c r="E125" s="111">
        <v>8</v>
      </c>
      <c r="F125" s="111">
        <v>481</v>
      </c>
      <c r="K125" s="134">
        <v>5</v>
      </c>
      <c r="L125" s="151">
        <v>41701</v>
      </c>
      <c r="M125" s="169">
        <v>3.7</v>
      </c>
      <c r="N125" s="151">
        <v>41838</v>
      </c>
      <c r="Q125" s="497"/>
      <c r="S125" s="134">
        <v>12.48</v>
      </c>
      <c r="T125" s="151">
        <v>41842</v>
      </c>
      <c r="U125" s="134">
        <v>13.5</v>
      </c>
      <c r="V125" s="151">
        <v>41838</v>
      </c>
      <c r="W125" s="196">
        <v>9</v>
      </c>
      <c r="X125" s="151">
        <v>41829</v>
      </c>
      <c r="Y125" s="134">
        <f t="shared" si="1"/>
        <v>5.0806700000000005</v>
      </c>
      <c r="AC125" s="134">
        <v>27.41</v>
      </c>
      <c r="AD125" s="151">
        <v>41838</v>
      </c>
      <c r="AE125" s="134">
        <v>28.07</v>
      </c>
      <c r="AF125" s="151">
        <v>41838</v>
      </c>
      <c r="AG125" s="197">
        <v>5.5</v>
      </c>
      <c r="AH125" s="151">
        <v>41843</v>
      </c>
      <c r="AI125" s="198">
        <v>7</v>
      </c>
      <c r="AJ125" s="151">
        <v>41778</v>
      </c>
      <c r="AK125" s="199">
        <v>5</v>
      </c>
      <c r="AL125" s="151">
        <v>41709</v>
      </c>
      <c r="BE125" s="200">
        <v>5</v>
      </c>
      <c r="BF125" s="201">
        <v>41555</v>
      </c>
      <c r="BG125" s="203">
        <v>27.5</v>
      </c>
      <c r="BH125" s="151">
        <v>41842</v>
      </c>
      <c r="BM125" s="204">
        <v>70.2</v>
      </c>
      <c r="BN125" s="151">
        <v>41842</v>
      </c>
      <c r="BQ125" s="205">
        <v>6.5</v>
      </c>
      <c r="BR125" s="151">
        <v>41842</v>
      </c>
      <c r="BS125" s="206">
        <v>44.5</v>
      </c>
      <c r="BT125" s="151">
        <v>41842</v>
      </c>
      <c r="BU125" s="207">
        <v>18.100000000000001</v>
      </c>
      <c r="BV125" s="151">
        <v>41842</v>
      </c>
      <c r="BW125" s="206">
        <v>71.099999999999994</v>
      </c>
      <c r="BX125" s="151">
        <v>41842</v>
      </c>
      <c r="BY125" s="210">
        <v>7.49</v>
      </c>
      <c r="BZ125" s="151">
        <v>41842</v>
      </c>
      <c r="CA125" s="206">
        <v>38.9</v>
      </c>
      <c r="CB125" s="151">
        <v>41842</v>
      </c>
      <c r="CC125" s="208">
        <v>6.8</v>
      </c>
      <c r="CD125" s="151">
        <v>41838</v>
      </c>
      <c r="CL125" s="209">
        <v>7</v>
      </c>
      <c r="CM125" s="201">
        <v>41810</v>
      </c>
    </row>
    <row r="126" spans="1:91" ht="15">
      <c r="A126" s="152" t="s">
        <v>7893</v>
      </c>
      <c r="B126" s="110" t="s">
        <v>233</v>
      </c>
      <c r="C126" s="110" t="s">
        <v>381</v>
      </c>
      <c r="D126" s="110">
        <v>11119</v>
      </c>
      <c r="E126" s="111">
        <v>5</v>
      </c>
      <c r="F126" s="111">
        <v>521</v>
      </c>
      <c r="K126" s="194">
        <v>7</v>
      </c>
      <c r="L126" s="151">
        <v>41701</v>
      </c>
      <c r="M126" s="169">
        <v>2.1</v>
      </c>
      <c r="N126" s="151">
        <v>41838</v>
      </c>
      <c r="Q126" s="497"/>
      <c r="S126" s="134">
        <v>7.54</v>
      </c>
      <c r="T126" s="151">
        <v>41842</v>
      </c>
      <c r="U126" s="134">
        <v>13.5</v>
      </c>
      <c r="V126" s="151">
        <v>41838</v>
      </c>
      <c r="W126" s="196">
        <v>1</v>
      </c>
      <c r="X126" s="151">
        <v>41829</v>
      </c>
      <c r="Y126" s="134">
        <f t="shared" si="1"/>
        <v>2.4824800000000002</v>
      </c>
      <c r="AC126" s="134">
        <v>15.56</v>
      </c>
      <c r="AD126" s="151">
        <v>41838</v>
      </c>
      <c r="AE126" s="134">
        <v>16.12</v>
      </c>
      <c r="AF126" s="151">
        <v>41838</v>
      </c>
      <c r="AG126" s="197">
        <v>4.2</v>
      </c>
      <c r="AH126" s="151">
        <v>41843</v>
      </c>
      <c r="AI126" s="198"/>
      <c r="AJ126" s="151">
        <v>41778</v>
      </c>
      <c r="AK126" s="199">
        <v>9</v>
      </c>
      <c r="AL126" s="151">
        <v>41709</v>
      </c>
      <c r="BE126" s="200">
        <v>9</v>
      </c>
      <c r="BF126" s="201">
        <v>41555</v>
      </c>
      <c r="BG126" s="203">
        <v>30.5</v>
      </c>
      <c r="BH126" s="151">
        <v>41842</v>
      </c>
      <c r="BM126" s="204">
        <v>68.8</v>
      </c>
      <c r="BN126" s="151">
        <v>41842</v>
      </c>
      <c r="BQ126" s="205">
        <v>8</v>
      </c>
      <c r="BR126" s="151">
        <v>41842</v>
      </c>
      <c r="BS126" s="206">
        <v>46.8</v>
      </c>
      <c r="BT126" s="151">
        <v>41842</v>
      </c>
      <c r="BU126" s="207">
        <v>15.4</v>
      </c>
      <c r="BV126" s="151">
        <v>41842</v>
      </c>
      <c r="BW126" s="206">
        <v>58.7</v>
      </c>
      <c r="BX126" s="151">
        <v>41842</v>
      </c>
      <c r="BY126" s="210">
        <v>7.75</v>
      </c>
      <c r="BZ126" s="151">
        <v>41842</v>
      </c>
      <c r="CA126" s="206">
        <v>34.700000000000003</v>
      </c>
      <c r="CB126" s="151">
        <v>41842</v>
      </c>
      <c r="CC126" s="208">
        <v>5.7</v>
      </c>
      <c r="CD126" s="151">
        <v>41838</v>
      </c>
      <c r="CL126" s="209">
        <v>7</v>
      </c>
      <c r="CM126" s="201">
        <v>41810</v>
      </c>
    </row>
    <row r="127" spans="1:91" ht="15">
      <c r="A127" s="152" t="s">
        <v>7893</v>
      </c>
      <c r="B127" s="110" t="s">
        <v>235</v>
      </c>
      <c r="C127" s="110" t="s">
        <v>8082</v>
      </c>
      <c r="D127" s="110">
        <v>11585</v>
      </c>
      <c r="E127" s="111">
        <v>6</v>
      </c>
      <c r="F127" s="111">
        <v>661</v>
      </c>
      <c r="K127" s="134">
        <v>5</v>
      </c>
      <c r="L127" s="151">
        <v>41701</v>
      </c>
      <c r="M127" s="169">
        <v>2.4</v>
      </c>
      <c r="N127" s="151">
        <v>41838</v>
      </c>
      <c r="Q127" s="497"/>
      <c r="S127" s="134">
        <v>8.6</v>
      </c>
      <c r="T127" s="151">
        <v>41842</v>
      </c>
      <c r="U127" s="134">
        <v>13.5</v>
      </c>
      <c r="V127" s="151">
        <v>41838</v>
      </c>
      <c r="W127" s="196">
        <v>1</v>
      </c>
      <c r="X127" s="151">
        <v>41829</v>
      </c>
      <c r="Y127" s="134">
        <f t="shared" si="1"/>
        <v>2.8746700000000001</v>
      </c>
      <c r="AC127" s="134">
        <v>17.78</v>
      </c>
      <c r="AD127" s="151">
        <v>41838</v>
      </c>
      <c r="AE127" s="134">
        <v>18.309999999999999</v>
      </c>
      <c r="AF127" s="151">
        <v>41838</v>
      </c>
      <c r="AG127" s="197">
        <v>4.2</v>
      </c>
      <c r="AH127" s="151">
        <v>41843</v>
      </c>
      <c r="AI127" s="198"/>
      <c r="AJ127" s="151">
        <v>41778</v>
      </c>
      <c r="AK127" s="199">
        <v>7</v>
      </c>
      <c r="AL127" s="151">
        <v>41709</v>
      </c>
      <c r="BE127" s="200">
        <v>7</v>
      </c>
      <c r="BF127" s="201">
        <v>41555</v>
      </c>
      <c r="BG127" s="203">
        <v>33.9</v>
      </c>
      <c r="BH127" s="151">
        <v>41842</v>
      </c>
      <c r="BM127" s="204">
        <v>69.5</v>
      </c>
      <c r="BN127" s="151">
        <v>41842</v>
      </c>
      <c r="BQ127" s="205">
        <v>6.8</v>
      </c>
      <c r="BR127" s="151">
        <v>41842</v>
      </c>
      <c r="BS127" s="206">
        <v>47</v>
      </c>
      <c r="BT127" s="151">
        <v>41842</v>
      </c>
      <c r="BU127" s="207">
        <v>15.7</v>
      </c>
      <c r="BV127" s="151">
        <v>41842</v>
      </c>
      <c r="BW127" s="206">
        <v>65.3</v>
      </c>
      <c r="BX127" s="151">
        <v>41842</v>
      </c>
      <c r="BY127" s="210">
        <v>7.78</v>
      </c>
      <c r="BZ127" s="151">
        <v>41842</v>
      </c>
      <c r="CA127" s="206">
        <v>35.5</v>
      </c>
      <c r="CB127" s="151">
        <v>41842</v>
      </c>
      <c r="CC127" s="208">
        <v>6.3</v>
      </c>
      <c r="CD127" s="151">
        <v>41838</v>
      </c>
      <c r="CL127" s="209">
        <v>5</v>
      </c>
      <c r="CM127" s="201">
        <v>41810</v>
      </c>
    </row>
    <row r="128" spans="1:91" ht="15">
      <c r="A128" s="152" t="s">
        <v>7893</v>
      </c>
      <c r="B128" s="110" t="s">
        <v>235</v>
      </c>
      <c r="C128" s="110" t="s">
        <v>8081</v>
      </c>
      <c r="D128" s="110">
        <v>11235</v>
      </c>
      <c r="E128" s="111">
        <v>8</v>
      </c>
      <c r="F128" s="111">
        <v>553</v>
      </c>
      <c r="K128" s="134">
        <v>5</v>
      </c>
      <c r="L128" s="151">
        <v>41701</v>
      </c>
      <c r="M128" s="169">
        <v>2.2999999999999998</v>
      </c>
      <c r="N128" s="151">
        <v>41838</v>
      </c>
      <c r="Q128" s="497"/>
      <c r="S128" s="134">
        <v>8.2200000000000006</v>
      </c>
      <c r="T128" s="151">
        <v>41842</v>
      </c>
      <c r="U128" s="134">
        <v>13.5</v>
      </c>
      <c r="V128" s="151">
        <v>41838</v>
      </c>
      <c r="W128" s="196">
        <v>1</v>
      </c>
      <c r="X128" s="151">
        <v>41829</v>
      </c>
      <c r="Y128" s="134">
        <f t="shared" si="1"/>
        <v>2.7741900000000004</v>
      </c>
      <c r="AC128" s="134">
        <v>17.04</v>
      </c>
      <c r="AD128" s="151">
        <v>41838</v>
      </c>
      <c r="AE128" s="134">
        <v>17.670000000000002</v>
      </c>
      <c r="AF128" s="151">
        <v>41838</v>
      </c>
      <c r="AG128" s="197">
        <v>3.8</v>
      </c>
      <c r="AH128" s="151">
        <v>41843</v>
      </c>
      <c r="AI128" s="198">
        <v>5</v>
      </c>
      <c r="AJ128" s="151">
        <v>41778</v>
      </c>
      <c r="AK128" s="199">
        <v>9</v>
      </c>
      <c r="AL128" s="151">
        <v>41709</v>
      </c>
      <c r="BE128" s="200">
        <v>9</v>
      </c>
      <c r="BF128" s="201">
        <v>41555</v>
      </c>
      <c r="BG128" s="203">
        <v>30.4</v>
      </c>
      <c r="BH128" s="151">
        <v>41842</v>
      </c>
      <c r="BM128" s="204">
        <v>68.2</v>
      </c>
      <c r="BN128" s="151">
        <v>41842</v>
      </c>
      <c r="BQ128" s="205">
        <v>7.9</v>
      </c>
      <c r="BR128" s="151">
        <v>41842</v>
      </c>
      <c r="BS128" s="206">
        <v>46.5</v>
      </c>
      <c r="BT128" s="151">
        <v>41842</v>
      </c>
      <c r="BU128" s="207">
        <v>15.7</v>
      </c>
      <c r="BV128" s="151">
        <v>41842</v>
      </c>
      <c r="BW128" s="206">
        <v>58.1</v>
      </c>
      <c r="BX128" s="151">
        <v>41842</v>
      </c>
      <c r="BY128" s="210">
        <v>7.78</v>
      </c>
      <c r="BZ128" s="151">
        <v>41842</v>
      </c>
      <c r="CA128" s="206">
        <v>35.299999999999997</v>
      </c>
      <c r="CB128" s="151">
        <v>41842</v>
      </c>
      <c r="CC128" s="208">
        <v>5.6</v>
      </c>
      <c r="CD128" s="151">
        <v>41838</v>
      </c>
      <c r="CL128" s="209">
        <v>7</v>
      </c>
      <c r="CM128" s="201">
        <v>41810</v>
      </c>
    </row>
    <row r="129" spans="1:91" ht="15">
      <c r="A129" s="152" t="s">
        <v>7893</v>
      </c>
      <c r="B129" s="110" t="s">
        <v>233</v>
      </c>
      <c r="C129" s="110" t="s">
        <v>8083</v>
      </c>
      <c r="D129" s="110">
        <v>11676</v>
      </c>
      <c r="E129" s="111">
        <v>8</v>
      </c>
      <c r="F129" s="111">
        <v>737</v>
      </c>
      <c r="K129" s="134">
        <v>5</v>
      </c>
      <c r="L129" s="151">
        <v>41701</v>
      </c>
      <c r="M129" s="169">
        <v>1.75</v>
      </c>
      <c r="N129" s="151">
        <v>41838</v>
      </c>
      <c r="Q129" s="497"/>
      <c r="S129" s="134">
        <v>6.33</v>
      </c>
      <c r="T129" s="151">
        <v>41842</v>
      </c>
      <c r="U129" s="134">
        <v>13.5</v>
      </c>
      <c r="V129" s="151">
        <v>41838</v>
      </c>
      <c r="W129" s="196">
        <v>1</v>
      </c>
      <c r="X129" s="151">
        <v>41829</v>
      </c>
      <c r="Y129" s="134">
        <f t="shared" si="1"/>
        <v>1.9728400000000001</v>
      </c>
      <c r="AC129" s="134">
        <v>12.96</v>
      </c>
      <c r="AD129" s="151">
        <v>41838</v>
      </c>
      <c r="AE129" s="134">
        <v>13.33</v>
      </c>
      <c r="AF129" s="151">
        <v>41838</v>
      </c>
      <c r="AG129" s="197">
        <v>4.5</v>
      </c>
      <c r="AH129" s="151">
        <v>41843</v>
      </c>
      <c r="AI129" s="198">
        <v>7</v>
      </c>
      <c r="AJ129" s="151">
        <v>41778</v>
      </c>
      <c r="AK129" s="199">
        <v>9</v>
      </c>
      <c r="AL129" s="151">
        <v>41709</v>
      </c>
      <c r="BE129" s="200">
        <v>9</v>
      </c>
      <c r="BF129" s="201">
        <v>41555</v>
      </c>
      <c r="BG129" s="203">
        <v>22.8</v>
      </c>
      <c r="BH129" s="151">
        <v>41842</v>
      </c>
      <c r="BM129" s="204">
        <v>71</v>
      </c>
      <c r="BN129" s="151">
        <v>41842</v>
      </c>
      <c r="BQ129" s="205">
        <v>7.9</v>
      </c>
      <c r="BR129" s="151">
        <v>41842</v>
      </c>
      <c r="BS129" s="206">
        <v>47.5</v>
      </c>
      <c r="BT129" s="151">
        <v>41842</v>
      </c>
      <c r="BU129" s="207">
        <v>14.8</v>
      </c>
      <c r="BV129" s="151">
        <v>41842</v>
      </c>
      <c r="BW129" s="206">
        <v>56.2</v>
      </c>
      <c r="BX129" s="151">
        <v>41842</v>
      </c>
      <c r="BY129" s="210">
        <v>7.67</v>
      </c>
      <c r="BZ129" s="151">
        <v>41842</v>
      </c>
      <c r="CA129" s="206">
        <v>34</v>
      </c>
      <c r="CB129" s="151">
        <v>41842</v>
      </c>
      <c r="CC129" s="208">
        <v>6.4</v>
      </c>
      <c r="CD129" s="151">
        <v>41838</v>
      </c>
      <c r="CL129" s="209">
        <v>5</v>
      </c>
      <c r="CM129" s="201">
        <v>41810</v>
      </c>
    </row>
    <row r="130" spans="1:91" ht="15">
      <c r="A130" s="152" t="s">
        <v>7894</v>
      </c>
      <c r="B130" s="110" t="s">
        <v>233</v>
      </c>
      <c r="C130" s="110" t="s">
        <v>381</v>
      </c>
      <c r="D130" s="110">
        <v>11055</v>
      </c>
      <c r="E130" s="111">
        <v>3</v>
      </c>
      <c r="F130" s="111">
        <v>553</v>
      </c>
      <c r="K130" s="134">
        <v>5</v>
      </c>
      <c r="L130" s="151">
        <v>41701</v>
      </c>
      <c r="M130" s="169">
        <v>3.45</v>
      </c>
      <c r="N130" s="151">
        <v>41838</v>
      </c>
      <c r="Q130" s="497"/>
      <c r="S130" s="134">
        <v>12.28</v>
      </c>
      <c r="T130" s="151">
        <v>41842</v>
      </c>
      <c r="U130" s="134">
        <v>13.5</v>
      </c>
      <c r="V130" s="151">
        <v>41838</v>
      </c>
      <c r="W130" s="196">
        <v>1</v>
      </c>
      <c r="X130" s="151">
        <v>41829</v>
      </c>
      <c r="Y130" s="134">
        <f t="shared" si="1"/>
        <v>4.0392000000000001</v>
      </c>
      <c r="AC130" s="134">
        <v>25.56</v>
      </c>
      <c r="AD130" s="151">
        <v>41838</v>
      </c>
      <c r="AE130" s="134">
        <v>26.4</v>
      </c>
      <c r="AF130" s="151">
        <v>41838</v>
      </c>
      <c r="AG130" s="197">
        <v>5</v>
      </c>
      <c r="AH130" s="151">
        <v>41843</v>
      </c>
      <c r="AI130" s="198">
        <v>7</v>
      </c>
      <c r="AJ130" s="151">
        <v>41778</v>
      </c>
      <c r="AK130" s="199">
        <v>7</v>
      </c>
      <c r="AL130" s="151">
        <v>41709</v>
      </c>
      <c r="BE130" s="200">
        <v>7</v>
      </c>
      <c r="BF130" s="201">
        <v>41555</v>
      </c>
      <c r="BG130" s="203">
        <v>30.4</v>
      </c>
      <c r="BH130" s="151">
        <v>41842</v>
      </c>
      <c r="BM130" s="204">
        <v>70.900000000000006</v>
      </c>
      <c r="BN130" s="151">
        <v>41842</v>
      </c>
      <c r="BQ130" s="205">
        <v>5.5</v>
      </c>
      <c r="BR130" s="151">
        <v>41842</v>
      </c>
      <c r="BS130" s="206">
        <v>46.5</v>
      </c>
      <c r="BT130" s="151">
        <v>41842</v>
      </c>
      <c r="BU130" s="207">
        <v>15.3</v>
      </c>
      <c r="BV130" s="151">
        <v>41842</v>
      </c>
      <c r="BW130" s="206">
        <v>64.900000000000006</v>
      </c>
      <c r="BX130" s="151">
        <v>41842</v>
      </c>
      <c r="BY130" s="210">
        <v>7.17</v>
      </c>
      <c r="BZ130" s="151">
        <v>41842</v>
      </c>
      <c r="CA130" s="206">
        <v>34.5</v>
      </c>
      <c r="CB130" s="151">
        <v>41842</v>
      </c>
      <c r="CC130" s="208">
        <v>6</v>
      </c>
      <c r="CD130" s="151">
        <v>41838</v>
      </c>
      <c r="CL130" s="209">
        <v>5</v>
      </c>
      <c r="CM130" s="201">
        <v>41810</v>
      </c>
    </row>
    <row r="131" spans="1:91" ht="15">
      <c r="A131" s="152" t="s">
        <v>7894</v>
      </c>
      <c r="B131" s="110" t="s">
        <v>235</v>
      </c>
      <c r="C131" s="110" t="s">
        <v>8082</v>
      </c>
      <c r="D131" s="110">
        <v>11577</v>
      </c>
      <c r="E131" s="111">
        <v>6</v>
      </c>
      <c r="F131" s="111">
        <v>629</v>
      </c>
      <c r="K131" s="134">
        <v>5</v>
      </c>
      <c r="L131" s="151">
        <v>41701</v>
      </c>
      <c r="M131" s="169">
        <v>4.0999999999999996</v>
      </c>
      <c r="N131" s="151">
        <v>41838</v>
      </c>
      <c r="Q131" s="497"/>
      <c r="S131" s="134">
        <v>14.36</v>
      </c>
      <c r="T131" s="151">
        <v>41842</v>
      </c>
      <c r="U131" s="134">
        <v>13.5</v>
      </c>
      <c r="V131" s="151">
        <v>41838</v>
      </c>
      <c r="W131" s="196">
        <v>9</v>
      </c>
      <c r="X131" s="151">
        <v>41829</v>
      </c>
      <c r="Y131" s="134">
        <f t="shared" ref="Y131:Y194" si="2">(AE131*BU131)/100</f>
        <v>5.1875999999999998</v>
      </c>
      <c r="AC131" s="134">
        <v>30.37</v>
      </c>
      <c r="AD131" s="151">
        <v>41838</v>
      </c>
      <c r="AE131" s="134">
        <v>31.44</v>
      </c>
      <c r="AF131" s="151">
        <v>41838</v>
      </c>
      <c r="AG131" s="197">
        <v>5.4</v>
      </c>
      <c r="AH131" s="151">
        <v>41843</v>
      </c>
      <c r="AI131" s="198">
        <v>5</v>
      </c>
      <c r="AJ131" s="151">
        <v>41778</v>
      </c>
      <c r="AK131" s="199">
        <v>7</v>
      </c>
      <c r="AL131" s="151">
        <v>41709</v>
      </c>
      <c r="BE131" s="200">
        <v>7</v>
      </c>
      <c r="BF131" s="201">
        <v>41555</v>
      </c>
      <c r="BG131" s="203">
        <v>29.4</v>
      </c>
      <c r="BH131" s="151">
        <v>41842</v>
      </c>
      <c r="BM131" s="204">
        <v>69.8</v>
      </c>
      <c r="BN131" s="151">
        <v>41842</v>
      </c>
      <c r="BQ131" s="205">
        <v>5.5</v>
      </c>
      <c r="BR131" s="151">
        <v>41842</v>
      </c>
      <c r="BS131" s="206">
        <v>45.7</v>
      </c>
      <c r="BT131" s="151">
        <v>41842</v>
      </c>
      <c r="BU131" s="207">
        <v>16.5</v>
      </c>
      <c r="BV131" s="151">
        <v>41842</v>
      </c>
      <c r="BW131" s="206">
        <v>70</v>
      </c>
      <c r="BX131" s="151">
        <v>41842</v>
      </c>
      <c r="BY131" s="210">
        <v>7.25</v>
      </c>
      <c r="BZ131" s="151">
        <v>41842</v>
      </c>
      <c r="CA131" s="206">
        <v>36.299999999999997</v>
      </c>
      <c r="CB131" s="151">
        <v>41842</v>
      </c>
      <c r="CC131" s="208">
        <v>5.8</v>
      </c>
      <c r="CD131" s="151">
        <v>41838</v>
      </c>
      <c r="CL131" s="209">
        <v>7</v>
      </c>
      <c r="CM131" s="201">
        <v>41810</v>
      </c>
    </row>
    <row r="132" spans="1:91" ht="15">
      <c r="A132" s="152" t="s">
        <v>7894</v>
      </c>
      <c r="B132" s="110" t="s">
        <v>235</v>
      </c>
      <c r="C132" s="110" t="s">
        <v>8081</v>
      </c>
      <c r="D132" s="110">
        <v>11226</v>
      </c>
      <c r="E132" s="111">
        <v>8</v>
      </c>
      <c r="F132" s="111">
        <v>517</v>
      </c>
      <c r="K132" s="194">
        <v>7</v>
      </c>
      <c r="L132" s="151">
        <v>41701</v>
      </c>
      <c r="M132" s="169">
        <v>4.7</v>
      </c>
      <c r="N132" s="151">
        <v>41838</v>
      </c>
      <c r="Q132" s="497"/>
      <c r="S132" s="134">
        <v>16.309999999999999</v>
      </c>
      <c r="T132" s="151">
        <v>41842</v>
      </c>
      <c r="U132" s="134">
        <v>13.5</v>
      </c>
      <c r="V132" s="151">
        <v>41838</v>
      </c>
      <c r="W132" s="196">
        <v>9</v>
      </c>
      <c r="X132" s="151">
        <v>41829</v>
      </c>
      <c r="Y132" s="134">
        <f t="shared" si="2"/>
        <v>5.8549600000000011</v>
      </c>
      <c r="AC132" s="134">
        <v>34.81</v>
      </c>
      <c r="AD132" s="151">
        <v>41838</v>
      </c>
      <c r="AE132" s="134">
        <v>35.92</v>
      </c>
      <c r="AF132" s="151">
        <v>41838</v>
      </c>
      <c r="AG132" s="197">
        <v>5.3</v>
      </c>
      <c r="AH132" s="151">
        <v>41843</v>
      </c>
      <c r="AI132" s="198">
        <v>5</v>
      </c>
      <c r="AJ132" s="151">
        <v>41778</v>
      </c>
      <c r="AK132" s="199">
        <v>7</v>
      </c>
      <c r="AL132" s="151">
        <v>41709</v>
      </c>
      <c r="BE132" s="200">
        <v>7</v>
      </c>
      <c r="BF132" s="201">
        <v>41555</v>
      </c>
      <c r="BG132" s="203">
        <v>29.5</v>
      </c>
      <c r="BH132" s="151">
        <v>41842</v>
      </c>
      <c r="BM132" s="204">
        <v>69.7</v>
      </c>
      <c r="BN132" s="151">
        <v>41842</v>
      </c>
      <c r="BQ132" s="205">
        <v>5.7</v>
      </c>
      <c r="BR132" s="151">
        <v>41842</v>
      </c>
      <c r="BS132" s="206">
        <v>45.4</v>
      </c>
      <c r="BT132" s="151">
        <v>41842</v>
      </c>
      <c r="BU132" s="207">
        <v>16.3</v>
      </c>
      <c r="BV132" s="151">
        <v>41842</v>
      </c>
      <c r="BW132" s="206">
        <v>70.400000000000006</v>
      </c>
      <c r="BX132" s="151">
        <v>41842</v>
      </c>
      <c r="BY132" s="210">
        <v>7.46</v>
      </c>
      <c r="BZ132" s="151">
        <v>41842</v>
      </c>
      <c r="CA132" s="206">
        <v>35.799999999999997</v>
      </c>
      <c r="CB132" s="151">
        <v>41842</v>
      </c>
      <c r="CC132" s="208">
        <v>6.1</v>
      </c>
      <c r="CD132" s="151">
        <v>41838</v>
      </c>
      <c r="CL132" s="209">
        <v>5</v>
      </c>
      <c r="CM132" s="201">
        <v>41810</v>
      </c>
    </row>
    <row r="133" spans="1:91" ht="15">
      <c r="A133" s="152" t="s">
        <v>7894</v>
      </c>
      <c r="B133" s="110" t="s">
        <v>233</v>
      </c>
      <c r="C133" s="110" t="s">
        <v>8083</v>
      </c>
      <c r="D133" s="110">
        <v>11683</v>
      </c>
      <c r="E133" s="111">
        <v>8</v>
      </c>
      <c r="F133" s="111">
        <v>765</v>
      </c>
      <c r="K133" s="134">
        <v>5</v>
      </c>
      <c r="L133" s="151">
        <v>41701</v>
      </c>
      <c r="M133" s="169">
        <v>3.15</v>
      </c>
      <c r="N133" s="151">
        <v>41838</v>
      </c>
      <c r="Q133" s="497"/>
      <c r="S133" s="134">
        <v>11.24</v>
      </c>
      <c r="T133" s="151">
        <v>41842</v>
      </c>
      <c r="U133" s="134">
        <v>13.5</v>
      </c>
      <c r="V133" s="151">
        <v>41838</v>
      </c>
      <c r="W133" s="196">
        <v>1</v>
      </c>
      <c r="X133" s="151">
        <v>41829</v>
      </c>
      <c r="Y133" s="134">
        <f t="shared" si="2"/>
        <v>3.5353499999999998</v>
      </c>
      <c r="AC133" s="134">
        <v>23.33</v>
      </c>
      <c r="AD133" s="151">
        <v>41838</v>
      </c>
      <c r="AE133" s="134">
        <v>24.05</v>
      </c>
      <c r="AF133" s="151">
        <v>41838</v>
      </c>
      <c r="AG133" s="197">
        <v>5.6</v>
      </c>
      <c r="AH133" s="151">
        <v>41843</v>
      </c>
      <c r="AI133" s="198">
        <v>5</v>
      </c>
      <c r="AJ133" s="151">
        <v>41778</v>
      </c>
      <c r="AK133" s="199">
        <v>7</v>
      </c>
      <c r="AL133" s="151">
        <v>41709</v>
      </c>
      <c r="BE133" s="200">
        <v>7</v>
      </c>
      <c r="BF133" s="201">
        <v>41555</v>
      </c>
      <c r="BG133" s="203">
        <v>25.2</v>
      </c>
      <c r="BH133" s="151">
        <v>41842</v>
      </c>
      <c r="BM133" s="204">
        <v>70.3</v>
      </c>
      <c r="BN133" s="151">
        <v>41842</v>
      </c>
      <c r="BQ133" s="205">
        <v>5.6</v>
      </c>
      <c r="BR133" s="151">
        <v>41842</v>
      </c>
      <c r="BS133" s="206">
        <v>46.8</v>
      </c>
      <c r="BT133" s="151">
        <v>41842</v>
      </c>
      <c r="BU133" s="207">
        <v>14.7</v>
      </c>
      <c r="BV133" s="151">
        <v>41842</v>
      </c>
      <c r="BW133" s="206">
        <v>62.7</v>
      </c>
      <c r="BX133" s="151">
        <v>41842</v>
      </c>
      <c r="BY133" s="210">
        <v>7.29</v>
      </c>
      <c r="BZ133" s="151">
        <v>41842</v>
      </c>
      <c r="CA133" s="206">
        <v>33.200000000000003</v>
      </c>
      <c r="CB133" s="151">
        <v>41842</v>
      </c>
      <c r="CC133" s="208">
        <v>6.2</v>
      </c>
      <c r="CD133" s="151">
        <v>41838</v>
      </c>
      <c r="CL133" s="209">
        <v>5</v>
      </c>
      <c r="CM133" s="201">
        <v>41810</v>
      </c>
    </row>
    <row r="134" spans="1:91" ht="15">
      <c r="A134" s="152" t="s">
        <v>7895</v>
      </c>
      <c r="B134" s="110" t="s">
        <v>235</v>
      </c>
      <c r="C134" s="110" t="s">
        <v>8082</v>
      </c>
      <c r="D134" s="110">
        <v>11461</v>
      </c>
      <c r="E134" s="111">
        <v>2</v>
      </c>
      <c r="F134" s="111">
        <v>741</v>
      </c>
      <c r="K134" s="191">
        <v>3</v>
      </c>
      <c r="L134" s="151">
        <v>41701</v>
      </c>
      <c r="M134" s="169">
        <v>3.85</v>
      </c>
      <c r="N134" s="151">
        <v>41838</v>
      </c>
      <c r="Q134" s="497"/>
      <c r="S134" s="134">
        <v>13.28</v>
      </c>
      <c r="T134" s="151">
        <v>41842</v>
      </c>
      <c r="U134" s="134">
        <v>13.5</v>
      </c>
      <c r="V134" s="151">
        <v>41838</v>
      </c>
      <c r="W134" s="196">
        <v>9</v>
      </c>
      <c r="X134" s="151">
        <v>41829</v>
      </c>
      <c r="Y134" s="134">
        <f t="shared" si="2"/>
        <v>4.88544</v>
      </c>
      <c r="AC134" s="134">
        <v>28.52</v>
      </c>
      <c r="AD134" s="151">
        <v>41838</v>
      </c>
      <c r="AE134" s="134">
        <v>29.08</v>
      </c>
      <c r="AF134" s="151">
        <v>41838</v>
      </c>
      <c r="AG134" s="197">
        <v>4.8</v>
      </c>
      <c r="AH134" s="151">
        <v>41843</v>
      </c>
      <c r="AI134" s="198">
        <v>7</v>
      </c>
      <c r="AJ134" s="151">
        <v>41778</v>
      </c>
      <c r="AK134" s="199">
        <v>4</v>
      </c>
      <c r="AL134" s="151">
        <v>41709</v>
      </c>
      <c r="BE134" s="200">
        <v>4</v>
      </c>
      <c r="BF134" s="201">
        <v>41555</v>
      </c>
      <c r="BG134" s="203">
        <v>36.6</v>
      </c>
      <c r="BH134" s="151">
        <v>41842</v>
      </c>
      <c r="BM134" s="204">
        <v>72</v>
      </c>
      <c r="BN134" s="151">
        <v>41842</v>
      </c>
      <c r="BQ134" s="205">
        <v>5</v>
      </c>
      <c r="BR134" s="151">
        <v>41842</v>
      </c>
      <c r="BS134" s="206">
        <v>45.7</v>
      </c>
      <c r="BT134" s="151">
        <v>41842</v>
      </c>
      <c r="BU134" s="207">
        <v>16.8</v>
      </c>
      <c r="BV134" s="151">
        <v>41842</v>
      </c>
      <c r="BW134" s="206">
        <v>76.5</v>
      </c>
      <c r="BX134" s="151">
        <v>41842</v>
      </c>
      <c r="BY134" s="210">
        <v>7.77</v>
      </c>
      <c r="BZ134" s="151">
        <v>41842</v>
      </c>
      <c r="CA134" s="206">
        <v>37</v>
      </c>
      <c r="CB134" s="151">
        <v>41842</v>
      </c>
      <c r="CC134" s="208">
        <v>7.2</v>
      </c>
      <c r="CD134" s="151">
        <v>41838</v>
      </c>
      <c r="CL134" s="209">
        <v>5</v>
      </c>
      <c r="CM134" s="201">
        <v>41810</v>
      </c>
    </row>
    <row r="135" spans="1:91" ht="15">
      <c r="A135" s="152" t="s">
        <v>7895</v>
      </c>
      <c r="B135" s="110" t="s">
        <v>233</v>
      </c>
      <c r="C135" s="110" t="s">
        <v>381</v>
      </c>
      <c r="D135" s="110">
        <v>11040</v>
      </c>
      <c r="E135" s="111">
        <v>3</v>
      </c>
      <c r="F135" s="111">
        <v>493</v>
      </c>
      <c r="K135" s="191">
        <v>3</v>
      </c>
      <c r="L135" s="151">
        <v>41701</v>
      </c>
      <c r="M135" s="169">
        <v>2.75</v>
      </c>
      <c r="N135" s="151">
        <v>41838</v>
      </c>
      <c r="Q135" s="497"/>
      <c r="S135" s="134">
        <v>9.4600000000000009</v>
      </c>
      <c r="T135" s="151">
        <v>41842</v>
      </c>
      <c r="U135" s="134">
        <v>13.5</v>
      </c>
      <c r="V135" s="151">
        <v>41838</v>
      </c>
      <c r="W135" s="196">
        <v>9</v>
      </c>
      <c r="X135" s="151">
        <v>41829</v>
      </c>
      <c r="Y135" s="134">
        <f t="shared" si="2"/>
        <v>3.4419</v>
      </c>
      <c r="AC135" s="134">
        <v>20.37</v>
      </c>
      <c r="AD135" s="151">
        <v>41838</v>
      </c>
      <c r="AE135" s="134">
        <v>20.86</v>
      </c>
      <c r="AF135" s="151">
        <v>41838</v>
      </c>
      <c r="AG135" s="197">
        <v>4.9000000000000004</v>
      </c>
      <c r="AH135" s="151">
        <v>41843</v>
      </c>
      <c r="AI135" s="198">
        <v>7</v>
      </c>
      <c r="AJ135" s="151">
        <v>41778</v>
      </c>
      <c r="AK135" s="199">
        <v>4</v>
      </c>
      <c r="AL135" s="151">
        <v>41709</v>
      </c>
      <c r="BE135" s="200">
        <v>4</v>
      </c>
      <c r="BF135" s="201">
        <v>41555</v>
      </c>
      <c r="BG135" s="203">
        <v>38.1</v>
      </c>
      <c r="BH135" s="151">
        <v>41842</v>
      </c>
      <c r="BM135" s="204">
        <v>71.900000000000006</v>
      </c>
      <c r="BN135" s="151">
        <v>41842</v>
      </c>
      <c r="BQ135" s="205">
        <v>5.2</v>
      </c>
      <c r="BR135" s="151">
        <v>41842</v>
      </c>
      <c r="BS135" s="206">
        <v>45.3</v>
      </c>
      <c r="BT135" s="151">
        <v>41842</v>
      </c>
      <c r="BU135" s="207">
        <v>16.5</v>
      </c>
      <c r="BV135" s="151">
        <v>41842</v>
      </c>
      <c r="BW135" s="206">
        <v>80.2</v>
      </c>
      <c r="BX135" s="151">
        <v>41842</v>
      </c>
      <c r="BY135" s="210">
        <v>7.59</v>
      </c>
      <c r="BZ135" s="151">
        <v>41842</v>
      </c>
      <c r="CA135" s="206">
        <v>36</v>
      </c>
      <c r="CB135" s="151">
        <v>41842</v>
      </c>
      <c r="CC135" s="208">
        <v>6.8</v>
      </c>
      <c r="CD135" s="151">
        <v>41838</v>
      </c>
      <c r="CL135" s="209">
        <v>5</v>
      </c>
      <c r="CM135" s="201">
        <v>41810</v>
      </c>
    </row>
    <row r="136" spans="1:91" ht="15">
      <c r="A136" s="152" t="s">
        <v>7895</v>
      </c>
      <c r="B136" s="110" t="s">
        <v>233</v>
      </c>
      <c r="C136" s="110" t="s">
        <v>8083</v>
      </c>
      <c r="D136" s="110">
        <v>11731</v>
      </c>
      <c r="E136" s="111">
        <v>10</v>
      </c>
      <c r="F136" s="111">
        <v>669</v>
      </c>
      <c r="K136" s="134">
        <v>5</v>
      </c>
      <c r="L136" s="151">
        <v>41701</v>
      </c>
      <c r="M136" s="169">
        <v>2.7</v>
      </c>
      <c r="N136" s="151">
        <v>41838</v>
      </c>
      <c r="Q136" s="497"/>
      <c r="S136" s="134">
        <v>9.34</v>
      </c>
      <c r="T136" s="151">
        <v>41842</v>
      </c>
      <c r="U136" s="134">
        <v>13.5</v>
      </c>
      <c r="V136" s="151">
        <v>41838</v>
      </c>
      <c r="W136" s="196">
        <v>9</v>
      </c>
      <c r="X136" s="151">
        <v>41829</v>
      </c>
      <c r="Y136" s="134">
        <f t="shared" si="2"/>
        <v>3.1805399999999997</v>
      </c>
      <c r="AC136" s="134">
        <v>20</v>
      </c>
      <c r="AD136" s="151">
        <v>41838</v>
      </c>
      <c r="AE136" s="134">
        <v>20.13</v>
      </c>
      <c r="AF136" s="151">
        <v>41838</v>
      </c>
      <c r="AG136" s="197">
        <v>4.9000000000000004</v>
      </c>
      <c r="AH136" s="151">
        <v>41843</v>
      </c>
      <c r="AI136" s="198">
        <v>7</v>
      </c>
      <c r="AJ136" s="151">
        <v>41778</v>
      </c>
      <c r="AK136" s="199">
        <v>4</v>
      </c>
      <c r="AL136" s="151">
        <v>41709</v>
      </c>
      <c r="BE136" s="200">
        <v>4</v>
      </c>
      <c r="BF136" s="201">
        <v>41555</v>
      </c>
      <c r="BG136" s="203">
        <v>33.200000000000003</v>
      </c>
      <c r="BH136" s="151">
        <v>41842</v>
      </c>
      <c r="BM136" s="204">
        <v>71.8</v>
      </c>
      <c r="BN136" s="151">
        <v>41842</v>
      </c>
      <c r="BQ136" s="205">
        <v>5.2</v>
      </c>
      <c r="BR136" s="151">
        <v>41842</v>
      </c>
      <c r="BS136" s="206">
        <v>46.4</v>
      </c>
      <c r="BT136" s="151">
        <v>41842</v>
      </c>
      <c r="BU136" s="207">
        <v>15.8</v>
      </c>
      <c r="BV136" s="151">
        <v>41842</v>
      </c>
      <c r="BW136" s="206">
        <v>72.7</v>
      </c>
      <c r="BX136" s="151">
        <v>41842</v>
      </c>
      <c r="BY136" s="210">
        <v>7.6</v>
      </c>
      <c r="BZ136" s="151">
        <v>41842</v>
      </c>
      <c r="CA136" s="206">
        <v>35.5</v>
      </c>
      <c r="CB136" s="151">
        <v>41842</v>
      </c>
      <c r="CC136" s="208">
        <v>8.4</v>
      </c>
      <c r="CD136" s="151">
        <v>41838</v>
      </c>
      <c r="CL136" s="209">
        <v>5</v>
      </c>
      <c r="CM136" s="201">
        <v>41810</v>
      </c>
    </row>
    <row r="137" spans="1:91" ht="15">
      <c r="A137" s="152" t="s">
        <v>7895</v>
      </c>
      <c r="B137" s="110" t="s">
        <v>235</v>
      </c>
      <c r="C137" s="110" t="s">
        <v>8081</v>
      </c>
      <c r="D137" s="110">
        <v>11393</v>
      </c>
      <c r="E137" s="111">
        <v>12</v>
      </c>
      <c r="F137" s="111">
        <v>609</v>
      </c>
      <c r="K137" s="134">
        <v>5</v>
      </c>
      <c r="L137" s="151">
        <v>41701</v>
      </c>
      <c r="M137" s="169">
        <v>3.8</v>
      </c>
      <c r="N137" s="151">
        <v>41838</v>
      </c>
      <c r="Q137" s="497"/>
      <c r="S137" s="134">
        <v>13.57</v>
      </c>
      <c r="T137" s="151">
        <v>41842</v>
      </c>
      <c r="U137" s="134">
        <v>13.5</v>
      </c>
      <c r="V137" s="151">
        <v>41838</v>
      </c>
      <c r="W137" s="196">
        <v>9</v>
      </c>
      <c r="X137" s="151">
        <v>41829</v>
      </c>
      <c r="Y137" s="134">
        <f t="shared" si="2"/>
        <v>4.53573</v>
      </c>
      <c r="AC137" s="134">
        <v>28.15</v>
      </c>
      <c r="AD137" s="151">
        <v>41838</v>
      </c>
      <c r="AE137" s="134">
        <v>28.89</v>
      </c>
      <c r="AF137" s="151">
        <v>41838</v>
      </c>
      <c r="AG137" s="197">
        <v>4.5</v>
      </c>
      <c r="AH137" s="151">
        <v>41843</v>
      </c>
      <c r="AI137" s="198">
        <v>7</v>
      </c>
      <c r="AJ137" s="151">
        <v>41778</v>
      </c>
      <c r="AK137" s="199">
        <v>4</v>
      </c>
      <c r="AL137" s="151">
        <v>41709</v>
      </c>
      <c r="BE137" s="200">
        <v>4</v>
      </c>
      <c r="BF137" s="201">
        <v>41555</v>
      </c>
      <c r="BG137" s="203">
        <v>36.9</v>
      </c>
      <c r="BH137" s="151">
        <v>41842</v>
      </c>
      <c r="BM137" s="204">
        <v>72.5</v>
      </c>
      <c r="BN137" s="151">
        <v>41842</v>
      </c>
      <c r="BQ137" s="205">
        <v>4.0999999999999996</v>
      </c>
      <c r="BR137" s="151">
        <v>41842</v>
      </c>
      <c r="BS137" s="206">
        <v>47</v>
      </c>
      <c r="BT137" s="151">
        <v>41842</v>
      </c>
      <c r="BU137" s="207">
        <v>15.7</v>
      </c>
      <c r="BV137" s="151">
        <v>41842</v>
      </c>
      <c r="BW137" s="206">
        <v>70.8</v>
      </c>
      <c r="BX137" s="151">
        <v>41842</v>
      </c>
      <c r="BY137" s="210">
        <v>7.62</v>
      </c>
      <c r="BZ137" s="151">
        <v>41842</v>
      </c>
      <c r="CA137" s="206">
        <v>35.6</v>
      </c>
      <c r="CB137" s="151">
        <v>41842</v>
      </c>
      <c r="CC137" s="208">
        <v>6.6</v>
      </c>
      <c r="CD137" s="151">
        <v>41838</v>
      </c>
      <c r="CL137" s="209">
        <v>5</v>
      </c>
      <c r="CM137" s="201">
        <v>41810</v>
      </c>
    </row>
    <row r="138" spans="1:91" ht="15">
      <c r="A138" s="152" t="s">
        <v>7896</v>
      </c>
      <c r="B138" s="110" t="s">
        <v>233</v>
      </c>
      <c r="C138" s="110" t="s">
        <v>381</v>
      </c>
      <c r="D138" s="110">
        <v>11030</v>
      </c>
      <c r="E138" s="111">
        <v>2</v>
      </c>
      <c r="F138" s="111">
        <v>597</v>
      </c>
      <c r="K138" s="191">
        <v>3</v>
      </c>
      <c r="L138" s="151">
        <v>41701</v>
      </c>
      <c r="M138" s="169">
        <v>2.85</v>
      </c>
      <c r="N138" s="151">
        <v>41838</v>
      </c>
      <c r="Q138" s="497"/>
      <c r="S138" s="134">
        <v>9.7200000000000006</v>
      </c>
      <c r="T138" s="151">
        <v>41842</v>
      </c>
      <c r="U138" s="134">
        <v>13.5</v>
      </c>
      <c r="V138" s="151">
        <v>41838</v>
      </c>
      <c r="W138" s="196">
        <v>1</v>
      </c>
      <c r="X138" s="151">
        <v>41829</v>
      </c>
      <c r="Y138" s="134">
        <f t="shared" si="2"/>
        <v>3.3323400000000003</v>
      </c>
      <c r="AC138" s="134">
        <v>21.11</v>
      </c>
      <c r="AD138" s="151">
        <v>41838</v>
      </c>
      <c r="AE138" s="134">
        <v>21.78</v>
      </c>
      <c r="AF138" s="151">
        <v>41838</v>
      </c>
      <c r="AG138" s="197">
        <v>5.2</v>
      </c>
      <c r="AH138" s="151">
        <v>41843</v>
      </c>
      <c r="AI138" s="198">
        <v>3</v>
      </c>
      <c r="AJ138" s="151">
        <v>41778</v>
      </c>
      <c r="AK138" s="199">
        <v>5</v>
      </c>
      <c r="AL138" s="151">
        <v>41709</v>
      </c>
      <c r="BE138" s="200">
        <v>5</v>
      </c>
      <c r="BF138" s="201">
        <v>41555</v>
      </c>
      <c r="BG138" s="203">
        <v>-0.2</v>
      </c>
      <c r="BH138" s="151">
        <v>41842</v>
      </c>
      <c r="BM138" s="204">
        <v>66.400000000000006</v>
      </c>
      <c r="BN138" s="151">
        <v>41842</v>
      </c>
      <c r="BQ138" s="205">
        <v>10.1</v>
      </c>
      <c r="BR138" s="151">
        <v>41842</v>
      </c>
      <c r="BS138" s="206">
        <v>44.6</v>
      </c>
      <c r="BT138" s="151">
        <v>41842</v>
      </c>
      <c r="BU138" s="207">
        <v>15.3</v>
      </c>
      <c r="BV138" s="151">
        <v>41842</v>
      </c>
      <c r="BW138" s="206">
        <v>52.2</v>
      </c>
      <c r="BX138" s="151">
        <v>41842</v>
      </c>
      <c r="BY138" s="210">
        <v>7.12</v>
      </c>
      <c r="BZ138" s="151">
        <v>41842</v>
      </c>
      <c r="CA138" s="206">
        <v>33</v>
      </c>
      <c r="CB138" s="151">
        <v>41842</v>
      </c>
      <c r="CC138" s="208">
        <v>6.1</v>
      </c>
      <c r="CD138" s="151">
        <v>41838</v>
      </c>
      <c r="CL138" s="209">
        <v>3</v>
      </c>
      <c r="CM138" s="201">
        <v>41810</v>
      </c>
    </row>
    <row r="139" spans="1:91" ht="15">
      <c r="A139" s="152" t="s">
        <v>7896</v>
      </c>
      <c r="B139" s="110" t="s">
        <v>235</v>
      </c>
      <c r="C139" s="110" t="s">
        <v>8082</v>
      </c>
      <c r="D139" s="110">
        <v>11517</v>
      </c>
      <c r="E139" s="111">
        <v>4</v>
      </c>
      <c r="F139" s="111">
        <v>677</v>
      </c>
      <c r="K139" s="134">
        <v>5</v>
      </c>
      <c r="L139" s="151">
        <v>41701</v>
      </c>
      <c r="M139" s="169">
        <v>4.1500000000000004</v>
      </c>
      <c r="N139" s="151">
        <v>41838</v>
      </c>
      <c r="Q139" s="497"/>
      <c r="S139" s="134">
        <v>14</v>
      </c>
      <c r="T139" s="151">
        <v>41842</v>
      </c>
      <c r="U139" s="134">
        <v>13.5</v>
      </c>
      <c r="V139" s="151">
        <v>41838</v>
      </c>
      <c r="W139" s="196">
        <v>1</v>
      </c>
      <c r="X139" s="151">
        <v>41829</v>
      </c>
      <c r="Y139" s="134">
        <f t="shared" si="2"/>
        <v>5.2502999999999993</v>
      </c>
      <c r="AC139" s="134">
        <v>30.74</v>
      </c>
      <c r="AD139" s="151">
        <v>41838</v>
      </c>
      <c r="AE139" s="134">
        <v>31.82</v>
      </c>
      <c r="AF139" s="151">
        <v>41838</v>
      </c>
      <c r="AG139" s="197">
        <v>5.2</v>
      </c>
      <c r="AH139" s="151">
        <v>41843</v>
      </c>
      <c r="AI139" s="198">
        <v>7</v>
      </c>
      <c r="AJ139" s="151">
        <v>41778</v>
      </c>
      <c r="AK139" s="199">
        <v>4</v>
      </c>
      <c r="AL139" s="151">
        <v>41709</v>
      </c>
      <c r="BE139" s="200">
        <v>4</v>
      </c>
      <c r="BF139" s="201">
        <v>41555</v>
      </c>
      <c r="BG139" s="203">
        <v>-2.4</v>
      </c>
      <c r="BH139" s="151">
        <v>41842</v>
      </c>
      <c r="BM139" s="204">
        <v>64.900000000000006</v>
      </c>
      <c r="BN139" s="151">
        <v>41842</v>
      </c>
      <c r="BQ139" s="205">
        <v>10.1</v>
      </c>
      <c r="BR139" s="151">
        <v>41842</v>
      </c>
      <c r="BS139" s="206">
        <v>44</v>
      </c>
      <c r="BT139" s="151">
        <v>41842</v>
      </c>
      <c r="BU139" s="207">
        <v>16.5</v>
      </c>
      <c r="BV139" s="151">
        <v>41842</v>
      </c>
      <c r="BW139" s="206">
        <v>52.4</v>
      </c>
      <c r="BX139" s="151">
        <v>41842</v>
      </c>
      <c r="BY139" s="210">
        <v>7.27</v>
      </c>
      <c r="BZ139" s="151">
        <v>41842</v>
      </c>
      <c r="CA139" s="206">
        <v>35.200000000000003</v>
      </c>
      <c r="CB139" s="151">
        <v>41842</v>
      </c>
      <c r="CC139" s="208">
        <v>5.8</v>
      </c>
      <c r="CD139" s="151">
        <v>41838</v>
      </c>
      <c r="CL139" s="209">
        <v>3</v>
      </c>
      <c r="CM139" s="201">
        <v>41810</v>
      </c>
    </row>
    <row r="140" spans="1:91" ht="15">
      <c r="A140" s="152" t="s">
        <v>7896</v>
      </c>
      <c r="B140" s="110" t="s">
        <v>235</v>
      </c>
      <c r="C140" s="110" t="s">
        <v>8081</v>
      </c>
      <c r="D140" s="110">
        <v>11198</v>
      </c>
      <c r="E140" s="111">
        <v>7</v>
      </c>
      <c r="F140" s="111">
        <v>549</v>
      </c>
      <c r="K140" s="134">
        <v>5</v>
      </c>
      <c r="L140" s="151">
        <v>41701</v>
      </c>
      <c r="M140" s="169">
        <v>4</v>
      </c>
      <c r="N140" s="151">
        <v>41838</v>
      </c>
      <c r="Q140" s="497"/>
      <c r="S140" s="134">
        <v>13.95</v>
      </c>
      <c r="T140" s="151">
        <v>41842</v>
      </c>
      <c r="U140" s="134">
        <v>13.5</v>
      </c>
      <c r="V140" s="151">
        <v>41838</v>
      </c>
      <c r="W140" s="196">
        <v>1</v>
      </c>
      <c r="X140" s="151">
        <v>41829</v>
      </c>
      <c r="Y140" s="134">
        <f t="shared" si="2"/>
        <v>4.6417399999999995</v>
      </c>
      <c r="AC140" s="134">
        <v>29.63</v>
      </c>
      <c r="AD140" s="151">
        <v>41838</v>
      </c>
      <c r="AE140" s="134">
        <v>30.74</v>
      </c>
      <c r="AF140" s="151">
        <v>41838</v>
      </c>
      <c r="AG140" s="197">
        <v>4.9000000000000004</v>
      </c>
      <c r="AH140" s="151">
        <v>41843</v>
      </c>
      <c r="AI140" s="198">
        <v>5</v>
      </c>
      <c r="AJ140" s="151">
        <v>41778</v>
      </c>
      <c r="AK140" s="199">
        <v>5</v>
      </c>
      <c r="AL140" s="151">
        <v>41709</v>
      </c>
      <c r="BE140" s="200">
        <v>5</v>
      </c>
      <c r="BF140" s="201">
        <v>41555</v>
      </c>
      <c r="BG140" s="203">
        <v>-1.6</v>
      </c>
      <c r="BH140" s="151">
        <v>41842</v>
      </c>
      <c r="BM140" s="204">
        <v>67</v>
      </c>
      <c r="BN140" s="151">
        <v>41842</v>
      </c>
      <c r="BQ140" s="205">
        <v>9.6999999999999993</v>
      </c>
      <c r="BR140" s="151">
        <v>41842</v>
      </c>
      <c r="BS140" s="206">
        <v>45.4</v>
      </c>
      <c r="BT140" s="151">
        <v>41842</v>
      </c>
      <c r="BU140" s="207">
        <v>15.1</v>
      </c>
      <c r="BV140" s="151">
        <v>41842</v>
      </c>
      <c r="BW140" s="206">
        <v>51.2</v>
      </c>
      <c r="BX140" s="151">
        <v>41842</v>
      </c>
      <c r="BY140" s="210">
        <v>7.13</v>
      </c>
      <c r="BZ140" s="151">
        <v>41842</v>
      </c>
      <c r="CA140" s="206">
        <v>33</v>
      </c>
      <c r="CB140" s="151">
        <v>41842</v>
      </c>
      <c r="CC140" s="208">
        <v>5.6</v>
      </c>
      <c r="CD140" s="151">
        <v>41838</v>
      </c>
      <c r="CL140" s="209">
        <v>3</v>
      </c>
      <c r="CM140" s="201">
        <v>41810</v>
      </c>
    </row>
    <row r="141" spans="1:91" ht="15">
      <c r="A141" s="152" t="s">
        <v>7896</v>
      </c>
      <c r="B141" s="110" t="s">
        <v>233</v>
      </c>
      <c r="C141" s="110" t="s">
        <v>8083</v>
      </c>
      <c r="D141" s="110">
        <v>11795</v>
      </c>
      <c r="E141" s="111">
        <v>12</v>
      </c>
      <c r="F141" s="111">
        <v>637</v>
      </c>
      <c r="K141" s="191">
        <v>3</v>
      </c>
      <c r="L141" s="151">
        <v>41701</v>
      </c>
      <c r="M141" s="169">
        <v>2.85</v>
      </c>
      <c r="N141" s="151">
        <v>41838</v>
      </c>
      <c r="Q141" s="497"/>
      <c r="S141" s="134">
        <v>9.77</v>
      </c>
      <c r="T141" s="151">
        <v>41842</v>
      </c>
      <c r="U141" s="134">
        <v>13.5</v>
      </c>
      <c r="V141" s="151">
        <v>41838</v>
      </c>
      <c r="W141" s="196">
        <v>9</v>
      </c>
      <c r="X141" s="151">
        <v>41829</v>
      </c>
      <c r="Y141" s="134">
        <f t="shared" si="2"/>
        <v>3.517850000000001</v>
      </c>
      <c r="AC141" s="134">
        <v>21.11</v>
      </c>
      <c r="AD141" s="151">
        <v>41838</v>
      </c>
      <c r="AE141" s="134">
        <v>21.85</v>
      </c>
      <c r="AF141" s="151">
        <v>41838</v>
      </c>
      <c r="AG141" s="197">
        <v>5.4</v>
      </c>
      <c r="AH141" s="151">
        <v>41843</v>
      </c>
      <c r="AI141" s="198">
        <v>5</v>
      </c>
      <c r="AJ141" s="151">
        <v>41778</v>
      </c>
      <c r="AK141" s="199">
        <v>4</v>
      </c>
      <c r="AL141" s="151">
        <v>41709</v>
      </c>
      <c r="BE141" s="200">
        <v>4</v>
      </c>
      <c r="BF141" s="201">
        <v>41555</v>
      </c>
      <c r="BG141" s="203">
        <v>-2</v>
      </c>
      <c r="BH141" s="151">
        <v>41842</v>
      </c>
      <c r="BM141" s="204">
        <v>66.099999999999994</v>
      </c>
      <c r="BN141" s="151">
        <v>41842</v>
      </c>
      <c r="BQ141" s="205">
        <v>9.8000000000000007</v>
      </c>
      <c r="BR141" s="151">
        <v>41842</v>
      </c>
      <c r="BS141" s="206">
        <v>44.7</v>
      </c>
      <c r="BT141" s="151">
        <v>41842</v>
      </c>
      <c r="BU141" s="207">
        <v>16.100000000000001</v>
      </c>
      <c r="BV141" s="151">
        <v>41842</v>
      </c>
      <c r="BW141" s="206">
        <v>52.4</v>
      </c>
      <c r="BX141" s="151">
        <v>41842</v>
      </c>
      <c r="BY141" s="210">
        <v>7.36</v>
      </c>
      <c r="BZ141" s="151">
        <v>41842</v>
      </c>
      <c r="CA141" s="206">
        <v>34.799999999999997</v>
      </c>
      <c r="CB141" s="151">
        <v>41842</v>
      </c>
      <c r="CC141" s="208">
        <v>5.8</v>
      </c>
      <c r="CD141" s="151">
        <v>41838</v>
      </c>
      <c r="CL141" s="209">
        <v>3</v>
      </c>
      <c r="CM141" s="201">
        <v>41810</v>
      </c>
    </row>
    <row r="142" spans="1:91" ht="15">
      <c r="A142" s="152" t="s">
        <v>7897</v>
      </c>
      <c r="B142" s="110" t="s">
        <v>233</v>
      </c>
      <c r="C142" s="110" t="s">
        <v>381</v>
      </c>
      <c r="D142" s="110">
        <v>10984</v>
      </c>
      <c r="E142" s="111">
        <v>1</v>
      </c>
      <c r="F142" s="111">
        <v>557</v>
      </c>
      <c r="I142" s="373"/>
      <c r="K142" s="194">
        <v>5</v>
      </c>
      <c r="L142" s="151">
        <v>41701</v>
      </c>
      <c r="M142" s="169">
        <v>4.3499999999999996</v>
      </c>
      <c r="N142" s="151">
        <v>41838</v>
      </c>
      <c r="Q142" s="497"/>
      <c r="S142" s="134">
        <v>15.15</v>
      </c>
      <c r="T142" s="151">
        <v>41842</v>
      </c>
      <c r="U142" s="194">
        <v>13.5</v>
      </c>
      <c r="V142" s="151">
        <v>41838</v>
      </c>
      <c r="W142" s="196">
        <v>1</v>
      </c>
      <c r="X142" s="151">
        <v>41829</v>
      </c>
      <c r="Y142" s="134">
        <f t="shared" si="2"/>
        <v>5.4043200000000002</v>
      </c>
      <c r="AA142" s="194"/>
      <c r="AC142" s="194">
        <v>32.22</v>
      </c>
      <c r="AD142" s="151">
        <v>41838</v>
      </c>
      <c r="AE142" s="137">
        <v>33.36</v>
      </c>
      <c r="AF142" s="151">
        <v>41838</v>
      </c>
      <c r="AG142" s="197">
        <v>4.7</v>
      </c>
      <c r="AH142" s="151">
        <v>41843</v>
      </c>
      <c r="AI142" s="198">
        <v>3</v>
      </c>
      <c r="AJ142" s="151">
        <v>41778</v>
      </c>
      <c r="AK142" s="199">
        <v>5</v>
      </c>
      <c r="AL142" s="151">
        <v>41709</v>
      </c>
      <c r="AM142" s="194"/>
      <c r="BE142" s="200">
        <v>5</v>
      </c>
      <c r="BF142" s="201">
        <v>41555</v>
      </c>
      <c r="BG142" s="203">
        <v>28.5</v>
      </c>
      <c r="BH142" s="151">
        <v>41842</v>
      </c>
      <c r="BM142" s="204">
        <v>66.599999999999994</v>
      </c>
      <c r="BN142" s="151">
        <v>41842</v>
      </c>
      <c r="BQ142" s="205">
        <v>8</v>
      </c>
      <c r="BR142" s="151">
        <v>41842</v>
      </c>
      <c r="BS142" s="206">
        <v>45.4</v>
      </c>
      <c r="BT142" s="151">
        <v>41842</v>
      </c>
      <c r="BU142" s="207">
        <v>16.2</v>
      </c>
      <c r="BV142" s="151">
        <v>41842</v>
      </c>
      <c r="BW142" s="206">
        <v>58.5</v>
      </c>
      <c r="BX142" s="151">
        <v>41842</v>
      </c>
      <c r="BY142" s="210">
        <v>7.63</v>
      </c>
      <c r="BZ142" s="151">
        <v>41842</v>
      </c>
      <c r="CA142" s="206">
        <v>35.5</v>
      </c>
      <c r="CB142" s="151">
        <v>41842</v>
      </c>
      <c r="CC142" s="208">
        <v>5.8</v>
      </c>
      <c r="CD142" s="151">
        <v>41838</v>
      </c>
      <c r="CL142" s="209">
        <v>5</v>
      </c>
      <c r="CM142" s="201">
        <v>41810</v>
      </c>
    </row>
    <row r="143" spans="1:91" ht="15">
      <c r="A143" s="152" t="s">
        <v>7897</v>
      </c>
      <c r="B143" s="110" t="s">
        <v>235</v>
      </c>
      <c r="C143" s="110" t="s">
        <v>8082</v>
      </c>
      <c r="D143" s="110">
        <v>11475</v>
      </c>
      <c r="E143" s="111">
        <v>3</v>
      </c>
      <c r="F143" s="111">
        <v>653</v>
      </c>
      <c r="K143" s="134">
        <v>5</v>
      </c>
      <c r="L143" s="151">
        <v>41701</v>
      </c>
      <c r="M143" s="169">
        <v>4.2</v>
      </c>
      <c r="N143" s="151">
        <v>41838</v>
      </c>
      <c r="Q143" s="497"/>
      <c r="S143" s="134">
        <v>14.81</v>
      </c>
      <c r="T143" s="151">
        <v>41842</v>
      </c>
      <c r="U143" s="134">
        <v>13.5</v>
      </c>
      <c r="V143" s="151">
        <v>41838</v>
      </c>
      <c r="W143" s="196">
        <v>9</v>
      </c>
      <c r="X143" s="151">
        <v>41829</v>
      </c>
      <c r="Y143" s="134">
        <f t="shared" si="2"/>
        <v>5.2115400000000003</v>
      </c>
      <c r="AC143" s="134">
        <v>31.11</v>
      </c>
      <c r="AD143" s="151">
        <v>41838</v>
      </c>
      <c r="AE143" s="134">
        <v>32.17</v>
      </c>
      <c r="AF143" s="151">
        <v>41838</v>
      </c>
      <c r="AG143" s="197">
        <v>5.0999999999999996</v>
      </c>
      <c r="AH143" s="151">
        <v>41843</v>
      </c>
      <c r="AI143" s="198">
        <v>7</v>
      </c>
      <c r="AJ143" s="151">
        <v>41778</v>
      </c>
      <c r="AK143" s="199">
        <v>4</v>
      </c>
      <c r="AL143" s="151">
        <v>41709</v>
      </c>
      <c r="BE143" s="200">
        <v>4</v>
      </c>
      <c r="BF143" s="201">
        <v>41555</v>
      </c>
      <c r="BG143" s="203">
        <v>30.5</v>
      </c>
      <c r="BH143" s="151">
        <v>41842</v>
      </c>
      <c r="BM143" s="204">
        <v>66.900000000000006</v>
      </c>
      <c r="BN143" s="151">
        <v>41842</v>
      </c>
      <c r="BQ143" s="205">
        <v>7.3</v>
      </c>
      <c r="BR143" s="151">
        <v>41842</v>
      </c>
      <c r="BS143" s="206">
        <v>46</v>
      </c>
      <c r="BT143" s="151">
        <v>41842</v>
      </c>
      <c r="BU143" s="207">
        <v>16.2</v>
      </c>
      <c r="BV143" s="151">
        <v>41842</v>
      </c>
      <c r="BW143" s="206">
        <v>59.4</v>
      </c>
      <c r="BX143" s="151">
        <v>41842</v>
      </c>
      <c r="BY143" s="210">
        <v>7.57</v>
      </c>
      <c r="BZ143" s="151">
        <v>41842</v>
      </c>
      <c r="CA143" s="206">
        <v>35.9</v>
      </c>
      <c r="CB143" s="151">
        <v>41842</v>
      </c>
      <c r="CC143" s="208">
        <v>5.9</v>
      </c>
      <c r="CD143" s="151">
        <v>41838</v>
      </c>
      <c r="CL143" s="209">
        <v>5</v>
      </c>
      <c r="CM143" s="201">
        <v>41810</v>
      </c>
    </row>
    <row r="144" spans="1:91" ht="15">
      <c r="A144" s="152" t="s">
        <v>7897</v>
      </c>
      <c r="B144" s="110" t="s">
        <v>233</v>
      </c>
      <c r="C144" s="110" t="s">
        <v>8083</v>
      </c>
      <c r="D144" s="110">
        <v>11636</v>
      </c>
      <c r="E144" s="111">
        <v>7</v>
      </c>
      <c r="F144" s="111">
        <v>721</v>
      </c>
      <c r="K144" s="134">
        <v>5</v>
      </c>
      <c r="L144" s="151">
        <v>41701</v>
      </c>
      <c r="M144" s="169">
        <v>3.45</v>
      </c>
      <c r="N144" s="151">
        <v>41838</v>
      </c>
      <c r="Q144" s="497"/>
      <c r="S144" s="134">
        <v>12.58</v>
      </c>
      <c r="T144" s="151">
        <v>41842</v>
      </c>
      <c r="U144" s="134">
        <v>13.5</v>
      </c>
      <c r="V144" s="151">
        <v>41838</v>
      </c>
      <c r="W144" s="196">
        <v>1</v>
      </c>
      <c r="X144" s="151">
        <v>41829</v>
      </c>
      <c r="Y144" s="134">
        <f t="shared" si="2"/>
        <v>3.89832</v>
      </c>
      <c r="AC144" s="134">
        <v>25.56</v>
      </c>
      <c r="AD144" s="151">
        <v>41838</v>
      </c>
      <c r="AE144" s="134">
        <v>26.34</v>
      </c>
      <c r="AF144" s="151">
        <v>41838</v>
      </c>
      <c r="AG144" s="197">
        <v>5.2</v>
      </c>
      <c r="AH144" s="151">
        <v>41843</v>
      </c>
      <c r="AI144" s="198">
        <v>7</v>
      </c>
      <c r="AJ144" s="151">
        <v>41778</v>
      </c>
      <c r="AK144" s="199">
        <v>5</v>
      </c>
      <c r="AL144" s="151">
        <v>41709</v>
      </c>
      <c r="BE144" s="200">
        <v>5</v>
      </c>
      <c r="BF144" s="201">
        <v>41555</v>
      </c>
      <c r="BG144" s="203">
        <v>30.9</v>
      </c>
      <c r="BH144" s="151">
        <v>41842</v>
      </c>
      <c r="BM144" s="204">
        <v>68.099999999999994</v>
      </c>
      <c r="BN144" s="151">
        <v>41842</v>
      </c>
      <c r="BQ144" s="205">
        <v>7</v>
      </c>
      <c r="BR144" s="151">
        <v>41842</v>
      </c>
      <c r="BS144" s="206">
        <v>47.8</v>
      </c>
      <c r="BT144" s="151">
        <v>41842</v>
      </c>
      <c r="BU144" s="207">
        <v>14.8</v>
      </c>
      <c r="BV144" s="151">
        <v>41842</v>
      </c>
      <c r="BW144" s="206">
        <v>55.7</v>
      </c>
      <c r="BX144" s="151">
        <v>41842</v>
      </c>
      <c r="BY144" s="210">
        <v>7.71</v>
      </c>
      <c r="BZ144" s="151">
        <v>41842</v>
      </c>
      <c r="CA144" s="206">
        <v>34.200000000000003</v>
      </c>
      <c r="CB144" s="151">
        <v>41842</v>
      </c>
      <c r="CC144" s="208">
        <v>6.2</v>
      </c>
      <c r="CD144" s="151">
        <v>41838</v>
      </c>
      <c r="CL144" s="209">
        <v>3</v>
      </c>
      <c r="CM144" s="201">
        <v>41810</v>
      </c>
    </row>
    <row r="145" spans="1:91" ht="15">
      <c r="A145" s="152" t="s">
        <v>7897</v>
      </c>
      <c r="B145" s="110" t="s">
        <v>235</v>
      </c>
      <c r="C145" s="110" t="s">
        <v>8081</v>
      </c>
      <c r="D145" s="110">
        <v>11261</v>
      </c>
      <c r="E145" s="111">
        <v>9</v>
      </c>
      <c r="F145" s="111">
        <v>513</v>
      </c>
      <c r="K145" s="134">
        <v>5</v>
      </c>
      <c r="L145" s="151">
        <v>41701</v>
      </c>
      <c r="M145" s="169">
        <v>4.8</v>
      </c>
      <c r="N145" s="151">
        <v>41838</v>
      </c>
      <c r="Q145" s="497"/>
      <c r="S145" s="134">
        <v>16.940000000000001</v>
      </c>
      <c r="T145" s="151">
        <v>41842</v>
      </c>
      <c r="U145" s="134">
        <v>13.5</v>
      </c>
      <c r="V145" s="151">
        <v>41838</v>
      </c>
      <c r="W145" s="196">
        <v>9</v>
      </c>
      <c r="X145" s="151">
        <v>41829</v>
      </c>
      <c r="Y145" s="134">
        <f t="shared" si="2"/>
        <v>6.04176</v>
      </c>
      <c r="AC145" s="134">
        <v>35.56</v>
      </c>
      <c r="AD145" s="151">
        <v>41838</v>
      </c>
      <c r="AE145" s="134">
        <v>36.840000000000003</v>
      </c>
      <c r="AF145" s="151">
        <v>41838</v>
      </c>
      <c r="AG145" s="197">
        <v>4.5999999999999996</v>
      </c>
      <c r="AH145" s="151">
        <v>41843</v>
      </c>
      <c r="AI145" s="198">
        <v>7</v>
      </c>
      <c r="AJ145" s="151">
        <v>41778</v>
      </c>
      <c r="AK145" s="199">
        <v>5</v>
      </c>
      <c r="AL145" s="151">
        <v>41709</v>
      </c>
      <c r="BE145" s="200">
        <v>5</v>
      </c>
      <c r="BF145" s="201">
        <v>41555</v>
      </c>
      <c r="BG145" s="203">
        <v>32.299999999999997</v>
      </c>
      <c r="BH145" s="151">
        <v>41842</v>
      </c>
      <c r="BM145" s="204">
        <v>67.900000000000006</v>
      </c>
      <c r="BN145" s="151">
        <v>41842</v>
      </c>
      <c r="BQ145" s="205">
        <v>7.2</v>
      </c>
      <c r="BR145" s="151">
        <v>41842</v>
      </c>
      <c r="BS145" s="206">
        <v>46</v>
      </c>
      <c r="BT145" s="151">
        <v>41842</v>
      </c>
      <c r="BU145" s="207">
        <v>16.399999999999999</v>
      </c>
      <c r="BV145" s="151">
        <v>41842</v>
      </c>
      <c r="BW145" s="206">
        <v>61.8</v>
      </c>
      <c r="BX145" s="151">
        <v>41842</v>
      </c>
      <c r="BY145" s="210">
        <v>7.7</v>
      </c>
      <c r="BZ145" s="151">
        <v>41842</v>
      </c>
      <c r="CA145" s="206">
        <v>36.299999999999997</v>
      </c>
      <c r="CB145" s="151">
        <v>41842</v>
      </c>
      <c r="CC145" s="208">
        <v>5.7</v>
      </c>
      <c r="CD145" s="151">
        <v>41838</v>
      </c>
      <c r="CL145" s="209">
        <v>5</v>
      </c>
      <c r="CM145" s="201">
        <v>41810</v>
      </c>
    </row>
    <row r="146" spans="1:91" ht="15">
      <c r="A146" s="152" t="s">
        <v>7898</v>
      </c>
      <c r="B146" s="110" t="s">
        <v>235</v>
      </c>
      <c r="C146" s="110" t="s">
        <v>8082</v>
      </c>
      <c r="D146" s="110">
        <v>11400</v>
      </c>
      <c r="E146" s="111">
        <v>1</v>
      </c>
      <c r="F146" s="111">
        <v>641</v>
      </c>
      <c r="I146" s="373"/>
      <c r="K146" s="194">
        <v>5</v>
      </c>
      <c r="L146" s="151">
        <v>41701</v>
      </c>
      <c r="M146" s="169">
        <v>2.6</v>
      </c>
      <c r="N146" s="151">
        <v>41838</v>
      </c>
      <c r="Q146" s="497"/>
      <c r="S146" s="134">
        <v>9.2200000000000006</v>
      </c>
      <c r="T146" s="151">
        <v>41842</v>
      </c>
      <c r="U146" s="194">
        <v>13.5</v>
      </c>
      <c r="V146" s="151">
        <v>41838</v>
      </c>
      <c r="W146" s="196">
        <v>1</v>
      </c>
      <c r="X146" s="151">
        <v>41829</v>
      </c>
      <c r="Y146" s="134">
        <f t="shared" si="2"/>
        <v>3.2934000000000001</v>
      </c>
      <c r="AA146" s="194"/>
      <c r="AC146" s="194">
        <v>19.260000000000002</v>
      </c>
      <c r="AD146" s="151">
        <v>41838</v>
      </c>
      <c r="AE146" s="137">
        <v>19.96</v>
      </c>
      <c r="AF146" s="151">
        <v>41838</v>
      </c>
      <c r="AG146" s="197">
        <v>4.7</v>
      </c>
      <c r="AH146" s="151">
        <v>41843</v>
      </c>
      <c r="AI146" s="198">
        <v>5</v>
      </c>
      <c r="AJ146" s="151">
        <v>41778</v>
      </c>
      <c r="AK146" s="199">
        <v>9</v>
      </c>
      <c r="AL146" s="151">
        <v>41709</v>
      </c>
      <c r="AM146" s="194"/>
      <c r="BE146" s="200">
        <v>9</v>
      </c>
      <c r="BF146" s="201">
        <v>41555</v>
      </c>
      <c r="BG146" s="203">
        <v>31.4</v>
      </c>
      <c r="BH146" s="151">
        <v>41842</v>
      </c>
      <c r="BM146" s="204">
        <v>68.900000000000006</v>
      </c>
      <c r="BN146" s="151">
        <v>41842</v>
      </c>
      <c r="BQ146" s="205">
        <v>7.3</v>
      </c>
      <c r="BR146" s="151">
        <v>41842</v>
      </c>
      <c r="BS146" s="206">
        <v>46.2</v>
      </c>
      <c r="BT146" s="151">
        <v>41842</v>
      </c>
      <c r="BU146" s="207">
        <v>16.5</v>
      </c>
      <c r="BV146" s="151">
        <v>41842</v>
      </c>
      <c r="BW146" s="206">
        <v>56.5</v>
      </c>
      <c r="BX146" s="151">
        <v>41842</v>
      </c>
      <c r="BY146" s="210">
        <v>7.9</v>
      </c>
      <c r="BZ146" s="151">
        <v>41842</v>
      </c>
      <c r="CA146" s="206">
        <v>36.700000000000003</v>
      </c>
      <c r="CB146" s="151">
        <v>41842</v>
      </c>
      <c r="CC146" s="208">
        <v>5.7</v>
      </c>
      <c r="CD146" s="151">
        <v>41838</v>
      </c>
      <c r="CL146" s="209">
        <v>7</v>
      </c>
      <c r="CM146" s="201">
        <v>41810</v>
      </c>
    </row>
    <row r="147" spans="1:91" ht="15">
      <c r="A147" s="152" t="s">
        <v>7898</v>
      </c>
      <c r="B147" s="110" t="s">
        <v>233</v>
      </c>
      <c r="C147" s="110" t="s">
        <v>381</v>
      </c>
      <c r="D147" s="110">
        <v>11164</v>
      </c>
      <c r="E147" s="111">
        <v>6</v>
      </c>
      <c r="F147" s="111">
        <v>557</v>
      </c>
      <c r="K147" s="134">
        <v>5</v>
      </c>
      <c r="L147" s="151">
        <v>41701</v>
      </c>
      <c r="M147" s="169">
        <v>2.35</v>
      </c>
      <c r="N147" s="151">
        <v>41838</v>
      </c>
      <c r="Q147" s="497"/>
      <c r="S147" s="134">
        <v>8.73</v>
      </c>
      <c r="T147" s="151">
        <v>41842</v>
      </c>
      <c r="U147" s="134">
        <v>13.5</v>
      </c>
      <c r="V147" s="151">
        <v>41838</v>
      </c>
      <c r="W147" s="196">
        <v>1</v>
      </c>
      <c r="X147" s="151">
        <v>41829</v>
      </c>
      <c r="Y147" s="134">
        <f t="shared" si="2"/>
        <v>2.6728800000000001</v>
      </c>
      <c r="AC147" s="134">
        <v>17.41</v>
      </c>
      <c r="AD147" s="151">
        <v>41838</v>
      </c>
      <c r="AE147" s="134">
        <v>18.059999999999999</v>
      </c>
      <c r="AF147" s="151">
        <v>41838</v>
      </c>
      <c r="AG147" s="197">
        <v>4.7</v>
      </c>
      <c r="AH147" s="151">
        <v>41843</v>
      </c>
      <c r="AI147" s="198">
        <v>5</v>
      </c>
      <c r="AJ147" s="151">
        <v>41778</v>
      </c>
      <c r="AK147" s="199">
        <v>9</v>
      </c>
      <c r="AL147" s="151">
        <v>41709</v>
      </c>
      <c r="BE147" s="200">
        <v>9</v>
      </c>
      <c r="BF147" s="201">
        <v>41555</v>
      </c>
      <c r="BG147" s="203">
        <v>32.799999999999997</v>
      </c>
      <c r="BH147" s="151">
        <v>41842</v>
      </c>
      <c r="BM147" s="204">
        <v>70.2</v>
      </c>
      <c r="BN147" s="151">
        <v>41842</v>
      </c>
      <c r="BQ147" s="205">
        <v>6.4</v>
      </c>
      <c r="BR147" s="151">
        <v>41842</v>
      </c>
      <c r="BS147" s="206">
        <v>48.3</v>
      </c>
      <c r="BT147" s="151">
        <v>41842</v>
      </c>
      <c r="BU147" s="207">
        <v>14.8</v>
      </c>
      <c r="BV147" s="151">
        <v>41842</v>
      </c>
      <c r="BW147" s="206">
        <v>51.9</v>
      </c>
      <c r="BX147" s="151">
        <v>41842</v>
      </c>
      <c r="BY147" s="210">
        <v>7.58</v>
      </c>
      <c r="BZ147" s="151">
        <v>41842</v>
      </c>
      <c r="CA147" s="206">
        <v>34.700000000000003</v>
      </c>
      <c r="CB147" s="151">
        <v>41842</v>
      </c>
      <c r="CC147" s="208">
        <v>5.6</v>
      </c>
      <c r="CD147" s="151">
        <v>41838</v>
      </c>
      <c r="CL147" s="209">
        <v>5</v>
      </c>
      <c r="CM147" s="201">
        <v>41810</v>
      </c>
    </row>
    <row r="148" spans="1:91" ht="15">
      <c r="A148" s="152" t="s">
        <v>7898</v>
      </c>
      <c r="B148" s="110" t="s">
        <v>233</v>
      </c>
      <c r="C148" s="110" t="s">
        <v>8083</v>
      </c>
      <c r="D148" s="110">
        <v>11630</v>
      </c>
      <c r="E148" s="111">
        <v>7</v>
      </c>
      <c r="F148" s="111">
        <v>697</v>
      </c>
      <c r="K148" s="134">
        <v>5</v>
      </c>
      <c r="L148" s="151">
        <v>41701</v>
      </c>
      <c r="M148" s="169">
        <v>1.85</v>
      </c>
      <c r="N148" s="151">
        <v>41838</v>
      </c>
      <c r="Q148" s="497"/>
      <c r="S148" s="134">
        <v>6.75</v>
      </c>
      <c r="T148" s="151">
        <v>41842</v>
      </c>
      <c r="U148" s="134">
        <v>13.5</v>
      </c>
      <c r="V148" s="151">
        <v>41838</v>
      </c>
      <c r="W148" s="196">
        <v>1</v>
      </c>
      <c r="X148" s="151">
        <v>41829</v>
      </c>
      <c r="Y148" s="134">
        <f t="shared" si="2"/>
        <v>2.3227500000000001</v>
      </c>
      <c r="AC148" s="134">
        <v>13.7</v>
      </c>
      <c r="AD148" s="151">
        <v>41838</v>
      </c>
      <c r="AE148" s="134">
        <v>14.25</v>
      </c>
      <c r="AF148" s="151">
        <v>41838</v>
      </c>
      <c r="AG148" s="197">
        <v>4.8</v>
      </c>
      <c r="AH148" s="151">
        <v>41843</v>
      </c>
      <c r="AI148" s="198">
        <v>5</v>
      </c>
      <c r="AJ148" s="151">
        <v>41778</v>
      </c>
      <c r="AK148" s="199">
        <v>7</v>
      </c>
      <c r="AL148" s="151">
        <v>41709</v>
      </c>
      <c r="BE148" s="200">
        <v>7</v>
      </c>
      <c r="BF148" s="201">
        <v>41555</v>
      </c>
      <c r="BG148" s="203">
        <v>34.799999999999997</v>
      </c>
      <c r="BH148" s="151">
        <v>41842</v>
      </c>
      <c r="BM148" s="204">
        <v>70.099999999999994</v>
      </c>
      <c r="BN148" s="151">
        <v>41842</v>
      </c>
      <c r="BQ148" s="205">
        <v>6.2</v>
      </c>
      <c r="BR148" s="151">
        <v>41842</v>
      </c>
      <c r="BS148" s="206">
        <v>47.4</v>
      </c>
      <c r="BT148" s="151">
        <v>41842</v>
      </c>
      <c r="BU148" s="207">
        <v>16.3</v>
      </c>
      <c r="BV148" s="151">
        <v>41842</v>
      </c>
      <c r="BW148" s="206">
        <v>61.7</v>
      </c>
      <c r="BX148" s="151">
        <v>41842</v>
      </c>
      <c r="BY148" s="210">
        <v>7.73</v>
      </c>
      <c r="BZ148" s="151">
        <v>41842</v>
      </c>
      <c r="CA148" s="206">
        <v>37.5</v>
      </c>
      <c r="CB148" s="151">
        <v>41842</v>
      </c>
      <c r="CC148" s="208">
        <v>5.4</v>
      </c>
      <c r="CD148" s="151">
        <v>41838</v>
      </c>
      <c r="CL148" s="209">
        <v>5</v>
      </c>
      <c r="CM148" s="201">
        <v>41810</v>
      </c>
    </row>
    <row r="149" spans="1:91" ht="15">
      <c r="A149" s="152" t="s">
        <v>7898</v>
      </c>
      <c r="B149" s="110" t="s">
        <v>235</v>
      </c>
      <c r="C149" s="110" t="s">
        <v>8081</v>
      </c>
      <c r="D149" s="110">
        <v>11252</v>
      </c>
      <c r="E149" s="111">
        <v>9</v>
      </c>
      <c r="F149" s="111">
        <v>477</v>
      </c>
      <c r="K149" s="134">
        <v>5</v>
      </c>
      <c r="L149" s="151">
        <v>41701</v>
      </c>
      <c r="M149" s="169">
        <v>3.25</v>
      </c>
      <c r="N149" s="151">
        <v>41838</v>
      </c>
      <c r="Q149" s="497"/>
      <c r="S149" s="134">
        <v>11.47</v>
      </c>
      <c r="T149" s="151">
        <v>41842</v>
      </c>
      <c r="U149" s="134">
        <v>13.5</v>
      </c>
      <c r="V149" s="151">
        <v>41838</v>
      </c>
      <c r="W149" s="196">
        <v>9</v>
      </c>
      <c r="X149" s="151">
        <v>41829</v>
      </c>
      <c r="Y149" s="134">
        <f t="shared" si="2"/>
        <v>3.9456000000000002</v>
      </c>
      <c r="AC149" s="134">
        <v>24.07</v>
      </c>
      <c r="AD149" s="151">
        <v>41838</v>
      </c>
      <c r="AE149" s="134">
        <v>24.66</v>
      </c>
      <c r="AF149" s="151">
        <v>41838</v>
      </c>
      <c r="AG149" s="197">
        <v>4.5999999999999996</v>
      </c>
      <c r="AH149" s="151">
        <v>41843</v>
      </c>
      <c r="AI149" s="198">
        <v>5</v>
      </c>
      <c r="AJ149" s="151">
        <v>41778</v>
      </c>
      <c r="AK149" s="199">
        <v>9</v>
      </c>
      <c r="AL149" s="151">
        <v>41709</v>
      </c>
      <c r="BE149" s="200">
        <v>9</v>
      </c>
      <c r="BF149" s="201">
        <v>41555</v>
      </c>
      <c r="BG149" s="203">
        <v>25.7</v>
      </c>
      <c r="BH149" s="151">
        <v>41842</v>
      </c>
      <c r="BM149" s="204">
        <v>68.5</v>
      </c>
      <c r="BN149" s="151">
        <v>41842</v>
      </c>
      <c r="BQ149" s="205">
        <v>7.5</v>
      </c>
      <c r="BR149" s="151">
        <v>41842</v>
      </c>
      <c r="BS149" s="206">
        <v>46.5</v>
      </c>
      <c r="BT149" s="151">
        <v>41842</v>
      </c>
      <c r="BU149" s="207">
        <v>16</v>
      </c>
      <c r="BV149" s="151">
        <v>41842</v>
      </c>
      <c r="BW149" s="206">
        <v>53.6</v>
      </c>
      <c r="BX149" s="151">
        <v>41842</v>
      </c>
      <c r="BY149" s="210">
        <v>7.91</v>
      </c>
      <c r="BZ149" s="151">
        <v>41842</v>
      </c>
      <c r="CA149" s="206">
        <v>35.9</v>
      </c>
      <c r="CB149" s="151">
        <v>41842</v>
      </c>
      <c r="CC149" s="208">
        <v>6.8</v>
      </c>
      <c r="CD149" s="151">
        <v>41838</v>
      </c>
      <c r="CL149" s="209">
        <v>5</v>
      </c>
      <c r="CM149" s="201">
        <v>41810</v>
      </c>
    </row>
    <row r="150" spans="1:91" ht="15">
      <c r="A150" s="152" t="s">
        <v>7899</v>
      </c>
      <c r="B150" s="110" t="s">
        <v>235</v>
      </c>
      <c r="C150" s="110" t="s">
        <v>8082</v>
      </c>
      <c r="D150" s="110">
        <v>11401</v>
      </c>
      <c r="E150" s="111">
        <v>1</v>
      </c>
      <c r="F150" s="111">
        <v>645</v>
      </c>
      <c r="I150" s="373"/>
      <c r="K150" s="194">
        <v>5</v>
      </c>
      <c r="L150" s="151">
        <v>41701</v>
      </c>
      <c r="M150" s="169">
        <v>4.0999999999999996</v>
      </c>
      <c r="N150" s="151">
        <v>41838</v>
      </c>
      <c r="Q150" s="497"/>
      <c r="S150" s="134">
        <v>14.32</v>
      </c>
      <c r="T150" s="151">
        <v>41842</v>
      </c>
      <c r="U150" s="194">
        <v>13.5</v>
      </c>
      <c r="V150" s="151">
        <v>41838</v>
      </c>
      <c r="W150" s="196">
        <v>1</v>
      </c>
      <c r="X150" s="151">
        <v>41829</v>
      </c>
      <c r="Y150" s="134">
        <f t="shared" si="2"/>
        <v>5.0415999999999999</v>
      </c>
      <c r="AA150" s="194"/>
      <c r="AC150" s="194">
        <v>30.37</v>
      </c>
      <c r="AD150" s="151">
        <v>41838</v>
      </c>
      <c r="AE150" s="137">
        <v>31.51</v>
      </c>
      <c r="AF150" s="151">
        <v>41838</v>
      </c>
      <c r="AG150" s="197">
        <v>4.5999999999999996</v>
      </c>
      <c r="AH150" s="151">
        <v>41843</v>
      </c>
      <c r="AI150" s="198">
        <v>5</v>
      </c>
      <c r="AJ150" s="151">
        <v>41778</v>
      </c>
      <c r="AK150" s="199">
        <v>4</v>
      </c>
      <c r="AL150" s="151">
        <v>41709</v>
      </c>
      <c r="AM150" s="194"/>
      <c r="BE150" s="200">
        <v>4</v>
      </c>
      <c r="BF150" s="201">
        <v>41555</v>
      </c>
      <c r="BG150" s="203">
        <v>0.7</v>
      </c>
      <c r="BH150" s="151">
        <v>41842</v>
      </c>
      <c r="BM150" s="204">
        <v>62.1</v>
      </c>
      <c r="BN150" s="151">
        <v>41842</v>
      </c>
      <c r="BQ150" s="205">
        <v>11.8</v>
      </c>
      <c r="BR150" s="151">
        <v>41842</v>
      </c>
      <c r="BS150" s="206">
        <v>45.5</v>
      </c>
      <c r="BT150" s="151">
        <v>41842</v>
      </c>
      <c r="BU150" s="207">
        <v>16</v>
      </c>
      <c r="BV150" s="151">
        <v>41842</v>
      </c>
      <c r="BW150" s="206">
        <v>63.1</v>
      </c>
      <c r="BX150" s="151">
        <v>41842</v>
      </c>
      <c r="BY150" s="210">
        <v>7.08</v>
      </c>
      <c r="BZ150" s="151">
        <v>41842</v>
      </c>
      <c r="CA150" s="206">
        <v>35</v>
      </c>
      <c r="CB150" s="151">
        <v>41842</v>
      </c>
      <c r="CC150" s="208">
        <v>5.6</v>
      </c>
      <c r="CD150" s="151">
        <v>41838</v>
      </c>
      <c r="CL150" s="209">
        <v>7</v>
      </c>
      <c r="CM150" s="201">
        <v>41810</v>
      </c>
    </row>
    <row r="151" spans="1:91" ht="15">
      <c r="A151" s="152" t="s">
        <v>7899</v>
      </c>
      <c r="B151" s="110" t="s">
        <v>233</v>
      </c>
      <c r="C151" s="110" t="s">
        <v>381</v>
      </c>
      <c r="D151" s="110">
        <v>11133</v>
      </c>
      <c r="E151" s="111">
        <v>5</v>
      </c>
      <c r="F151" s="111">
        <v>577</v>
      </c>
      <c r="K151" s="134">
        <v>5</v>
      </c>
      <c r="L151" s="151">
        <v>41701</v>
      </c>
      <c r="M151" s="169">
        <v>2.25</v>
      </c>
      <c r="N151" s="151">
        <v>41838</v>
      </c>
      <c r="Q151" s="497"/>
      <c r="S151" s="134">
        <v>7.94</v>
      </c>
      <c r="T151" s="151">
        <v>41842</v>
      </c>
      <c r="U151" s="134">
        <v>13.5</v>
      </c>
      <c r="V151" s="151">
        <v>41838</v>
      </c>
      <c r="W151" s="196">
        <v>1</v>
      </c>
      <c r="X151" s="151">
        <v>41829</v>
      </c>
      <c r="Y151" s="134">
        <f t="shared" si="2"/>
        <v>2.7223799999999998</v>
      </c>
      <c r="AC151" s="134">
        <v>16.670000000000002</v>
      </c>
      <c r="AD151" s="151">
        <v>41838</v>
      </c>
      <c r="AE151" s="134">
        <v>17.34</v>
      </c>
      <c r="AF151" s="151">
        <v>41838</v>
      </c>
      <c r="AG151" s="197">
        <v>4.5</v>
      </c>
      <c r="AH151" s="151">
        <v>41843</v>
      </c>
      <c r="AI151" s="198">
        <v>5</v>
      </c>
      <c r="AJ151" s="151">
        <v>41778</v>
      </c>
      <c r="AK151" s="199">
        <v>5</v>
      </c>
      <c r="AL151" s="151">
        <v>41709</v>
      </c>
      <c r="BE151" s="200">
        <v>5</v>
      </c>
      <c r="BF151" s="201">
        <v>41555</v>
      </c>
      <c r="BG151" s="203">
        <v>-1.8</v>
      </c>
      <c r="BH151" s="151">
        <v>41842</v>
      </c>
      <c r="BM151" s="204">
        <v>65.099999999999994</v>
      </c>
      <c r="BN151" s="151">
        <v>41842</v>
      </c>
      <c r="BQ151" s="205">
        <v>11</v>
      </c>
      <c r="BR151" s="151">
        <v>41842</v>
      </c>
      <c r="BS151" s="206">
        <v>45.8</v>
      </c>
      <c r="BT151" s="151">
        <v>41842</v>
      </c>
      <c r="BU151" s="207">
        <v>15.7</v>
      </c>
      <c r="BV151" s="151">
        <v>41842</v>
      </c>
      <c r="BW151" s="206">
        <v>70.099999999999994</v>
      </c>
      <c r="BX151" s="151">
        <v>41842</v>
      </c>
      <c r="BY151" s="210">
        <v>6.6</v>
      </c>
      <c r="BZ151" s="151">
        <v>41842</v>
      </c>
      <c r="CA151" s="206">
        <v>34.700000000000003</v>
      </c>
      <c r="CB151" s="151">
        <v>41842</v>
      </c>
      <c r="CC151" s="208">
        <v>5.3</v>
      </c>
      <c r="CD151" s="151">
        <v>41838</v>
      </c>
      <c r="CL151" s="209">
        <v>7</v>
      </c>
      <c r="CM151" s="201">
        <v>41810</v>
      </c>
    </row>
    <row r="152" spans="1:91" ht="15">
      <c r="A152" s="152" t="s">
        <v>7899</v>
      </c>
      <c r="B152" s="110" t="s">
        <v>233</v>
      </c>
      <c r="C152" s="110" t="s">
        <v>8083</v>
      </c>
      <c r="D152" s="110">
        <v>11769</v>
      </c>
      <c r="E152" s="111">
        <v>11</v>
      </c>
      <c r="F152" s="111">
        <v>677</v>
      </c>
      <c r="K152" s="134">
        <v>5</v>
      </c>
      <c r="L152" s="151">
        <v>41701</v>
      </c>
      <c r="M152" s="169">
        <v>2.2999999999999998</v>
      </c>
      <c r="N152" s="151">
        <v>41838</v>
      </c>
      <c r="Q152" s="497"/>
      <c r="S152" s="134">
        <v>8.1</v>
      </c>
      <c r="T152" s="151">
        <v>41842</v>
      </c>
      <c r="U152" s="134">
        <v>13.5</v>
      </c>
      <c r="V152" s="151">
        <v>41838</v>
      </c>
      <c r="W152" s="196">
        <v>1</v>
      </c>
      <c r="X152" s="151">
        <v>41829</v>
      </c>
      <c r="Y152" s="134">
        <f t="shared" si="2"/>
        <v>2.8095300000000005</v>
      </c>
      <c r="AC152" s="134">
        <v>17.04</v>
      </c>
      <c r="AD152" s="151">
        <v>41838</v>
      </c>
      <c r="AE152" s="134">
        <v>17.670000000000002</v>
      </c>
      <c r="AF152" s="151">
        <v>41838</v>
      </c>
      <c r="AG152" s="197">
        <v>4.5999999999999996</v>
      </c>
      <c r="AH152" s="151">
        <v>41843</v>
      </c>
      <c r="AI152" s="198">
        <v>5</v>
      </c>
      <c r="AJ152" s="151">
        <v>41778</v>
      </c>
      <c r="AK152" s="199">
        <v>5</v>
      </c>
      <c r="AL152" s="151">
        <v>41709</v>
      </c>
      <c r="BE152" s="200">
        <v>5</v>
      </c>
      <c r="BF152" s="201">
        <v>41555</v>
      </c>
      <c r="BG152" s="203">
        <v>-0.2</v>
      </c>
      <c r="BH152" s="151">
        <v>41842</v>
      </c>
      <c r="BM152" s="204">
        <v>63.7</v>
      </c>
      <c r="BN152" s="151">
        <v>41842</v>
      </c>
      <c r="BQ152" s="205">
        <v>10.5</v>
      </c>
      <c r="BR152" s="151">
        <v>41842</v>
      </c>
      <c r="BS152" s="206">
        <v>45.8</v>
      </c>
      <c r="BT152" s="151">
        <v>41842</v>
      </c>
      <c r="BU152" s="207">
        <v>15.9</v>
      </c>
      <c r="BV152" s="151">
        <v>41842</v>
      </c>
      <c r="BW152" s="206">
        <v>69.400000000000006</v>
      </c>
      <c r="BX152" s="151">
        <v>41842</v>
      </c>
      <c r="BY152" s="210">
        <v>7.14</v>
      </c>
      <c r="BZ152" s="151">
        <v>41842</v>
      </c>
      <c r="CA152" s="206">
        <v>35.299999999999997</v>
      </c>
      <c r="CB152" s="151">
        <v>41842</v>
      </c>
      <c r="CC152" s="208">
        <v>5.6</v>
      </c>
      <c r="CD152" s="151">
        <v>41838</v>
      </c>
      <c r="CL152" s="209">
        <v>7</v>
      </c>
      <c r="CM152" s="201">
        <v>41810</v>
      </c>
    </row>
    <row r="153" spans="1:91" ht="15">
      <c r="A153" s="152" t="s">
        <v>7899</v>
      </c>
      <c r="B153" s="110" t="s">
        <v>235</v>
      </c>
      <c r="C153" s="110" t="s">
        <v>8081</v>
      </c>
      <c r="D153" s="110">
        <v>11394</v>
      </c>
      <c r="E153" s="111">
        <v>12</v>
      </c>
      <c r="F153" s="111">
        <v>613</v>
      </c>
      <c r="K153" s="194">
        <v>7</v>
      </c>
      <c r="L153" s="151">
        <v>41701</v>
      </c>
      <c r="M153" s="169">
        <v>2.75</v>
      </c>
      <c r="N153" s="151">
        <v>41838</v>
      </c>
      <c r="Q153" s="497"/>
      <c r="S153" s="134">
        <v>9.42</v>
      </c>
      <c r="T153" s="151">
        <v>41842</v>
      </c>
      <c r="U153" s="134">
        <v>13.5</v>
      </c>
      <c r="V153" s="151">
        <v>41838</v>
      </c>
      <c r="W153" s="196">
        <v>1</v>
      </c>
      <c r="X153" s="151">
        <v>41829</v>
      </c>
      <c r="Y153" s="134">
        <f t="shared" si="2"/>
        <v>3.5170199999999996</v>
      </c>
      <c r="AC153" s="134">
        <v>20.37</v>
      </c>
      <c r="AD153" s="151">
        <v>41838</v>
      </c>
      <c r="AE153" s="134">
        <v>21.06</v>
      </c>
      <c r="AF153" s="151">
        <v>41838</v>
      </c>
      <c r="AG153" s="197">
        <v>4.2</v>
      </c>
      <c r="AH153" s="151">
        <v>41843</v>
      </c>
      <c r="AI153" s="198">
        <v>5</v>
      </c>
      <c r="AJ153" s="151">
        <v>41778</v>
      </c>
      <c r="AK153" s="199">
        <v>5</v>
      </c>
      <c r="AL153" s="151">
        <v>41709</v>
      </c>
      <c r="BE153" s="200">
        <v>5</v>
      </c>
      <c r="BF153" s="201">
        <v>41555</v>
      </c>
      <c r="BG153" s="203">
        <v>-3.9</v>
      </c>
      <c r="BH153" s="151">
        <v>41842</v>
      </c>
      <c r="BM153" s="204">
        <v>61.1</v>
      </c>
      <c r="BN153" s="151">
        <v>41842</v>
      </c>
      <c r="BQ153" s="205">
        <v>11.8</v>
      </c>
      <c r="BR153" s="151">
        <v>41842</v>
      </c>
      <c r="BS153" s="206">
        <v>44.7</v>
      </c>
      <c r="BT153" s="151">
        <v>41842</v>
      </c>
      <c r="BU153" s="207">
        <v>16.7</v>
      </c>
      <c r="BV153" s="151">
        <v>41842</v>
      </c>
      <c r="BW153" s="206">
        <v>71.5</v>
      </c>
      <c r="BX153" s="151">
        <v>41842</v>
      </c>
      <c r="BY153" s="210">
        <v>7.09</v>
      </c>
      <c r="BZ153" s="151">
        <v>41842</v>
      </c>
      <c r="CA153" s="206">
        <v>36</v>
      </c>
      <c r="CB153" s="151">
        <v>41842</v>
      </c>
      <c r="CC153" s="208">
        <v>5.9</v>
      </c>
      <c r="CD153" s="151">
        <v>41838</v>
      </c>
      <c r="CL153" s="209">
        <v>5</v>
      </c>
      <c r="CM153" s="201">
        <v>41810</v>
      </c>
    </row>
    <row r="154" spans="1:91" ht="15">
      <c r="A154" s="152" t="s">
        <v>7900</v>
      </c>
      <c r="B154" s="110" t="s">
        <v>235</v>
      </c>
      <c r="C154" s="110" t="s">
        <v>8082</v>
      </c>
      <c r="D154" s="110">
        <v>11434</v>
      </c>
      <c r="E154" s="111">
        <v>2</v>
      </c>
      <c r="F154" s="111">
        <v>633</v>
      </c>
      <c r="K154" s="191">
        <v>3</v>
      </c>
      <c r="L154" s="151">
        <v>41701</v>
      </c>
      <c r="M154" s="169">
        <v>3.75</v>
      </c>
      <c r="N154" s="151">
        <v>41838</v>
      </c>
      <c r="Q154" s="497"/>
      <c r="S154" s="134">
        <v>12.48</v>
      </c>
      <c r="T154" s="151">
        <v>41842</v>
      </c>
      <c r="U154" s="134">
        <v>13.5</v>
      </c>
      <c r="V154" s="151">
        <v>41838</v>
      </c>
      <c r="W154" s="196">
        <v>9</v>
      </c>
      <c r="X154" s="151">
        <v>41829</v>
      </c>
      <c r="Y154" s="134">
        <f t="shared" si="2"/>
        <v>4.7862199999999993</v>
      </c>
      <c r="AC154" s="134">
        <v>27.78</v>
      </c>
      <c r="AD154" s="151">
        <v>41838</v>
      </c>
      <c r="AE154" s="134">
        <v>28.66</v>
      </c>
      <c r="AF154" s="151">
        <v>41838</v>
      </c>
      <c r="AG154" s="197">
        <v>4.7</v>
      </c>
      <c r="AH154" s="151">
        <v>41843</v>
      </c>
      <c r="AI154" s="198">
        <v>5</v>
      </c>
      <c r="AJ154" s="151">
        <v>41778</v>
      </c>
      <c r="AK154" s="199">
        <v>4</v>
      </c>
      <c r="AL154" s="151">
        <v>41709</v>
      </c>
      <c r="BE154" s="200">
        <v>4</v>
      </c>
      <c r="BF154" s="201">
        <v>41555</v>
      </c>
      <c r="BG154" s="203">
        <v>13.6</v>
      </c>
      <c r="BH154" s="151">
        <v>41842</v>
      </c>
      <c r="BM154" s="204">
        <v>65.7</v>
      </c>
      <c r="BN154" s="151">
        <v>41842</v>
      </c>
      <c r="BQ154" s="205">
        <v>9.5</v>
      </c>
      <c r="BR154" s="151">
        <v>41842</v>
      </c>
      <c r="BS154" s="206">
        <v>43.5</v>
      </c>
      <c r="BT154" s="151">
        <v>41842</v>
      </c>
      <c r="BU154" s="207">
        <v>16.7</v>
      </c>
      <c r="BV154" s="151">
        <v>41842</v>
      </c>
      <c r="BW154" s="206">
        <v>62.8</v>
      </c>
      <c r="BX154" s="151">
        <v>41842</v>
      </c>
      <c r="BY154" s="210">
        <v>7.61</v>
      </c>
      <c r="BZ154" s="151">
        <v>41842</v>
      </c>
      <c r="CA154" s="206">
        <v>35.1</v>
      </c>
      <c r="CB154" s="151">
        <v>41842</v>
      </c>
      <c r="CC154" s="208">
        <v>6.1</v>
      </c>
      <c r="CD154" s="151">
        <v>41838</v>
      </c>
      <c r="CL154" s="209">
        <v>3</v>
      </c>
      <c r="CM154" s="201">
        <v>41810</v>
      </c>
    </row>
    <row r="155" spans="1:91" ht="15">
      <c r="A155" s="152" t="s">
        <v>7900</v>
      </c>
      <c r="B155" s="110" t="s">
        <v>233</v>
      </c>
      <c r="C155" s="110" t="s">
        <v>381</v>
      </c>
      <c r="D155" s="110">
        <v>11153</v>
      </c>
      <c r="E155" s="111">
        <v>6</v>
      </c>
      <c r="F155" s="111">
        <v>513</v>
      </c>
      <c r="K155" s="134">
        <v>5</v>
      </c>
      <c r="L155" s="151">
        <v>41701</v>
      </c>
      <c r="M155" s="169">
        <v>3.1</v>
      </c>
      <c r="N155" s="151">
        <v>41838</v>
      </c>
      <c r="Q155" s="497"/>
      <c r="S155" s="134">
        <v>10.38</v>
      </c>
      <c r="T155" s="151">
        <v>41842</v>
      </c>
      <c r="U155" s="134">
        <v>13.5</v>
      </c>
      <c r="V155" s="151">
        <v>41838</v>
      </c>
      <c r="W155" s="196">
        <v>9</v>
      </c>
      <c r="X155" s="151">
        <v>41829</v>
      </c>
      <c r="Y155" s="134">
        <f t="shared" si="2"/>
        <v>3.9562299999999997</v>
      </c>
      <c r="AC155" s="134">
        <v>22.96</v>
      </c>
      <c r="AD155" s="151">
        <v>41838</v>
      </c>
      <c r="AE155" s="134">
        <v>23.69</v>
      </c>
      <c r="AF155" s="151">
        <v>41838</v>
      </c>
      <c r="AG155" s="197">
        <v>4.9000000000000004</v>
      </c>
      <c r="AH155" s="151">
        <v>41843</v>
      </c>
      <c r="AI155" s="198">
        <v>5</v>
      </c>
      <c r="AJ155" s="151">
        <v>41778</v>
      </c>
      <c r="AK155" s="199">
        <v>5</v>
      </c>
      <c r="AL155" s="151">
        <v>41709</v>
      </c>
      <c r="BE155" s="200">
        <v>5</v>
      </c>
      <c r="BF155" s="201">
        <v>41555</v>
      </c>
      <c r="BG155" s="203">
        <v>15.9</v>
      </c>
      <c r="BH155" s="151">
        <v>41842</v>
      </c>
      <c r="BM155" s="204">
        <v>65.5</v>
      </c>
      <c r="BN155" s="151">
        <v>41842</v>
      </c>
      <c r="BQ155" s="205">
        <v>9.3000000000000007</v>
      </c>
      <c r="BR155" s="151">
        <v>41842</v>
      </c>
      <c r="BS155" s="206">
        <v>43.8</v>
      </c>
      <c r="BT155" s="151">
        <v>41842</v>
      </c>
      <c r="BU155" s="207">
        <v>16.7</v>
      </c>
      <c r="BV155" s="151">
        <v>41842</v>
      </c>
      <c r="BW155" s="206">
        <v>60.1</v>
      </c>
      <c r="BX155" s="151">
        <v>41842</v>
      </c>
      <c r="BY155" s="210">
        <v>7.62</v>
      </c>
      <c r="BZ155" s="151">
        <v>41842</v>
      </c>
      <c r="CA155" s="206">
        <v>35.299999999999997</v>
      </c>
      <c r="CB155" s="151">
        <v>41842</v>
      </c>
      <c r="CC155" s="208">
        <v>6.1</v>
      </c>
      <c r="CD155" s="151">
        <v>41838</v>
      </c>
      <c r="CL155" s="209">
        <v>3</v>
      </c>
      <c r="CM155" s="201">
        <v>41810</v>
      </c>
    </row>
    <row r="156" spans="1:91" ht="15">
      <c r="A156" s="152" t="s">
        <v>7900</v>
      </c>
      <c r="B156" s="110" t="s">
        <v>235</v>
      </c>
      <c r="C156" s="110" t="s">
        <v>8081</v>
      </c>
      <c r="D156" s="110">
        <v>11205</v>
      </c>
      <c r="E156" s="111">
        <v>7</v>
      </c>
      <c r="F156" s="111">
        <v>577</v>
      </c>
      <c r="K156" s="134">
        <v>5</v>
      </c>
      <c r="L156" s="151">
        <v>41701</v>
      </c>
      <c r="M156" s="169">
        <v>3.85</v>
      </c>
      <c r="N156" s="151">
        <v>41838</v>
      </c>
      <c r="Q156" s="497"/>
      <c r="S156" s="134">
        <v>12.63</v>
      </c>
      <c r="T156" s="151">
        <v>41842</v>
      </c>
      <c r="U156" s="134">
        <v>13.5</v>
      </c>
      <c r="V156" s="151">
        <v>41838</v>
      </c>
      <c r="W156" s="196">
        <v>9</v>
      </c>
      <c r="X156" s="151">
        <v>41829</v>
      </c>
      <c r="Y156" s="134">
        <f t="shared" si="2"/>
        <v>4.9442400000000006</v>
      </c>
      <c r="AC156" s="134">
        <v>28.52</v>
      </c>
      <c r="AD156" s="151">
        <v>41838</v>
      </c>
      <c r="AE156" s="134">
        <v>29.43</v>
      </c>
      <c r="AF156" s="151">
        <v>41838</v>
      </c>
      <c r="AG156" s="197">
        <v>4.3</v>
      </c>
      <c r="AH156" s="151">
        <v>41843</v>
      </c>
      <c r="AI156" s="198">
        <v>5</v>
      </c>
      <c r="AJ156" s="151">
        <v>41778</v>
      </c>
      <c r="AK156" s="199">
        <v>4</v>
      </c>
      <c r="AL156" s="151">
        <v>41709</v>
      </c>
      <c r="BE156" s="200">
        <v>4</v>
      </c>
      <c r="BF156" s="201">
        <v>41555</v>
      </c>
      <c r="BG156" s="203">
        <v>9.6999999999999993</v>
      </c>
      <c r="BH156" s="151">
        <v>41842</v>
      </c>
      <c r="BM156" s="204">
        <v>66.3</v>
      </c>
      <c r="BN156" s="151">
        <v>41842</v>
      </c>
      <c r="BQ156" s="205">
        <v>9.3000000000000007</v>
      </c>
      <c r="BR156" s="151">
        <v>41842</v>
      </c>
      <c r="BS156" s="206">
        <v>42.9</v>
      </c>
      <c r="BT156" s="151">
        <v>41842</v>
      </c>
      <c r="BU156" s="207">
        <v>16.8</v>
      </c>
      <c r="BV156" s="151">
        <v>41842</v>
      </c>
      <c r="BW156" s="206">
        <v>61.2</v>
      </c>
      <c r="BX156" s="151">
        <v>41842</v>
      </c>
      <c r="BY156" s="210">
        <v>7.79</v>
      </c>
      <c r="BZ156" s="151">
        <v>41842</v>
      </c>
      <c r="CA156" s="206">
        <v>34.9</v>
      </c>
      <c r="CB156" s="151">
        <v>41842</v>
      </c>
      <c r="CC156" s="208">
        <v>6.1</v>
      </c>
      <c r="CD156" s="151">
        <v>41838</v>
      </c>
      <c r="CL156" s="209">
        <v>3</v>
      </c>
      <c r="CM156" s="201">
        <v>41810</v>
      </c>
    </row>
    <row r="157" spans="1:91" ht="15">
      <c r="A157" s="152" t="s">
        <v>7900</v>
      </c>
      <c r="B157" s="110" t="s">
        <v>233</v>
      </c>
      <c r="C157" s="110" t="s">
        <v>8083</v>
      </c>
      <c r="D157" s="110">
        <v>11734</v>
      </c>
      <c r="E157" s="111">
        <v>10</v>
      </c>
      <c r="F157" s="111">
        <v>681</v>
      </c>
      <c r="K157" s="134">
        <v>5</v>
      </c>
      <c r="L157" s="151">
        <v>41701</v>
      </c>
      <c r="M157" s="169">
        <v>2.9</v>
      </c>
      <c r="N157" s="151">
        <v>41838</v>
      </c>
      <c r="Q157" s="497"/>
      <c r="S157" s="134">
        <v>9.68</v>
      </c>
      <c r="T157" s="151">
        <v>41842</v>
      </c>
      <c r="U157" s="134">
        <v>13.5</v>
      </c>
      <c r="V157" s="151">
        <v>41838</v>
      </c>
      <c r="W157" s="196">
        <v>9</v>
      </c>
      <c r="X157" s="151">
        <v>41829</v>
      </c>
      <c r="Y157" s="134">
        <f t="shared" si="2"/>
        <v>3.5307300000000001</v>
      </c>
      <c r="AC157" s="134">
        <v>21.48</v>
      </c>
      <c r="AD157" s="151">
        <v>41838</v>
      </c>
      <c r="AE157" s="134">
        <v>21.93</v>
      </c>
      <c r="AF157" s="151">
        <v>41838</v>
      </c>
      <c r="AG157" s="197">
        <v>5</v>
      </c>
      <c r="AH157" s="151">
        <v>41843</v>
      </c>
      <c r="AI157" s="198">
        <v>5</v>
      </c>
      <c r="AJ157" s="151">
        <v>41778</v>
      </c>
      <c r="AK157" s="199">
        <v>4</v>
      </c>
      <c r="AL157" s="151">
        <v>41709</v>
      </c>
      <c r="BE157" s="200">
        <v>4</v>
      </c>
      <c r="BF157" s="201">
        <v>41555</v>
      </c>
      <c r="BG157" s="203">
        <v>10.7</v>
      </c>
      <c r="BH157" s="151">
        <v>41842</v>
      </c>
      <c r="BM157" s="204">
        <v>65.5</v>
      </c>
      <c r="BN157" s="151">
        <v>41842</v>
      </c>
      <c r="BQ157" s="205">
        <v>9.1999999999999993</v>
      </c>
      <c r="BR157" s="151">
        <v>41842</v>
      </c>
      <c r="BS157" s="206">
        <v>44.2</v>
      </c>
      <c r="BT157" s="151">
        <v>41842</v>
      </c>
      <c r="BU157" s="207">
        <v>16.100000000000001</v>
      </c>
      <c r="BV157" s="151">
        <v>41842</v>
      </c>
      <c r="BW157" s="206">
        <v>57</v>
      </c>
      <c r="BX157" s="151">
        <v>41842</v>
      </c>
      <c r="BY157" s="210">
        <v>7.58</v>
      </c>
      <c r="BZ157" s="151">
        <v>41842</v>
      </c>
      <c r="CA157" s="206">
        <v>34.4</v>
      </c>
      <c r="CB157" s="151">
        <v>41842</v>
      </c>
      <c r="CC157" s="208">
        <v>7.1</v>
      </c>
      <c r="CD157" s="151">
        <v>41838</v>
      </c>
      <c r="CL157" s="209">
        <v>3</v>
      </c>
      <c r="CM157" s="201">
        <v>41810</v>
      </c>
    </row>
    <row r="158" spans="1:91" ht="15">
      <c r="A158" s="152" t="s">
        <v>7901</v>
      </c>
      <c r="B158" s="110" t="s">
        <v>233</v>
      </c>
      <c r="C158" s="110" t="s">
        <v>381</v>
      </c>
      <c r="D158" s="110">
        <v>10975</v>
      </c>
      <c r="E158" s="111">
        <v>1</v>
      </c>
      <c r="F158" s="111">
        <v>521</v>
      </c>
      <c r="I158" s="373"/>
      <c r="K158" s="194">
        <v>5</v>
      </c>
      <c r="L158" s="151">
        <v>41701</v>
      </c>
      <c r="M158" s="169">
        <v>3.15</v>
      </c>
      <c r="N158" s="151">
        <v>41838</v>
      </c>
      <c r="Q158" s="497"/>
      <c r="S158" s="134">
        <v>11.62</v>
      </c>
      <c r="T158" s="151">
        <v>41842</v>
      </c>
      <c r="U158" s="194">
        <v>13.5</v>
      </c>
      <c r="V158" s="151">
        <v>41838</v>
      </c>
      <c r="W158" s="196">
        <v>1</v>
      </c>
      <c r="X158" s="151">
        <v>41829</v>
      </c>
      <c r="Y158" s="134">
        <f t="shared" si="2"/>
        <v>3.5564400000000007</v>
      </c>
      <c r="AA158" s="194"/>
      <c r="AC158" s="194">
        <v>23.33</v>
      </c>
      <c r="AD158" s="151">
        <v>41838</v>
      </c>
      <c r="AE158" s="137">
        <v>24.03</v>
      </c>
      <c r="AF158" s="151">
        <v>41838</v>
      </c>
      <c r="AG158" s="197">
        <v>5.0999999999999996</v>
      </c>
      <c r="AH158" s="151">
        <v>41843</v>
      </c>
      <c r="AI158" s="198">
        <v>5</v>
      </c>
      <c r="AJ158" s="151">
        <v>41778</v>
      </c>
      <c r="AK158" s="199">
        <v>5</v>
      </c>
      <c r="AL158" s="151">
        <v>41709</v>
      </c>
      <c r="AM158" s="194"/>
      <c r="BE158" s="200">
        <v>5</v>
      </c>
      <c r="BF158" s="201">
        <v>41555</v>
      </c>
      <c r="BG158" s="203">
        <v>45.8</v>
      </c>
      <c r="BH158" s="151">
        <v>41842</v>
      </c>
      <c r="BM158" s="204">
        <v>73.8</v>
      </c>
      <c r="BN158" s="151">
        <v>41842</v>
      </c>
      <c r="BQ158" s="205">
        <v>4.5</v>
      </c>
      <c r="BR158" s="151">
        <v>41842</v>
      </c>
      <c r="BS158" s="206">
        <v>48.4</v>
      </c>
      <c r="BT158" s="151">
        <v>41842</v>
      </c>
      <c r="BU158" s="207">
        <v>14.8</v>
      </c>
      <c r="BV158" s="151">
        <v>41842</v>
      </c>
      <c r="BW158" s="206">
        <v>71.8</v>
      </c>
      <c r="BX158" s="151">
        <v>41842</v>
      </c>
      <c r="BY158" s="210">
        <v>7.17</v>
      </c>
      <c r="BZ158" s="151">
        <v>41842</v>
      </c>
      <c r="CA158" s="206">
        <v>34.799999999999997</v>
      </c>
      <c r="CB158" s="151">
        <v>41842</v>
      </c>
      <c r="CC158" s="208">
        <v>6.3</v>
      </c>
      <c r="CD158" s="151">
        <v>41838</v>
      </c>
      <c r="CL158" s="209">
        <v>5</v>
      </c>
      <c r="CM158" s="201">
        <v>41810</v>
      </c>
    </row>
    <row r="159" spans="1:91" ht="15">
      <c r="A159" s="152" t="s">
        <v>7901</v>
      </c>
      <c r="B159" s="110" t="s">
        <v>235</v>
      </c>
      <c r="C159" s="110" t="s">
        <v>8082</v>
      </c>
      <c r="D159" s="110">
        <v>11403</v>
      </c>
      <c r="E159" s="111">
        <v>1</v>
      </c>
      <c r="F159" s="111">
        <v>653</v>
      </c>
      <c r="I159" s="373"/>
      <c r="K159" s="194">
        <v>5</v>
      </c>
      <c r="L159" s="151">
        <v>41701</v>
      </c>
      <c r="M159" s="169">
        <v>3.7</v>
      </c>
      <c r="N159" s="151">
        <v>41838</v>
      </c>
      <c r="Q159" s="497"/>
      <c r="S159" s="134">
        <v>13.08</v>
      </c>
      <c r="T159" s="151">
        <v>41842</v>
      </c>
      <c r="U159" s="194">
        <v>13.5</v>
      </c>
      <c r="V159" s="151">
        <v>41838</v>
      </c>
      <c r="W159" s="196">
        <v>1</v>
      </c>
      <c r="X159" s="151">
        <v>41829</v>
      </c>
      <c r="Y159" s="134">
        <f t="shared" si="2"/>
        <v>4.5530800000000005</v>
      </c>
      <c r="AA159" s="194"/>
      <c r="AC159" s="194">
        <v>27.41</v>
      </c>
      <c r="AD159" s="151">
        <v>41838</v>
      </c>
      <c r="AE159" s="137">
        <v>28.28</v>
      </c>
      <c r="AF159" s="151">
        <v>41838</v>
      </c>
      <c r="AG159" s="197">
        <v>5.2</v>
      </c>
      <c r="AH159" s="151">
        <v>41843</v>
      </c>
      <c r="AI159" s="198">
        <v>7</v>
      </c>
      <c r="AJ159" s="151">
        <v>41778</v>
      </c>
      <c r="AK159" s="199">
        <v>4</v>
      </c>
      <c r="AL159" s="151">
        <v>41709</v>
      </c>
      <c r="AM159" s="194"/>
      <c r="BE159" s="200">
        <v>4</v>
      </c>
      <c r="BF159" s="201">
        <v>41555</v>
      </c>
      <c r="BG159" s="203">
        <v>41.5</v>
      </c>
      <c r="BH159" s="151">
        <v>41842</v>
      </c>
      <c r="BM159" s="204">
        <v>71.400000000000006</v>
      </c>
      <c r="BN159" s="151">
        <v>41842</v>
      </c>
      <c r="BQ159" s="205">
        <v>4.8</v>
      </c>
      <c r="BR159" s="151">
        <v>41842</v>
      </c>
      <c r="BS159" s="206">
        <v>46.3</v>
      </c>
      <c r="BT159" s="151">
        <v>41842</v>
      </c>
      <c r="BU159" s="207">
        <v>16.100000000000001</v>
      </c>
      <c r="BV159" s="151">
        <v>41842</v>
      </c>
      <c r="BW159" s="206">
        <v>70.5</v>
      </c>
      <c r="BX159" s="151">
        <v>41842</v>
      </c>
      <c r="BY159" s="210">
        <v>7.42</v>
      </c>
      <c r="BZ159" s="151">
        <v>41842</v>
      </c>
      <c r="CA159" s="206">
        <v>36</v>
      </c>
      <c r="CB159" s="151">
        <v>41842</v>
      </c>
      <c r="CC159" s="208">
        <v>6.1</v>
      </c>
      <c r="CD159" s="151">
        <v>41838</v>
      </c>
      <c r="CL159" s="209">
        <v>7</v>
      </c>
      <c r="CM159" s="201">
        <v>41810</v>
      </c>
    </row>
    <row r="160" spans="1:91" ht="15">
      <c r="A160" s="152" t="s">
        <v>7901</v>
      </c>
      <c r="B160" s="110" t="s">
        <v>233</v>
      </c>
      <c r="C160" s="110" t="s">
        <v>8083</v>
      </c>
      <c r="D160" s="110">
        <v>11694</v>
      </c>
      <c r="E160" s="111">
        <v>9</v>
      </c>
      <c r="F160" s="111">
        <v>665</v>
      </c>
      <c r="K160" s="134">
        <v>5</v>
      </c>
      <c r="L160" s="151">
        <v>41701</v>
      </c>
      <c r="M160" s="169">
        <v>3.2</v>
      </c>
      <c r="N160" s="151">
        <v>41838</v>
      </c>
      <c r="Q160" s="497"/>
      <c r="S160" s="134">
        <v>11.86</v>
      </c>
      <c r="T160" s="151">
        <v>41842</v>
      </c>
      <c r="U160" s="134">
        <v>13.5</v>
      </c>
      <c r="V160" s="151">
        <v>41838</v>
      </c>
      <c r="W160" s="196">
        <v>9</v>
      </c>
      <c r="X160" s="151">
        <v>41829</v>
      </c>
      <c r="Y160" s="134">
        <f t="shared" si="2"/>
        <v>3.7179199999999999</v>
      </c>
      <c r="AC160" s="134">
        <v>23.7</v>
      </c>
      <c r="AD160" s="151">
        <v>41838</v>
      </c>
      <c r="AE160" s="134">
        <v>24.46</v>
      </c>
      <c r="AF160" s="151">
        <v>41838</v>
      </c>
      <c r="AG160" s="197">
        <v>5.3</v>
      </c>
      <c r="AH160" s="151">
        <v>41843</v>
      </c>
      <c r="AI160" s="198">
        <v>7</v>
      </c>
      <c r="AJ160" s="151">
        <v>41778</v>
      </c>
      <c r="AK160" s="199">
        <v>5</v>
      </c>
      <c r="AL160" s="151">
        <v>41709</v>
      </c>
      <c r="BE160" s="200">
        <v>5</v>
      </c>
      <c r="BF160" s="201">
        <v>41555</v>
      </c>
      <c r="BG160" s="203">
        <v>42.2</v>
      </c>
      <c r="BH160" s="151">
        <v>41842</v>
      </c>
      <c r="BM160" s="204">
        <v>73.2</v>
      </c>
      <c r="BN160" s="151">
        <v>41842</v>
      </c>
      <c r="BQ160" s="205">
        <v>4.5</v>
      </c>
      <c r="BR160" s="151">
        <v>41842</v>
      </c>
      <c r="BS160" s="206">
        <v>48.5</v>
      </c>
      <c r="BT160" s="151">
        <v>41842</v>
      </c>
      <c r="BU160" s="207">
        <v>15.2</v>
      </c>
      <c r="BV160" s="151">
        <v>41842</v>
      </c>
      <c r="BW160" s="206">
        <v>71.2</v>
      </c>
      <c r="BX160" s="151">
        <v>41842</v>
      </c>
      <c r="BY160" s="210">
        <v>7.45</v>
      </c>
      <c r="BZ160" s="151">
        <v>41842</v>
      </c>
      <c r="CA160" s="206">
        <v>35.700000000000003</v>
      </c>
      <c r="CB160" s="151">
        <v>41842</v>
      </c>
      <c r="CC160" s="208">
        <v>6.1</v>
      </c>
      <c r="CD160" s="151">
        <v>41838</v>
      </c>
      <c r="CL160" s="209">
        <v>5</v>
      </c>
      <c r="CM160" s="201">
        <v>41810</v>
      </c>
    </row>
    <row r="161" spans="1:91" ht="15">
      <c r="A161" s="152" t="s">
        <v>7901</v>
      </c>
      <c r="B161" s="110" t="s">
        <v>235</v>
      </c>
      <c r="C161" s="110" t="s">
        <v>8081</v>
      </c>
      <c r="D161" s="110">
        <v>11316</v>
      </c>
      <c r="E161" s="111">
        <v>10</v>
      </c>
      <c r="F161" s="111">
        <v>589</v>
      </c>
      <c r="K161" s="194">
        <v>7</v>
      </c>
      <c r="L161" s="151">
        <v>41701</v>
      </c>
      <c r="M161" s="169">
        <v>4.25</v>
      </c>
      <c r="N161" s="151">
        <v>41838</v>
      </c>
      <c r="Q161" s="497"/>
      <c r="S161" s="134">
        <v>15.59</v>
      </c>
      <c r="T161" s="151">
        <v>41842</v>
      </c>
      <c r="U161" s="134">
        <v>13.5</v>
      </c>
      <c r="V161" s="151">
        <v>41838</v>
      </c>
      <c r="W161" s="196">
        <v>9</v>
      </c>
      <c r="X161" s="151">
        <v>41829</v>
      </c>
      <c r="Y161" s="134">
        <f t="shared" si="2"/>
        <v>4.8350500000000007</v>
      </c>
      <c r="AC161" s="134">
        <v>31.48</v>
      </c>
      <c r="AD161" s="151">
        <v>41838</v>
      </c>
      <c r="AE161" s="134">
        <v>32.450000000000003</v>
      </c>
      <c r="AF161" s="151">
        <v>41838</v>
      </c>
      <c r="AG161" s="197">
        <v>5.2</v>
      </c>
      <c r="AH161" s="151">
        <v>41843</v>
      </c>
      <c r="AI161" s="198">
        <v>7</v>
      </c>
      <c r="AJ161" s="151">
        <v>41778</v>
      </c>
      <c r="AK161" s="199">
        <v>5</v>
      </c>
      <c r="AL161" s="151">
        <v>41709</v>
      </c>
      <c r="BE161" s="200">
        <v>5</v>
      </c>
      <c r="BF161" s="201">
        <v>41555</v>
      </c>
      <c r="BG161" s="203">
        <v>34.299999999999997</v>
      </c>
      <c r="BH161" s="151">
        <v>41842</v>
      </c>
      <c r="BM161" s="204">
        <v>72.3</v>
      </c>
      <c r="BN161" s="151">
        <v>41842</v>
      </c>
      <c r="BQ161" s="205">
        <v>4.9000000000000004</v>
      </c>
      <c r="BR161" s="151">
        <v>41842</v>
      </c>
      <c r="BS161" s="206">
        <v>48</v>
      </c>
      <c r="BT161" s="151">
        <v>41842</v>
      </c>
      <c r="BU161" s="207">
        <v>14.9</v>
      </c>
      <c r="BV161" s="151">
        <v>41842</v>
      </c>
      <c r="BW161" s="206">
        <v>58</v>
      </c>
      <c r="BX161" s="151">
        <v>41842</v>
      </c>
      <c r="BY161" s="210">
        <v>7.38</v>
      </c>
      <c r="BZ161" s="151">
        <v>41842</v>
      </c>
      <c r="CA161" s="206">
        <v>34.6</v>
      </c>
      <c r="CB161" s="151">
        <v>41842</v>
      </c>
      <c r="CC161" s="208">
        <v>6.2</v>
      </c>
      <c r="CD161" s="151">
        <v>41838</v>
      </c>
      <c r="CL161" s="209">
        <v>5</v>
      </c>
      <c r="CM161" s="201">
        <v>41810</v>
      </c>
    </row>
    <row r="162" spans="1:91" ht="15">
      <c r="A162" s="152" t="s">
        <v>7902</v>
      </c>
      <c r="B162" s="110" t="s">
        <v>235</v>
      </c>
      <c r="C162" s="110" t="s">
        <v>8082</v>
      </c>
      <c r="D162" s="110">
        <v>11512</v>
      </c>
      <c r="E162" s="111">
        <v>4</v>
      </c>
      <c r="F162" s="111">
        <v>657</v>
      </c>
      <c r="K162" s="134">
        <v>5</v>
      </c>
      <c r="L162" s="151">
        <v>41701</v>
      </c>
      <c r="M162" s="169">
        <v>3.65</v>
      </c>
      <c r="N162" s="151">
        <v>41838</v>
      </c>
      <c r="Q162" s="497"/>
      <c r="S162" s="134">
        <v>13.18</v>
      </c>
      <c r="T162" s="151">
        <v>41842</v>
      </c>
      <c r="U162" s="134">
        <v>13.5</v>
      </c>
      <c r="V162" s="151">
        <v>41838</v>
      </c>
      <c r="W162" s="196">
        <v>1</v>
      </c>
      <c r="X162" s="151">
        <v>41829</v>
      </c>
      <c r="Y162" s="134">
        <f t="shared" si="2"/>
        <v>4.7328000000000001</v>
      </c>
      <c r="AC162" s="134">
        <v>27.04</v>
      </c>
      <c r="AD162" s="151">
        <v>41838</v>
      </c>
      <c r="AE162" s="134">
        <v>27.84</v>
      </c>
      <c r="AF162" s="151">
        <v>41838</v>
      </c>
      <c r="AG162" s="197">
        <v>5</v>
      </c>
      <c r="AH162" s="151">
        <v>41843</v>
      </c>
      <c r="AI162" s="198">
        <v>5</v>
      </c>
      <c r="AJ162" s="151">
        <v>41778</v>
      </c>
      <c r="AK162" s="199">
        <v>5</v>
      </c>
      <c r="AL162" s="151">
        <v>41709</v>
      </c>
      <c r="BE162" s="200">
        <v>5</v>
      </c>
      <c r="BF162" s="201">
        <v>41555</v>
      </c>
      <c r="BG162" s="203">
        <v>44.5</v>
      </c>
      <c r="BH162" s="151">
        <v>41842</v>
      </c>
      <c r="BM162" s="204">
        <v>71.900000000000006</v>
      </c>
      <c r="BN162" s="151">
        <v>41842</v>
      </c>
      <c r="BQ162" s="205">
        <v>4.9000000000000004</v>
      </c>
      <c r="BR162" s="151">
        <v>41842</v>
      </c>
      <c r="BS162" s="206">
        <v>47.3</v>
      </c>
      <c r="BT162" s="151">
        <v>41842</v>
      </c>
      <c r="BU162" s="207">
        <v>17</v>
      </c>
      <c r="BV162" s="151">
        <v>41842</v>
      </c>
      <c r="BW162" s="206">
        <v>86.8</v>
      </c>
      <c r="BX162" s="151">
        <v>41842</v>
      </c>
      <c r="BY162" s="210">
        <v>7.31</v>
      </c>
      <c r="BZ162" s="151">
        <v>41842</v>
      </c>
      <c r="CA162" s="206">
        <v>38.9</v>
      </c>
      <c r="CB162" s="151">
        <v>41842</v>
      </c>
      <c r="CC162" s="208">
        <v>6.3</v>
      </c>
      <c r="CD162" s="151">
        <v>41838</v>
      </c>
      <c r="CL162" s="209">
        <v>7</v>
      </c>
      <c r="CM162" s="201">
        <v>41810</v>
      </c>
    </row>
    <row r="163" spans="1:91" ht="15">
      <c r="A163" s="152" t="s">
        <v>7902</v>
      </c>
      <c r="B163" s="110" t="s">
        <v>233</v>
      </c>
      <c r="C163" s="110" t="s">
        <v>381</v>
      </c>
      <c r="D163" s="110">
        <v>11110</v>
      </c>
      <c r="E163" s="111">
        <v>5</v>
      </c>
      <c r="F163" s="111">
        <v>485</v>
      </c>
      <c r="K163" s="134">
        <v>5</v>
      </c>
      <c r="L163" s="151">
        <v>41701</v>
      </c>
      <c r="M163" s="169">
        <v>2.8</v>
      </c>
      <c r="N163" s="151">
        <v>41838</v>
      </c>
      <c r="Q163" s="497"/>
      <c r="S163" s="134">
        <v>10.25</v>
      </c>
      <c r="T163" s="151">
        <v>41842</v>
      </c>
      <c r="U163" s="134">
        <v>13.5</v>
      </c>
      <c r="V163" s="151">
        <v>41838</v>
      </c>
      <c r="W163" s="196">
        <v>1</v>
      </c>
      <c r="X163" s="151">
        <v>41829</v>
      </c>
      <c r="Y163" s="134">
        <f t="shared" si="2"/>
        <v>3.3315399999999995</v>
      </c>
      <c r="AC163" s="134">
        <v>20.74</v>
      </c>
      <c r="AD163" s="151">
        <v>41838</v>
      </c>
      <c r="AE163" s="134">
        <v>21.22</v>
      </c>
      <c r="AF163" s="151">
        <v>41838</v>
      </c>
      <c r="AG163" s="197">
        <v>5.4</v>
      </c>
      <c r="AH163" s="151">
        <v>41843</v>
      </c>
      <c r="AI163" s="198">
        <v>3</v>
      </c>
      <c r="AJ163" s="151">
        <v>41778</v>
      </c>
      <c r="AK163" s="199">
        <v>5</v>
      </c>
      <c r="AL163" s="151">
        <v>41709</v>
      </c>
      <c r="BE163" s="200">
        <v>5</v>
      </c>
      <c r="BF163" s="201">
        <v>41555</v>
      </c>
      <c r="BG163" s="203">
        <v>40.799999999999997</v>
      </c>
      <c r="BH163" s="151">
        <v>41842</v>
      </c>
      <c r="BM163" s="204">
        <v>71.2</v>
      </c>
      <c r="BN163" s="151">
        <v>41842</v>
      </c>
      <c r="BQ163" s="205">
        <v>5.2</v>
      </c>
      <c r="BR163" s="151">
        <v>41842</v>
      </c>
      <c r="BS163" s="206">
        <v>48.3</v>
      </c>
      <c r="BT163" s="151">
        <v>41842</v>
      </c>
      <c r="BU163" s="207">
        <v>15.7</v>
      </c>
      <c r="BV163" s="151">
        <v>41842</v>
      </c>
      <c r="BW163" s="206">
        <v>78.5</v>
      </c>
      <c r="BX163" s="151">
        <v>41842</v>
      </c>
      <c r="BY163" s="210">
        <v>7.13</v>
      </c>
      <c r="BZ163" s="151">
        <v>41842</v>
      </c>
      <c r="CA163" s="206">
        <v>36.799999999999997</v>
      </c>
      <c r="CB163" s="151">
        <v>41842</v>
      </c>
      <c r="CC163" s="208">
        <v>6.9</v>
      </c>
      <c r="CD163" s="151">
        <v>41838</v>
      </c>
      <c r="CL163" s="209">
        <v>7</v>
      </c>
      <c r="CM163" s="201">
        <v>41810</v>
      </c>
    </row>
    <row r="164" spans="1:91" ht="15">
      <c r="A164" s="152" t="s">
        <v>7902</v>
      </c>
      <c r="B164" s="110" t="s">
        <v>235</v>
      </c>
      <c r="C164" s="110" t="s">
        <v>8081</v>
      </c>
      <c r="D164" s="110">
        <v>11248</v>
      </c>
      <c r="E164" s="111">
        <v>8</v>
      </c>
      <c r="F164" s="111">
        <v>605</v>
      </c>
      <c r="K164" s="134">
        <v>5</v>
      </c>
      <c r="L164" s="151">
        <v>41701</v>
      </c>
      <c r="M164" s="169">
        <v>3.75</v>
      </c>
      <c r="N164" s="151">
        <v>41838</v>
      </c>
      <c r="Q164" s="497"/>
      <c r="S164" s="134">
        <v>13.34</v>
      </c>
      <c r="T164" s="151">
        <v>41842</v>
      </c>
      <c r="U164" s="134">
        <v>13.5</v>
      </c>
      <c r="V164" s="151">
        <v>41838</v>
      </c>
      <c r="W164" s="196">
        <v>1</v>
      </c>
      <c r="X164" s="151">
        <v>41829</v>
      </c>
      <c r="Y164" s="134">
        <f t="shared" si="2"/>
        <v>5.0568899999999992</v>
      </c>
      <c r="AC164" s="134">
        <v>27.78</v>
      </c>
      <c r="AD164" s="151">
        <v>41838</v>
      </c>
      <c r="AE164" s="134">
        <v>28.57</v>
      </c>
      <c r="AF164" s="151">
        <v>41838</v>
      </c>
      <c r="AG164" s="197">
        <v>5.2</v>
      </c>
      <c r="AH164" s="151">
        <v>41843</v>
      </c>
      <c r="AI164" s="198">
        <v>5</v>
      </c>
      <c r="AJ164" s="151">
        <v>41778</v>
      </c>
      <c r="AK164" s="199">
        <v>5</v>
      </c>
      <c r="AL164" s="151">
        <v>41709</v>
      </c>
      <c r="BE164" s="200">
        <v>5</v>
      </c>
      <c r="BF164" s="201">
        <v>41555</v>
      </c>
      <c r="BG164" s="203">
        <v>38.799999999999997</v>
      </c>
      <c r="BH164" s="151">
        <v>41842</v>
      </c>
      <c r="BM164" s="204">
        <v>70.5</v>
      </c>
      <c r="BN164" s="151">
        <v>41842</v>
      </c>
      <c r="BQ164" s="205">
        <v>5.2</v>
      </c>
      <c r="BR164" s="151">
        <v>41842</v>
      </c>
      <c r="BS164" s="206">
        <v>46.7</v>
      </c>
      <c r="BT164" s="151">
        <v>41842</v>
      </c>
      <c r="BU164" s="207">
        <v>17.7</v>
      </c>
      <c r="BV164" s="151">
        <v>41842</v>
      </c>
      <c r="BW164" s="206">
        <v>77.900000000000006</v>
      </c>
      <c r="BX164" s="151">
        <v>41842</v>
      </c>
      <c r="BY164" s="210">
        <v>7.18</v>
      </c>
      <c r="BZ164" s="151">
        <v>41842</v>
      </c>
      <c r="CA164" s="206">
        <v>39.9</v>
      </c>
      <c r="CB164" s="151">
        <v>41842</v>
      </c>
      <c r="CC164" s="208">
        <v>6.4</v>
      </c>
      <c r="CD164" s="151">
        <v>41838</v>
      </c>
      <c r="CL164" s="209">
        <v>7</v>
      </c>
      <c r="CM164" s="201">
        <v>41810</v>
      </c>
    </row>
    <row r="165" spans="1:91" ht="15">
      <c r="A165" s="152" t="s">
        <v>7902</v>
      </c>
      <c r="B165" s="110" t="s">
        <v>233</v>
      </c>
      <c r="C165" s="110" t="s">
        <v>8083</v>
      </c>
      <c r="D165" s="110">
        <v>11665</v>
      </c>
      <c r="E165" s="111">
        <v>8</v>
      </c>
      <c r="F165" s="111">
        <v>693</v>
      </c>
      <c r="K165" s="134">
        <v>5</v>
      </c>
      <c r="L165" s="151">
        <v>41701</v>
      </c>
      <c r="M165" s="169">
        <v>2.2999999999999998</v>
      </c>
      <c r="N165" s="151">
        <v>41838</v>
      </c>
      <c r="Q165" s="497"/>
      <c r="S165" s="134">
        <v>8.59</v>
      </c>
      <c r="T165" s="151">
        <v>41842</v>
      </c>
      <c r="U165" s="134">
        <v>13.5</v>
      </c>
      <c r="V165" s="151">
        <v>41838</v>
      </c>
      <c r="W165" s="196">
        <v>1</v>
      </c>
      <c r="X165" s="151">
        <v>41829</v>
      </c>
      <c r="Y165" s="134">
        <f t="shared" si="2"/>
        <v>2.8192000000000004</v>
      </c>
      <c r="AC165" s="134">
        <v>17.04</v>
      </c>
      <c r="AD165" s="151">
        <v>41838</v>
      </c>
      <c r="AE165" s="134">
        <v>17.62</v>
      </c>
      <c r="AF165" s="151">
        <v>41838</v>
      </c>
      <c r="AG165" s="197">
        <v>5.3</v>
      </c>
      <c r="AH165" s="151">
        <v>41843</v>
      </c>
      <c r="AI165" s="198">
        <v>5</v>
      </c>
      <c r="AJ165" s="151">
        <v>41778</v>
      </c>
      <c r="AK165" s="199">
        <v>5</v>
      </c>
      <c r="AL165" s="151">
        <v>41709</v>
      </c>
      <c r="BE165" s="200">
        <v>5</v>
      </c>
      <c r="BF165" s="201">
        <v>41555</v>
      </c>
      <c r="BG165" s="203">
        <v>43.9</v>
      </c>
      <c r="BH165" s="151">
        <v>41842</v>
      </c>
      <c r="BM165" s="204">
        <v>72.099999999999994</v>
      </c>
      <c r="BN165" s="151">
        <v>41842</v>
      </c>
      <c r="BQ165" s="205">
        <v>4.5999999999999996</v>
      </c>
      <c r="BR165" s="151">
        <v>41842</v>
      </c>
      <c r="BS165" s="206">
        <v>48.8</v>
      </c>
      <c r="BT165" s="151">
        <v>41842</v>
      </c>
      <c r="BU165" s="207">
        <v>16</v>
      </c>
      <c r="BV165" s="151">
        <v>41842</v>
      </c>
      <c r="BW165" s="206">
        <v>81.099999999999994</v>
      </c>
      <c r="BX165" s="151">
        <v>41842</v>
      </c>
      <c r="BY165" s="210">
        <v>6.98</v>
      </c>
      <c r="BZ165" s="151">
        <v>41842</v>
      </c>
      <c r="CA165" s="206">
        <v>37.9</v>
      </c>
      <c r="CB165" s="151">
        <v>41842</v>
      </c>
      <c r="CC165" s="208">
        <v>5.9</v>
      </c>
      <c r="CD165" s="151">
        <v>41838</v>
      </c>
      <c r="CL165" s="209">
        <v>7</v>
      </c>
      <c r="CM165" s="201">
        <v>41810</v>
      </c>
    </row>
    <row r="166" spans="1:91" ht="15">
      <c r="A166" s="152" t="s">
        <v>7903</v>
      </c>
      <c r="B166" s="110" t="s">
        <v>235</v>
      </c>
      <c r="C166" s="110" t="s">
        <v>8082</v>
      </c>
      <c r="D166" s="110">
        <v>11554</v>
      </c>
      <c r="E166" s="111">
        <v>5</v>
      </c>
      <c r="F166" s="111">
        <v>681</v>
      </c>
      <c r="K166" s="194">
        <v>7</v>
      </c>
      <c r="L166" s="151">
        <v>41701</v>
      </c>
      <c r="M166" s="169">
        <v>2.2999999999999998</v>
      </c>
      <c r="N166" s="151">
        <v>41838</v>
      </c>
      <c r="Q166" s="497"/>
      <c r="S166" s="134">
        <v>8.48</v>
      </c>
      <c r="T166" s="151">
        <v>41842</v>
      </c>
      <c r="U166" s="134">
        <v>13.5</v>
      </c>
      <c r="V166" s="151">
        <v>41838</v>
      </c>
      <c r="W166" s="196">
        <v>1</v>
      </c>
      <c r="X166" s="151">
        <v>41829</v>
      </c>
      <c r="Y166" s="134">
        <f t="shared" si="2"/>
        <v>2.6107200000000002</v>
      </c>
      <c r="AC166" s="134">
        <v>17.04</v>
      </c>
      <c r="AD166" s="151">
        <v>41838</v>
      </c>
      <c r="AE166" s="134">
        <v>17.64</v>
      </c>
      <c r="AF166" s="151">
        <v>41838</v>
      </c>
      <c r="AG166" s="197">
        <v>4.4000000000000004</v>
      </c>
      <c r="AH166" s="151">
        <v>41843</v>
      </c>
      <c r="AI166" s="198">
        <v>5</v>
      </c>
      <c r="AJ166" s="151">
        <v>41778</v>
      </c>
      <c r="AK166" s="199">
        <v>7</v>
      </c>
      <c r="AL166" s="151">
        <v>41709</v>
      </c>
      <c r="BE166" s="200">
        <v>7</v>
      </c>
      <c r="BF166" s="201">
        <v>41555</v>
      </c>
      <c r="BG166" s="203">
        <v>35.4</v>
      </c>
      <c r="BH166" s="151">
        <v>41842</v>
      </c>
      <c r="BM166" s="204">
        <v>69.8</v>
      </c>
      <c r="BN166" s="151">
        <v>41842</v>
      </c>
      <c r="BQ166" s="205">
        <v>5.4</v>
      </c>
      <c r="BR166" s="151">
        <v>41842</v>
      </c>
      <c r="BS166" s="206">
        <v>48.1</v>
      </c>
      <c r="BT166" s="151">
        <v>41842</v>
      </c>
      <c r="BU166" s="207">
        <v>14.8</v>
      </c>
      <c r="BV166" s="151">
        <v>41842</v>
      </c>
      <c r="BW166" s="206">
        <v>60.4</v>
      </c>
      <c r="BX166" s="151">
        <v>41842</v>
      </c>
      <c r="BY166" s="210">
        <v>7.25</v>
      </c>
      <c r="BZ166" s="151">
        <v>41842</v>
      </c>
      <c r="CA166" s="206">
        <v>34.6</v>
      </c>
      <c r="CB166" s="151">
        <v>41842</v>
      </c>
      <c r="CC166" s="208">
        <v>5.8</v>
      </c>
      <c r="CD166" s="151">
        <v>41838</v>
      </c>
      <c r="CL166" s="209">
        <v>7</v>
      </c>
      <c r="CM166" s="201">
        <v>41810</v>
      </c>
    </row>
    <row r="167" spans="1:91" ht="15">
      <c r="A167" s="152" t="s">
        <v>7903</v>
      </c>
      <c r="B167" s="110" t="s">
        <v>233</v>
      </c>
      <c r="C167" s="110" t="s">
        <v>381</v>
      </c>
      <c r="D167" s="110">
        <v>11176</v>
      </c>
      <c r="E167" s="111">
        <v>6</v>
      </c>
      <c r="F167" s="111">
        <v>605</v>
      </c>
      <c r="K167" s="134">
        <v>5</v>
      </c>
      <c r="L167" s="151">
        <v>41701</v>
      </c>
      <c r="M167" s="169">
        <v>1.8</v>
      </c>
      <c r="N167" s="151">
        <v>41838</v>
      </c>
      <c r="Q167" s="497"/>
      <c r="S167" s="134">
        <v>6.78</v>
      </c>
      <c r="T167" s="151">
        <v>41842</v>
      </c>
      <c r="U167" s="134">
        <v>13.5</v>
      </c>
      <c r="V167" s="151">
        <v>41838</v>
      </c>
      <c r="W167" s="196">
        <v>1</v>
      </c>
      <c r="X167" s="151">
        <v>41829</v>
      </c>
      <c r="Y167" s="134">
        <f t="shared" si="2"/>
        <v>2.0453600000000001</v>
      </c>
      <c r="AC167" s="134">
        <v>13.33</v>
      </c>
      <c r="AD167" s="151">
        <v>41838</v>
      </c>
      <c r="AE167" s="134">
        <v>13.82</v>
      </c>
      <c r="AF167" s="151">
        <v>41838</v>
      </c>
      <c r="AG167" s="197">
        <v>4.5</v>
      </c>
      <c r="AH167" s="151">
        <v>41843</v>
      </c>
      <c r="AI167" s="198">
        <v>1</v>
      </c>
      <c r="AJ167" s="151">
        <v>41778</v>
      </c>
      <c r="AK167" s="199">
        <v>7</v>
      </c>
      <c r="AL167" s="151">
        <v>41709</v>
      </c>
      <c r="BE167" s="200">
        <v>7</v>
      </c>
      <c r="BF167" s="201">
        <v>41555</v>
      </c>
      <c r="BG167" s="203">
        <v>36.5</v>
      </c>
      <c r="BH167" s="151">
        <v>41842</v>
      </c>
      <c r="BM167" s="204">
        <v>70.7</v>
      </c>
      <c r="BN167" s="151">
        <v>41842</v>
      </c>
      <c r="BQ167" s="205">
        <v>5</v>
      </c>
      <c r="BR167" s="151">
        <v>41842</v>
      </c>
      <c r="BS167" s="206">
        <v>49</v>
      </c>
      <c r="BT167" s="151">
        <v>41842</v>
      </c>
      <c r="BU167" s="207">
        <v>14.8</v>
      </c>
      <c r="BV167" s="151">
        <v>41842</v>
      </c>
      <c r="BW167" s="206">
        <v>60.8</v>
      </c>
      <c r="BX167" s="151">
        <v>41842</v>
      </c>
      <c r="BY167" s="210">
        <v>7.04</v>
      </c>
      <c r="BZ167" s="151">
        <v>41842</v>
      </c>
      <c r="CA167" s="206">
        <v>35.4</v>
      </c>
      <c r="CB167" s="151">
        <v>41842</v>
      </c>
      <c r="CC167" s="208">
        <v>5.7</v>
      </c>
      <c r="CD167" s="151">
        <v>41838</v>
      </c>
      <c r="CL167" s="209">
        <v>7</v>
      </c>
      <c r="CM167" s="201">
        <v>41810</v>
      </c>
    </row>
    <row r="168" spans="1:91" ht="15">
      <c r="A168" s="152" t="s">
        <v>7903</v>
      </c>
      <c r="B168" s="110" t="s">
        <v>233</v>
      </c>
      <c r="C168" s="110" t="s">
        <v>8083</v>
      </c>
      <c r="D168" s="110">
        <v>11711</v>
      </c>
      <c r="E168" s="111">
        <v>9</v>
      </c>
      <c r="F168" s="111">
        <v>733</v>
      </c>
      <c r="K168" s="134">
        <v>5</v>
      </c>
      <c r="L168" s="151">
        <v>41701</v>
      </c>
      <c r="M168" s="169">
        <v>1.9</v>
      </c>
      <c r="N168" s="151">
        <v>41838</v>
      </c>
      <c r="Q168" s="497"/>
      <c r="S168" s="134">
        <v>7.03</v>
      </c>
      <c r="T168" s="151">
        <v>41842</v>
      </c>
      <c r="U168" s="134">
        <v>13.5</v>
      </c>
      <c r="V168" s="151">
        <v>41838</v>
      </c>
      <c r="W168" s="196">
        <v>1</v>
      </c>
      <c r="X168" s="151">
        <v>41829</v>
      </c>
      <c r="Y168" s="134">
        <f t="shared" si="2"/>
        <v>2.0749300000000002</v>
      </c>
      <c r="AC168" s="134">
        <v>14.07</v>
      </c>
      <c r="AD168" s="151">
        <v>41838</v>
      </c>
      <c r="AE168" s="134">
        <v>14.51</v>
      </c>
      <c r="AF168" s="151">
        <v>41838</v>
      </c>
      <c r="AG168" s="197">
        <v>4</v>
      </c>
      <c r="AH168" s="151">
        <v>41843</v>
      </c>
      <c r="AI168" s="198">
        <v>3</v>
      </c>
      <c r="AJ168" s="151">
        <v>41778</v>
      </c>
      <c r="AK168" s="199">
        <v>7</v>
      </c>
      <c r="AL168" s="151">
        <v>41709</v>
      </c>
      <c r="BE168" s="200">
        <v>7</v>
      </c>
      <c r="BF168" s="201">
        <v>41555</v>
      </c>
      <c r="BG168" s="203">
        <v>37.299999999999997</v>
      </c>
      <c r="BH168" s="151">
        <v>41842</v>
      </c>
      <c r="BM168" s="204">
        <v>70.099999999999994</v>
      </c>
      <c r="BN168" s="151">
        <v>41842</v>
      </c>
      <c r="BQ168" s="205">
        <v>4.7</v>
      </c>
      <c r="BR168" s="151">
        <v>41842</v>
      </c>
      <c r="BS168" s="206">
        <v>48.4</v>
      </c>
      <c r="BT168" s="151">
        <v>41842</v>
      </c>
      <c r="BU168" s="207">
        <v>14.3</v>
      </c>
      <c r="BV168" s="151">
        <v>41842</v>
      </c>
      <c r="BW168" s="206">
        <v>61.3</v>
      </c>
      <c r="BX168" s="151">
        <v>41842</v>
      </c>
      <c r="BY168" s="210">
        <v>7.55</v>
      </c>
      <c r="BZ168" s="151">
        <v>41842</v>
      </c>
      <c r="CA168" s="206">
        <v>33.6</v>
      </c>
      <c r="CB168" s="151">
        <v>41842</v>
      </c>
      <c r="CC168" s="208">
        <v>6.2</v>
      </c>
      <c r="CD168" s="151">
        <v>41838</v>
      </c>
      <c r="CL168" s="209">
        <v>5</v>
      </c>
      <c r="CM168" s="201">
        <v>41810</v>
      </c>
    </row>
    <row r="169" spans="1:91" ht="15">
      <c r="A169" s="152" t="s">
        <v>7903</v>
      </c>
      <c r="B169" s="110" t="s">
        <v>235</v>
      </c>
      <c r="C169" s="110" t="s">
        <v>8081</v>
      </c>
      <c r="D169" s="110">
        <v>11341</v>
      </c>
      <c r="E169" s="111">
        <v>11</v>
      </c>
      <c r="F169" s="111">
        <v>545</v>
      </c>
      <c r="K169" s="134">
        <v>5</v>
      </c>
      <c r="L169" s="151">
        <v>41701</v>
      </c>
      <c r="M169" s="169">
        <v>2.4500000000000002</v>
      </c>
      <c r="N169" s="151">
        <v>41838</v>
      </c>
      <c r="Q169" s="497"/>
      <c r="S169" s="134">
        <v>9.2100000000000009</v>
      </c>
      <c r="T169" s="151">
        <v>41842</v>
      </c>
      <c r="U169" s="134">
        <v>13.5</v>
      </c>
      <c r="V169" s="151">
        <v>41838</v>
      </c>
      <c r="W169" s="196">
        <v>1</v>
      </c>
      <c r="X169" s="151">
        <v>41829</v>
      </c>
      <c r="Y169" s="134">
        <f t="shared" si="2"/>
        <v>2.7361500000000003</v>
      </c>
      <c r="AC169" s="134">
        <v>18.149999999999999</v>
      </c>
      <c r="AD169" s="151">
        <v>41838</v>
      </c>
      <c r="AE169" s="134">
        <v>18.87</v>
      </c>
      <c r="AF169" s="151">
        <v>41838</v>
      </c>
      <c r="AG169" s="197">
        <v>4.0999999999999996</v>
      </c>
      <c r="AH169" s="151">
        <v>41843</v>
      </c>
      <c r="AI169" s="198">
        <v>5</v>
      </c>
      <c r="AJ169" s="151">
        <v>41778</v>
      </c>
      <c r="AK169" s="199">
        <v>7</v>
      </c>
      <c r="AL169" s="151">
        <v>41709</v>
      </c>
      <c r="BE169" s="200">
        <v>7</v>
      </c>
      <c r="BF169" s="201">
        <v>41555</v>
      </c>
      <c r="BG169" s="203">
        <v>35.200000000000003</v>
      </c>
      <c r="BH169" s="151">
        <v>41842</v>
      </c>
      <c r="BM169" s="204">
        <v>71</v>
      </c>
      <c r="BN169" s="151">
        <v>41842</v>
      </c>
      <c r="BQ169" s="205">
        <v>4.9000000000000004</v>
      </c>
      <c r="BR169" s="151">
        <v>41842</v>
      </c>
      <c r="BS169" s="206">
        <v>48.8</v>
      </c>
      <c r="BT169" s="151">
        <v>41842</v>
      </c>
      <c r="BU169" s="207">
        <v>14.5</v>
      </c>
      <c r="BV169" s="151">
        <v>41842</v>
      </c>
      <c r="BW169" s="206">
        <v>55.4</v>
      </c>
      <c r="BX169" s="151">
        <v>41842</v>
      </c>
      <c r="BY169" s="210">
        <v>7.08</v>
      </c>
      <c r="BZ169" s="151">
        <v>41842</v>
      </c>
      <c r="CA169" s="206">
        <v>34.200000000000003</v>
      </c>
      <c r="CB169" s="151">
        <v>41842</v>
      </c>
      <c r="CC169" s="208">
        <v>5.4</v>
      </c>
      <c r="CD169" s="151">
        <v>41838</v>
      </c>
      <c r="CL169" s="209">
        <v>5</v>
      </c>
      <c r="CM169" s="201">
        <v>41810</v>
      </c>
    </row>
    <row r="170" spans="1:91" ht="15">
      <c r="A170" s="152" t="s">
        <v>7904</v>
      </c>
      <c r="B170" s="110" t="s">
        <v>233</v>
      </c>
      <c r="C170" s="110" t="s">
        <v>381</v>
      </c>
      <c r="D170" s="110">
        <v>10991</v>
      </c>
      <c r="E170" s="111">
        <v>1</v>
      </c>
      <c r="F170" s="111">
        <v>585</v>
      </c>
      <c r="I170" s="373"/>
      <c r="K170" s="194">
        <v>5</v>
      </c>
      <c r="L170" s="151">
        <v>41701</v>
      </c>
      <c r="M170" s="169">
        <v>4.4000000000000004</v>
      </c>
      <c r="N170" s="151">
        <v>41838</v>
      </c>
      <c r="Q170" s="497"/>
      <c r="S170" s="134">
        <v>17.91</v>
      </c>
      <c r="T170" s="151">
        <v>41842</v>
      </c>
      <c r="U170" s="194">
        <v>13.5</v>
      </c>
      <c r="V170" s="151">
        <v>41838</v>
      </c>
      <c r="W170" s="196">
        <v>1</v>
      </c>
      <c r="X170" s="151">
        <v>41829</v>
      </c>
      <c r="Y170" s="134">
        <f t="shared" si="2"/>
        <v>4.3861999999999997</v>
      </c>
      <c r="AA170" s="194"/>
      <c r="AC170" s="194">
        <v>32.590000000000003</v>
      </c>
      <c r="AD170" s="151">
        <v>41838</v>
      </c>
      <c r="AE170" s="137">
        <v>33.74</v>
      </c>
      <c r="AF170" s="151">
        <v>41838</v>
      </c>
      <c r="AG170" s="197">
        <v>5</v>
      </c>
      <c r="AH170" s="151">
        <v>41843</v>
      </c>
      <c r="AI170" s="198">
        <v>5</v>
      </c>
      <c r="AJ170" s="151">
        <v>41778</v>
      </c>
      <c r="AK170" s="199">
        <v>5</v>
      </c>
      <c r="AL170" s="151">
        <v>41709</v>
      </c>
      <c r="AM170" s="194"/>
      <c r="BE170" s="200">
        <v>5</v>
      </c>
      <c r="BF170" s="201">
        <v>41555</v>
      </c>
      <c r="BG170" s="203">
        <v>44.6</v>
      </c>
      <c r="BH170" s="151">
        <v>41842</v>
      </c>
      <c r="BM170" s="204">
        <v>74.7</v>
      </c>
      <c r="BN170" s="151">
        <v>41842</v>
      </c>
      <c r="BQ170" s="205">
        <v>3.6</v>
      </c>
      <c r="BR170" s="151">
        <v>41842</v>
      </c>
      <c r="BS170" s="206">
        <v>53.1</v>
      </c>
      <c r="BT170" s="151">
        <v>41842</v>
      </c>
      <c r="BU170" s="207">
        <v>13</v>
      </c>
      <c r="BV170" s="151">
        <v>41842</v>
      </c>
      <c r="BW170" s="206">
        <v>14.7</v>
      </c>
      <c r="BX170" s="151">
        <v>41842</v>
      </c>
      <c r="BY170" s="210">
        <v>6.64</v>
      </c>
      <c r="BZ170" s="151">
        <v>41842</v>
      </c>
      <c r="CA170" s="206">
        <v>34.200000000000003</v>
      </c>
      <c r="CB170" s="151">
        <v>41842</v>
      </c>
      <c r="CC170" s="208">
        <v>5.8</v>
      </c>
      <c r="CD170" s="151">
        <v>41838</v>
      </c>
      <c r="CL170" s="209">
        <v>5</v>
      </c>
      <c r="CM170" s="201">
        <v>41810</v>
      </c>
    </row>
    <row r="171" spans="1:91" ht="15">
      <c r="A171" s="152" t="s">
        <v>7904</v>
      </c>
      <c r="B171" s="110" t="s">
        <v>235</v>
      </c>
      <c r="C171" s="110" t="s">
        <v>8082</v>
      </c>
      <c r="D171" s="110">
        <v>11544</v>
      </c>
      <c r="E171" s="111">
        <v>5</v>
      </c>
      <c r="F171" s="111">
        <v>641</v>
      </c>
      <c r="K171" s="134">
        <v>5</v>
      </c>
      <c r="L171" s="151">
        <v>41701</v>
      </c>
      <c r="M171" s="169">
        <v>5.7</v>
      </c>
      <c r="N171" s="151">
        <v>41838</v>
      </c>
      <c r="Q171" s="497"/>
      <c r="S171" s="134">
        <v>22.58</v>
      </c>
      <c r="T171" s="151">
        <v>41842</v>
      </c>
      <c r="U171" s="134">
        <v>13.5</v>
      </c>
      <c r="V171" s="151">
        <v>41838</v>
      </c>
      <c r="W171" s="196">
        <v>1</v>
      </c>
      <c r="X171" s="151">
        <v>41829</v>
      </c>
      <c r="Y171" s="134">
        <f t="shared" si="2"/>
        <v>6.3582500000000008</v>
      </c>
      <c r="AC171" s="134">
        <v>42.22</v>
      </c>
      <c r="AD171" s="151">
        <v>41838</v>
      </c>
      <c r="AE171" s="134">
        <v>43.85</v>
      </c>
      <c r="AF171" s="151">
        <v>41838</v>
      </c>
      <c r="AG171" s="197">
        <v>4.9000000000000004</v>
      </c>
      <c r="AH171" s="151">
        <v>41843</v>
      </c>
      <c r="AI171" s="198">
        <v>5</v>
      </c>
      <c r="AJ171" s="151">
        <v>41778</v>
      </c>
      <c r="AK171" s="199">
        <v>5</v>
      </c>
      <c r="AL171" s="151">
        <v>41709</v>
      </c>
      <c r="BE171" s="200">
        <v>5</v>
      </c>
      <c r="BF171" s="201">
        <v>41555</v>
      </c>
      <c r="BG171" s="203">
        <v>40.4</v>
      </c>
      <c r="BH171" s="151">
        <v>41842</v>
      </c>
      <c r="BM171" s="204">
        <v>73</v>
      </c>
      <c r="BN171" s="151">
        <v>41842</v>
      </c>
      <c r="BQ171" s="205">
        <v>4.5999999999999996</v>
      </c>
      <c r="BR171" s="151">
        <v>41842</v>
      </c>
      <c r="BS171" s="206">
        <v>51.5</v>
      </c>
      <c r="BT171" s="151">
        <v>41842</v>
      </c>
      <c r="BU171" s="207">
        <v>14.5</v>
      </c>
      <c r="BV171" s="151">
        <v>41842</v>
      </c>
      <c r="BW171" s="206">
        <v>12.2</v>
      </c>
      <c r="BX171" s="151">
        <v>41842</v>
      </c>
      <c r="BY171" s="210">
        <v>6.9</v>
      </c>
      <c r="BZ171" s="151">
        <v>41842</v>
      </c>
      <c r="CA171" s="206">
        <v>36.700000000000003</v>
      </c>
      <c r="CB171" s="151">
        <v>41842</v>
      </c>
      <c r="CC171" s="208">
        <v>5.5</v>
      </c>
      <c r="CD171" s="151">
        <v>41838</v>
      </c>
      <c r="CL171" s="209">
        <v>3</v>
      </c>
      <c r="CM171" s="201">
        <v>41810</v>
      </c>
    </row>
    <row r="172" spans="1:91" ht="15">
      <c r="A172" s="152" t="s">
        <v>7904</v>
      </c>
      <c r="B172" s="110" t="s">
        <v>233</v>
      </c>
      <c r="C172" s="110" t="s">
        <v>8083</v>
      </c>
      <c r="D172" s="110">
        <v>11695</v>
      </c>
      <c r="E172" s="111">
        <v>9</v>
      </c>
      <c r="F172" s="111">
        <v>669</v>
      </c>
      <c r="K172" s="134">
        <v>5</v>
      </c>
      <c r="L172" s="151">
        <v>41701</v>
      </c>
      <c r="M172" s="169">
        <v>4.0999999999999996</v>
      </c>
      <c r="N172" s="151">
        <v>41838</v>
      </c>
      <c r="Q172" s="497"/>
      <c r="S172" s="134">
        <v>16.43</v>
      </c>
      <c r="T172" s="151">
        <v>41842</v>
      </c>
      <c r="U172" s="134">
        <v>13.5</v>
      </c>
      <c r="V172" s="151">
        <v>41838</v>
      </c>
      <c r="W172" s="196">
        <v>9</v>
      </c>
      <c r="X172" s="151">
        <v>41829</v>
      </c>
      <c r="Y172" s="134">
        <f t="shared" si="2"/>
        <v>4.2169799999999995</v>
      </c>
      <c r="AC172" s="134">
        <v>30.37</v>
      </c>
      <c r="AD172" s="151">
        <v>41838</v>
      </c>
      <c r="AE172" s="134">
        <v>31.47</v>
      </c>
      <c r="AF172" s="151">
        <v>41838</v>
      </c>
      <c r="AG172" s="197">
        <v>5.0999999999999996</v>
      </c>
      <c r="AH172" s="151">
        <v>41843</v>
      </c>
      <c r="AI172" s="198">
        <v>7</v>
      </c>
      <c r="AJ172" s="151">
        <v>41778</v>
      </c>
      <c r="AK172" s="199">
        <v>5</v>
      </c>
      <c r="AL172" s="151">
        <v>41709</v>
      </c>
      <c r="BE172" s="200">
        <v>5</v>
      </c>
      <c r="BF172" s="201">
        <v>41555</v>
      </c>
      <c r="BG172" s="203">
        <v>42.3</v>
      </c>
      <c r="BH172" s="151">
        <v>41842</v>
      </c>
      <c r="BM172" s="204">
        <v>75.7</v>
      </c>
      <c r="BN172" s="151">
        <v>41842</v>
      </c>
      <c r="BQ172" s="205">
        <v>3.1</v>
      </c>
      <c r="BR172" s="151">
        <v>41842</v>
      </c>
      <c r="BS172" s="206">
        <v>52.2</v>
      </c>
      <c r="BT172" s="151">
        <v>41842</v>
      </c>
      <c r="BU172" s="207">
        <v>13.4</v>
      </c>
      <c r="BV172" s="151">
        <v>41842</v>
      </c>
      <c r="BW172" s="206">
        <v>24.1</v>
      </c>
      <c r="BX172" s="151">
        <v>41842</v>
      </c>
      <c r="BY172" s="210">
        <v>6.92</v>
      </c>
      <c r="BZ172" s="151">
        <v>41842</v>
      </c>
      <c r="CA172" s="206">
        <v>34.5</v>
      </c>
      <c r="CB172" s="151">
        <v>41842</v>
      </c>
      <c r="CC172" s="208">
        <v>5.7</v>
      </c>
      <c r="CD172" s="151">
        <v>41838</v>
      </c>
      <c r="CL172" s="209">
        <v>3</v>
      </c>
      <c r="CM172" s="201">
        <v>41810</v>
      </c>
    </row>
    <row r="173" spans="1:91" ht="15">
      <c r="A173" s="152" t="s">
        <v>7904</v>
      </c>
      <c r="B173" s="110" t="s">
        <v>235</v>
      </c>
      <c r="C173" s="110" t="s">
        <v>8081</v>
      </c>
      <c r="D173" s="110">
        <v>11298</v>
      </c>
      <c r="E173" s="111">
        <v>10</v>
      </c>
      <c r="F173" s="111">
        <v>517</v>
      </c>
      <c r="K173" s="194">
        <v>7</v>
      </c>
      <c r="L173" s="151">
        <v>41701</v>
      </c>
      <c r="M173" s="169">
        <v>5</v>
      </c>
      <c r="N173" s="151">
        <v>41838</v>
      </c>
      <c r="Q173" s="497"/>
      <c r="S173" s="134">
        <v>20.5</v>
      </c>
      <c r="T173" s="151">
        <v>41842</v>
      </c>
      <c r="U173" s="134">
        <v>13.5</v>
      </c>
      <c r="V173" s="151">
        <v>41838</v>
      </c>
      <c r="W173" s="196">
        <v>9</v>
      </c>
      <c r="X173" s="151">
        <v>41829</v>
      </c>
      <c r="Y173" s="134">
        <f t="shared" si="2"/>
        <v>4.9126400000000006</v>
      </c>
      <c r="AC173" s="134">
        <v>37.04</v>
      </c>
      <c r="AD173" s="151">
        <v>41838</v>
      </c>
      <c r="AE173" s="134">
        <v>38.380000000000003</v>
      </c>
      <c r="AF173" s="151">
        <v>41838</v>
      </c>
      <c r="AG173" s="197">
        <v>4.9000000000000004</v>
      </c>
      <c r="AH173" s="151">
        <v>41843</v>
      </c>
      <c r="AI173" s="198">
        <v>5</v>
      </c>
      <c r="AJ173" s="151">
        <v>41778</v>
      </c>
      <c r="AK173" s="199">
        <v>5</v>
      </c>
      <c r="AL173" s="151">
        <v>41709</v>
      </c>
      <c r="BE173" s="200">
        <v>5</v>
      </c>
      <c r="BF173" s="201">
        <v>41555</v>
      </c>
      <c r="BG173" s="203">
        <v>44.5</v>
      </c>
      <c r="BH173" s="151">
        <v>41842</v>
      </c>
      <c r="BM173" s="204">
        <v>76.099999999999994</v>
      </c>
      <c r="BN173" s="151">
        <v>41842</v>
      </c>
      <c r="BQ173" s="205">
        <v>2.9</v>
      </c>
      <c r="BR173" s="151">
        <v>41842</v>
      </c>
      <c r="BS173" s="206">
        <v>53.4</v>
      </c>
      <c r="BT173" s="151">
        <v>41842</v>
      </c>
      <c r="BU173" s="207">
        <v>12.8</v>
      </c>
      <c r="BV173" s="151">
        <v>41842</v>
      </c>
      <c r="BW173" s="206">
        <v>10.9</v>
      </c>
      <c r="BX173" s="151">
        <v>41842</v>
      </c>
      <c r="BY173" s="210">
        <v>6.58</v>
      </c>
      <c r="BZ173" s="151">
        <v>41842</v>
      </c>
      <c r="CA173" s="206">
        <v>34.200000000000003</v>
      </c>
      <c r="CB173" s="151">
        <v>41842</v>
      </c>
      <c r="CC173" s="208">
        <v>5.7</v>
      </c>
      <c r="CD173" s="151">
        <v>41838</v>
      </c>
      <c r="CL173" s="209">
        <v>3</v>
      </c>
      <c r="CM173" s="201">
        <v>41810</v>
      </c>
    </row>
    <row r="174" spans="1:91" ht="15">
      <c r="A174" s="152" t="s">
        <v>7905</v>
      </c>
      <c r="B174" s="110" t="s">
        <v>233</v>
      </c>
      <c r="C174" s="110" t="s">
        <v>381</v>
      </c>
      <c r="D174" s="110">
        <v>11045</v>
      </c>
      <c r="E174" s="111">
        <v>3</v>
      </c>
      <c r="F174" s="111">
        <v>513</v>
      </c>
      <c r="K174" s="134">
        <v>5</v>
      </c>
      <c r="L174" s="151">
        <v>41701</v>
      </c>
      <c r="M174" s="169">
        <v>3.85</v>
      </c>
      <c r="N174" s="151">
        <v>41838</v>
      </c>
      <c r="Q174" s="497"/>
      <c r="S174" s="134">
        <v>15.28</v>
      </c>
      <c r="T174" s="151">
        <v>41842</v>
      </c>
      <c r="U174" s="134">
        <v>13.5</v>
      </c>
      <c r="V174" s="151">
        <v>41838</v>
      </c>
      <c r="W174" s="196">
        <v>9</v>
      </c>
      <c r="X174" s="151">
        <v>41829</v>
      </c>
      <c r="Y174" s="134">
        <f t="shared" si="2"/>
        <v>4.1453999999999995</v>
      </c>
      <c r="AC174" s="134">
        <v>28.52</v>
      </c>
      <c r="AD174" s="151">
        <v>41838</v>
      </c>
      <c r="AE174" s="134">
        <v>29.4</v>
      </c>
      <c r="AF174" s="151">
        <v>41838</v>
      </c>
      <c r="AG174" s="197">
        <v>4.9000000000000004</v>
      </c>
      <c r="AH174" s="151">
        <v>41843</v>
      </c>
      <c r="AI174" s="198">
        <v>5</v>
      </c>
      <c r="AJ174" s="151">
        <v>41778</v>
      </c>
      <c r="AK174" s="199">
        <v>4</v>
      </c>
      <c r="AL174" s="151">
        <v>41709</v>
      </c>
      <c r="BE174" s="200">
        <v>4</v>
      </c>
      <c r="BF174" s="201">
        <v>41555</v>
      </c>
      <c r="BG174" s="203">
        <v>41</v>
      </c>
      <c r="BH174" s="151">
        <v>41842</v>
      </c>
      <c r="BM174" s="204">
        <v>72.3</v>
      </c>
      <c r="BN174" s="151">
        <v>41842</v>
      </c>
      <c r="BQ174" s="205">
        <v>4.4000000000000004</v>
      </c>
      <c r="BR174" s="151">
        <v>41842</v>
      </c>
      <c r="BS174" s="206">
        <v>52</v>
      </c>
      <c r="BT174" s="151">
        <v>41842</v>
      </c>
      <c r="BU174" s="207">
        <v>14.1</v>
      </c>
      <c r="BV174" s="151">
        <v>41842</v>
      </c>
      <c r="BW174" s="206">
        <v>56.4</v>
      </c>
      <c r="BX174" s="151">
        <v>41842</v>
      </c>
      <c r="BY174" s="210">
        <v>6.33</v>
      </c>
      <c r="BZ174" s="151">
        <v>41842</v>
      </c>
      <c r="CA174" s="206">
        <v>36.200000000000003</v>
      </c>
      <c r="CB174" s="151">
        <v>41842</v>
      </c>
      <c r="CC174" s="208">
        <v>6.2</v>
      </c>
      <c r="CD174" s="151">
        <v>41838</v>
      </c>
      <c r="CL174" s="209">
        <v>5</v>
      </c>
      <c r="CM174" s="201">
        <v>41810</v>
      </c>
    </row>
    <row r="175" spans="1:91" ht="15">
      <c r="A175" s="152" t="s">
        <v>7905</v>
      </c>
      <c r="B175" s="110" t="s">
        <v>235</v>
      </c>
      <c r="C175" s="110" t="s">
        <v>8082</v>
      </c>
      <c r="D175" s="110">
        <v>11519</v>
      </c>
      <c r="E175" s="111">
        <v>4</v>
      </c>
      <c r="F175" s="111">
        <v>685</v>
      </c>
      <c r="K175" s="134">
        <v>5</v>
      </c>
      <c r="L175" s="151">
        <v>41701</v>
      </c>
      <c r="M175" s="169">
        <v>4.6500000000000004</v>
      </c>
      <c r="N175" s="151">
        <v>41838</v>
      </c>
      <c r="Q175" s="497"/>
      <c r="S175" s="134">
        <v>18.84</v>
      </c>
      <c r="T175" s="151">
        <v>41842</v>
      </c>
      <c r="U175" s="134">
        <v>13.5</v>
      </c>
      <c r="V175" s="151">
        <v>41838</v>
      </c>
      <c r="W175" s="196">
        <v>1</v>
      </c>
      <c r="X175" s="151">
        <v>41829</v>
      </c>
      <c r="Y175" s="134">
        <f t="shared" si="2"/>
        <v>4.7574100000000001</v>
      </c>
      <c r="AC175" s="134">
        <v>34.44</v>
      </c>
      <c r="AD175" s="151">
        <v>41838</v>
      </c>
      <c r="AE175" s="134">
        <v>35.770000000000003</v>
      </c>
      <c r="AF175" s="151">
        <v>41838</v>
      </c>
      <c r="AG175" s="197">
        <v>4.9000000000000004</v>
      </c>
      <c r="AH175" s="151">
        <v>41843</v>
      </c>
      <c r="AI175" s="198">
        <v>7</v>
      </c>
      <c r="AJ175" s="151">
        <v>41778</v>
      </c>
      <c r="AK175" s="199">
        <v>4</v>
      </c>
      <c r="AL175" s="151">
        <v>41709</v>
      </c>
      <c r="BE175" s="200">
        <v>4</v>
      </c>
      <c r="BF175" s="201">
        <v>41555</v>
      </c>
      <c r="BG175" s="203">
        <v>43.4</v>
      </c>
      <c r="BH175" s="151">
        <v>41842</v>
      </c>
      <c r="BM175" s="204">
        <v>73.599999999999994</v>
      </c>
      <c r="BN175" s="151">
        <v>41842</v>
      </c>
      <c r="BQ175" s="205">
        <v>2.8</v>
      </c>
      <c r="BR175" s="151">
        <v>41842</v>
      </c>
      <c r="BS175" s="206">
        <v>52.7</v>
      </c>
      <c r="BT175" s="151">
        <v>41842</v>
      </c>
      <c r="BU175" s="207">
        <v>13.3</v>
      </c>
      <c r="BV175" s="151">
        <v>41842</v>
      </c>
      <c r="BW175" s="206">
        <v>49.5</v>
      </c>
      <c r="BX175" s="151">
        <v>41842</v>
      </c>
      <c r="BY175" s="210">
        <v>6.3</v>
      </c>
      <c r="BZ175" s="151">
        <v>41842</v>
      </c>
      <c r="CA175" s="206">
        <v>34.6</v>
      </c>
      <c r="CB175" s="151">
        <v>41842</v>
      </c>
      <c r="CC175" s="208">
        <v>5.5</v>
      </c>
      <c r="CD175" s="151">
        <v>41838</v>
      </c>
      <c r="CL175" s="209">
        <v>5</v>
      </c>
      <c r="CM175" s="201">
        <v>41810</v>
      </c>
    </row>
    <row r="176" spans="1:91" ht="15">
      <c r="A176" s="152" t="s">
        <v>7905</v>
      </c>
      <c r="B176" s="110" t="s">
        <v>235</v>
      </c>
      <c r="C176" s="110" t="s">
        <v>8081</v>
      </c>
      <c r="D176" s="110">
        <v>11186</v>
      </c>
      <c r="E176" s="111">
        <v>7</v>
      </c>
      <c r="F176" s="111">
        <v>501</v>
      </c>
      <c r="K176" s="134">
        <v>5</v>
      </c>
      <c r="L176" s="151">
        <v>41701</v>
      </c>
      <c r="M176" s="169">
        <v>4.75</v>
      </c>
      <c r="N176" s="151">
        <v>41838</v>
      </c>
      <c r="Q176" s="497"/>
      <c r="S176" s="134">
        <v>18.77</v>
      </c>
      <c r="T176" s="151">
        <v>41842</v>
      </c>
      <c r="U176" s="134">
        <v>13.5</v>
      </c>
      <c r="V176" s="151">
        <v>41838</v>
      </c>
      <c r="W176" s="196">
        <v>9</v>
      </c>
      <c r="X176" s="151">
        <v>41829</v>
      </c>
      <c r="Y176" s="134">
        <f t="shared" si="2"/>
        <v>5.3434500000000007</v>
      </c>
      <c r="AC176" s="134">
        <v>35.19</v>
      </c>
      <c r="AD176" s="151">
        <v>41838</v>
      </c>
      <c r="AE176" s="134">
        <v>36.35</v>
      </c>
      <c r="AF176" s="151">
        <v>41838</v>
      </c>
      <c r="AG176" s="197">
        <v>4.8</v>
      </c>
      <c r="AH176" s="151">
        <v>41843</v>
      </c>
      <c r="AI176" s="198">
        <v>7</v>
      </c>
      <c r="AJ176" s="151">
        <v>41778</v>
      </c>
      <c r="AK176" s="199">
        <v>5</v>
      </c>
      <c r="AL176" s="151">
        <v>41709</v>
      </c>
      <c r="BE176" s="200">
        <v>5</v>
      </c>
      <c r="BF176" s="201">
        <v>41555</v>
      </c>
      <c r="BG176" s="203">
        <v>44.7</v>
      </c>
      <c r="BH176" s="151">
        <v>41842</v>
      </c>
      <c r="BM176" s="204">
        <v>72.5</v>
      </c>
      <c r="BN176" s="151">
        <v>41842</v>
      </c>
      <c r="BQ176" s="205">
        <v>3.5</v>
      </c>
      <c r="BR176" s="151">
        <v>41842</v>
      </c>
      <c r="BS176" s="206">
        <v>51.7</v>
      </c>
      <c r="BT176" s="151">
        <v>41842</v>
      </c>
      <c r="BU176" s="207">
        <v>14.7</v>
      </c>
      <c r="BV176" s="151">
        <v>41842</v>
      </c>
      <c r="BW176" s="206">
        <v>51.4</v>
      </c>
      <c r="BX176" s="151">
        <v>41842</v>
      </c>
      <c r="BY176" s="210">
        <v>6.55</v>
      </c>
      <c r="BZ176" s="151">
        <v>41842</v>
      </c>
      <c r="CA176" s="206">
        <v>37.299999999999997</v>
      </c>
      <c r="CB176" s="151">
        <v>41842</v>
      </c>
      <c r="CC176" s="208">
        <v>6</v>
      </c>
      <c r="CD176" s="151">
        <v>41838</v>
      </c>
      <c r="CL176" s="209">
        <v>5</v>
      </c>
      <c r="CM176" s="201">
        <v>41810</v>
      </c>
    </row>
    <row r="177" spans="1:91" ht="15">
      <c r="A177" s="152" t="s">
        <v>7905</v>
      </c>
      <c r="B177" s="110" t="s">
        <v>233</v>
      </c>
      <c r="C177" s="110" t="s">
        <v>8083</v>
      </c>
      <c r="D177" s="110">
        <v>11708</v>
      </c>
      <c r="E177" s="111">
        <v>9</v>
      </c>
      <c r="F177" s="111">
        <v>721</v>
      </c>
      <c r="K177" s="191">
        <v>3</v>
      </c>
      <c r="L177" s="151">
        <v>41701</v>
      </c>
      <c r="M177" s="169">
        <v>3.6</v>
      </c>
      <c r="N177" s="151">
        <v>41838</v>
      </c>
      <c r="Q177" s="497"/>
      <c r="S177" s="134">
        <v>14.53</v>
      </c>
      <c r="T177" s="151">
        <v>41842</v>
      </c>
      <c r="U177" s="134">
        <v>13.5</v>
      </c>
      <c r="V177" s="151">
        <v>41838</v>
      </c>
      <c r="W177" s="196">
        <v>9</v>
      </c>
      <c r="X177" s="151">
        <v>41829</v>
      </c>
      <c r="Y177" s="134">
        <f t="shared" si="2"/>
        <v>3.53024</v>
      </c>
      <c r="AC177" s="134">
        <v>26.67</v>
      </c>
      <c r="AD177" s="151">
        <v>41838</v>
      </c>
      <c r="AE177" s="134">
        <v>27.58</v>
      </c>
      <c r="AF177" s="151">
        <v>41838</v>
      </c>
      <c r="AG177" s="197">
        <v>5.0999999999999996</v>
      </c>
      <c r="AH177" s="151">
        <v>41843</v>
      </c>
      <c r="AI177" s="198">
        <v>5</v>
      </c>
      <c r="AJ177" s="151">
        <v>41778</v>
      </c>
      <c r="AK177" s="199">
        <v>4</v>
      </c>
      <c r="AL177" s="151">
        <v>41709</v>
      </c>
      <c r="BE177" s="200">
        <v>4</v>
      </c>
      <c r="BF177" s="201">
        <v>41555</v>
      </c>
      <c r="BG177" s="203">
        <v>32</v>
      </c>
      <c r="BH177" s="151">
        <v>41842</v>
      </c>
      <c r="BM177" s="204">
        <v>72.599999999999994</v>
      </c>
      <c r="BN177" s="151">
        <v>41842</v>
      </c>
      <c r="BQ177" s="205">
        <v>4.4000000000000004</v>
      </c>
      <c r="BR177" s="151">
        <v>41842</v>
      </c>
      <c r="BS177" s="206">
        <v>52.7</v>
      </c>
      <c r="BT177" s="151">
        <v>41842</v>
      </c>
      <c r="BU177" s="207">
        <v>12.8</v>
      </c>
      <c r="BV177" s="151">
        <v>41842</v>
      </c>
      <c r="BW177" s="206">
        <v>47.2</v>
      </c>
      <c r="BX177" s="151">
        <v>41842</v>
      </c>
      <c r="BY177" s="210">
        <v>6.37</v>
      </c>
      <c r="BZ177" s="151">
        <v>41842</v>
      </c>
      <c r="CA177" s="206">
        <v>33.299999999999997</v>
      </c>
      <c r="CB177" s="151">
        <v>41842</v>
      </c>
      <c r="CC177" s="208">
        <v>5.9</v>
      </c>
      <c r="CD177" s="151">
        <v>41838</v>
      </c>
      <c r="CL177" s="209">
        <v>5</v>
      </c>
      <c r="CM177" s="201">
        <v>41810</v>
      </c>
    </row>
    <row r="178" spans="1:91" ht="15">
      <c r="A178" s="152" t="s">
        <v>7906</v>
      </c>
      <c r="B178" s="110" t="s">
        <v>233</v>
      </c>
      <c r="C178" s="110" t="s">
        <v>381</v>
      </c>
      <c r="D178" s="110">
        <v>11047</v>
      </c>
      <c r="E178" s="111">
        <v>3</v>
      </c>
      <c r="F178" s="111">
        <v>521</v>
      </c>
      <c r="K178" s="134">
        <v>5</v>
      </c>
      <c r="L178" s="151">
        <v>41701</v>
      </c>
      <c r="M178" s="169">
        <v>3.2</v>
      </c>
      <c r="N178" s="151">
        <v>41838</v>
      </c>
      <c r="Q178" s="497"/>
      <c r="S178" s="134">
        <v>10.86</v>
      </c>
      <c r="T178" s="151">
        <v>41842</v>
      </c>
      <c r="U178" s="134">
        <v>13.5</v>
      </c>
      <c r="V178" s="151">
        <v>41838</v>
      </c>
      <c r="W178" s="196">
        <v>1</v>
      </c>
      <c r="X178" s="151">
        <v>41829</v>
      </c>
      <c r="Y178" s="134">
        <f t="shared" si="2"/>
        <v>3.9673799999999995</v>
      </c>
      <c r="AC178" s="134">
        <v>23.7</v>
      </c>
      <c r="AD178" s="151">
        <v>41838</v>
      </c>
      <c r="AE178" s="134">
        <v>24.49</v>
      </c>
      <c r="AF178" s="151">
        <v>41838</v>
      </c>
      <c r="AG178" s="197">
        <v>4.7</v>
      </c>
      <c r="AH178" s="151">
        <v>41843</v>
      </c>
      <c r="AI178" s="198">
        <v>5</v>
      </c>
      <c r="AJ178" s="151">
        <v>41778</v>
      </c>
      <c r="AK178" s="199">
        <v>5</v>
      </c>
      <c r="AL178" s="151">
        <v>41709</v>
      </c>
      <c r="BE178" s="200">
        <v>5</v>
      </c>
      <c r="BF178" s="201">
        <v>41555</v>
      </c>
      <c r="BG178" s="203">
        <v>3.2</v>
      </c>
      <c r="BH178" s="151">
        <v>41842</v>
      </c>
      <c r="BM178" s="204">
        <v>67.7</v>
      </c>
      <c r="BN178" s="151">
        <v>41842</v>
      </c>
      <c r="BQ178" s="205">
        <v>9.6999999999999993</v>
      </c>
      <c r="BR178" s="151">
        <v>41842</v>
      </c>
      <c r="BS178" s="206">
        <v>44.4</v>
      </c>
      <c r="BT178" s="151">
        <v>41842</v>
      </c>
      <c r="BU178" s="207">
        <v>16.2</v>
      </c>
      <c r="BV178" s="151">
        <v>41842</v>
      </c>
      <c r="BW178" s="206">
        <v>71.2</v>
      </c>
      <c r="BX178" s="151">
        <v>41842</v>
      </c>
      <c r="BY178" s="210">
        <v>7.65</v>
      </c>
      <c r="BZ178" s="151">
        <v>41842</v>
      </c>
      <c r="CA178" s="206">
        <v>34.700000000000003</v>
      </c>
      <c r="CB178" s="151">
        <v>41842</v>
      </c>
      <c r="CC178" s="208">
        <v>6</v>
      </c>
      <c r="CD178" s="151">
        <v>41838</v>
      </c>
      <c r="CL178" s="209">
        <v>5</v>
      </c>
      <c r="CM178" s="201">
        <v>41810</v>
      </c>
    </row>
    <row r="179" spans="1:91" ht="15">
      <c r="A179" s="152" t="s">
        <v>7906</v>
      </c>
      <c r="B179" s="110" t="s">
        <v>235</v>
      </c>
      <c r="C179" s="110" t="s">
        <v>8082</v>
      </c>
      <c r="D179" s="110">
        <v>11529</v>
      </c>
      <c r="E179" s="111">
        <v>4</v>
      </c>
      <c r="F179" s="111">
        <v>725</v>
      </c>
      <c r="K179" s="134">
        <v>5</v>
      </c>
      <c r="L179" s="151">
        <v>41701</v>
      </c>
      <c r="M179" s="169">
        <v>4.3499999999999996</v>
      </c>
      <c r="N179" s="151">
        <v>41838</v>
      </c>
      <c r="Q179" s="497"/>
      <c r="S179" s="134">
        <v>14.56</v>
      </c>
      <c r="T179" s="151">
        <v>41842</v>
      </c>
      <c r="U179" s="134">
        <v>13.5</v>
      </c>
      <c r="V179" s="151">
        <v>41838</v>
      </c>
      <c r="W179" s="196">
        <v>1</v>
      </c>
      <c r="X179" s="151">
        <v>41829</v>
      </c>
      <c r="Y179" s="134">
        <f t="shared" si="2"/>
        <v>5.5226899999999999</v>
      </c>
      <c r="AC179" s="134">
        <v>32.22</v>
      </c>
      <c r="AD179" s="151">
        <v>41838</v>
      </c>
      <c r="AE179" s="134">
        <v>33.07</v>
      </c>
      <c r="AF179" s="151">
        <v>41838</v>
      </c>
      <c r="AG179" s="197">
        <v>4.7</v>
      </c>
      <c r="AH179" s="151">
        <v>41843</v>
      </c>
      <c r="AI179" s="198">
        <v>5</v>
      </c>
      <c r="AJ179" s="151">
        <v>41778</v>
      </c>
      <c r="AK179" s="199">
        <v>5</v>
      </c>
      <c r="AL179" s="151">
        <v>41709</v>
      </c>
      <c r="BE179" s="200">
        <v>5</v>
      </c>
      <c r="BF179" s="201">
        <v>41555</v>
      </c>
      <c r="BG179" s="203">
        <v>4.4000000000000004</v>
      </c>
      <c r="BH179" s="151">
        <v>41842</v>
      </c>
      <c r="BM179" s="204">
        <v>68.400000000000006</v>
      </c>
      <c r="BN179" s="151">
        <v>41842</v>
      </c>
      <c r="BQ179" s="205">
        <v>8.6</v>
      </c>
      <c r="BR179" s="151">
        <v>41842</v>
      </c>
      <c r="BS179" s="206">
        <v>44</v>
      </c>
      <c r="BT179" s="151">
        <v>41842</v>
      </c>
      <c r="BU179" s="207">
        <v>16.7</v>
      </c>
      <c r="BV179" s="151">
        <v>41842</v>
      </c>
      <c r="BW179" s="206">
        <v>78.400000000000006</v>
      </c>
      <c r="BX179" s="151">
        <v>41842</v>
      </c>
      <c r="BY179" s="210">
        <v>7.68</v>
      </c>
      <c r="BZ179" s="151">
        <v>41842</v>
      </c>
      <c r="CA179" s="206">
        <v>35.5</v>
      </c>
      <c r="CB179" s="151">
        <v>41842</v>
      </c>
      <c r="CC179" s="208">
        <v>6.6</v>
      </c>
      <c r="CD179" s="151">
        <v>41838</v>
      </c>
      <c r="CL179" s="209">
        <v>5</v>
      </c>
      <c r="CM179" s="201">
        <v>41810</v>
      </c>
    </row>
    <row r="180" spans="1:91" ht="15">
      <c r="A180" s="152" t="s">
        <v>7906</v>
      </c>
      <c r="B180" s="110" t="s">
        <v>233</v>
      </c>
      <c r="C180" s="110" t="s">
        <v>8083</v>
      </c>
      <c r="D180" s="110">
        <v>11699</v>
      </c>
      <c r="E180" s="111">
        <v>9</v>
      </c>
      <c r="F180" s="111">
        <v>685</v>
      </c>
      <c r="K180" s="134">
        <v>5</v>
      </c>
      <c r="L180" s="151">
        <v>41701</v>
      </c>
      <c r="M180" s="169">
        <v>3.25</v>
      </c>
      <c r="N180" s="151">
        <v>41838</v>
      </c>
      <c r="Q180" s="497"/>
      <c r="S180" s="134">
        <v>11.19</v>
      </c>
      <c r="T180" s="151">
        <v>41842</v>
      </c>
      <c r="U180" s="134">
        <v>13.5</v>
      </c>
      <c r="V180" s="151">
        <v>41838</v>
      </c>
      <c r="W180" s="196">
        <v>1</v>
      </c>
      <c r="X180" s="151">
        <v>41829</v>
      </c>
      <c r="Y180" s="134">
        <f t="shared" si="2"/>
        <v>3.96705</v>
      </c>
      <c r="AC180" s="134">
        <v>24.07</v>
      </c>
      <c r="AD180" s="151">
        <v>41838</v>
      </c>
      <c r="AE180" s="134">
        <v>24.95</v>
      </c>
      <c r="AF180" s="151">
        <v>41838</v>
      </c>
      <c r="AG180" s="197">
        <v>4.7</v>
      </c>
      <c r="AH180" s="151">
        <v>41843</v>
      </c>
      <c r="AI180" s="198">
        <v>3</v>
      </c>
      <c r="AJ180" s="151">
        <v>41778</v>
      </c>
      <c r="AK180" s="199">
        <v>5</v>
      </c>
      <c r="AL180" s="151">
        <v>41709</v>
      </c>
      <c r="BE180" s="200">
        <v>5</v>
      </c>
      <c r="BF180" s="201">
        <v>41555</v>
      </c>
      <c r="BG180" s="203">
        <v>-2.2000000000000002</v>
      </c>
      <c r="BH180" s="151">
        <v>41842</v>
      </c>
      <c r="BM180" s="204">
        <v>67.3</v>
      </c>
      <c r="BN180" s="151">
        <v>41842</v>
      </c>
      <c r="BQ180" s="205">
        <v>9.4</v>
      </c>
      <c r="BR180" s="151">
        <v>41842</v>
      </c>
      <c r="BS180" s="206">
        <v>44.9</v>
      </c>
      <c r="BT180" s="151">
        <v>41842</v>
      </c>
      <c r="BU180" s="207">
        <v>15.9</v>
      </c>
      <c r="BV180" s="151">
        <v>41842</v>
      </c>
      <c r="BW180" s="206">
        <v>69.400000000000006</v>
      </c>
      <c r="BX180" s="151">
        <v>41842</v>
      </c>
      <c r="BY180" s="210">
        <v>7.69</v>
      </c>
      <c r="BZ180" s="151">
        <v>41842</v>
      </c>
      <c r="CA180" s="206">
        <v>34.4</v>
      </c>
      <c r="CB180" s="151">
        <v>41842</v>
      </c>
      <c r="CC180" s="208">
        <v>5.7</v>
      </c>
      <c r="CD180" s="151">
        <v>41838</v>
      </c>
      <c r="CL180" s="209">
        <v>3</v>
      </c>
      <c r="CM180" s="201">
        <v>41810</v>
      </c>
    </row>
    <row r="181" spans="1:91" ht="15">
      <c r="A181" s="152" t="s">
        <v>7906</v>
      </c>
      <c r="B181" s="110" t="s">
        <v>235</v>
      </c>
      <c r="C181" s="110" t="s">
        <v>8081</v>
      </c>
      <c r="D181" s="110">
        <v>11326</v>
      </c>
      <c r="E181" s="111">
        <v>11</v>
      </c>
      <c r="F181" s="111">
        <v>485</v>
      </c>
      <c r="K181" s="134">
        <v>5</v>
      </c>
      <c r="L181" s="151">
        <v>41701</v>
      </c>
      <c r="M181" s="169">
        <v>4.3499999999999996</v>
      </c>
      <c r="N181" s="151">
        <v>41838</v>
      </c>
      <c r="Q181" s="497"/>
      <c r="S181" s="134">
        <v>14.54</v>
      </c>
      <c r="T181" s="151">
        <v>41842</v>
      </c>
      <c r="U181" s="134">
        <v>13.5</v>
      </c>
      <c r="V181" s="151">
        <v>41838</v>
      </c>
      <c r="W181" s="196">
        <v>1</v>
      </c>
      <c r="X181" s="151">
        <v>41829</v>
      </c>
      <c r="Y181" s="134">
        <f t="shared" si="2"/>
        <v>5.7332200000000002</v>
      </c>
      <c r="AC181" s="134">
        <v>32.22</v>
      </c>
      <c r="AD181" s="151">
        <v>41838</v>
      </c>
      <c r="AE181" s="134">
        <v>33.14</v>
      </c>
      <c r="AF181" s="151">
        <v>41838</v>
      </c>
      <c r="AG181" s="197">
        <v>4.5</v>
      </c>
      <c r="AH181" s="151">
        <v>41843</v>
      </c>
      <c r="AI181" s="198">
        <v>5</v>
      </c>
      <c r="AJ181" s="151">
        <v>41778</v>
      </c>
      <c r="AK181" s="199">
        <v>5</v>
      </c>
      <c r="AL181" s="151">
        <v>41709</v>
      </c>
      <c r="BE181" s="200">
        <v>5</v>
      </c>
      <c r="BF181" s="201">
        <v>41555</v>
      </c>
      <c r="BG181" s="203">
        <v>4.5</v>
      </c>
      <c r="BH181" s="151">
        <v>41842</v>
      </c>
      <c r="BM181" s="204">
        <v>69.2</v>
      </c>
      <c r="BN181" s="151">
        <v>41842</v>
      </c>
      <c r="BQ181" s="205">
        <v>8.9</v>
      </c>
      <c r="BR181" s="151">
        <v>41842</v>
      </c>
      <c r="BS181" s="206">
        <v>43.9</v>
      </c>
      <c r="BT181" s="151">
        <v>41842</v>
      </c>
      <c r="BU181" s="207">
        <v>17.3</v>
      </c>
      <c r="BV181" s="151">
        <v>41842</v>
      </c>
      <c r="BW181" s="206">
        <v>78.7</v>
      </c>
      <c r="BX181" s="151">
        <v>41842</v>
      </c>
      <c r="BY181" s="210">
        <v>7.76</v>
      </c>
      <c r="BZ181" s="151">
        <v>41842</v>
      </c>
      <c r="CA181" s="206">
        <v>36.6</v>
      </c>
      <c r="CB181" s="151">
        <v>41842</v>
      </c>
      <c r="CC181" s="208">
        <v>6.4</v>
      </c>
      <c r="CD181" s="151">
        <v>41838</v>
      </c>
      <c r="CL181" s="209">
        <v>5</v>
      </c>
      <c r="CM181" s="201">
        <v>41810</v>
      </c>
    </row>
    <row r="182" spans="1:91" ht="15">
      <c r="A182" s="152" t="s">
        <v>7907</v>
      </c>
      <c r="B182" s="110" t="s">
        <v>235</v>
      </c>
      <c r="C182" s="110" t="s">
        <v>8082</v>
      </c>
      <c r="D182" s="110">
        <v>11424</v>
      </c>
      <c r="E182" s="111">
        <v>1</v>
      </c>
      <c r="F182" s="111">
        <v>737</v>
      </c>
      <c r="I182" s="373"/>
      <c r="K182" s="191">
        <v>3</v>
      </c>
      <c r="L182" s="151">
        <v>41701</v>
      </c>
      <c r="M182" s="169">
        <v>4.75</v>
      </c>
      <c r="N182" s="151">
        <v>41838</v>
      </c>
      <c r="Q182" s="497"/>
      <c r="S182" s="134">
        <v>15.84</v>
      </c>
      <c r="T182" s="151">
        <v>41842</v>
      </c>
      <c r="U182" s="194">
        <v>13.5</v>
      </c>
      <c r="V182" s="151">
        <v>41838</v>
      </c>
      <c r="W182" s="196">
        <v>1</v>
      </c>
      <c r="X182" s="151">
        <v>41829</v>
      </c>
      <c r="Y182" s="134">
        <f t="shared" si="2"/>
        <v>5.6331600000000002</v>
      </c>
      <c r="AA182" s="194"/>
      <c r="AC182" s="194">
        <v>35.19</v>
      </c>
      <c r="AD182" s="151">
        <v>41838</v>
      </c>
      <c r="AE182" s="137">
        <v>36.11</v>
      </c>
      <c r="AF182" s="151">
        <v>41838</v>
      </c>
      <c r="AG182" s="197">
        <v>5</v>
      </c>
      <c r="AH182" s="151">
        <v>41843</v>
      </c>
      <c r="AI182" s="198">
        <v>5</v>
      </c>
      <c r="AJ182" s="151">
        <v>41778</v>
      </c>
      <c r="AK182" s="199">
        <v>3</v>
      </c>
      <c r="AL182" s="151">
        <v>41709</v>
      </c>
      <c r="AM182" s="194"/>
      <c r="BE182" s="200">
        <v>3</v>
      </c>
      <c r="BF182" s="201">
        <v>41555</v>
      </c>
      <c r="BG182" s="203">
        <v>-1.8</v>
      </c>
      <c r="BH182" s="151">
        <v>41842</v>
      </c>
      <c r="BM182" s="204">
        <v>62.6</v>
      </c>
      <c r="BN182" s="151">
        <v>41842</v>
      </c>
      <c r="BQ182" s="205">
        <v>10.7</v>
      </c>
      <c r="BR182" s="151">
        <v>41842</v>
      </c>
      <c r="BS182" s="206">
        <v>43.9</v>
      </c>
      <c r="BT182" s="151">
        <v>41842</v>
      </c>
      <c r="BU182" s="207">
        <v>15.6</v>
      </c>
      <c r="BV182" s="151">
        <v>41842</v>
      </c>
      <c r="BW182" s="206">
        <v>75.400000000000006</v>
      </c>
      <c r="BX182" s="151">
        <v>41842</v>
      </c>
      <c r="BY182" s="210">
        <v>7.08</v>
      </c>
      <c r="BZ182" s="151">
        <v>41842</v>
      </c>
      <c r="CA182" s="206">
        <v>33.1</v>
      </c>
      <c r="CB182" s="151">
        <v>41842</v>
      </c>
      <c r="CC182" s="208">
        <v>6.6</v>
      </c>
      <c r="CD182" s="151">
        <v>41838</v>
      </c>
      <c r="CL182" s="209">
        <v>3</v>
      </c>
      <c r="CM182" s="201">
        <v>41810</v>
      </c>
    </row>
    <row r="183" spans="1:91" ht="15">
      <c r="A183" s="152" t="s">
        <v>7907</v>
      </c>
      <c r="B183" s="110" t="s">
        <v>233</v>
      </c>
      <c r="C183" s="110" t="s">
        <v>381</v>
      </c>
      <c r="D183" s="110">
        <v>11125</v>
      </c>
      <c r="E183" s="111">
        <v>5</v>
      </c>
      <c r="F183" s="111">
        <v>545</v>
      </c>
      <c r="K183" s="191">
        <v>3</v>
      </c>
      <c r="L183" s="151">
        <v>41701</v>
      </c>
      <c r="M183" s="169">
        <v>3.5</v>
      </c>
      <c r="N183" s="151">
        <v>41838</v>
      </c>
      <c r="Q183" s="497"/>
      <c r="S183" s="134">
        <v>11.64</v>
      </c>
      <c r="T183" s="151">
        <v>41842</v>
      </c>
      <c r="U183" s="134">
        <v>13.5</v>
      </c>
      <c r="V183" s="151">
        <v>41838</v>
      </c>
      <c r="W183" s="196">
        <v>9</v>
      </c>
      <c r="X183" s="151">
        <v>41829</v>
      </c>
      <c r="Y183" s="134">
        <f t="shared" si="2"/>
        <v>4.32864</v>
      </c>
      <c r="AC183" s="134">
        <v>25.93</v>
      </c>
      <c r="AD183" s="151">
        <v>41838</v>
      </c>
      <c r="AE183" s="134">
        <v>26.72</v>
      </c>
      <c r="AF183" s="151">
        <v>41838</v>
      </c>
      <c r="AG183" s="197">
        <v>4.8</v>
      </c>
      <c r="AH183" s="151">
        <v>41843</v>
      </c>
      <c r="AI183" s="198">
        <v>3</v>
      </c>
      <c r="AJ183" s="151">
        <v>41778</v>
      </c>
      <c r="AK183" s="199">
        <v>4</v>
      </c>
      <c r="AL183" s="151">
        <v>41709</v>
      </c>
      <c r="BE183" s="200">
        <v>4</v>
      </c>
      <c r="BF183" s="201">
        <v>41555</v>
      </c>
      <c r="BG183" s="203">
        <v>-0.1</v>
      </c>
      <c r="BH183" s="151">
        <v>41842</v>
      </c>
      <c r="BM183" s="204">
        <v>62.4</v>
      </c>
      <c r="BN183" s="151">
        <v>41842</v>
      </c>
      <c r="BQ183" s="205">
        <v>10.3</v>
      </c>
      <c r="BR183" s="151">
        <v>41842</v>
      </c>
      <c r="BS183" s="206">
        <v>43.6</v>
      </c>
      <c r="BT183" s="151">
        <v>41842</v>
      </c>
      <c r="BU183" s="207">
        <v>16.2</v>
      </c>
      <c r="BV183" s="151">
        <v>41842</v>
      </c>
      <c r="BW183" s="206">
        <v>75.2</v>
      </c>
      <c r="BX183" s="151">
        <v>41842</v>
      </c>
      <c r="BY183" s="210">
        <v>7.15</v>
      </c>
      <c r="BZ183" s="151">
        <v>41842</v>
      </c>
      <c r="CA183" s="206">
        <v>34.200000000000003</v>
      </c>
      <c r="CB183" s="151">
        <v>41842</v>
      </c>
      <c r="CC183" s="208">
        <v>6.2</v>
      </c>
      <c r="CD183" s="151">
        <v>41838</v>
      </c>
      <c r="CL183" s="209">
        <v>3</v>
      </c>
      <c r="CM183" s="201">
        <v>41810</v>
      </c>
    </row>
    <row r="184" spans="1:91" ht="15">
      <c r="A184" s="152" t="s">
        <v>7907</v>
      </c>
      <c r="B184" s="110" t="s">
        <v>235</v>
      </c>
      <c r="C184" s="110" t="s">
        <v>8081</v>
      </c>
      <c r="D184" s="110">
        <v>11255</v>
      </c>
      <c r="E184" s="111">
        <v>9</v>
      </c>
      <c r="F184" s="111">
        <v>489</v>
      </c>
      <c r="K184" s="191">
        <v>3</v>
      </c>
      <c r="L184" s="151">
        <v>41701</v>
      </c>
      <c r="M184" s="169">
        <v>4.6500000000000004</v>
      </c>
      <c r="N184" s="151">
        <v>41838</v>
      </c>
      <c r="Q184" s="497"/>
      <c r="S184" s="134">
        <v>14.95</v>
      </c>
      <c r="T184" s="151">
        <v>41842</v>
      </c>
      <c r="U184" s="134">
        <v>13.5</v>
      </c>
      <c r="V184" s="151">
        <v>41838</v>
      </c>
      <c r="W184" s="196">
        <v>9</v>
      </c>
      <c r="X184" s="151">
        <v>41829</v>
      </c>
      <c r="Y184" s="134">
        <f t="shared" si="2"/>
        <v>5.9337599999999995</v>
      </c>
      <c r="AC184" s="134">
        <v>34.44</v>
      </c>
      <c r="AD184" s="151">
        <v>41838</v>
      </c>
      <c r="AE184" s="134">
        <v>35.32</v>
      </c>
      <c r="AF184" s="151">
        <v>41838</v>
      </c>
      <c r="AG184" s="197">
        <v>4.8</v>
      </c>
      <c r="AH184" s="151">
        <v>41843</v>
      </c>
      <c r="AI184" s="198">
        <v>5</v>
      </c>
      <c r="AJ184" s="151">
        <v>41778</v>
      </c>
      <c r="AK184" s="199">
        <v>4</v>
      </c>
      <c r="AL184" s="151">
        <v>41709</v>
      </c>
      <c r="BE184" s="200">
        <v>4</v>
      </c>
      <c r="BF184" s="201">
        <v>41555</v>
      </c>
      <c r="BG184" s="203">
        <v>-4.5</v>
      </c>
      <c r="BH184" s="151">
        <v>41842</v>
      </c>
      <c r="BM184" s="204">
        <v>61.8</v>
      </c>
      <c r="BN184" s="151">
        <v>41842</v>
      </c>
      <c r="BQ184" s="205">
        <v>10.8</v>
      </c>
      <c r="BR184" s="151">
        <v>41842</v>
      </c>
      <c r="BS184" s="206">
        <v>42.3</v>
      </c>
      <c r="BT184" s="151">
        <v>41842</v>
      </c>
      <c r="BU184" s="207">
        <v>16.8</v>
      </c>
      <c r="BV184" s="151">
        <v>41842</v>
      </c>
      <c r="BW184" s="206">
        <v>73.599999999999994</v>
      </c>
      <c r="BX184" s="151">
        <v>41842</v>
      </c>
      <c r="BY184" s="210">
        <v>7.39</v>
      </c>
      <c r="BZ184" s="151">
        <v>41842</v>
      </c>
      <c r="CA184" s="206">
        <v>34.5</v>
      </c>
      <c r="CB184" s="151">
        <v>41842</v>
      </c>
      <c r="CC184" s="208">
        <v>6.7</v>
      </c>
      <c r="CD184" s="151">
        <v>41838</v>
      </c>
      <c r="CL184" s="209">
        <v>3</v>
      </c>
      <c r="CM184" s="201">
        <v>41810</v>
      </c>
    </row>
    <row r="185" spans="1:91" ht="15">
      <c r="A185" s="152" t="s">
        <v>7907</v>
      </c>
      <c r="B185" s="110" t="s">
        <v>233</v>
      </c>
      <c r="C185" s="110" t="s">
        <v>8083</v>
      </c>
      <c r="D185" s="110">
        <v>11689</v>
      </c>
      <c r="E185" s="111">
        <v>9</v>
      </c>
      <c r="F185" s="111">
        <v>645</v>
      </c>
      <c r="K185" s="191">
        <v>3</v>
      </c>
      <c r="L185" s="151">
        <v>41701</v>
      </c>
      <c r="M185" s="169">
        <v>3</v>
      </c>
      <c r="N185" s="151">
        <v>41838</v>
      </c>
      <c r="Q185" s="497"/>
      <c r="S185" s="134">
        <v>10.51</v>
      </c>
      <c r="T185" s="151">
        <v>41842</v>
      </c>
      <c r="U185" s="134">
        <v>13.5</v>
      </c>
      <c r="V185" s="151">
        <v>41838</v>
      </c>
      <c r="W185" s="196">
        <v>9</v>
      </c>
      <c r="X185" s="151">
        <v>41829</v>
      </c>
      <c r="Y185" s="134">
        <f t="shared" si="2"/>
        <v>3.1643400000000002</v>
      </c>
      <c r="AC185" s="134">
        <v>22.22</v>
      </c>
      <c r="AD185" s="151">
        <v>41838</v>
      </c>
      <c r="AE185" s="134">
        <v>22.93</v>
      </c>
      <c r="AF185" s="151">
        <v>41838</v>
      </c>
      <c r="AG185" s="197">
        <v>5.0999999999999996</v>
      </c>
      <c r="AH185" s="151">
        <v>41843</v>
      </c>
      <c r="AI185" s="198">
        <v>3</v>
      </c>
      <c r="AJ185" s="151">
        <v>41778</v>
      </c>
      <c r="AK185" s="199">
        <v>4</v>
      </c>
      <c r="AL185" s="151">
        <v>41709</v>
      </c>
      <c r="BE185" s="200">
        <v>4</v>
      </c>
      <c r="BF185" s="201">
        <v>41555</v>
      </c>
      <c r="BG185" s="203">
        <v>-5.8</v>
      </c>
      <c r="BH185" s="151">
        <v>41842</v>
      </c>
      <c r="BM185" s="204">
        <v>64.599999999999994</v>
      </c>
      <c r="BN185" s="151">
        <v>41842</v>
      </c>
      <c r="BQ185" s="205">
        <v>10.7</v>
      </c>
      <c r="BR185" s="151">
        <v>41842</v>
      </c>
      <c r="BS185" s="206">
        <v>45.8</v>
      </c>
      <c r="BT185" s="151">
        <v>41842</v>
      </c>
      <c r="BU185" s="207">
        <v>13.8</v>
      </c>
      <c r="BV185" s="151">
        <v>41842</v>
      </c>
      <c r="BW185" s="206">
        <v>70.400000000000006</v>
      </c>
      <c r="BX185" s="151">
        <v>41842</v>
      </c>
      <c r="BY185" s="210">
        <v>7.05</v>
      </c>
      <c r="BZ185" s="151">
        <v>41842</v>
      </c>
      <c r="CA185" s="206">
        <v>30.6</v>
      </c>
      <c r="CB185" s="151">
        <v>41842</v>
      </c>
      <c r="CC185" s="208">
        <v>6.1</v>
      </c>
      <c r="CD185" s="151">
        <v>41838</v>
      </c>
      <c r="CL185" s="209">
        <v>3</v>
      </c>
      <c r="CM185" s="201">
        <v>41810</v>
      </c>
    </row>
    <row r="186" spans="1:91" ht="15">
      <c r="A186" s="152" t="s">
        <v>7908</v>
      </c>
      <c r="B186" s="110" t="s">
        <v>233</v>
      </c>
      <c r="C186" s="110" t="s">
        <v>381</v>
      </c>
      <c r="D186" s="110">
        <v>10977</v>
      </c>
      <c r="E186" s="111">
        <v>1</v>
      </c>
      <c r="F186" s="111">
        <v>529</v>
      </c>
      <c r="I186" s="373"/>
      <c r="K186" s="191">
        <v>3</v>
      </c>
      <c r="L186" s="151">
        <v>41701</v>
      </c>
      <c r="M186" s="169">
        <v>3.5</v>
      </c>
      <c r="N186" s="151">
        <v>41838</v>
      </c>
      <c r="Q186" s="497"/>
      <c r="S186" s="134">
        <v>11.75</v>
      </c>
      <c r="T186" s="151">
        <v>41842</v>
      </c>
      <c r="U186" s="194">
        <v>13.5</v>
      </c>
      <c r="V186" s="151">
        <v>41838</v>
      </c>
      <c r="W186" s="196">
        <v>9</v>
      </c>
      <c r="X186" s="151">
        <v>41829</v>
      </c>
      <c r="Y186" s="134">
        <f t="shared" si="2"/>
        <v>4.3968400000000001</v>
      </c>
      <c r="AA186" s="194"/>
      <c r="AC186" s="194">
        <v>25.93</v>
      </c>
      <c r="AD186" s="151">
        <v>41838</v>
      </c>
      <c r="AE186" s="137">
        <v>26.81</v>
      </c>
      <c r="AF186" s="151">
        <v>41838</v>
      </c>
      <c r="AG186" s="197">
        <v>6.4</v>
      </c>
      <c r="AH186" s="151">
        <v>41843</v>
      </c>
      <c r="AI186" s="198">
        <v>3</v>
      </c>
      <c r="AJ186" s="151">
        <v>41778</v>
      </c>
      <c r="AK186" s="199">
        <v>4</v>
      </c>
      <c r="AL186" s="151">
        <v>41709</v>
      </c>
      <c r="AM186" s="194"/>
      <c r="BE186" s="200">
        <v>4</v>
      </c>
      <c r="BF186" s="201">
        <v>41555</v>
      </c>
      <c r="BG186" s="203">
        <v>-2.4</v>
      </c>
      <c r="BH186" s="151">
        <v>41842</v>
      </c>
      <c r="BM186" s="204">
        <v>58.5</v>
      </c>
      <c r="BN186" s="151">
        <v>41842</v>
      </c>
      <c r="BQ186" s="205">
        <v>13.6</v>
      </c>
      <c r="BR186" s="151">
        <v>41842</v>
      </c>
      <c r="BS186" s="206">
        <v>43.8</v>
      </c>
      <c r="BT186" s="151">
        <v>41842</v>
      </c>
      <c r="BU186" s="207">
        <v>16.399999999999999</v>
      </c>
      <c r="BV186" s="151">
        <v>41842</v>
      </c>
      <c r="BW186" s="206">
        <v>75.3</v>
      </c>
      <c r="BX186" s="151">
        <v>41842</v>
      </c>
      <c r="BY186" s="210">
        <v>7.14</v>
      </c>
      <c r="BZ186" s="151">
        <v>41842</v>
      </c>
      <c r="CA186" s="206">
        <v>34.700000000000003</v>
      </c>
      <c r="CB186" s="151">
        <v>41842</v>
      </c>
      <c r="CC186" s="208">
        <v>5.9</v>
      </c>
      <c r="CD186" s="151">
        <v>41838</v>
      </c>
      <c r="CL186" s="209">
        <v>5</v>
      </c>
      <c r="CM186" s="201">
        <v>41810</v>
      </c>
    </row>
    <row r="187" spans="1:91" ht="15">
      <c r="A187" s="152" t="s">
        <v>7908</v>
      </c>
      <c r="B187" s="110" t="s">
        <v>235</v>
      </c>
      <c r="C187" s="110" t="s">
        <v>8082</v>
      </c>
      <c r="D187" s="110">
        <v>11538</v>
      </c>
      <c r="E187" s="111">
        <v>4</v>
      </c>
      <c r="F187" s="111">
        <v>761</v>
      </c>
      <c r="K187" s="134">
        <v>5</v>
      </c>
      <c r="L187" s="151">
        <v>41701</v>
      </c>
      <c r="M187" s="169">
        <v>4.3499999999999996</v>
      </c>
      <c r="N187" s="151">
        <v>41838</v>
      </c>
      <c r="Q187" s="497"/>
      <c r="S187" s="134">
        <v>14.47</v>
      </c>
      <c r="T187" s="151">
        <v>41842</v>
      </c>
      <c r="U187" s="134">
        <v>13.5</v>
      </c>
      <c r="V187" s="151">
        <v>41838</v>
      </c>
      <c r="W187" s="196">
        <v>9</v>
      </c>
      <c r="X187" s="151">
        <v>41829</v>
      </c>
      <c r="Y187" s="134">
        <f t="shared" si="2"/>
        <v>5.45655</v>
      </c>
      <c r="AC187" s="134">
        <v>32.22</v>
      </c>
      <c r="AD187" s="151">
        <v>41838</v>
      </c>
      <c r="AE187" s="134">
        <v>33.07</v>
      </c>
      <c r="AF187" s="151">
        <v>41838</v>
      </c>
      <c r="AG187" s="197">
        <v>6.4</v>
      </c>
      <c r="AH187" s="151">
        <v>41843</v>
      </c>
      <c r="AI187" s="198">
        <v>7</v>
      </c>
      <c r="AJ187" s="151">
        <v>41778</v>
      </c>
      <c r="AK187" s="199">
        <v>4</v>
      </c>
      <c r="AL187" s="151">
        <v>41709</v>
      </c>
      <c r="BE187" s="200">
        <v>4</v>
      </c>
      <c r="BF187" s="201">
        <v>41555</v>
      </c>
      <c r="BG187" s="203">
        <v>-1</v>
      </c>
      <c r="BH187" s="151">
        <v>41842</v>
      </c>
      <c r="BM187" s="204">
        <v>59.1</v>
      </c>
      <c r="BN187" s="151">
        <v>41842</v>
      </c>
      <c r="BQ187" s="205">
        <v>13.3</v>
      </c>
      <c r="BR187" s="151">
        <v>41842</v>
      </c>
      <c r="BS187" s="206">
        <v>43.8</v>
      </c>
      <c r="BT187" s="151">
        <v>41842</v>
      </c>
      <c r="BU187" s="207">
        <v>16.5</v>
      </c>
      <c r="BV187" s="151">
        <v>41842</v>
      </c>
      <c r="BW187" s="206">
        <v>68.8</v>
      </c>
      <c r="BX187" s="151">
        <v>41842</v>
      </c>
      <c r="BY187" s="210">
        <v>7.03</v>
      </c>
      <c r="BZ187" s="151">
        <v>41842</v>
      </c>
      <c r="CA187" s="206">
        <v>34.9</v>
      </c>
      <c r="CB187" s="151">
        <v>41842</v>
      </c>
      <c r="CC187" s="208">
        <v>6.6</v>
      </c>
      <c r="CD187" s="151">
        <v>41838</v>
      </c>
      <c r="CL187" s="209">
        <v>5</v>
      </c>
      <c r="CM187" s="201">
        <v>41810</v>
      </c>
    </row>
    <row r="188" spans="1:91" ht="15">
      <c r="A188" s="152" t="s">
        <v>7908</v>
      </c>
      <c r="B188" s="110" t="s">
        <v>233</v>
      </c>
      <c r="C188" s="110" t="s">
        <v>8083</v>
      </c>
      <c r="D188" s="110">
        <v>11612</v>
      </c>
      <c r="E188" s="111">
        <v>7</v>
      </c>
      <c r="F188" s="111">
        <v>625</v>
      </c>
      <c r="K188" s="134">
        <v>5</v>
      </c>
      <c r="L188" s="151">
        <v>41701</v>
      </c>
      <c r="M188" s="169">
        <v>4.25</v>
      </c>
      <c r="N188" s="151">
        <v>41838</v>
      </c>
      <c r="Q188" s="497"/>
      <c r="S188" s="134">
        <v>14.16</v>
      </c>
      <c r="T188" s="151">
        <v>41842</v>
      </c>
      <c r="U188" s="134">
        <v>13.5</v>
      </c>
      <c r="V188" s="151">
        <v>41838</v>
      </c>
      <c r="W188" s="196">
        <v>9</v>
      </c>
      <c r="X188" s="151">
        <v>41829</v>
      </c>
      <c r="Y188" s="134">
        <f t="shared" si="2"/>
        <v>5.4542199999999994</v>
      </c>
      <c r="AC188" s="134">
        <v>31.48</v>
      </c>
      <c r="AD188" s="151">
        <v>41838</v>
      </c>
      <c r="AE188" s="134">
        <v>32.659999999999997</v>
      </c>
      <c r="AF188" s="151">
        <v>41838</v>
      </c>
      <c r="AG188" s="197">
        <v>6.3</v>
      </c>
      <c r="AH188" s="151">
        <v>41843</v>
      </c>
      <c r="AI188" s="198">
        <v>7</v>
      </c>
      <c r="AJ188" s="151">
        <v>41778</v>
      </c>
      <c r="AK188" s="199">
        <v>4</v>
      </c>
      <c r="AL188" s="151">
        <v>41709</v>
      </c>
      <c r="BE188" s="200">
        <v>4</v>
      </c>
      <c r="BF188" s="201">
        <v>41555</v>
      </c>
      <c r="BG188" s="203">
        <v>-1.5</v>
      </c>
      <c r="BH188" s="151">
        <v>41842</v>
      </c>
      <c r="BM188" s="204">
        <v>58.7</v>
      </c>
      <c r="BN188" s="151">
        <v>41842</v>
      </c>
      <c r="BQ188" s="205">
        <v>13.2</v>
      </c>
      <c r="BR188" s="151">
        <v>41842</v>
      </c>
      <c r="BS188" s="206">
        <v>43.4</v>
      </c>
      <c r="BT188" s="151">
        <v>41842</v>
      </c>
      <c r="BU188" s="207">
        <v>16.7</v>
      </c>
      <c r="BV188" s="151">
        <v>41842</v>
      </c>
      <c r="BW188" s="206">
        <v>75.400000000000006</v>
      </c>
      <c r="BX188" s="151">
        <v>41842</v>
      </c>
      <c r="BY188" s="210">
        <v>7.47</v>
      </c>
      <c r="BZ188" s="151">
        <v>41842</v>
      </c>
      <c r="CA188" s="206">
        <v>35.1</v>
      </c>
      <c r="CB188" s="151">
        <v>41842</v>
      </c>
      <c r="CC188" s="208">
        <v>5.6</v>
      </c>
      <c r="CD188" s="151">
        <v>41838</v>
      </c>
      <c r="CL188" s="209">
        <v>5</v>
      </c>
      <c r="CM188" s="201">
        <v>41810</v>
      </c>
    </row>
    <row r="189" spans="1:91" ht="15">
      <c r="A189" s="152" t="s">
        <v>7908</v>
      </c>
      <c r="B189" s="110" t="s">
        <v>235</v>
      </c>
      <c r="C189" s="110" t="s">
        <v>8081</v>
      </c>
      <c r="D189" s="110">
        <v>11355</v>
      </c>
      <c r="E189" s="111">
        <v>11</v>
      </c>
      <c r="F189" s="111">
        <v>601</v>
      </c>
      <c r="K189" s="134">
        <v>5</v>
      </c>
      <c r="L189" s="151">
        <v>41701</v>
      </c>
      <c r="M189" s="169">
        <v>4.3499999999999996</v>
      </c>
      <c r="N189" s="151">
        <v>41838</v>
      </c>
      <c r="Q189" s="497"/>
      <c r="S189" s="134">
        <v>14.49</v>
      </c>
      <c r="T189" s="151">
        <v>41842</v>
      </c>
      <c r="U189" s="134">
        <v>13.5</v>
      </c>
      <c r="V189" s="151">
        <v>41838</v>
      </c>
      <c r="W189" s="196">
        <v>9</v>
      </c>
      <c r="X189" s="151">
        <v>41829</v>
      </c>
      <c r="Y189" s="134">
        <f t="shared" si="2"/>
        <v>5.4529999999999994</v>
      </c>
      <c r="AC189" s="134">
        <v>32.22</v>
      </c>
      <c r="AD189" s="151">
        <v>41838</v>
      </c>
      <c r="AE189" s="134">
        <v>33.25</v>
      </c>
      <c r="AF189" s="151">
        <v>41838</v>
      </c>
      <c r="AG189" s="197">
        <v>5.9</v>
      </c>
      <c r="AH189" s="151">
        <v>41843</v>
      </c>
      <c r="AI189" s="198">
        <v>7</v>
      </c>
      <c r="AJ189" s="151">
        <v>41778</v>
      </c>
      <c r="AK189" s="199">
        <v>4</v>
      </c>
      <c r="AL189" s="151">
        <v>41709</v>
      </c>
      <c r="BE189" s="200">
        <v>4</v>
      </c>
      <c r="BF189" s="201">
        <v>41555</v>
      </c>
      <c r="BG189" s="203">
        <v>-4.7</v>
      </c>
      <c r="BH189" s="151">
        <v>41842</v>
      </c>
      <c r="BM189" s="204">
        <v>59</v>
      </c>
      <c r="BN189" s="151">
        <v>41842</v>
      </c>
      <c r="BQ189" s="205">
        <v>13</v>
      </c>
      <c r="BR189" s="151">
        <v>41842</v>
      </c>
      <c r="BS189" s="206">
        <v>43.6</v>
      </c>
      <c r="BT189" s="151">
        <v>41842</v>
      </c>
      <c r="BU189" s="207">
        <v>16.399999999999999</v>
      </c>
      <c r="BV189" s="151">
        <v>41842</v>
      </c>
      <c r="BW189" s="206">
        <v>67.3</v>
      </c>
      <c r="BX189" s="151">
        <v>41842</v>
      </c>
      <c r="BY189" s="210">
        <v>7.15</v>
      </c>
      <c r="BZ189" s="151">
        <v>41842</v>
      </c>
      <c r="CA189" s="206">
        <v>34.6</v>
      </c>
      <c r="CB189" s="151">
        <v>41842</v>
      </c>
      <c r="CC189" s="208">
        <v>6.1</v>
      </c>
      <c r="CD189" s="151">
        <v>41838</v>
      </c>
      <c r="CL189" s="209">
        <v>5</v>
      </c>
      <c r="CM189" s="201">
        <v>41810</v>
      </c>
    </row>
    <row r="190" spans="1:91" ht="15">
      <c r="A190" s="152" t="s">
        <v>7909</v>
      </c>
      <c r="B190" s="110" t="s">
        <v>235</v>
      </c>
      <c r="C190" s="110" t="s">
        <v>8082</v>
      </c>
      <c r="D190" s="110">
        <v>11450</v>
      </c>
      <c r="E190" s="111">
        <v>2</v>
      </c>
      <c r="F190" s="111">
        <v>697</v>
      </c>
      <c r="K190" s="191">
        <v>3</v>
      </c>
      <c r="L190" s="151">
        <v>41701</v>
      </c>
      <c r="M190" s="169">
        <v>3.25</v>
      </c>
      <c r="N190" s="151">
        <v>41838</v>
      </c>
      <c r="Q190" s="497"/>
      <c r="S190" s="134">
        <v>11.45</v>
      </c>
      <c r="T190" s="151">
        <v>41842</v>
      </c>
      <c r="U190" s="134">
        <v>13.5</v>
      </c>
      <c r="V190" s="151">
        <v>41838</v>
      </c>
      <c r="W190" s="196">
        <v>1</v>
      </c>
      <c r="X190" s="151">
        <v>41829</v>
      </c>
      <c r="Y190" s="134">
        <f t="shared" si="2"/>
        <v>3.6558899999999999</v>
      </c>
      <c r="AC190" s="134">
        <v>24.07</v>
      </c>
      <c r="AD190" s="151">
        <v>41838</v>
      </c>
      <c r="AE190" s="134">
        <v>24.87</v>
      </c>
      <c r="AF190" s="151">
        <v>41838</v>
      </c>
      <c r="AG190" s="197">
        <v>4.3</v>
      </c>
      <c r="AH190" s="151">
        <v>41843</v>
      </c>
      <c r="AI190" s="198">
        <v>5</v>
      </c>
      <c r="AJ190" s="151">
        <v>41778</v>
      </c>
      <c r="AK190" s="199">
        <v>5</v>
      </c>
      <c r="AL190" s="151">
        <v>41709</v>
      </c>
      <c r="BE190" s="200">
        <v>5</v>
      </c>
      <c r="BF190" s="201">
        <v>41555</v>
      </c>
      <c r="BG190" s="203">
        <v>1.3</v>
      </c>
      <c r="BH190" s="151">
        <v>41842</v>
      </c>
      <c r="BM190" s="204">
        <v>63.8</v>
      </c>
      <c r="BN190" s="151">
        <v>41842</v>
      </c>
      <c r="BQ190" s="205">
        <v>10.7</v>
      </c>
      <c r="BR190" s="151">
        <v>41842</v>
      </c>
      <c r="BS190" s="206">
        <v>46</v>
      </c>
      <c r="BT190" s="151">
        <v>41842</v>
      </c>
      <c r="BU190" s="207">
        <v>14.7</v>
      </c>
      <c r="BV190" s="151">
        <v>41842</v>
      </c>
      <c r="BW190" s="206">
        <v>48.2</v>
      </c>
      <c r="BX190" s="151">
        <v>41842</v>
      </c>
      <c r="BY190" s="210">
        <v>6.93</v>
      </c>
      <c r="BZ190" s="151">
        <v>41842</v>
      </c>
      <c r="CA190" s="206">
        <v>32.700000000000003</v>
      </c>
      <c r="CB190" s="151">
        <v>41842</v>
      </c>
      <c r="CC190" s="208">
        <v>6</v>
      </c>
      <c r="CD190" s="151">
        <v>41838</v>
      </c>
      <c r="CL190" s="209">
        <v>5</v>
      </c>
      <c r="CM190" s="201">
        <v>41810</v>
      </c>
    </row>
    <row r="191" spans="1:91" ht="15">
      <c r="A191" s="152" t="s">
        <v>7909</v>
      </c>
      <c r="B191" s="110" t="s">
        <v>233</v>
      </c>
      <c r="C191" s="110" t="s">
        <v>381</v>
      </c>
      <c r="D191" s="110">
        <v>11039</v>
      </c>
      <c r="E191" s="111">
        <v>3</v>
      </c>
      <c r="F191" s="111">
        <v>489</v>
      </c>
      <c r="K191" s="191">
        <v>3</v>
      </c>
      <c r="L191" s="151">
        <v>41701</v>
      </c>
      <c r="M191" s="169">
        <v>3.45</v>
      </c>
      <c r="N191" s="151">
        <v>41838</v>
      </c>
      <c r="Q191" s="497"/>
      <c r="S191" s="134">
        <v>12.23</v>
      </c>
      <c r="T191" s="151">
        <v>41842</v>
      </c>
      <c r="U191" s="134">
        <v>13.5</v>
      </c>
      <c r="V191" s="151">
        <v>41838</v>
      </c>
      <c r="W191" s="196">
        <v>9</v>
      </c>
      <c r="X191" s="151">
        <v>41829</v>
      </c>
      <c r="Y191" s="134">
        <f t="shared" si="2"/>
        <v>3.7223999999999995</v>
      </c>
      <c r="AC191" s="134">
        <v>25.56</v>
      </c>
      <c r="AD191" s="151">
        <v>41838</v>
      </c>
      <c r="AE191" s="134">
        <v>26.4</v>
      </c>
      <c r="AF191" s="151">
        <v>41838</v>
      </c>
      <c r="AG191" s="197">
        <v>4.2</v>
      </c>
      <c r="AH191" s="151">
        <v>41843</v>
      </c>
      <c r="AI191" s="198">
        <v>3</v>
      </c>
      <c r="AJ191" s="151">
        <v>41778</v>
      </c>
      <c r="AK191" s="199">
        <v>5</v>
      </c>
      <c r="AL191" s="151">
        <v>41709</v>
      </c>
      <c r="BE191" s="200">
        <v>5</v>
      </c>
      <c r="BF191" s="201">
        <v>41555</v>
      </c>
      <c r="BG191" s="203">
        <v>0.8</v>
      </c>
      <c r="BH191" s="151">
        <v>41842</v>
      </c>
      <c r="BM191" s="204">
        <v>63.6</v>
      </c>
      <c r="BN191" s="151">
        <v>41842</v>
      </c>
      <c r="BQ191" s="205">
        <v>10.8</v>
      </c>
      <c r="BR191" s="151">
        <v>41842</v>
      </c>
      <c r="BS191" s="206">
        <v>46.3</v>
      </c>
      <c r="BT191" s="151">
        <v>41842</v>
      </c>
      <c r="BU191" s="207">
        <v>14.1</v>
      </c>
      <c r="BV191" s="151">
        <v>41842</v>
      </c>
      <c r="BW191" s="206">
        <v>53.9</v>
      </c>
      <c r="BX191" s="151">
        <v>41842</v>
      </c>
      <c r="BY191" s="210">
        <v>7.12</v>
      </c>
      <c r="BZ191" s="151">
        <v>41842</v>
      </c>
      <c r="CA191" s="206">
        <v>31.5</v>
      </c>
      <c r="CB191" s="151">
        <v>41842</v>
      </c>
      <c r="CC191" s="208">
        <v>6</v>
      </c>
      <c r="CD191" s="151">
        <v>41838</v>
      </c>
      <c r="CL191" s="209">
        <v>3</v>
      </c>
      <c r="CM191" s="201">
        <v>41810</v>
      </c>
    </row>
    <row r="192" spans="1:91" ht="15">
      <c r="A192" s="152" t="s">
        <v>7909</v>
      </c>
      <c r="B192" s="110" t="s">
        <v>233</v>
      </c>
      <c r="C192" s="110" t="s">
        <v>8083</v>
      </c>
      <c r="D192" s="110">
        <v>11692</v>
      </c>
      <c r="E192" s="111">
        <v>9</v>
      </c>
      <c r="F192" s="111">
        <v>657</v>
      </c>
      <c r="K192" s="191">
        <v>3</v>
      </c>
      <c r="L192" s="151">
        <v>41701</v>
      </c>
      <c r="M192" s="169">
        <v>2.65</v>
      </c>
      <c r="N192" s="151">
        <v>41838</v>
      </c>
      <c r="Q192" s="497"/>
      <c r="S192" s="134">
        <v>9.64</v>
      </c>
      <c r="T192" s="151">
        <v>41842</v>
      </c>
      <c r="U192" s="134">
        <v>13.5</v>
      </c>
      <c r="V192" s="151">
        <v>41838</v>
      </c>
      <c r="W192" s="196">
        <v>9</v>
      </c>
      <c r="X192" s="151">
        <v>41829</v>
      </c>
      <c r="Y192" s="134">
        <f t="shared" si="2"/>
        <v>2.6875199999999997</v>
      </c>
      <c r="AC192" s="134">
        <v>19.63</v>
      </c>
      <c r="AD192" s="151">
        <v>41838</v>
      </c>
      <c r="AE192" s="134">
        <v>20.36</v>
      </c>
      <c r="AF192" s="151">
        <v>41838</v>
      </c>
      <c r="AG192" s="197">
        <v>4.4000000000000004</v>
      </c>
      <c r="AH192" s="151">
        <v>41843</v>
      </c>
      <c r="AI192" s="198">
        <v>1</v>
      </c>
      <c r="AJ192" s="151">
        <v>41778</v>
      </c>
      <c r="AK192" s="199">
        <v>5</v>
      </c>
      <c r="AL192" s="151">
        <v>41709</v>
      </c>
      <c r="BE192" s="200">
        <v>5</v>
      </c>
      <c r="BF192" s="201">
        <v>41555</v>
      </c>
      <c r="BG192" s="203">
        <v>-0.9</v>
      </c>
      <c r="BH192" s="151">
        <v>41842</v>
      </c>
      <c r="BM192" s="204">
        <v>64.5</v>
      </c>
      <c r="BN192" s="151">
        <v>41842</v>
      </c>
      <c r="BQ192" s="205">
        <v>10.1</v>
      </c>
      <c r="BR192" s="151">
        <v>41842</v>
      </c>
      <c r="BS192" s="206">
        <v>47.3</v>
      </c>
      <c r="BT192" s="151">
        <v>41842</v>
      </c>
      <c r="BU192" s="207">
        <v>13.2</v>
      </c>
      <c r="BV192" s="151">
        <v>41842</v>
      </c>
      <c r="BW192" s="206">
        <v>45.6</v>
      </c>
      <c r="BX192" s="151">
        <v>41842</v>
      </c>
      <c r="BY192" s="210">
        <v>7.12</v>
      </c>
      <c r="BZ192" s="151">
        <v>41842</v>
      </c>
      <c r="CA192" s="206">
        <v>30.1</v>
      </c>
      <c r="CB192" s="151">
        <v>41842</v>
      </c>
      <c r="CC192" s="208">
        <v>5.6</v>
      </c>
      <c r="CD192" s="151">
        <v>41838</v>
      </c>
      <c r="CL192" s="209">
        <v>3</v>
      </c>
      <c r="CM192" s="201">
        <v>41810</v>
      </c>
    </row>
    <row r="193" spans="1:91" ht="15">
      <c r="A193" s="152" t="s">
        <v>7909</v>
      </c>
      <c r="B193" s="110" t="s">
        <v>235</v>
      </c>
      <c r="C193" s="110" t="s">
        <v>8081</v>
      </c>
      <c r="D193" s="110">
        <v>11369</v>
      </c>
      <c r="E193" s="111">
        <v>12</v>
      </c>
      <c r="F193" s="111">
        <v>513</v>
      </c>
      <c r="K193" s="191">
        <v>3</v>
      </c>
      <c r="L193" s="151">
        <v>41701</v>
      </c>
      <c r="M193" s="169">
        <v>4.7</v>
      </c>
      <c r="N193" s="151">
        <v>41838</v>
      </c>
      <c r="Q193" s="497"/>
      <c r="S193" s="134">
        <v>16.75</v>
      </c>
      <c r="T193" s="151">
        <v>41842</v>
      </c>
      <c r="U193" s="134">
        <v>13.5</v>
      </c>
      <c r="V193" s="151">
        <v>41838</v>
      </c>
      <c r="W193" s="196">
        <v>9</v>
      </c>
      <c r="X193" s="151">
        <v>41829</v>
      </c>
      <c r="Y193" s="134">
        <f t="shared" si="2"/>
        <v>5.0206799999999996</v>
      </c>
      <c r="AC193" s="134">
        <v>34.81</v>
      </c>
      <c r="AD193" s="151">
        <v>41838</v>
      </c>
      <c r="AE193" s="134">
        <v>36.119999999999997</v>
      </c>
      <c r="AF193" s="151">
        <v>41838</v>
      </c>
      <c r="AG193" s="197">
        <v>3.9</v>
      </c>
      <c r="AH193" s="151">
        <v>41843</v>
      </c>
      <c r="AI193" s="198">
        <v>3</v>
      </c>
      <c r="AJ193" s="151">
        <v>41778</v>
      </c>
      <c r="AK193" s="199">
        <v>5</v>
      </c>
      <c r="AL193" s="151">
        <v>41709</v>
      </c>
      <c r="BE193" s="200">
        <v>5</v>
      </c>
      <c r="BF193" s="201">
        <v>41555</v>
      </c>
      <c r="BG193" s="203">
        <v>-0.1</v>
      </c>
      <c r="BH193" s="151">
        <v>41842</v>
      </c>
      <c r="BM193" s="204">
        <v>63.2</v>
      </c>
      <c r="BN193" s="151">
        <v>41842</v>
      </c>
      <c r="BQ193" s="205">
        <v>10.8</v>
      </c>
      <c r="BR193" s="151">
        <v>41842</v>
      </c>
      <c r="BS193" s="206">
        <v>46.4</v>
      </c>
      <c r="BT193" s="151">
        <v>41842</v>
      </c>
      <c r="BU193" s="207">
        <v>13.9</v>
      </c>
      <c r="BV193" s="151">
        <v>41842</v>
      </c>
      <c r="BW193" s="206">
        <v>50.5</v>
      </c>
      <c r="BX193" s="151">
        <v>41842</v>
      </c>
      <c r="BY193" s="210">
        <v>7.09</v>
      </c>
      <c r="BZ193" s="151">
        <v>41842</v>
      </c>
      <c r="CA193" s="206">
        <v>31.2</v>
      </c>
      <c r="CB193" s="151">
        <v>41842</v>
      </c>
      <c r="CC193" s="208">
        <v>5.6</v>
      </c>
      <c r="CD193" s="151">
        <v>41838</v>
      </c>
      <c r="CL193" s="209">
        <v>3</v>
      </c>
      <c r="CM193" s="201">
        <v>41810</v>
      </c>
    </row>
    <row r="194" spans="1:91" ht="15">
      <c r="A194" s="152" t="s">
        <v>7910</v>
      </c>
      <c r="B194" s="110" t="s">
        <v>235</v>
      </c>
      <c r="C194" s="110" t="s">
        <v>8082</v>
      </c>
      <c r="D194" s="110">
        <v>11520</v>
      </c>
      <c r="E194" s="111">
        <v>4</v>
      </c>
      <c r="F194" s="111">
        <v>689</v>
      </c>
      <c r="K194" s="134">
        <v>5</v>
      </c>
      <c r="L194" s="151">
        <v>41701</v>
      </c>
      <c r="M194" s="169">
        <v>3.7</v>
      </c>
      <c r="N194" s="151">
        <v>41838</v>
      </c>
      <c r="Q194" s="497"/>
      <c r="S194" s="134">
        <v>12.89</v>
      </c>
      <c r="T194" s="151">
        <v>41842</v>
      </c>
      <c r="U194" s="134">
        <v>13.5</v>
      </c>
      <c r="V194" s="151">
        <v>41838</v>
      </c>
      <c r="W194" s="196">
        <v>1</v>
      </c>
      <c r="X194" s="151">
        <v>41829</v>
      </c>
      <c r="Y194" s="134">
        <f t="shared" si="2"/>
        <v>3.9759999999999995</v>
      </c>
      <c r="AC194" s="134">
        <v>27.41</v>
      </c>
      <c r="AD194" s="151">
        <v>41838</v>
      </c>
      <c r="AE194" s="134">
        <v>28.4</v>
      </c>
      <c r="AF194" s="151">
        <v>41838</v>
      </c>
      <c r="AG194" s="197">
        <v>4.5</v>
      </c>
      <c r="AH194" s="151">
        <v>41843</v>
      </c>
      <c r="AI194" s="198">
        <v>5</v>
      </c>
      <c r="AJ194" s="151">
        <v>41778</v>
      </c>
      <c r="AK194" s="199">
        <v>5</v>
      </c>
      <c r="AL194" s="151">
        <v>41709</v>
      </c>
      <c r="BE194" s="200">
        <v>5</v>
      </c>
      <c r="BF194" s="201">
        <v>41555</v>
      </c>
      <c r="BG194" s="203">
        <v>1.6</v>
      </c>
      <c r="BH194" s="151">
        <v>41842</v>
      </c>
      <c r="BM194" s="204">
        <v>62.5</v>
      </c>
      <c r="BN194" s="151">
        <v>41842</v>
      </c>
      <c r="BQ194" s="205">
        <v>10.8</v>
      </c>
      <c r="BR194" s="151">
        <v>41842</v>
      </c>
      <c r="BS194" s="206">
        <v>45.4</v>
      </c>
      <c r="BT194" s="151">
        <v>41842</v>
      </c>
      <c r="BU194" s="207">
        <v>14</v>
      </c>
      <c r="BV194" s="151">
        <v>41842</v>
      </c>
      <c r="BW194" s="206">
        <v>62.2</v>
      </c>
      <c r="BX194" s="151">
        <v>41842</v>
      </c>
      <c r="BY194" s="210">
        <v>7.05</v>
      </c>
      <c r="BZ194" s="151">
        <v>41842</v>
      </c>
      <c r="CA194" s="206">
        <v>30.6</v>
      </c>
      <c r="CB194" s="151">
        <v>41842</v>
      </c>
      <c r="CC194" s="208">
        <v>5.7</v>
      </c>
      <c r="CD194" s="151">
        <v>41838</v>
      </c>
      <c r="CL194" s="209">
        <v>5</v>
      </c>
      <c r="CM194" s="201">
        <v>41810</v>
      </c>
    </row>
    <row r="195" spans="1:91" ht="15">
      <c r="A195" s="152" t="s">
        <v>7910</v>
      </c>
      <c r="B195" s="110" t="s">
        <v>233</v>
      </c>
      <c r="C195" s="110" t="s">
        <v>381</v>
      </c>
      <c r="D195" s="110">
        <v>11162</v>
      </c>
      <c r="E195" s="111">
        <v>6</v>
      </c>
      <c r="F195" s="111">
        <v>549</v>
      </c>
      <c r="K195" s="134">
        <v>5</v>
      </c>
      <c r="L195" s="151">
        <v>41701</v>
      </c>
      <c r="M195" s="169">
        <v>2.9</v>
      </c>
      <c r="N195" s="151">
        <v>41838</v>
      </c>
      <c r="Q195" s="497"/>
      <c r="S195" s="134">
        <v>10.28</v>
      </c>
      <c r="T195" s="151">
        <v>41842</v>
      </c>
      <c r="U195" s="134">
        <v>13.5</v>
      </c>
      <c r="V195" s="151">
        <v>41838</v>
      </c>
      <c r="W195" s="196">
        <v>1</v>
      </c>
      <c r="X195" s="151">
        <v>41829</v>
      </c>
      <c r="Y195" s="134">
        <f t="shared" ref="Y195:Y258" si="3">(AE195*BU195)/100</f>
        <v>2.9672300000000003</v>
      </c>
      <c r="AC195" s="134">
        <v>21.48</v>
      </c>
      <c r="AD195" s="151">
        <v>41838</v>
      </c>
      <c r="AE195" s="134">
        <v>22.31</v>
      </c>
      <c r="AF195" s="151">
        <v>41838</v>
      </c>
      <c r="AG195" s="197">
        <v>4.5</v>
      </c>
      <c r="AH195" s="151">
        <v>41843</v>
      </c>
      <c r="AI195" s="198">
        <v>3</v>
      </c>
      <c r="AJ195" s="151">
        <v>41778</v>
      </c>
      <c r="AK195" s="199">
        <v>5</v>
      </c>
      <c r="AL195" s="151">
        <v>41709</v>
      </c>
      <c r="BE195" s="200">
        <v>5</v>
      </c>
      <c r="BF195" s="201">
        <v>41555</v>
      </c>
      <c r="BG195" s="203">
        <v>-2.8</v>
      </c>
      <c r="BH195" s="151">
        <v>41842</v>
      </c>
      <c r="BM195" s="204">
        <v>63.6</v>
      </c>
      <c r="BN195" s="151">
        <v>41842</v>
      </c>
      <c r="BQ195" s="205">
        <v>10.5</v>
      </c>
      <c r="BR195" s="151">
        <v>41842</v>
      </c>
      <c r="BS195" s="206">
        <v>46.1</v>
      </c>
      <c r="BT195" s="151">
        <v>41842</v>
      </c>
      <c r="BU195" s="207">
        <v>13.3</v>
      </c>
      <c r="BV195" s="151">
        <v>41842</v>
      </c>
      <c r="BW195" s="206">
        <v>69.400000000000006</v>
      </c>
      <c r="BX195" s="151">
        <v>41842</v>
      </c>
      <c r="BY195" s="210">
        <v>7.03</v>
      </c>
      <c r="BZ195" s="151">
        <v>41842</v>
      </c>
      <c r="CA195" s="206">
        <v>29.5</v>
      </c>
      <c r="CB195" s="151">
        <v>41842</v>
      </c>
      <c r="CC195" s="208">
        <v>5.5</v>
      </c>
      <c r="CD195" s="151">
        <v>41838</v>
      </c>
      <c r="CL195" s="209">
        <v>5</v>
      </c>
      <c r="CM195" s="201">
        <v>41810</v>
      </c>
    </row>
    <row r="196" spans="1:91" ht="15">
      <c r="A196" s="152" t="s">
        <v>7910</v>
      </c>
      <c r="B196" s="110" t="s">
        <v>233</v>
      </c>
      <c r="C196" s="110" t="s">
        <v>8083</v>
      </c>
      <c r="D196" s="110">
        <v>11710</v>
      </c>
      <c r="E196" s="111">
        <v>9</v>
      </c>
      <c r="F196" s="111">
        <v>729</v>
      </c>
      <c r="K196" s="134">
        <v>5</v>
      </c>
      <c r="L196" s="151">
        <v>41701</v>
      </c>
      <c r="M196" s="169">
        <v>3.35</v>
      </c>
      <c r="N196" s="151">
        <v>41838</v>
      </c>
      <c r="Q196" s="497"/>
      <c r="S196" s="134">
        <v>11.57</v>
      </c>
      <c r="T196" s="151">
        <v>41842</v>
      </c>
      <c r="U196" s="134">
        <v>13.5</v>
      </c>
      <c r="V196" s="151">
        <v>41838</v>
      </c>
      <c r="W196" s="196">
        <v>1</v>
      </c>
      <c r="X196" s="151">
        <v>41829</v>
      </c>
      <c r="Y196" s="134">
        <f t="shared" si="3"/>
        <v>3.5190000000000001</v>
      </c>
      <c r="AC196" s="134">
        <v>24.81</v>
      </c>
      <c r="AD196" s="151">
        <v>41838</v>
      </c>
      <c r="AE196" s="134">
        <v>25.5</v>
      </c>
      <c r="AF196" s="151">
        <v>41838</v>
      </c>
      <c r="AG196" s="197">
        <v>4.5999999999999996</v>
      </c>
      <c r="AH196" s="151">
        <v>41843</v>
      </c>
      <c r="AI196" s="198">
        <v>5</v>
      </c>
      <c r="AJ196" s="151">
        <v>41778</v>
      </c>
      <c r="AK196" s="199">
        <v>5</v>
      </c>
      <c r="AL196" s="151">
        <v>41709</v>
      </c>
      <c r="BE196" s="200">
        <v>5</v>
      </c>
      <c r="BF196" s="201">
        <v>41555</v>
      </c>
      <c r="BG196" s="203">
        <v>0.3</v>
      </c>
      <c r="BH196" s="151">
        <v>41842</v>
      </c>
      <c r="BM196" s="204">
        <v>63.9</v>
      </c>
      <c r="BN196" s="151">
        <v>41842</v>
      </c>
      <c r="BQ196" s="205">
        <v>10.4</v>
      </c>
      <c r="BR196" s="151">
        <v>41842</v>
      </c>
      <c r="BS196" s="206">
        <v>45.4</v>
      </c>
      <c r="BT196" s="151">
        <v>41842</v>
      </c>
      <c r="BU196" s="207">
        <v>13.8</v>
      </c>
      <c r="BV196" s="151">
        <v>41842</v>
      </c>
      <c r="BW196" s="206">
        <v>67.3</v>
      </c>
      <c r="BX196" s="151">
        <v>41842</v>
      </c>
      <c r="BY196" s="210">
        <v>7.27</v>
      </c>
      <c r="BZ196" s="151">
        <v>41842</v>
      </c>
      <c r="CA196" s="206">
        <v>30.3</v>
      </c>
      <c r="CB196" s="151">
        <v>41842</v>
      </c>
      <c r="CC196" s="208">
        <v>6.5</v>
      </c>
      <c r="CD196" s="151">
        <v>41838</v>
      </c>
      <c r="CL196" s="209">
        <v>5</v>
      </c>
      <c r="CM196" s="201">
        <v>41810</v>
      </c>
    </row>
    <row r="197" spans="1:91" ht="15">
      <c r="A197" s="152" t="s">
        <v>7910</v>
      </c>
      <c r="B197" s="110" t="s">
        <v>235</v>
      </c>
      <c r="C197" s="110" t="s">
        <v>8081</v>
      </c>
      <c r="D197" s="110">
        <v>11296</v>
      </c>
      <c r="E197" s="111">
        <v>10</v>
      </c>
      <c r="F197" s="111">
        <v>509</v>
      </c>
      <c r="K197" s="134">
        <v>5</v>
      </c>
      <c r="L197" s="151">
        <v>41701</v>
      </c>
      <c r="M197" s="169">
        <v>4.4000000000000004</v>
      </c>
      <c r="N197" s="151">
        <v>41838</v>
      </c>
      <c r="Q197" s="497"/>
      <c r="S197" s="134">
        <v>15.21</v>
      </c>
      <c r="T197" s="151">
        <v>41842</v>
      </c>
      <c r="U197" s="134">
        <v>13.5</v>
      </c>
      <c r="V197" s="151">
        <v>41838</v>
      </c>
      <c r="W197" s="196">
        <v>9</v>
      </c>
      <c r="X197" s="151">
        <v>41829</v>
      </c>
      <c r="Y197" s="134">
        <f t="shared" si="3"/>
        <v>4.6409400000000005</v>
      </c>
      <c r="AC197" s="134">
        <v>32.590000000000003</v>
      </c>
      <c r="AD197" s="151">
        <v>41838</v>
      </c>
      <c r="AE197" s="134">
        <v>33.630000000000003</v>
      </c>
      <c r="AF197" s="151">
        <v>41838</v>
      </c>
      <c r="AG197" s="197">
        <v>4.5</v>
      </c>
      <c r="AH197" s="151">
        <v>41843</v>
      </c>
      <c r="AI197" s="198">
        <v>5</v>
      </c>
      <c r="AJ197" s="151">
        <v>41778</v>
      </c>
      <c r="AK197" s="199">
        <v>5</v>
      </c>
      <c r="AL197" s="151">
        <v>41709</v>
      </c>
      <c r="BE197" s="200">
        <v>5</v>
      </c>
      <c r="BF197" s="201">
        <v>41555</v>
      </c>
      <c r="BG197" s="203">
        <v>0.5</v>
      </c>
      <c r="BH197" s="151">
        <v>41842</v>
      </c>
      <c r="BM197" s="204">
        <v>63.2</v>
      </c>
      <c r="BN197" s="151">
        <v>41842</v>
      </c>
      <c r="BQ197" s="205">
        <v>10.8</v>
      </c>
      <c r="BR197" s="151">
        <v>41842</v>
      </c>
      <c r="BS197" s="206">
        <v>45.2</v>
      </c>
      <c r="BT197" s="151">
        <v>41842</v>
      </c>
      <c r="BU197" s="207">
        <v>13.8</v>
      </c>
      <c r="BV197" s="151">
        <v>41842</v>
      </c>
      <c r="BW197" s="206">
        <v>65.5</v>
      </c>
      <c r="BX197" s="151">
        <v>41842</v>
      </c>
      <c r="BY197" s="210">
        <v>7.33</v>
      </c>
      <c r="BZ197" s="151">
        <v>41842</v>
      </c>
      <c r="CA197" s="206">
        <v>30.2</v>
      </c>
      <c r="CB197" s="151">
        <v>41842</v>
      </c>
      <c r="CC197" s="208">
        <v>6.1</v>
      </c>
      <c r="CD197" s="151">
        <v>41838</v>
      </c>
      <c r="CL197" s="209">
        <v>7</v>
      </c>
      <c r="CM197" s="201">
        <v>41810</v>
      </c>
    </row>
    <row r="198" spans="1:91" ht="15">
      <c r="A198" s="152" t="s">
        <v>7911</v>
      </c>
      <c r="B198" s="110" t="s">
        <v>235</v>
      </c>
      <c r="C198" s="110" t="s">
        <v>8082</v>
      </c>
      <c r="D198" s="110">
        <v>11412</v>
      </c>
      <c r="E198" s="111">
        <v>1</v>
      </c>
      <c r="F198" s="111">
        <v>689</v>
      </c>
      <c r="I198" s="373"/>
      <c r="K198" s="194">
        <v>5</v>
      </c>
      <c r="L198" s="151">
        <v>41701</v>
      </c>
      <c r="M198" s="169">
        <v>3.5</v>
      </c>
      <c r="N198" s="151">
        <v>41838</v>
      </c>
      <c r="Q198" s="497"/>
      <c r="S198" s="134">
        <v>11.68</v>
      </c>
      <c r="T198" s="151">
        <v>41842</v>
      </c>
      <c r="U198" s="194">
        <v>13.5</v>
      </c>
      <c r="V198" s="151">
        <v>41838</v>
      </c>
      <c r="W198" s="196">
        <v>9</v>
      </c>
      <c r="X198" s="151">
        <v>41829</v>
      </c>
      <c r="Y198" s="134">
        <f t="shared" si="3"/>
        <v>4.6917499999999999</v>
      </c>
      <c r="AA198" s="194"/>
      <c r="AC198" s="194">
        <v>25.93</v>
      </c>
      <c r="AD198" s="151">
        <v>41838</v>
      </c>
      <c r="AE198" s="137">
        <v>26.81</v>
      </c>
      <c r="AF198" s="151">
        <v>41838</v>
      </c>
      <c r="AG198" s="197">
        <v>6.6</v>
      </c>
      <c r="AH198" s="151">
        <v>41843</v>
      </c>
      <c r="AI198" s="198">
        <v>7</v>
      </c>
      <c r="AJ198" s="151">
        <v>41778</v>
      </c>
      <c r="AK198" s="199">
        <v>5</v>
      </c>
      <c r="AL198" s="151">
        <v>41709</v>
      </c>
      <c r="AM198" s="194"/>
      <c r="BE198" s="200">
        <v>5</v>
      </c>
      <c r="BF198" s="201">
        <v>41555</v>
      </c>
      <c r="BG198" s="203">
        <v>1.3</v>
      </c>
      <c r="BH198" s="151">
        <v>41842</v>
      </c>
      <c r="BM198" s="204">
        <v>62.5</v>
      </c>
      <c r="BN198" s="151">
        <v>41842</v>
      </c>
      <c r="BQ198" s="205">
        <v>11.9</v>
      </c>
      <c r="BR198" s="151">
        <v>41842</v>
      </c>
      <c r="BS198" s="206">
        <v>43.6</v>
      </c>
      <c r="BT198" s="151">
        <v>41842</v>
      </c>
      <c r="BU198" s="207">
        <v>17.5</v>
      </c>
      <c r="BV198" s="151">
        <v>41842</v>
      </c>
      <c r="BW198" s="206">
        <v>80.599999999999994</v>
      </c>
      <c r="BX198" s="151">
        <v>41842</v>
      </c>
      <c r="BY198" s="210">
        <v>7.15</v>
      </c>
      <c r="BZ198" s="151">
        <v>41842</v>
      </c>
      <c r="CA198" s="206">
        <v>36.799999999999997</v>
      </c>
      <c r="CB198" s="151">
        <v>41842</v>
      </c>
      <c r="CC198" s="208">
        <v>5.9</v>
      </c>
      <c r="CD198" s="151">
        <v>41838</v>
      </c>
      <c r="CL198" s="209">
        <v>5</v>
      </c>
      <c r="CM198" s="201">
        <v>41810</v>
      </c>
    </row>
    <row r="199" spans="1:91" ht="15">
      <c r="A199" s="152" t="s">
        <v>7911</v>
      </c>
      <c r="B199" s="110" t="s">
        <v>233</v>
      </c>
      <c r="C199" s="110" t="s">
        <v>381</v>
      </c>
      <c r="D199" s="110">
        <v>11120</v>
      </c>
      <c r="E199" s="111">
        <v>5</v>
      </c>
      <c r="F199" s="111">
        <v>525</v>
      </c>
      <c r="K199" s="134">
        <v>5</v>
      </c>
      <c r="L199" s="151">
        <v>41701</v>
      </c>
      <c r="M199" s="169">
        <v>2.5499999999999998</v>
      </c>
      <c r="N199" s="151">
        <v>41838</v>
      </c>
      <c r="Q199" s="497"/>
      <c r="S199" s="134">
        <v>8.2899999999999991</v>
      </c>
      <c r="T199" s="151">
        <v>41842</v>
      </c>
      <c r="U199" s="134">
        <v>13.5</v>
      </c>
      <c r="V199" s="151">
        <v>41838</v>
      </c>
      <c r="W199" s="196">
        <v>9</v>
      </c>
      <c r="X199" s="151">
        <v>41829</v>
      </c>
      <c r="Y199" s="134">
        <f t="shared" si="3"/>
        <v>3.5581</v>
      </c>
      <c r="AC199" s="134">
        <v>18.89</v>
      </c>
      <c r="AD199" s="151">
        <v>41838</v>
      </c>
      <c r="AE199" s="134">
        <v>19.55</v>
      </c>
      <c r="AF199" s="151">
        <v>41838</v>
      </c>
      <c r="AG199" s="197">
        <v>7.3</v>
      </c>
      <c r="AH199" s="151">
        <v>41843</v>
      </c>
      <c r="AI199" s="198">
        <v>5</v>
      </c>
      <c r="AJ199" s="151">
        <v>41778</v>
      </c>
      <c r="AK199" s="199">
        <v>4</v>
      </c>
      <c r="AL199" s="151">
        <v>41709</v>
      </c>
      <c r="BE199" s="200">
        <v>4</v>
      </c>
      <c r="BF199" s="201">
        <v>41555</v>
      </c>
      <c r="BG199" s="203">
        <v>-1.1000000000000001</v>
      </c>
      <c r="BH199" s="151">
        <v>41842</v>
      </c>
      <c r="BM199" s="204">
        <v>61.6</v>
      </c>
      <c r="BN199" s="151">
        <v>41842</v>
      </c>
      <c r="BQ199" s="205">
        <v>12.9</v>
      </c>
      <c r="BR199" s="151">
        <v>41842</v>
      </c>
      <c r="BS199" s="206">
        <v>42.4</v>
      </c>
      <c r="BT199" s="151">
        <v>41842</v>
      </c>
      <c r="BU199" s="207">
        <v>18.2</v>
      </c>
      <c r="BV199" s="151">
        <v>41842</v>
      </c>
      <c r="BW199" s="206">
        <v>88.3</v>
      </c>
      <c r="BX199" s="151">
        <v>41842</v>
      </c>
      <c r="BY199" s="210">
        <v>7.54</v>
      </c>
      <c r="BZ199" s="151">
        <v>41842</v>
      </c>
      <c r="CA199" s="206">
        <v>37.5</v>
      </c>
      <c r="CB199" s="151">
        <v>41842</v>
      </c>
      <c r="CC199" s="208">
        <v>5.8</v>
      </c>
      <c r="CD199" s="151">
        <v>41838</v>
      </c>
      <c r="CL199" s="209">
        <v>5</v>
      </c>
      <c r="CM199" s="201">
        <v>41810</v>
      </c>
    </row>
    <row r="200" spans="1:91" ht="15">
      <c r="A200" s="152" t="s">
        <v>7911</v>
      </c>
      <c r="B200" s="110" t="s">
        <v>235</v>
      </c>
      <c r="C200" s="110" t="s">
        <v>8081</v>
      </c>
      <c r="D200" s="110">
        <v>11272</v>
      </c>
      <c r="E200" s="111">
        <v>9</v>
      </c>
      <c r="F200" s="111">
        <v>557</v>
      </c>
      <c r="K200" s="134">
        <v>5</v>
      </c>
      <c r="L200" s="151">
        <v>41701</v>
      </c>
      <c r="M200" s="169">
        <v>3.6</v>
      </c>
      <c r="N200" s="151">
        <v>41838</v>
      </c>
      <c r="Q200" s="497"/>
      <c r="S200" s="134">
        <v>12.23</v>
      </c>
      <c r="T200" s="151">
        <v>41842</v>
      </c>
      <c r="U200" s="134">
        <v>13.5</v>
      </c>
      <c r="V200" s="151">
        <v>41838</v>
      </c>
      <c r="W200" s="196">
        <v>9</v>
      </c>
      <c r="X200" s="151">
        <v>41829</v>
      </c>
      <c r="Y200" s="134">
        <f t="shared" si="3"/>
        <v>4.5085800000000003</v>
      </c>
      <c r="AC200" s="134">
        <v>26.67</v>
      </c>
      <c r="AD200" s="151">
        <v>41838</v>
      </c>
      <c r="AE200" s="134">
        <v>27.66</v>
      </c>
      <c r="AF200" s="151">
        <v>41838</v>
      </c>
      <c r="AG200" s="197">
        <v>6.5</v>
      </c>
      <c r="AH200" s="151">
        <v>41843</v>
      </c>
      <c r="AI200" s="198">
        <v>7</v>
      </c>
      <c r="AJ200" s="151">
        <v>41778</v>
      </c>
      <c r="AK200" s="199">
        <v>5</v>
      </c>
      <c r="AL200" s="151">
        <v>41709</v>
      </c>
      <c r="BE200" s="200">
        <v>5</v>
      </c>
      <c r="BF200" s="201">
        <v>41555</v>
      </c>
      <c r="BG200" s="203">
        <v>1.4</v>
      </c>
      <c r="BH200" s="151">
        <v>41842</v>
      </c>
      <c r="BM200" s="204">
        <v>64</v>
      </c>
      <c r="BN200" s="151">
        <v>41842</v>
      </c>
      <c r="BQ200" s="205">
        <v>11</v>
      </c>
      <c r="BR200" s="151">
        <v>41842</v>
      </c>
      <c r="BS200" s="206">
        <v>44.2</v>
      </c>
      <c r="BT200" s="151">
        <v>41842</v>
      </c>
      <c r="BU200" s="207">
        <v>16.3</v>
      </c>
      <c r="BV200" s="151">
        <v>41842</v>
      </c>
      <c r="BW200" s="206">
        <v>76.8</v>
      </c>
      <c r="BX200" s="151">
        <v>41842</v>
      </c>
      <c r="BY200" s="210">
        <v>7.4</v>
      </c>
      <c r="BZ200" s="151">
        <v>41842</v>
      </c>
      <c r="CA200" s="206">
        <v>34.799999999999997</v>
      </c>
      <c r="CB200" s="151">
        <v>41842</v>
      </c>
      <c r="CC200" s="208">
        <v>5.6</v>
      </c>
      <c r="CD200" s="151">
        <v>41838</v>
      </c>
      <c r="CL200" s="209">
        <v>3</v>
      </c>
      <c r="CM200" s="201">
        <v>41810</v>
      </c>
    </row>
    <row r="201" spans="1:91" ht="15">
      <c r="A201" s="152" t="s">
        <v>7911</v>
      </c>
      <c r="B201" s="110" t="s">
        <v>233</v>
      </c>
      <c r="C201" s="110" t="s">
        <v>8083</v>
      </c>
      <c r="D201" s="110">
        <v>11752</v>
      </c>
      <c r="E201" s="111">
        <v>10</v>
      </c>
      <c r="F201" s="111">
        <v>753</v>
      </c>
      <c r="K201" s="191">
        <v>3</v>
      </c>
      <c r="L201" s="151">
        <v>41701</v>
      </c>
      <c r="M201" s="169">
        <v>2.2000000000000002</v>
      </c>
      <c r="N201" s="151">
        <v>41838</v>
      </c>
      <c r="Q201" s="497"/>
      <c r="S201" s="134">
        <v>7.13</v>
      </c>
      <c r="T201" s="151">
        <v>41842</v>
      </c>
      <c r="U201" s="134">
        <v>13.5</v>
      </c>
      <c r="V201" s="151">
        <v>41838</v>
      </c>
      <c r="W201" s="196">
        <v>9</v>
      </c>
      <c r="X201" s="151">
        <v>41829</v>
      </c>
      <c r="Y201" s="134">
        <f t="shared" si="3"/>
        <v>2.9119999999999999</v>
      </c>
      <c r="AC201" s="134">
        <v>16.3</v>
      </c>
      <c r="AD201" s="151">
        <v>41838</v>
      </c>
      <c r="AE201" s="134">
        <v>16.64</v>
      </c>
      <c r="AF201" s="151">
        <v>41838</v>
      </c>
      <c r="AG201" s="197">
        <v>6.9</v>
      </c>
      <c r="AH201" s="151">
        <v>41843</v>
      </c>
      <c r="AI201" s="198">
        <v>5</v>
      </c>
      <c r="AJ201" s="151">
        <v>41778</v>
      </c>
      <c r="AK201" s="199">
        <v>5</v>
      </c>
      <c r="AL201" s="151">
        <v>41709</v>
      </c>
      <c r="BE201" s="200">
        <v>5</v>
      </c>
      <c r="BF201" s="201">
        <v>41555</v>
      </c>
      <c r="BG201" s="203">
        <v>-4.3</v>
      </c>
      <c r="BH201" s="151">
        <v>41842</v>
      </c>
      <c r="BM201" s="204">
        <v>61.6</v>
      </c>
      <c r="BN201" s="151">
        <v>41842</v>
      </c>
      <c r="BQ201" s="205">
        <v>12.4</v>
      </c>
      <c r="BR201" s="151">
        <v>41842</v>
      </c>
      <c r="BS201" s="206">
        <v>42.9</v>
      </c>
      <c r="BT201" s="151">
        <v>41842</v>
      </c>
      <c r="BU201" s="207">
        <v>17.5</v>
      </c>
      <c r="BV201" s="151">
        <v>41842</v>
      </c>
      <c r="BW201" s="206">
        <v>80.8</v>
      </c>
      <c r="BX201" s="151">
        <v>41842</v>
      </c>
      <c r="BY201" s="210">
        <v>7.7</v>
      </c>
      <c r="BZ201" s="151">
        <v>41842</v>
      </c>
      <c r="CA201" s="206">
        <v>36.299999999999997</v>
      </c>
      <c r="CB201" s="151">
        <v>41842</v>
      </c>
      <c r="CC201" s="208">
        <v>7.1</v>
      </c>
      <c r="CD201" s="151">
        <v>41838</v>
      </c>
      <c r="CL201" s="209">
        <v>3</v>
      </c>
      <c r="CM201" s="201">
        <v>41810</v>
      </c>
    </row>
    <row r="202" spans="1:91" ht="15">
      <c r="A202" s="152" t="s">
        <v>7912</v>
      </c>
      <c r="B202" s="110" t="s">
        <v>233</v>
      </c>
      <c r="C202" s="110" t="s">
        <v>381</v>
      </c>
      <c r="D202" s="110">
        <v>11049</v>
      </c>
      <c r="E202" s="111">
        <v>3</v>
      </c>
      <c r="F202" s="111">
        <v>529</v>
      </c>
      <c r="K202" s="134">
        <v>5</v>
      </c>
      <c r="L202" s="151">
        <v>41701</v>
      </c>
      <c r="M202" s="169">
        <v>3.55</v>
      </c>
      <c r="N202" s="151">
        <v>41838</v>
      </c>
      <c r="Q202" s="497"/>
      <c r="S202" s="134">
        <v>11.96</v>
      </c>
      <c r="T202" s="151">
        <v>41842</v>
      </c>
      <c r="U202" s="134">
        <v>13.5</v>
      </c>
      <c r="V202" s="151">
        <v>41838</v>
      </c>
      <c r="W202" s="196">
        <v>9</v>
      </c>
      <c r="X202" s="151">
        <v>41829</v>
      </c>
      <c r="Y202" s="134">
        <f t="shared" si="3"/>
        <v>4.2020499999999998</v>
      </c>
      <c r="AC202" s="134">
        <v>26.3</v>
      </c>
      <c r="AD202" s="151">
        <v>41838</v>
      </c>
      <c r="AE202" s="134">
        <v>27.11</v>
      </c>
      <c r="AF202" s="151">
        <v>41838</v>
      </c>
      <c r="AG202" s="197">
        <v>5.3</v>
      </c>
      <c r="AH202" s="151">
        <v>41843</v>
      </c>
      <c r="AI202" s="198">
        <v>7</v>
      </c>
      <c r="AJ202" s="151">
        <v>41778</v>
      </c>
      <c r="AK202" s="199">
        <v>5</v>
      </c>
      <c r="AL202" s="151">
        <v>41709</v>
      </c>
      <c r="BE202" s="200">
        <v>5</v>
      </c>
      <c r="BF202" s="201">
        <v>41555</v>
      </c>
      <c r="BG202" s="203">
        <v>-0.6</v>
      </c>
      <c r="BH202" s="151">
        <v>41842</v>
      </c>
      <c r="BM202" s="204">
        <v>62.1</v>
      </c>
      <c r="BN202" s="151">
        <v>41842</v>
      </c>
      <c r="BQ202" s="205">
        <v>10.9</v>
      </c>
      <c r="BR202" s="151">
        <v>41842</v>
      </c>
      <c r="BS202" s="206">
        <v>44.1</v>
      </c>
      <c r="BT202" s="151">
        <v>41842</v>
      </c>
      <c r="BU202" s="207">
        <v>15.5</v>
      </c>
      <c r="BV202" s="151">
        <v>41842</v>
      </c>
      <c r="BW202" s="206">
        <v>64.8</v>
      </c>
      <c r="BX202" s="151">
        <v>41842</v>
      </c>
      <c r="BY202" s="210">
        <v>7.25</v>
      </c>
      <c r="BZ202" s="151">
        <v>41842</v>
      </c>
      <c r="CA202" s="206">
        <v>33</v>
      </c>
      <c r="CB202" s="151">
        <v>41842</v>
      </c>
      <c r="CC202" s="208">
        <v>6.2</v>
      </c>
      <c r="CD202" s="151">
        <v>41838</v>
      </c>
      <c r="CL202" s="209">
        <v>3</v>
      </c>
      <c r="CM202" s="201">
        <v>41810</v>
      </c>
    </row>
    <row r="203" spans="1:91" ht="15">
      <c r="A203" s="152" t="s">
        <v>7912</v>
      </c>
      <c r="B203" s="110" t="s">
        <v>235</v>
      </c>
      <c r="C203" s="110" t="s">
        <v>8082</v>
      </c>
      <c r="D203" s="110">
        <v>11511</v>
      </c>
      <c r="E203" s="111">
        <v>4</v>
      </c>
      <c r="F203" s="111">
        <v>653</v>
      </c>
      <c r="K203" s="194">
        <v>7</v>
      </c>
      <c r="L203" s="151">
        <v>41701</v>
      </c>
      <c r="M203" s="169">
        <v>4.25</v>
      </c>
      <c r="N203" s="151">
        <v>41838</v>
      </c>
      <c r="Q203" s="497"/>
      <c r="S203" s="134">
        <v>13.99</v>
      </c>
      <c r="T203" s="151">
        <v>41842</v>
      </c>
      <c r="U203" s="134">
        <v>13.5</v>
      </c>
      <c r="V203" s="151">
        <v>41838</v>
      </c>
      <c r="W203" s="196">
        <v>9</v>
      </c>
      <c r="X203" s="151">
        <v>41829</v>
      </c>
      <c r="Y203" s="134">
        <f t="shared" si="3"/>
        <v>5.2873599999999996</v>
      </c>
      <c r="AC203" s="134">
        <v>31.48</v>
      </c>
      <c r="AD203" s="151">
        <v>41838</v>
      </c>
      <c r="AE203" s="134">
        <v>32.24</v>
      </c>
      <c r="AF203" s="151">
        <v>41838</v>
      </c>
      <c r="AG203" s="197">
        <v>5.6</v>
      </c>
      <c r="AH203" s="151">
        <v>41843</v>
      </c>
      <c r="AI203" s="198">
        <v>9</v>
      </c>
      <c r="AJ203" s="151">
        <v>41778</v>
      </c>
      <c r="AK203" s="199">
        <v>5</v>
      </c>
      <c r="AL203" s="151">
        <v>41709</v>
      </c>
      <c r="BE203" s="200">
        <v>5</v>
      </c>
      <c r="BF203" s="201">
        <v>41555</v>
      </c>
      <c r="BG203" s="203">
        <v>4.5</v>
      </c>
      <c r="BH203" s="151">
        <v>41842</v>
      </c>
      <c r="BM203" s="204">
        <v>62.8</v>
      </c>
      <c r="BN203" s="151">
        <v>41842</v>
      </c>
      <c r="BQ203" s="205">
        <v>10.7</v>
      </c>
      <c r="BR203" s="151">
        <v>41842</v>
      </c>
      <c r="BS203" s="206">
        <v>43.4</v>
      </c>
      <c r="BT203" s="151">
        <v>41842</v>
      </c>
      <c r="BU203" s="207">
        <v>16.399999999999999</v>
      </c>
      <c r="BV203" s="151">
        <v>41842</v>
      </c>
      <c r="BW203" s="206">
        <v>72.900000000000006</v>
      </c>
      <c r="BX203" s="151">
        <v>41842</v>
      </c>
      <c r="BY203" s="210">
        <v>7.53</v>
      </c>
      <c r="BZ203" s="151">
        <v>41842</v>
      </c>
      <c r="CA203" s="206">
        <v>34.4</v>
      </c>
      <c r="CB203" s="151">
        <v>41842</v>
      </c>
      <c r="CC203" s="208">
        <v>6.8</v>
      </c>
      <c r="CD203" s="151">
        <v>41838</v>
      </c>
      <c r="CL203" s="209">
        <v>5</v>
      </c>
      <c r="CM203" s="201">
        <v>41810</v>
      </c>
    </row>
    <row r="204" spans="1:91" ht="15">
      <c r="A204" s="152" t="s">
        <v>7912</v>
      </c>
      <c r="B204" s="110" t="s">
        <v>235</v>
      </c>
      <c r="C204" s="110" t="s">
        <v>8081</v>
      </c>
      <c r="D204" s="110">
        <v>11204</v>
      </c>
      <c r="E204" s="111">
        <v>7</v>
      </c>
      <c r="F204" s="111">
        <v>573</v>
      </c>
      <c r="K204" s="134">
        <v>5</v>
      </c>
      <c r="L204" s="151">
        <v>41701</v>
      </c>
      <c r="M204" s="169">
        <v>3.9</v>
      </c>
      <c r="N204" s="151">
        <v>41838</v>
      </c>
      <c r="Q204" s="497"/>
      <c r="S204" s="134">
        <v>12.91</v>
      </c>
      <c r="T204" s="151">
        <v>41842</v>
      </c>
      <c r="U204" s="134">
        <v>13.5</v>
      </c>
      <c r="V204" s="151">
        <v>41838</v>
      </c>
      <c r="W204" s="196">
        <v>9</v>
      </c>
      <c r="X204" s="151">
        <v>41829</v>
      </c>
      <c r="Y204" s="134">
        <f t="shared" si="3"/>
        <v>4.7350200000000005</v>
      </c>
      <c r="AC204" s="134">
        <v>28.89</v>
      </c>
      <c r="AD204" s="151">
        <v>41838</v>
      </c>
      <c r="AE204" s="134">
        <v>29.78</v>
      </c>
      <c r="AF204" s="151">
        <v>41838</v>
      </c>
      <c r="AG204" s="197">
        <v>5.2</v>
      </c>
      <c r="AH204" s="151">
        <v>41843</v>
      </c>
      <c r="AI204" s="198">
        <v>7</v>
      </c>
      <c r="AJ204" s="151">
        <v>41778</v>
      </c>
      <c r="AK204" s="199">
        <v>5</v>
      </c>
      <c r="AL204" s="151">
        <v>41709</v>
      </c>
      <c r="BE204" s="200">
        <v>5</v>
      </c>
      <c r="BF204" s="201">
        <v>41555</v>
      </c>
      <c r="BG204" s="203">
        <v>0.2</v>
      </c>
      <c r="BH204" s="151">
        <v>41842</v>
      </c>
      <c r="BM204" s="204">
        <v>63.3</v>
      </c>
      <c r="BN204" s="151">
        <v>41842</v>
      </c>
      <c r="BQ204" s="205">
        <v>10.3</v>
      </c>
      <c r="BR204" s="151">
        <v>41842</v>
      </c>
      <c r="BS204" s="206">
        <v>43.4</v>
      </c>
      <c r="BT204" s="151">
        <v>41842</v>
      </c>
      <c r="BU204" s="207">
        <v>15.9</v>
      </c>
      <c r="BV204" s="151">
        <v>41842</v>
      </c>
      <c r="BW204" s="206">
        <v>63.6</v>
      </c>
      <c r="BX204" s="151">
        <v>41842</v>
      </c>
      <c r="BY204" s="210">
        <v>7.38</v>
      </c>
      <c r="BZ204" s="151">
        <v>41842</v>
      </c>
      <c r="CA204" s="206">
        <v>33.4</v>
      </c>
      <c r="CB204" s="151">
        <v>41842</v>
      </c>
      <c r="CC204" s="208">
        <v>6.2</v>
      </c>
      <c r="CD204" s="151">
        <v>41838</v>
      </c>
      <c r="CL204" s="209">
        <v>3</v>
      </c>
      <c r="CM204" s="201">
        <v>41810</v>
      </c>
    </row>
    <row r="205" spans="1:91" ht="15">
      <c r="A205" s="152" t="s">
        <v>7912</v>
      </c>
      <c r="B205" s="110" t="s">
        <v>233</v>
      </c>
      <c r="C205" s="110" t="s">
        <v>8083</v>
      </c>
      <c r="D205" s="110">
        <v>11807</v>
      </c>
      <c r="E205" s="111">
        <v>12</v>
      </c>
      <c r="F205" s="111">
        <v>685</v>
      </c>
      <c r="K205" s="134">
        <v>5</v>
      </c>
      <c r="L205" s="151">
        <v>41701</v>
      </c>
      <c r="M205" s="169">
        <v>3.15</v>
      </c>
      <c r="N205" s="151">
        <v>41838</v>
      </c>
      <c r="Q205" s="497"/>
      <c r="S205" s="134">
        <v>10.42</v>
      </c>
      <c r="T205" s="151">
        <v>41842</v>
      </c>
      <c r="U205" s="134">
        <v>13.5</v>
      </c>
      <c r="V205" s="151">
        <v>41838</v>
      </c>
      <c r="W205" s="196">
        <v>9</v>
      </c>
      <c r="X205" s="151">
        <v>41829</v>
      </c>
      <c r="Y205" s="134">
        <f t="shared" si="3"/>
        <v>3.9168900000000004</v>
      </c>
      <c r="AC205" s="134">
        <v>23.33</v>
      </c>
      <c r="AD205" s="151">
        <v>41838</v>
      </c>
      <c r="AE205" s="134">
        <v>24.03</v>
      </c>
      <c r="AF205" s="151">
        <v>41838</v>
      </c>
      <c r="AG205" s="197">
        <v>5.5</v>
      </c>
      <c r="AH205" s="151">
        <v>41843</v>
      </c>
      <c r="AI205" s="198">
        <v>7</v>
      </c>
      <c r="AJ205" s="151">
        <v>41778</v>
      </c>
      <c r="AK205" s="199">
        <v>5</v>
      </c>
      <c r="AL205" s="151">
        <v>41709</v>
      </c>
      <c r="BE205" s="200">
        <v>5</v>
      </c>
      <c r="BF205" s="201">
        <v>41555</v>
      </c>
      <c r="BG205" s="203">
        <v>-2.4</v>
      </c>
      <c r="BH205" s="151">
        <v>41842</v>
      </c>
      <c r="BM205" s="204">
        <v>61.7</v>
      </c>
      <c r="BN205" s="151">
        <v>41842</v>
      </c>
      <c r="BQ205" s="205">
        <v>10.9</v>
      </c>
      <c r="BR205" s="151">
        <v>41842</v>
      </c>
      <c r="BS205" s="206">
        <v>43.4</v>
      </c>
      <c r="BT205" s="151">
        <v>41842</v>
      </c>
      <c r="BU205" s="207">
        <v>16.3</v>
      </c>
      <c r="BV205" s="151">
        <v>41842</v>
      </c>
      <c r="BW205" s="206">
        <v>66.400000000000006</v>
      </c>
      <c r="BX205" s="151">
        <v>41842</v>
      </c>
      <c r="BY205" s="210">
        <v>7.53</v>
      </c>
      <c r="BZ205" s="151">
        <v>41842</v>
      </c>
      <c r="CA205" s="206">
        <v>34.299999999999997</v>
      </c>
      <c r="CB205" s="151">
        <v>41842</v>
      </c>
      <c r="CC205" s="208">
        <v>6.3</v>
      </c>
      <c r="CD205" s="151">
        <v>41838</v>
      </c>
      <c r="CL205" s="209">
        <v>3</v>
      </c>
      <c r="CM205" s="201">
        <v>41810</v>
      </c>
    </row>
    <row r="206" spans="1:91" ht="15">
      <c r="A206" s="152" t="s">
        <v>7913</v>
      </c>
      <c r="B206" s="110" t="s">
        <v>233</v>
      </c>
      <c r="C206" s="110" t="s">
        <v>381</v>
      </c>
      <c r="D206" s="110">
        <v>11031</v>
      </c>
      <c r="E206" s="111">
        <v>2</v>
      </c>
      <c r="F206" s="111">
        <v>601</v>
      </c>
      <c r="K206" s="134">
        <v>5</v>
      </c>
      <c r="L206" s="151">
        <v>41701</v>
      </c>
      <c r="M206" s="169">
        <v>3.55</v>
      </c>
      <c r="N206" s="151">
        <v>41838</v>
      </c>
      <c r="Q206" s="497"/>
      <c r="S206" s="134">
        <v>12.09</v>
      </c>
      <c r="T206" s="151">
        <v>41842</v>
      </c>
      <c r="U206" s="134">
        <v>13.5</v>
      </c>
      <c r="V206" s="151">
        <v>41838</v>
      </c>
      <c r="W206" s="196">
        <v>9</v>
      </c>
      <c r="X206" s="151">
        <v>41829</v>
      </c>
      <c r="Y206" s="134">
        <f t="shared" si="3"/>
        <v>3.8024</v>
      </c>
      <c r="AC206" s="134">
        <v>26.3</v>
      </c>
      <c r="AD206" s="151">
        <v>41838</v>
      </c>
      <c r="AE206" s="134">
        <v>27.16</v>
      </c>
      <c r="AF206" s="151">
        <v>41838</v>
      </c>
      <c r="AG206" s="197">
        <v>5.0999999999999996</v>
      </c>
      <c r="AH206" s="151">
        <v>41843</v>
      </c>
      <c r="AI206" s="198">
        <v>3</v>
      </c>
      <c r="AJ206" s="151">
        <v>41778</v>
      </c>
      <c r="AK206" s="199">
        <v>5</v>
      </c>
      <c r="AL206" s="151">
        <v>41709</v>
      </c>
      <c r="BE206" s="200">
        <v>5</v>
      </c>
      <c r="BF206" s="201">
        <v>41555</v>
      </c>
      <c r="BG206" s="203">
        <v>2.5</v>
      </c>
      <c r="BH206" s="151">
        <v>41842</v>
      </c>
      <c r="BM206" s="204">
        <v>64.2</v>
      </c>
      <c r="BN206" s="151">
        <v>41842</v>
      </c>
      <c r="BQ206" s="205">
        <v>10.8</v>
      </c>
      <c r="BR206" s="151">
        <v>41842</v>
      </c>
      <c r="BS206" s="206">
        <v>44.5</v>
      </c>
      <c r="BT206" s="151">
        <v>41842</v>
      </c>
      <c r="BU206" s="207">
        <v>14</v>
      </c>
      <c r="BV206" s="151">
        <v>41842</v>
      </c>
      <c r="BW206" s="206">
        <v>58.4</v>
      </c>
      <c r="BX206" s="151">
        <v>41842</v>
      </c>
      <c r="BY206" s="210">
        <v>7.49</v>
      </c>
      <c r="BZ206" s="151">
        <v>41842</v>
      </c>
      <c r="CA206" s="206">
        <v>30</v>
      </c>
      <c r="CB206" s="151">
        <v>41842</v>
      </c>
      <c r="CC206" s="208">
        <v>6</v>
      </c>
      <c r="CD206" s="151">
        <v>41838</v>
      </c>
      <c r="CL206" s="209">
        <v>5</v>
      </c>
      <c r="CM206" s="201">
        <v>41810</v>
      </c>
    </row>
    <row r="207" spans="1:91" ht="15">
      <c r="A207" s="152" t="s">
        <v>7913</v>
      </c>
      <c r="B207" s="110" t="s">
        <v>235</v>
      </c>
      <c r="C207" s="110" t="s">
        <v>8082</v>
      </c>
      <c r="D207" s="110">
        <v>11560</v>
      </c>
      <c r="E207" s="111">
        <v>5</v>
      </c>
      <c r="F207" s="111">
        <v>705</v>
      </c>
      <c r="K207" s="134">
        <v>5</v>
      </c>
      <c r="L207" s="151">
        <v>41701</v>
      </c>
      <c r="M207" s="169">
        <v>4.0999999999999996</v>
      </c>
      <c r="N207" s="151">
        <v>41838</v>
      </c>
      <c r="Q207" s="497"/>
      <c r="S207" s="134">
        <v>14.04</v>
      </c>
      <c r="T207" s="151">
        <v>41842</v>
      </c>
      <c r="U207" s="134">
        <v>13.5</v>
      </c>
      <c r="V207" s="151">
        <v>41838</v>
      </c>
      <c r="W207" s="196">
        <v>9</v>
      </c>
      <c r="X207" s="151">
        <v>41829</v>
      </c>
      <c r="Y207" s="134">
        <f t="shared" si="3"/>
        <v>4.4471400000000001</v>
      </c>
      <c r="AC207" s="134">
        <v>30.37</v>
      </c>
      <c r="AD207" s="151">
        <v>41838</v>
      </c>
      <c r="AE207" s="134">
        <v>31.54</v>
      </c>
      <c r="AF207" s="151">
        <v>41838</v>
      </c>
      <c r="AG207" s="197">
        <v>5.0999999999999996</v>
      </c>
      <c r="AH207" s="151">
        <v>41843</v>
      </c>
      <c r="AI207" s="198">
        <v>3</v>
      </c>
      <c r="AJ207" s="151">
        <v>41778</v>
      </c>
      <c r="AK207" s="199">
        <v>5</v>
      </c>
      <c r="AL207" s="151">
        <v>41709</v>
      </c>
      <c r="BE207" s="200">
        <v>5</v>
      </c>
      <c r="BF207" s="201">
        <v>41555</v>
      </c>
      <c r="BG207" s="203">
        <v>-0.1</v>
      </c>
      <c r="BH207" s="151">
        <v>41842</v>
      </c>
      <c r="BM207" s="204">
        <v>63.4</v>
      </c>
      <c r="BN207" s="151">
        <v>41842</v>
      </c>
      <c r="BQ207" s="205">
        <v>10.7</v>
      </c>
      <c r="BR207" s="151">
        <v>41842</v>
      </c>
      <c r="BS207" s="206">
        <v>44.5</v>
      </c>
      <c r="BT207" s="151">
        <v>41842</v>
      </c>
      <c r="BU207" s="207">
        <v>14.1</v>
      </c>
      <c r="BV207" s="151">
        <v>41842</v>
      </c>
      <c r="BW207" s="206">
        <v>58.1</v>
      </c>
      <c r="BX207" s="151">
        <v>41842</v>
      </c>
      <c r="BY207" s="210">
        <v>7.39</v>
      </c>
      <c r="BZ207" s="151">
        <v>41842</v>
      </c>
      <c r="CA207" s="206">
        <v>30.4</v>
      </c>
      <c r="CB207" s="151">
        <v>41842</v>
      </c>
      <c r="CC207" s="208">
        <v>5.5</v>
      </c>
      <c r="CD207" s="151">
        <v>41838</v>
      </c>
      <c r="CL207" s="209">
        <v>7</v>
      </c>
      <c r="CM207" s="201">
        <v>41810</v>
      </c>
    </row>
    <row r="208" spans="1:91" ht="15">
      <c r="A208" s="152" t="s">
        <v>7913</v>
      </c>
      <c r="B208" s="110" t="s">
        <v>233</v>
      </c>
      <c r="C208" s="110" t="s">
        <v>8083</v>
      </c>
      <c r="D208" s="110">
        <v>11649</v>
      </c>
      <c r="E208" s="111">
        <v>8</v>
      </c>
      <c r="F208" s="111">
        <v>629</v>
      </c>
      <c r="K208" s="134">
        <v>5</v>
      </c>
      <c r="L208" s="151">
        <v>41701</v>
      </c>
      <c r="M208" s="169">
        <v>4.25</v>
      </c>
      <c r="N208" s="151">
        <v>41838</v>
      </c>
      <c r="Q208" s="497"/>
      <c r="S208" s="134">
        <v>14.48</v>
      </c>
      <c r="T208" s="151">
        <v>41842</v>
      </c>
      <c r="U208" s="134">
        <v>13.5</v>
      </c>
      <c r="V208" s="151">
        <v>41838</v>
      </c>
      <c r="W208" s="196">
        <v>9</v>
      </c>
      <c r="X208" s="151">
        <v>41829</v>
      </c>
      <c r="Y208" s="134">
        <f t="shared" si="3"/>
        <v>4.6803900000000001</v>
      </c>
      <c r="AC208" s="134">
        <v>31.48</v>
      </c>
      <c r="AD208" s="151">
        <v>41838</v>
      </c>
      <c r="AE208" s="134">
        <v>32.729999999999997</v>
      </c>
      <c r="AF208" s="151">
        <v>41838</v>
      </c>
      <c r="AG208" s="197">
        <v>5</v>
      </c>
      <c r="AH208" s="151">
        <v>41843</v>
      </c>
      <c r="AI208" s="198">
        <v>1</v>
      </c>
      <c r="AJ208" s="151">
        <v>41778</v>
      </c>
      <c r="AK208" s="199">
        <v>4</v>
      </c>
      <c r="AL208" s="151">
        <v>41709</v>
      </c>
      <c r="BE208" s="200">
        <v>4</v>
      </c>
      <c r="BF208" s="201">
        <v>41555</v>
      </c>
      <c r="BG208" s="203">
        <v>-1.4</v>
      </c>
      <c r="BH208" s="151">
        <v>41842</v>
      </c>
      <c r="BM208" s="204">
        <v>63.2</v>
      </c>
      <c r="BN208" s="151">
        <v>41842</v>
      </c>
      <c r="BQ208" s="205">
        <v>11.1</v>
      </c>
      <c r="BR208" s="151">
        <v>41842</v>
      </c>
      <c r="BS208" s="206">
        <v>44.3</v>
      </c>
      <c r="BT208" s="151">
        <v>41842</v>
      </c>
      <c r="BU208" s="207">
        <v>14.3</v>
      </c>
      <c r="BV208" s="151">
        <v>41842</v>
      </c>
      <c r="BW208" s="206">
        <v>53.4</v>
      </c>
      <c r="BX208" s="151">
        <v>41842</v>
      </c>
      <c r="BY208" s="210">
        <v>7.57</v>
      </c>
      <c r="BZ208" s="151">
        <v>41842</v>
      </c>
      <c r="CA208" s="206">
        <v>30.7</v>
      </c>
      <c r="CB208" s="151">
        <v>41842</v>
      </c>
      <c r="CC208" s="208">
        <v>5.4</v>
      </c>
      <c r="CD208" s="151">
        <v>41838</v>
      </c>
      <c r="CL208" s="209">
        <v>5</v>
      </c>
      <c r="CM208" s="201">
        <v>41810</v>
      </c>
    </row>
    <row r="209" spans="1:91" ht="15">
      <c r="A209" s="152" t="s">
        <v>7913</v>
      </c>
      <c r="B209" s="110" t="s">
        <v>235</v>
      </c>
      <c r="C209" s="110" t="s">
        <v>8081</v>
      </c>
      <c r="D209" s="110">
        <v>11381</v>
      </c>
      <c r="E209" s="111">
        <v>12</v>
      </c>
      <c r="F209" s="111">
        <v>561</v>
      </c>
      <c r="J209" s="187"/>
      <c r="K209" s="134">
        <v>5</v>
      </c>
      <c r="L209" s="151">
        <v>41701</v>
      </c>
      <c r="M209" s="169">
        <v>3.95</v>
      </c>
      <c r="N209" s="151">
        <v>41838</v>
      </c>
      <c r="Q209" s="497"/>
      <c r="S209" s="134">
        <v>13.18</v>
      </c>
      <c r="T209" s="151">
        <v>41842</v>
      </c>
      <c r="U209" s="134">
        <v>13.5</v>
      </c>
      <c r="V209" s="151">
        <v>41838</v>
      </c>
      <c r="W209" s="196">
        <v>1</v>
      </c>
      <c r="X209" s="151">
        <v>41829</v>
      </c>
      <c r="Y209" s="134">
        <f t="shared" si="3"/>
        <v>4.4354800000000001</v>
      </c>
      <c r="AC209" s="134">
        <v>29.26</v>
      </c>
      <c r="AD209" s="151">
        <v>41838</v>
      </c>
      <c r="AE209" s="134">
        <v>30.38</v>
      </c>
      <c r="AF209" s="151">
        <v>41838</v>
      </c>
      <c r="AG209" s="197">
        <v>5</v>
      </c>
      <c r="AH209" s="151">
        <v>41843</v>
      </c>
      <c r="AI209" s="198">
        <v>5</v>
      </c>
      <c r="AJ209" s="151">
        <v>41778</v>
      </c>
      <c r="AK209" s="199">
        <v>5</v>
      </c>
      <c r="AL209" s="151">
        <v>41709</v>
      </c>
      <c r="BE209" s="200">
        <v>5</v>
      </c>
      <c r="BF209" s="201">
        <v>41555</v>
      </c>
      <c r="BG209" s="203">
        <v>-0.7</v>
      </c>
      <c r="BH209" s="151">
        <v>41842</v>
      </c>
      <c r="BM209" s="204">
        <v>63.5</v>
      </c>
      <c r="BN209" s="151">
        <v>41842</v>
      </c>
      <c r="BQ209" s="205">
        <v>10.9</v>
      </c>
      <c r="BR209" s="151">
        <v>41842</v>
      </c>
      <c r="BS209" s="206">
        <v>43.4</v>
      </c>
      <c r="BT209" s="151">
        <v>41842</v>
      </c>
      <c r="BU209" s="207">
        <v>14.6</v>
      </c>
      <c r="BV209" s="151">
        <v>41842</v>
      </c>
      <c r="BW209" s="206">
        <v>58.4</v>
      </c>
      <c r="BX209" s="151">
        <v>41842</v>
      </c>
      <c r="BY209" s="210">
        <v>7.52</v>
      </c>
      <c r="BZ209" s="151">
        <v>41842</v>
      </c>
      <c r="CA209" s="206">
        <v>30.7</v>
      </c>
      <c r="CB209" s="151">
        <v>41842</v>
      </c>
      <c r="CC209" s="208">
        <v>5.5</v>
      </c>
      <c r="CD209" s="151">
        <v>41838</v>
      </c>
      <c r="CL209" s="209">
        <v>7</v>
      </c>
      <c r="CM209" s="201">
        <v>41810</v>
      </c>
    </row>
    <row r="210" spans="1:91" ht="15">
      <c r="A210" s="152" t="s">
        <v>7914</v>
      </c>
      <c r="B210" s="110" t="s">
        <v>233</v>
      </c>
      <c r="C210" s="110" t="s">
        <v>381</v>
      </c>
      <c r="D210" s="110">
        <v>10982</v>
      </c>
      <c r="E210" s="111">
        <v>1</v>
      </c>
      <c r="F210" s="111">
        <v>549</v>
      </c>
      <c r="I210" s="373"/>
      <c r="K210" s="194">
        <v>7</v>
      </c>
      <c r="L210" s="151">
        <v>41701</v>
      </c>
      <c r="M210" s="169">
        <v>3.55</v>
      </c>
      <c r="N210" s="151">
        <v>41838</v>
      </c>
      <c r="Q210" s="497"/>
      <c r="S210" s="134">
        <v>11.32</v>
      </c>
      <c r="T210" s="151">
        <v>41842</v>
      </c>
      <c r="U210" s="194">
        <v>13.5</v>
      </c>
      <c r="V210" s="151">
        <v>41838</v>
      </c>
      <c r="W210" s="196">
        <v>1</v>
      </c>
      <c r="X210" s="151">
        <v>41829</v>
      </c>
      <c r="Y210" s="134">
        <f t="shared" si="3"/>
        <v>4.6172000000000004</v>
      </c>
      <c r="AA210" s="194"/>
      <c r="AC210" s="194">
        <v>26.3</v>
      </c>
      <c r="AD210" s="151">
        <v>41838</v>
      </c>
      <c r="AE210" s="137">
        <v>27.16</v>
      </c>
      <c r="AF210" s="151">
        <v>41838</v>
      </c>
      <c r="AG210" s="197">
        <v>5.0999999999999996</v>
      </c>
      <c r="AH210" s="151">
        <v>41843</v>
      </c>
      <c r="AI210" s="198">
        <v>5</v>
      </c>
      <c r="AJ210" s="151">
        <v>41778</v>
      </c>
      <c r="AK210" s="199">
        <v>7</v>
      </c>
      <c r="AL210" s="151">
        <v>41709</v>
      </c>
      <c r="AM210" s="194"/>
      <c r="BE210" s="200">
        <v>7</v>
      </c>
      <c r="BF210" s="201">
        <v>41555</v>
      </c>
      <c r="BG210" s="203">
        <v>-0.8</v>
      </c>
      <c r="BH210" s="151">
        <v>41842</v>
      </c>
      <c r="BM210" s="204">
        <v>58.6</v>
      </c>
      <c r="BN210" s="151">
        <v>41842</v>
      </c>
      <c r="BQ210" s="205">
        <v>15</v>
      </c>
      <c r="BR210" s="151">
        <v>41842</v>
      </c>
      <c r="BS210" s="206">
        <v>41.7</v>
      </c>
      <c r="BT210" s="151">
        <v>41842</v>
      </c>
      <c r="BU210" s="207">
        <v>17</v>
      </c>
      <c r="BV210" s="151">
        <v>41842</v>
      </c>
      <c r="BW210" s="206">
        <v>20.8</v>
      </c>
      <c r="BX210" s="151">
        <v>41842</v>
      </c>
      <c r="BY210" s="210">
        <v>7.27</v>
      </c>
      <c r="BZ210" s="151">
        <v>41842</v>
      </c>
      <c r="CA210" s="206">
        <v>34.5</v>
      </c>
      <c r="CB210" s="151">
        <v>41842</v>
      </c>
      <c r="CC210" s="208">
        <v>6</v>
      </c>
      <c r="CD210" s="151">
        <v>41838</v>
      </c>
      <c r="CL210" s="209">
        <v>5</v>
      </c>
      <c r="CM210" s="201">
        <v>41810</v>
      </c>
    </row>
    <row r="211" spans="1:91" ht="15">
      <c r="A211" s="152" t="s">
        <v>7914</v>
      </c>
      <c r="B211" s="110" t="s">
        <v>235</v>
      </c>
      <c r="C211" s="110" t="s">
        <v>8082</v>
      </c>
      <c r="D211" s="110">
        <v>11555</v>
      </c>
      <c r="E211" s="111">
        <v>5</v>
      </c>
      <c r="F211" s="111">
        <v>685</v>
      </c>
      <c r="K211" s="194">
        <v>7</v>
      </c>
      <c r="L211" s="151">
        <v>41701</v>
      </c>
      <c r="M211" s="169">
        <v>3.9</v>
      </c>
      <c r="N211" s="151">
        <v>41838</v>
      </c>
      <c r="Q211" s="497"/>
      <c r="S211" s="134">
        <v>12.67</v>
      </c>
      <c r="T211" s="151">
        <v>41842</v>
      </c>
      <c r="U211" s="134">
        <v>13.5</v>
      </c>
      <c r="V211" s="151">
        <v>41838</v>
      </c>
      <c r="W211" s="196">
        <v>1</v>
      </c>
      <c r="X211" s="151">
        <v>41829</v>
      </c>
      <c r="Y211" s="134">
        <f t="shared" si="3"/>
        <v>4.9450500000000002</v>
      </c>
      <c r="AC211" s="134">
        <v>28.89</v>
      </c>
      <c r="AD211" s="151">
        <v>41838</v>
      </c>
      <c r="AE211" s="134">
        <v>29.97</v>
      </c>
      <c r="AF211" s="151">
        <v>41838</v>
      </c>
      <c r="AG211" s="197">
        <v>5.2</v>
      </c>
      <c r="AH211" s="151">
        <v>41843</v>
      </c>
      <c r="AI211" s="198">
        <v>7</v>
      </c>
      <c r="AJ211" s="151">
        <v>41778</v>
      </c>
      <c r="AK211" s="199">
        <v>7</v>
      </c>
      <c r="AL211" s="151">
        <v>41709</v>
      </c>
      <c r="BE211" s="200">
        <v>7</v>
      </c>
      <c r="BF211" s="201">
        <v>41555</v>
      </c>
      <c r="BG211" s="203">
        <v>-3.5</v>
      </c>
      <c r="BH211" s="151">
        <v>41842</v>
      </c>
      <c r="BM211" s="204">
        <v>57.6</v>
      </c>
      <c r="BN211" s="151">
        <v>41842</v>
      </c>
      <c r="BQ211" s="205">
        <v>14.5</v>
      </c>
      <c r="BR211" s="151">
        <v>41842</v>
      </c>
      <c r="BS211" s="206">
        <v>42.3</v>
      </c>
      <c r="BT211" s="151">
        <v>41842</v>
      </c>
      <c r="BU211" s="207">
        <v>16.5</v>
      </c>
      <c r="BV211" s="151">
        <v>41842</v>
      </c>
      <c r="BW211" s="206">
        <v>18.3</v>
      </c>
      <c r="BX211" s="151">
        <v>41842</v>
      </c>
      <c r="BY211" s="210">
        <v>7.3</v>
      </c>
      <c r="BZ211" s="151">
        <v>41842</v>
      </c>
      <c r="CA211" s="206">
        <v>33.9</v>
      </c>
      <c r="CB211" s="151">
        <v>41842</v>
      </c>
      <c r="CC211" s="208">
        <v>5.6</v>
      </c>
      <c r="CD211" s="151">
        <v>41838</v>
      </c>
      <c r="CL211" s="209">
        <v>7</v>
      </c>
      <c r="CM211" s="201">
        <v>41810</v>
      </c>
    </row>
    <row r="212" spans="1:91" ht="15">
      <c r="A212" s="152" t="s">
        <v>7914</v>
      </c>
      <c r="B212" s="110" t="s">
        <v>233</v>
      </c>
      <c r="C212" s="110" t="s">
        <v>8083</v>
      </c>
      <c r="D212" s="110">
        <v>11751</v>
      </c>
      <c r="E212" s="111">
        <v>10</v>
      </c>
      <c r="F212" s="111">
        <v>749</v>
      </c>
      <c r="K212" s="191">
        <v>3</v>
      </c>
      <c r="L212" s="151">
        <v>41701</v>
      </c>
      <c r="M212" s="169">
        <v>2.9</v>
      </c>
      <c r="N212" s="151">
        <v>41838</v>
      </c>
      <c r="Q212" s="497"/>
      <c r="S212" s="134">
        <v>9.61</v>
      </c>
      <c r="T212" s="151">
        <v>41842</v>
      </c>
      <c r="U212" s="134">
        <v>13.5</v>
      </c>
      <c r="V212" s="151">
        <v>41838</v>
      </c>
      <c r="W212" s="196">
        <v>9</v>
      </c>
      <c r="X212" s="151">
        <v>41829</v>
      </c>
      <c r="Y212" s="134">
        <f t="shared" si="3"/>
        <v>3.4286000000000003</v>
      </c>
      <c r="AC212" s="134">
        <v>21.48</v>
      </c>
      <c r="AD212" s="151">
        <v>41838</v>
      </c>
      <c r="AE212" s="134">
        <v>22.12</v>
      </c>
      <c r="AF212" s="151">
        <v>41838</v>
      </c>
      <c r="AG212" s="197">
        <v>5.3</v>
      </c>
      <c r="AH212" s="151">
        <v>41843</v>
      </c>
      <c r="AI212" s="198">
        <v>5</v>
      </c>
      <c r="AJ212" s="151">
        <v>41778</v>
      </c>
      <c r="AK212" s="199">
        <v>7</v>
      </c>
      <c r="AL212" s="151">
        <v>41709</v>
      </c>
      <c r="BE212" s="200">
        <v>7</v>
      </c>
      <c r="BF212" s="201">
        <v>41555</v>
      </c>
      <c r="BG212" s="203">
        <v>-5.9</v>
      </c>
      <c r="BH212" s="151">
        <v>41842</v>
      </c>
      <c r="BM212" s="204">
        <v>58.1</v>
      </c>
      <c r="BN212" s="151">
        <v>41842</v>
      </c>
      <c r="BQ212" s="205">
        <v>14.1</v>
      </c>
      <c r="BR212" s="151">
        <v>41842</v>
      </c>
      <c r="BS212" s="206">
        <v>43.5</v>
      </c>
      <c r="BT212" s="151">
        <v>41842</v>
      </c>
      <c r="BU212" s="207">
        <v>15.5</v>
      </c>
      <c r="BV212" s="151">
        <v>41842</v>
      </c>
      <c r="BW212" s="206">
        <v>18.399999999999999</v>
      </c>
      <c r="BX212" s="151">
        <v>41842</v>
      </c>
      <c r="BY212" s="210">
        <v>7.22</v>
      </c>
      <c r="BZ212" s="151">
        <v>41842</v>
      </c>
      <c r="CA212" s="206">
        <v>32.6</v>
      </c>
      <c r="CB212" s="151">
        <v>41842</v>
      </c>
      <c r="CC212" s="208">
        <v>6.3</v>
      </c>
      <c r="CD212" s="151">
        <v>41838</v>
      </c>
      <c r="CL212" s="209">
        <v>5</v>
      </c>
      <c r="CM212" s="201">
        <v>41810</v>
      </c>
    </row>
    <row r="213" spans="1:91" ht="15">
      <c r="A213" s="152" t="s">
        <v>7914</v>
      </c>
      <c r="B213" s="110" t="s">
        <v>235</v>
      </c>
      <c r="C213" s="110" t="s">
        <v>8081</v>
      </c>
      <c r="D213" s="110">
        <v>11375</v>
      </c>
      <c r="E213" s="111">
        <v>12</v>
      </c>
      <c r="F213" s="111">
        <v>537</v>
      </c>
      <c r="K213" s="134">
        <v>5</v>
      </c>
      <c r="L213" s="151">
        <v>41701</v>
      </c>
      <c r="M213" s="169">
        <v>4.05</v>
      </c>
      <c r="N213" s="151">
        <v>41838</v>
      </c>
      <c r="Q213" s="497"/>
      <c r="S213" s="134">
        <v>13.42</v>
      </c>
      <c r="T213" s="151">
        <v>41842</v>
      </c>
      <c r="U213" s="134">
        <v>13.5</v>
      </c>
      <c r="V213" s="151">
        <v>41838</v>
      </c>
      <c r="W213" s="196">
        <v>9</v>
      </c>
      <c r="X213" s="151">
        <v>41829</v>
      </c>
      <c r="Y213" s="134">
        <f t="shared" si="3"/>
        <v>5.1036799999999998</v>
      </c>
      <c r="AC213" s="134">
        <v>30</v>
      </c>
      <c r="AD213" s="151">
        <v>41838</v>
      </c>
      <c r="AE213" s="134">
        <v>31.12</v>
      </c>
      <c r="AF213" s="151">
        <v>41838</v>
      </c>
      <c r="AG213" s="197">
        <v>5.2</v>
      </c>
      <c r="AH213" s="151">
        <v>41843</v>
      </c>
      <c r="AI213" s="198">
        <v>5</v>
      </c>
      <c r="AJ213" s="151">
        <v>41778</v>
      </c>
      <c r="AK213" s="199">
        <v>7</v>
      </c>
      <c r="AL213" s="151">
        <v>41709</v>
      </c>
      <c r="BE213" s="200">
        <v>7</v>
      </c>
      <c r="BF213" s="201">
        <v>41555</v>
      </c>
      <c r="BG213" s="203">
        <v>-1.2</v>
      </c>
      <c r="BH213" s="151">
        <v>41842</v>
      </c>
      <c r="BM213" s="204">
        <v>58.6</v>
      </c>
      <c r="BN213" s="151">
        <v>41842</v>
      </c>
      <c r="BQ213" s="205">
        <v>14.2</v>
      </c>
      <c r="BR213" s="151">
        <v>41842</v>
      </c>
      <c r="BS213" s="206">
        <v>43.1</v>
      </c>
      <c r="BT213" s="151">
        <v>41842</v>
      </c>
      <c r="BU213" s="207">
        <v>16.399999999999999</v>
      </c>
      <c r="BV213" s="151">
        <v>41842</v>
      </c>
      <c r="BW213" s="206">
        <v>20.2</v>
      </c>
      <c r="BX213" s="151">
        <v>41842</v>
      </c>
      <c r="BY213" s="210">
        <v>7.12</v>
      </c>
      <c r="BZ213" s="151">
        <v>41842</v>
      </c>
      <c r="CA213" s="206">
        <v>34.299999999999997</v>
      </c>
      <c r="CB213" s="151">
        <v>41842</v>
      </c>
      <c r="CC213" s="208">
        <v>5.6</v>
      </c>
      <c r="CD213" s="151">
        <v>41838</v>
      </c>
      <c r="CL213" s="209">
        <v>5</v>
      </c>
      <c r="CM213" s="201">
        <v>41810</v>
      </c>
    </row>
    <row r="214" spans="1:91" ht="15">
      <c r="A214" s="152" t="s">
        <v>7915</v>
      </c>
      <c r="B214" s="110" t="s">
        <v>235</v>
      </c>
      <c r="C214" s="110" t="s">
        <v>8082</v>
      </c>
      <c r="D214" s="110">
        <v>11573</v>
      </c>
      <c r="E214" s="111">
        <v>5</v>
      </c>
      <c r="F214" s="111">
        <v>757</v>
      </c>
      <c r="K214" s="194">
        <v>7</v>
      </c>
      <c r="L214" s="151">
        <v>41701</v>
      </c>
      <c r="M214" s="169">
        <v>1.9</v>
      </c>
      <c r="N214" s="151">
        <v>41838</v>
      </c>
      <c r="Q214" s="497"/>
      <c r="S214" s="134">
        <v>6.38</v>
      </c>
      <c r="T214" s="151">
        <v>41842</v>
      </c>
      <c r="U214" s="134">
        <v>13.5</v>
      </c>
      <c r="V214" s="151">
        <v>41838</v>
      </c>
      <c r="W214" s="196">
        <v>1</v>
      </c>
      <c r="X214" s="151">
        <v>41829</v>
      </c>
      <c r="Y214" s="134">
        <f t="shared" si="3"/>
        <v>2.4352899999999997</v>
      </c>
      <c r="AC214" s="134">
        <v>14.07</v>
      </c>
      <c r="AD214" s="151">
        <v>41838</v>
      </c>
      <c r="AE214" s="134">
        <v>14.41</v>
      </c>
      <c r="AF214" s="151">
        <v>41838</v>
      </c>
      <c r="AG214" s="197">
        <v>5.3</v>
      </c>
      <c r="AH214" s="151">
        <v>41843</v>
      </c>
      <c r="AI214" s="198">
        <v>7</v>
      </c>
      <c r="AJ214" s="151">
        <v>41778</v>
      </c>
      <c r="AK214" s="199">
        <v>4</v>
      </c>
      <c r="AL214" s="151">
        <v>41709</v>
      </c>
      <c r="BE214" s="200">
        <v>4</v>
      </c>
      <c r="BF214" s="201">
        <v>41555</v>
      </c>
      <c r="BG214" s="203">
        <v>-5.0999999999999996</v>
      </c>
      <c r="BH214" s="151">
        <v>41842</v>
      </c>
      <c r="BM214" s="204">
        <v>61.3</v>
      </c>
      <c r="BN214" s="151">
        <v>41842</v>
      </c>
      <c r="BQ214" s="205">
        <v>12.5</v>
      </c>
      <c r="BR214" s="151">
        <v>41842</v>
      </c>
      <c r="BS214" s="206">
        <v>44.2</v>
      </c>
      <c r="BT214" s="151">
        <v>41842</v>
      </c>
      <c r="BU214" s="207">
        <v>16.899999999999999</v>
      </c>
      <c r="BV214" s="151">
        <v>41842</v>
      </c>
      <c r="BW214" s="206">
        <v>60.4</v>
      </c>
      <c r="BX214" s="151">
        <v>41842</v>
      </c>
      <c r="BY214" s="210">
        <v>6.87</v>
      </c>
      <c r="BZ214" s="151">
        <v>41842</v>
      </c>
      <c r="CA214" s="206">
        <v>36</v>
      </c>
      <c r="CB214" s="151">
        <v>41842</v>
      </c>
      <c r="CC214" s="208">
        <v>6.8</v>
      </c>
      <c r="CD214" s="151">
        <v>41838</v>
      </c>
      <c r="CL214" s="209">
        <v>7</v>
      </c>
      <c r="CM214" s="201">
        <v>41810</v>
      </c>
    </row>
    <row r="215" spans="1:91" ht="15">
      <c r="A215" s="152" t="s">
        <v>7915</v>
      </c>
      <c r="B215" s="110" t="s">
        <v>233</v>
      </c>
      <c r="C215" s="110" t="s">
        <v>381</v>
      </c>
      <c r="D215" s="110">
        <v>11168</v>
      </c>
      <c r="E215" s="111">
        <v>6</v>
      </c>
      <c r="F215" s="111">
        <v>573</v>
      </c>
      <c r="K215" s="134">
        <v>5</v>
      </c>
      <c r="L215" s="151">
        <v>41701</v>
      </c>
      <c r="M215" s="169">
        <v>1.7</v>
      </c>
      <c r="N215" s="151">
        <v>41838</v>
      </c>
      <c r="Q215" s="497"/>
      <c r="S215" s="134">
        <v>5.78</v>
      </c>
      <c r="T215" s="151">
        <v>41842</v>
      </c>
      <c r="U215" s="134">
        <v>13.5</v>
      </c>
      <c r="V215" s="151">
        <v>41838</v>
      </c>
      <c r="W215" s="196">
        <v>9</v>
      </c>
      <c r="X215" s="151">
        <v>41829</v>
      </c>
      <c r="Y215" s="134">
        <f t="shared" si="3"/>
        <v>2.09944</v>
      </c>
      <c r="AC215" s="134">
        <v>12.59</v>
      </c>
      <c r="AD215" s="151">
        <v>41838</v>
      </c>
      <c r="AE215" s="134">
        <v>13.04</v>
      </c>
      <c r="AF215" s="151">
        <v>41838</v>
      </c>
      <c r="AG215" s="197">
        <v>5</v>
      </c>
      <c r="AH215" s="151">
        <v>41843</v>
      </c>
      <c r="AI215" s="198">
        <v>5</v>
      </c>
      <c r="AJ215" s="151">
        <v>41778</v>
      </c>
      <c r="AK215" s="199">
        <v>5</v>
      </c>
      <c r="AL215" s="151">
        <v>41709</v>
      </c>
      <c r="BE215" s="200">
        <v>5</v>
      </c>
      <c r="BF215" s="201">
        <v>41555</v>
      </c>
      <c r="BG215" s="203">
        <v>-1.7</v>
      </c>
      <c r="BH215" s="151">
        <v>41842</v>
      </c>
      <c r="BM215" s="204">
        <v>62.4</v>
      </c>
      <c r="BN215" s="151">
        <v>41842</v>
      </c>
      <c r="BQ215" s="205">
        <v>11.9</v>
      </c>
      <c r="BR215" s="151">
        <v>41842</v>
      </c>
      <c r="BS215" s="206">
        <v>44.4</v>
      </c>
      <c r="BT215" s="151">
        <v>41842</v>
      </c>
      <c r="BU215" s="207">
        <v>16.100000000000001</v>
      </c>
      <c r="BV215" s="151">
        <v>41842</v>
      </c>
      <c r="BW215" s="206">
        <v>69.599999999999994</v>
      </c>
      <c r="BX215" s="151">
        <v>41842</v>
      </c>
      <c r="BY215" s="210">
        <v>7</v>
      </c>
      <c r="BZ215" s="151">
        <v>41842</v>
      </c>
      <c r="CA215" s="206">
        <v>34.6</v>
      </c>
      <c r="CB215" s="151">
        <v>41842</v>
      </c>
      <c r="CC215" s="208">
        <v>5.8</v>
      </c>
      <c r="CD215" s="151">
        <v>41838</v>
      </c>
      <c r="CL215" s="209">
        <v>9</v>
      </c>
      <c r="CM215" s="201">
        <v>41810</v>
      </c>
    </row>
    <row r="216" spans="1:91" ht="15">
      <c r="A216" s="152" t="s">
        <v>7915</v>
      </c>
      <c r="B216" s="110" t="s">
        <v>233</v>
      </c>
      <c r="C216" s="110" t="s">
        <v>8083</v>
      </c>
      <c r="D216" s="110">
        <v>11624</v>
      </c>
      <c r="E216" s="111">
        <v>7</v>
      </c>
      <c r="F216" s="111">
        <v>673</v>
      </c>
      <c r="K216" s="134">
        <v>5</v>
      </c>
      <c r="L216" s="151">
        <v>41701</v>
      </c>
      <c r="M216" s="169">
        <v>2.2000000000000002</v>
      </c>
      <c r="N216" s="151">
        <v>41838</v>
      </c>
      <c r="Q216" s="497"/>
      <c r="S216" s="134">
        <v>7.82</v>
      </c>
      <c r="T216" s="151">
        <v>41842</v>
      </c>
      <c r="U216" s="134">
        <v>13.5</v>
      </c>
      <c r="V216" s="151">
        <v>41838</v>
      </c>
      <c r="W216" s="196">
        <v>1</v>
      </c>
      <c r="X216" s="151">
        <v>41829</v>
      </c>
      <c r="Y216" s="134">
        <f t="shared" si="3"/>
        <v>2.5136300000000005</v>
      </c>
      <c r="AC216" s="134">
        <v>16.3</v>
      </c>
      <c r="AD216" s="151">
        <v>41838</v>
      </c>
      <c r="AE216" s="134">
        <v>16.87</v>
      </c>
      <c r="AF216" s="151">
        <v>41838</v>
      </c>
      <c r="AG216" s="197">
        <v>4.9000000000000004</v>
      </c>
      <c r="AH216" s="151">
        <v>41843</v>
      </c>
      <c r="AI216" s="198">
        <v>5</v>
      </c>
      <c r="AJ216" s="151">
        <v>41778</v>
      </c>
      <c r="AK216" s="199">
        <v>5</v>
      </c>
      <c r="AL216" s="151">
        <v>41709</v>
      </c>
      <c r="BE216" s="200">
        <v>5</v>
      </c>
      <c r="BF216" s="201">
        <v>41555</v>
      </c>
      <c r="BG216" s="203">
        <v>-2.2999999999999998</v>
      </c>
      <c r="BH216" s="151">
        <v>41842</v>
      </c>
      <c r="BM216" s="204">
        <v>63.4</v>
      </c>
      <c r="BN216" s="151">
        <v>41842</v>
      </c>
      <c r="BQ216" s="205">
        <v>11.3</v>
      </c>
      <c r="BR216" s="151">
        <v>41842</v>
      </c>
      <c r="BS216" s="206">
        <v>46.3</v>
      </c>
      <c r="BT216" s="151">
        <v>41842</v>
      </c>
      <c r="BU216" s="207">
        <v>14.9</v>
      </c>
      <c r="BV216" s="151">
        <v>41842</v>
      </c>
      <c r="BW216" s="206">
        <v>55.1</v>
      </c>
      <c r="BX216" s="151">
        <v>41842</v>
      </c>
      <c r="BY216" s="210">
        <v>7.12</v>
      </c>
      <c r="BZ216" s="151">
        <v>41842</v>
      </c>
      <c r="CA216" s="206">
        <v>33.299999999999997</v>
      </c>
      <c r="CB216" s="151">
        <v>41842</v>
      </c>
      <c r="CC216" s="208">
        <v>5.8</v>
      </c>
      <c r="CD216" s="151">
        <v>41838</v>
      </c>
      <c r="CL216" s="209">
        <v>5</v>
      </c>
      <c r="CM216" s="201">
        <v>41810</v>
      </c>
    </row>
    <row r="217" spans="1:91" ht="15">
      <c r="A217" s="152" t="s">
        <v>7915</v>
      </c>
      <c r="B217" s="110" t="s">
        <v>235</v>
      </c>
      <c r="C217" s="110" t="s">
        <v>8081</v>
      </c>
      <c r="D217" s="110">
        <v>11265</v>
      </c>
      <c r="E217" s="111">
        <v>9</v>
      </c>
      <c r="F217" s="111">
        <v>529</v>
      </c>
      <c r="K217" s="194">
        <v>7</v>
      </c>
      <c r="L217" s="151">
        <v>41701</v>
      </c>
      <c r="M217" s="169">
        <v>2.35</v>
      </c>
      <c r="N217" s="151">
        <v>41838</v>
      </c>
      <c r="Q217" s="497"/>
      <c r="S217" s="134">
        <v>8.0500000000000007</v>
      </c>
      <c r="T217" s="151">
        <v>41842</v>
      </c>
      <c r="U217" s="134">
        <v>13.5</v>
      </c>
      <c r="V217" s="151">
        <v>41838</v>
      </c>
      <c r="W217" s="196">
        <v>9</v>
      </c>
      <c r="X217" s="151">
        <v>41829</v>
      </c>
      <c r="Y217" s="134">
        <f t="shared" si="3"/>
        <v>2.9716800000000001</v>
      </c>
      <c r="AC217" s="134">
        <v>17.41</v>
      </c>
      <c r="AD217" s="151">
        <v>41838</v>
      </c>
      <c r="AE217" s="134">
        <v>18.12</v>
      </c>
      <c r="AF217" s="151">
        <v>41838</v>
      </c>
      <c r="AG217" s="197">
        <v>4.5999999999999996</v>
      </c>
      <c r="AH217" s="151">
        <v>41843</v>
      </c>
      <c r="AI217" s="198">
        <v>5</v>
      </c>
      <c r="AJ217" s="151">
        <v>41778</v>
      </c>
      <c r="AK217" s="199">
        <v>5</v>
      </c>
      <c r="AL217" s="151">
        <v>41709</v>
      </c>
      <c r="BE217" s="200">
        <v>5</v>
      </c>
      <c r="BF217" s="201">
        <v>41555</v>
      </c>
      <c r="BG217" s="203">
        <v>-4.3</v>
      </c>
      <c r="BH217" s="151">
        <v>41842</v>
      </c>
      <c r="BM217" s="204">
        <v>62.2</v>
      </c>
      <c r="BN217" s="151">
        <v>41842</v>
      </c>
      <c r="BQ217" s="205">
        <v>12.2</v>
      </c>
      <c r="BR217" s="151">
        <v>41842</v>
      </c>
      <c r="BS217" s="206">
        <v>44.5</v>
      </c>
      <c r="BT217" s="151">
        <v>41842</v>
      </c>
      <c r="BU217" s="207">
        <v>16.399999999999999</v>
      </c>
      <c r="BV217" s="151">
        <v>41842</v>
      </c>
      <c r="BW217" s="206">
        <v>66.2</v>
      </c>
      <c r="BX217" s="151">
        <v>41842</v>
      </c>
      <c r="BY217" s="210">
        <v>7.11</v>
      </c>
      <c r="BZ217" s="151">
        <v>41842</v>
      </c>
      <c r="CA217" s="206">
        <v>35.200000000000003</v>
      </c>
      <c r="CB217" s="151">
        <v>41842</v>
      </c>
      <c r="CC217" s="208">
        <v>5.3</v>
      </c>
      <c r="CD217" s="151">
        <v>41838</v>
      </c>
      <c r="CL217" s="209">
        <v>9</v>
      </c>
      <c r="CM217" s="201">
        <v>41810</v>
      </c>
    </row>
    <row r="218" spans="1:91" ht="15">
      <c r="A218" s="152" t="s">
        <v>7916</v>
      </c>
      <c r="B218" s="110" t="s">
        <v>233</v>
      </c>
      <c r="C218" s="110" t="s">
        <v>381</v>
      </c>
      <c r="D218" s="110">
        <v>11044</v>
      </c>
      <c r="E218" s="111">
        <v>3</v>
      </c>
      <c r="F218" s="111">
        <v>509</v>
      </c>
      <c r="K218" s="134">
        <v>5</v>
      </c>
      <c r="L218" s="151">
        <v>41701</v>
      </c>
      <c r="M218" s="169">
        <v>2.2999999999999998</v>
      </c>
      <c r="N218" s="151">
        <v>41838</v>
      </c>
      <c r="Q218" s="497"/>
      <c r="S218" s="134">
        <v>8.39</v>
      </c>
      <c r="T218" s="151">
        <v>41842</v>
      </c>
      <c r="U218" s="134">
        <v>13.5</v>
      </c>
      <c r="V218" s="151">
        <v>41838</v>
      </c>
      <c r="W218" s="196">
        <v>1</v>
      </c>
      <c r="X218" s="151">
        <v>41829</v>
      </c>
      <c r="Y218" s="134">
        <f t="shared" si="3"/>
        <v>2.4872399999999999</v>
      </c>
      <c r="AC218" s="134">
        <v>17.04</v>
      </c>
      <c r="AD218" s="151">
        <v>41838</v>
      </c>
      <c r="AE218" s="134">
        <v>17.64</v>
      </c>
      <c r="AF218" s="151">
        <v>41838</v>
      </c>
      <c r="AG218" s="197">
        <v>4.7</v>
      </c>
      <c r="AH218" s="151">
        <v>41843</v>
      </c>
      <c r="AI218" s="198">
        <v>5</v>
      </c>
      <c r="AJ218" s="151">
        <v>41778</v>
      </c>
      <c r="AK218" s="199">
        <v>5</v>
      </c>
      <c r="AL218" s="151">
        <v>41709</v>
      </c>
      <c r="BE218" s="200">
        <v>5</v>
      </c>
      <c r="BF218" s="201">
        <v>41555</v>
      </c>
      <c r="BG218" s="203">
        <v>-1.4</v>
      </c>
      <c r="BH218" s="151">
        <v>41842</v>
      </c>
      <c r="BM218" s="204">
        <v>62</v>
      </c>
      <c r="BN218" s="151">
        <v>41842</v>
      </c>
      <c r="BQ218" s="205">
        <v>11.4</v>
      </c>
      <c r="BR218" s="151">
        <v>41842</v>
      </c>
      <c r="BS218" s="206">
        <v>47.6</v>
      </c>
      <c r="BT218" s="151">
        <v>41842</v>
      </c>
      <c r="BU218" s="207">
        <v>14.1</v>
      </c>
      <c r="BV218" s="151">
        <v>41842</v>
      </c>
      <c r="BW218" s="206">
        <v>65.7</v>
      </c>
      <c r="BX218" s="151">
        <v>41842</v>
      </c>
      <c r="BY218" s="210">
        <v>6.7</v>
      </c>
      <c r="BZ218" s="151">
        <v>41842</v>
      </c>
      <c r="CA218" s="206">
        <v>32.5</v>
      </c>
      <c r="CB218" s="151">
        <v>41842</v>
      </c>
      <c r="CC218" s="208">
        <v>5.8</v>
      </c>
      <c r="CD218" s="151">
        <v>41838</v>
      </c>
      <c r="CL218" s="209">
        <v>7</v>
      </c>
      <c r="CM218" s="201">
        <v>41810</v>
      </c>
    </row>
    <row r="219" spans="1:91" ht="15">
      <c r="A219" s="152" t="s">
        <v>7916</v>
      </c>
      <c r="B219" s="110" t="s">
        <v>235</v>
      </c>
      <c r="C219" s="110" t="s">
        <v>8082</v>
      </c>
      <c r="D219" s="110">
        <v>11515</v>
      </c>
      <c r="E219" s="111">
        <v>4</v>
      </c>
      <c r="F219" s="111">
        <v>669</v>
      </c>
      <c r="K219" s="134">
        <v>5</v>
      </c>
      <c r="L219" s="151">
        <v>41701</v>
      </c>
      <c r="M219" s="169">
        <v>2.4500000000000002</v>
      </c>
      <c r="N219" s="151">
        <v>41838</v>
      </c>
      <c r="Q219" s="497"/>
      <c r="S219" s="134">
        <v>8.8699999999999992</v>
      </c>
      <c r="T219" s="151">
        <v>41842</v>
      </c>
      <c r="U219" s="134">
        <v>13.5</v>
      </c>
      <c r="V219" s="151">
        <v>41838</v>
      </c>
      <c r="W219" s="196">
        <v>1</v>
      </c>
      <c r="X219" s="151">
        <v>41829</v>
      </c>
      <c r="Y219" s="134">
        <f t="shared" si="3"/>
        <v>2.6596600000000001</v>
      </c>
      <c r="AC219" s="134">
        <v>18.149999999999999</v>
      </c>
      <c r="AD219" s="151">
        <v>41838</v>
      </c>
      <c r="AE219" s="134">
        <v>18.73</v>
      </c>
      <c r="AF219" s="151">
        <v>41838</v>
      </c>
      <c r="AG219" s="197">
        <v>5.0999999999999996</v>
      </c>
      <c r="AH219" s="151">
        <v>41843</v>
      </c>
      <c r="AI219" s="198">
        <v>7</v>
      </c>
      <c r="AJ219" s="151">
        <v>41778</v>
      </c>
      <c r="AK219" s="199">
        <v>5</v>
      </c>
      <c r="AL219" s="151">
        <v>41709</v>
      </c>
      <c r="BE219" s="200">
        <v>5</v>
      </c>
      <c r="BF219" s="201">
        <v>41555</v>
      </c>
      <c r="BG219" s="203">
        <v>-4.4000000000000004</v>
      </c>
      <c r="BH219" s="151">
        <v>41842</v>
      </c>
      <c r="BM219" s="204">
        <v>60.8</v>
      </c>
      <c r="BN219" s="151">
        <v>41842</v>
      </c>
      <c r="BQ219" s="205">
        <v>11.2</v>
      </c>
      <c r="BR219" s="151">
        <v>41842</v>
      </c>
      <c r="BS219" s="206">
        <v>47.4</v>
      </c>
      <c r="BT219" s="151">
        <v>41842</v>
      </c>
      <c r="BU219" s="207">
        <v>14.2</v>
      </c>
      <c r="BV219" s="151">
        <v>41842</v>
      </c>
      <c r="BW219" s="206">
        <v>61.7</v>
      </c>
      <c r="BX219" s="151">
        <v>41842</v>
      </c>
      <c r="BY219" s="210">
        <v>6.94</v>
      </c>
      <c r="BZ219" s="151">
        <v>41842</v>
      </c>
      <c r="CA219" s="206">
        <v>32.6</v>
      </c>
      <c r="CB219" s="151">
        <v>41842</v>
      </c>
      <c r="CC219" s="208">
        <v>6.1</v>
      </c>
      <c r="CD219" s="151">
        <v>41838</v>
      </c>
      <c r="CL219" s="209">
        <v>7</v>
      </c>
      <c r="CM219" s="201">
        <v>41810</v>
      </c>
    </row>
    <row r="220" spans="1:91" ht="15">
      <c r="A220" s="152" t="s">
        <v>7916</v>
      </c>
      <c r="B220" s="110" t="s">
        <v>235</v>
      </c>
      <c r="C220" s="110" t="s">
        <v>8081</v>
      </c>
      <c r="D220" s="110">
        <v>11284</v>
      </c>
      <c r="E220" s="111">
        <v>9</v>
      </c>
      <c r="F220" s="111">
        <v>605</v>
      </c>
      <c r="K220" s="134">
        <v>5</v>
      </c>
      <c r="L220" s="151">
        <v>41701</v>
      </c>
      <c r="M220" s="169">
        <v>3.3</v>
      </c>
      <c r="N220" s="151">
        <v>41838</v>
      </c>
      <c r="Q220" s="497"/>
      <c r="S220" s="134">
        <v>11.92</v>
      </c>
      <c r="T220" s="151">
        <v>41842</v>
      </c>
      <c r="U220" s="134">
        <v>13.5</v>
      </c>
      <c r="V220" s="151">
        <v>41838</v>
      </c>
      <c r="W220" s="196">
        <v>9</v>
      </c>
      <c r="X220" s="151">
        <v>41829</v>
      </c>
      <c r="Y220" s="134">
        <f t="shared" si="3"/>
        <v>3.6908800000000004</v>
      </c>
      <c r="AC220" s="134">
        <v>24.44</v>
      </c>
      <c r="AD220" s="151">
        <v>41838</v>
      </c>
      <c r="AE220" s="134">
        <v>25.28</v>
      </c>
      <c r="AF220" s="151">
        <v>41838</v>
      </c>
      <c r="AG220" s="197">
        <v>4.5</v>
      </c>
      <c r="AH220" s="151">
        <v>41843</v>
      </c>
      <c r="AI220" s="198">
        <v>7</v>
      </c>
      <c r="AJ220" s="151">
        <v>41778</v>
      </c>
      <c r="AK220" s="199">
        <v>5</v>
      </c>
      <c r="AL220" s="151">
        <v>41709</v>
      </c>
      <c r="BE220" s="200">
        <v>5</v>
      </c>
      <c r="BF220" s="201">
        <v>41555</v>
      </c>
      <c r="BG220" s="203">
        <v>-1.7</v>
      </c>
      <c r="BH220" s="151">
        <v>41842</v>
      </c>
      <c r="BM220" s="204">
        <v>62.2</v>
      </c>
      <c r="BN220" s="151">
        <v>41842</v>
      </c>
      <c r="BQ220" s="205">
        <v>11.1</v>
      </c>
      <c r="BR220" s="151">
        <v>41842</v>
      </c>
      <c r="BS220" s="206">
        <v>47.2</v>
      </c>
      <c r="BT220" s="151">
        <v>41842</v>
      </c>
      <c r="BU220" s="207">
        <v>14.6</v>
      </c>
      <c r="BV220" s="151">
        <v>41842</v>
      </c>
      <c r="BW220" s="206">
        <v>56.5</v>
      </c>
      <c r="BX220" s="151">
        <v>41842</v>
      </c>
      <c r="BY220" s="210">
        <v>6.75</v>
      </c>
      <c r="BZ220" s="151">
        <v>41842</v>
      </c>
      <c r="CA220" s="206">
        <v>33.4</v>
      </c>
      <c r="CB220" s="151">
        <v>41842</v>
      </c>
      <c r="CC220" s="208">
        <v>5.9</v>
      </c>
      <c r="CD220" s="151">
        <v>41838</v>
      </c>
      <c r="CL220" s="209">
        <v>5</v>
      </c>
      <c r="CM220" s="201">
        <v>41810</v>
      </c>
    </row>
    <row r="221" spans="1:91" ht="15">
      <c r="A221" s="152" t="s">
        <v>7916</v>
      </c>
      <c r="B221" s="110" t="s">
        <v>233</v>
      </c>
      <c r="C221" s="110" t="s">
        <v>8083</v>
      </c>
      <c r="D221" s="110">
        <v>11794</v>
      </c>
      <c r="E221" s="111">
        <v>12</v>
      </c>
      <c r="F221" s="111">
        <v>633</v>
      </c>
      <c r="K221" s="134">
        <v>5</v>
      </c>
      <c r="L221" s="151">
        <v>41701</v>
      </c>
      <c r="M221" s="169">
        <v>3.55</v>
      </c>
      <c r="N221" s="151">
        <v>41838</v>
      </c>
      <c r="Q221" s="497"/>
      <c r="S221" s="134">
        <v>13.07</v>
      </c>
      <c r="T221" s="151">
        <v>41842</v>
      </c>
      <c r="U221" s="134">
        <v>13.5</v>
      </c>
      <c r="V221" s="151">
        <v>41838</v>
      </c>
      <c r="W221" s="196">
        <v>1</v>
      </c>
      <c r="X221" s="151">
        <v>41829</v>
      </c>
      <c r="Y221" s="134">
        <f t="shared" si="3"/>
        <v>3.7373599999999998</v>
      </c>
      <c r="AC221" s="134">
        <v>26.3</v>
      </c>
      <c r="AD221" s="151">
        <v>41838</v>
      </c>
      <c r="AE221" s="134">
        <v>27.28</v>
      </c>
      <c r="AF221" s="151">
        <v>41838</v>
      </c>
      <c r="AG221" s="197">
        <v>4.7</v>
      </c>
      <c r="AH221" s="151">
        <v>41843</v>
      </c>
      <c r="AI221" s="198">
        <v>5</v>
      </c>
      <c r="AJ221" s="151">
        <v>41778</v>
      </c>
      <c r="AK221" s="199">
        <v>5</v>
      </c>
      <c r="AL221" s="151">
        <v>41709</v>
      </c>
      <c r="BE221" s="200">
        <v>5</v>
      </c>
      <c r="BF221" s="201">
        <v>41555</v>
      </c>
      <c r="BG221" s="203">
        <v>-6.7</v>
      </c>
      <c r="BH221" s="151">
        <v>41842</v>
      </c>
      <c r="BM221" s="204">
        <v>62.4</v>
      </c>
      <c r="BN221" s="151">
        <v>41842</v>
      </c>
      <c r="BQ221" s="205">
        <v>11.1</v>
      </c>
      <c r="BR221" s="151">
        <v>41842</v>
      </c>
      <c r="BS221" s="206">
        <v>47.9</v>
      </c>
      <c r="BT221" s="151">
        <v>41842</v>
      </c>
      <c r="BU221" s="207">
        <v>13.7</v>
      </c>
      <c r="BV221" s="151">
        <v>41842</v>
      </c>
      <c r="BW221" s="206">
        <v>54.5</v>
      </c>
      <c r="BX221" s="151">
        <v>41842</v>
      </c>
      <c r="BY221" s="210">
        <v>6.85</v>
      </c>
      <c r="BZ221" s="151">
        <v>41842</v>
      </c>
      <c r="CA221" s="206">
        <v>31.9</v>
      </c>
      <c r="CB221" s="151">
        <v>41842</v>
      </c>
      <c r="CC221" s="208">
        <v>5.6</v>
      </c>
      <c r="CD221" s="151">
        <v>41838</v>
      </c>
      <c r="CL221" s="209">
        <v>5</v>
      </c>
      <c r="CM221" s="201">
        <v>41810</v>
      </c>
    </row>
    <row r="222" spans="1:91" ht="15">
      <c r="A222" s="152" t="s">
        <v>7917</v>
      </c>
      <c r="B222" s="110" t="s">
        <v>233</v>
      </c>
      <c r="C222" s="110" t="s">
        <v>381</v>
      </c>
      <c r="D222" s="110">
        <v>11069</v>
      </c>
      <c r="E222" s="111">
        <v>3</v>
      </c>
      <c r="F222" s="111">
        <v>609</v>
      </c>
      <c r="K222" s="134">
        <v>5</v>
      </c>
      <c r="L222" s="151">
        <v>41701</v>
      </c>
      <c r="M222" s="169">
        <v>2.15</v>
      </c>
      <c r="N222" s="151">
        <v>41838</v>
      </c>
      <c r="Q222" s="497"/>
      <c r="S222" s="134">
        <v>7.38</v>
      </c>
      <c r="T222" s="151">
        <v>41842</v>
      </c>
      <c r="U222" s="134">
        <v>13.5</v>
      </c>
      <c r="V222" s="151">
        <v>41838</v>
      </c>
      <c r="W222" s="196">
        <v>1</v>
      </c>
      <c r="X222" s="151">
        <v>41829</v>
      </c>
      <c r="Y222" s="134">
        <f t="shared" si="3"/>
        <v>2.4301600000000003</v>
      </c>
      <c r="AC222" s="134">
        <v>15.93</v>
      </c>
      <c r="AD222" s="151">
        <v>41838</v>
      </c>
      <c r="AE222" s="134">
        <v>16.420000000000002</v>
      </c>
      <c r="AF222" s="151">
        <v>41838</v>
      </c>
      <c r="AG222" s="197">
        <v>4.4000000000000004</v>
      </c>
      <c r="AH222" s="151">
        <v>41843</v>
      </c>
      <c r="AI222" s="198">
        <v>7</v>
      </c>
      <c r="AJ222" s="151">
        <v>41778</v>
      </c>
      <c r="AK222" s="199">
        <v>5</v>
      </c>
      <c r="AL222" s="151">
        <v>41709</v>
      </c>
      <c r="BE222" s="200">
        <v>5</v>
      </c>
      <c r="BF222" s="201">
        <v>41555</v>
      </c>
      <c r="BG222" s="203">
        <v>0.9</v>
      </c>
      <c r="BH222" s="151">
        <v>41842</v>
      </c>
      <c r="BM222" s="204">
        <v>63.9</v>
      </c>
      <c r="BN222" s="151">
        <v>41842</v>
      </c>
      <c r="BQ222" s="205">
        <v>10.6</v>
      </c>
      <c r="BR222" s="151">
        <v>41842</v>
      </c>
      <c r="BS222" s="206">
        <v>45</v>
      </c>
      <c r="BT222" s="151">
        <v>41842</v>
      </c>
      <c r="BU222" s="207">
        <v>14.8</v>
      </c>
      <c r="BV222" s="151">
        <v>41842</v>
      </c>
      <c r="BW222" s="206">
        <v>58.4</v>
      </c>
      <c r="BX222" s="151">
        <v>41842</v>
      </c>
      <c r="BY222" s="210">
        <v>7.31</v>
      </c>
      <c r="BZ222" s="151">
        <v>41842</v>
      </c>
      <c r="CA222" s="206">
        <v>32.200000000000003</v>
      </c>
      <c r="CB222" s="151">
        <v>41842</v>
      </c>
      <c r="CC222" s="208">
        <v>6.2</v>
      </c>
      <c r="CD222" s="151">
        <v>41838</v>
      </c>
      <c r="CL222" s="209">
        <v>7</v>
      </c>
      <c r="CM222" s="201">
        <v>41810</v>
      </c>
    </row>
    <row r="223" spans="1:91" ht="15">
      <c r="A223" s="152" t="s">
        <v>7917</v>
      </c>
      <c r="B223" s="110" t="s">
        <v>235</v>
      </c>
      <c r="C223" s="110" t="s">
        <v>8082</v>
      </c>
      <c r="D223" s="110">
        <v>11602</v>
      </c>
      <c r="E223" s="111">
        <v>6</v>
      </c>
      <c r="F223" s="111">
        <v>729</v>
      </c>
      <c r="K223" s="134">
        <v>5</v>
      </c>
      <c r="L223" s="151">
        <v>41701</v>
      </c>
      <c r="M223" s="169">
        <v>4.75</v>
      </c>
      <c r="N223" s="151">
        <v>41838</v>
      </c>
      <c r="Q223" s="497"/>
      <c r="S223" s="134">
        <v>16.21</v>
      </c>
      <c r="T223" s="151">
        <v>41842</v>
      </c>
      <c r="U223" s="134">
        <v>13.5</v>
      </c>
      <c r="V223" s="151">
        <v>41838</v>
      </c>
      <c r="W223" s="196">
        <v>9</v>
      </c>
      <c r="X223" s="151">
        <v>41829</v>
      </c>
      <c r="Y223" s="134">
        <f t="shared" si="3"/>
        <v>5.3923100000000002</v>
      </c>
      <c r="AC223" s="134">
        <v>35.19</v>
      </c>
      <c r="AD223" s="151">
        <v>41838</v>
      </c>
      <c r="AE223" s="134">
        <v>36.19</v>
      </c>
      <c r="AF223" s="151">
        <v>41838</v>
      </c>
      <c r="AG223" s="197">
        <v>4.4000000000000004</v>
      </c>
      <c r="AH223" s="151">
        <v>41843</v>
      </c>
      <c r="AI223" s="198">
        <v>7</v>
      </c>
      <c r="AJ223" s="151">
        <v>41778</v>
      </c>
      <c r="AK223" s="199">
        <v>5</v>
      </c>
      <c r="AL223" s="151">
        <v>41709</v>
      </c>
      <c r="BE223" s="200">
        <v>5</v>
      </c>
      <c r="BF223" s="201">
        <v>41555</v>
      </c>
      <c r="BG223" s="203">
        <v>-1.9</v>
      </c>
      <c r="BH223" s="151">
        <v>41842</v>
      </c>
      <c r="BM223" s="204">
        <v>64</v>
      </c>
      <c r="BN223" s="151">
        <v>41842</v>
      </c>
      <c r="BQ223" s="205">
        <v>10.3</v>
      </c>
      <c r="BR223" s="151">
        <v>41842</v>
      </c>
      <c r="BS223" s="206">
        <v>44.8</v>
      </c>
      <c r="BT223" s="151">
        <v>41842</v>
      </c>
      <c r="BU223" s="207">
        <v>14.9</v>
      </c>
      <c r="BV223" s="151">
        <v>41842</v>
      </c>
      <c r="BW223" s="206">
        <v>49.9</v>
      </c>
      <c r="BX223" s="151">
        <v>41842</v>
      </c>
      <c r="BY223" s="210">
        <v>7.16</v>
      </c>
      <c r="BZ223" s="151">
        <v>41842</v>
      </c>
      <c r="CA223" s="206">
        <v>32.1</v>
      </c>
      <c r="CB223" s="151">
        <v>41842</v>
      </c>
      <c r="CC223" s="208">
        <v>6.4</v>
      </c>
      <c r="CD223" s="151">
        <v>41838</v>
      </c>
      <c r="CL223" s="209">
        <v>5</v>
      </c>
      <c r="CM223" s="201">
        <v>41810</v>
      </c>
    </row>
    <row r="224" spans="1:91" ht="15">
      <c r="A224" s="152" t="s">
        <v>7917</v>
      </c>
      <c r="B224" s="110" t="s">
        <v>233</v>
      </c>
      <c r="C224" s="110" t="s">
        <v>8083</v>
      </c>
      <c r="D224" s="110">
        <v>11681</v>
      </c>
      <c r="E224" s="111">
        <v>8</v>
      </c>
      <c r="F224" s="111">
        <v>757</v>
      </c>
      <c r="K224" s="134">
        <v>5</v>
      </c>
      <c r="L224" s="151">
        <v>41701</v>
      </c>
      <c r="M224" s="169">
        <v>2.35</v>
      </c>
      <c r="N224" s="151">
        <v>41838</v>
      </c>
      <c r="Q224" s="497"/>
      <c r="S224" s="134">
        <v>8</v>
      </c>
      <c r="T224" s="151">
        <v>41842</v>
      </c>
      <c r="U224" s="134">
        <v>13.5</v>
      </c>
      <c r="V224" s="151">
        <v>41838</v>
      </c>
      <c r="W224" s="196">
        <v>1</v>
      </c>
      <c r="X224" s="151">
        <v>41829</v>
      </c>
      <c r="Y224" s="134">
        <f t="shared" si="3"/>
        <v>2.6610400000000003</v>
      </c>
      <c r="AC224" s="134">
        <v>17.41</v>
      </c>
      <c r="AD224" s="151">
        <v>41838</v>
      </c>
      <c r="AE224" s="134">
        <v>17.98</v>
      </c>
      <c r="AF224" s="151">
        <v>41838</v>
      </c>
      <c r="AG224" s="197">
        <v>4.4000000000000004</v>
      </c>
      <c r="AH224" s="151">
        <v>41843</v>
      </c>
      <c r="AI224" s="198">
        <v>3</v>
      </c>
      <c r="AJ224" s="151">
        <v>41778</v>
      </c>
      <c r="AK224" s="199">
        <v>5</v>
      </c>
      <c r="AL224" s="151">
        <v>41709</v>
      </c>
      <c r="BE224" s="200">
        <v>5</v>
      </c>
      <c r="BF224" s="201">
        <v>41555</v>
      </c>
      <c r="BG224" s="203">
        <v>-3.5</v>
      </c>
      <c r="BH224" s="151">
        <v>41842</v>
      </c>
      <c r="BM224" s="204">
        <v>62.8</v>
      </c>
      <c r="BN224" s="151">
        <v>41842</v>
      </c>
      <c r="BQ224" s="205">
        <v>9.8000000000000007</v>
      </c>
      <c r="BR224" s="151">
        <v>41842</v>
      </c>
      <c r="BS224" s="206">
        <v>44.5</v>
      </c>
      <c r="BT224" s="151">
        <v>41842</v>
      </c>
      <c r="BU224" s="207">
        <v>14.8</v>
      </c>
      <c r="BV224" s="151">
        <v>41842</v>
      </c>
      <c r="BW224" s="206">
        <v>55.1</v>
      </c>
      <c r="BX224" s="151">
        <v>41842</v>
      </c>
      <c r="BY224" s="210">
        <v>7.45</v>
      </c>
      <c r="BZ224" s="151">
        <v>41842</v>
      </c>
      <c r="CA224" s="206">
        <v>31.9</v>
      </c>
      <c r="CB224" s="151">
        <v>41842</v>
      </c>
      <c r="CC224" s="208">
        <v>6</v>
      </c>
      <c r="CD224" s="151">
        <v>41838</v>
      </c>
      <c r="CL224" s="209">
        <v>7</v>
      </c>
      <c r="CM224" s="201">
        <v>41810</v>
      </c>
    </row>
    <row r="225" spans="1:91" ht="15">
      <c r="A225" s="152" t="s">
        <v>7917</v>
      </c>
      <c r="B225" s="110" t="s">
        <v>235</v>
      </c>
      <c r="C225" s="110" t="s">
        <v>8081</v>
      </c>
      <c r="D225" s="110">
        <v>11325</v>
      </c>
      <c r="E225" s="111">
        <v>11</v>
      </c>
      <c r="F225" s="111">
        <v>481</v>
      </c>
      <c r="K225" s="134">
        <v>5</v>
      </c>
      <c r="L225" s="151">
        <v>41701</v>
      </c>
      <c r="M225" s="169">
        <v>3.65</v>
      </c>
      <c r="N225" s="151">
        <v>41838</v>
      </c>
      <c r="Q225" s="497"/>
      <c r="S225" s="134">
        <v>12.59</v>
      </c>
      <c r="T225" s="151">
        <v>41842</v>
      </c>
      <c r="U225" s="134">
        <v>13.5</v>
      </c>
      <c r="V225" s="151">
        <v>41838</v>
      </c>
      <c r="W225" s="196">
        <v>9</v>
      </c>
      <c r="X225" s="151">
        <v>41829</v>
      </c>
      <c r="Y225" s="134">
        <f t="shared" si="3"/>
        <v>4.1203200000000004</v>
      </c>
      <c r="AC225" s="134">
        <v>27.04</v>
      </c>
      <c r="AD225" s="151">
        <v>41838</v>
      </c>
      <c r="AE225" s="134">
        <v>27.84</v>
      </c>
      <c r="AF225" s="151">
        <v>41838</v>
      </c>
      <c r="AG225" s="197">
        <v>4.3</v>
      </c>
      <c r="AH225" s="151">
        <v>41843</v>
      </c>
      <c r="AI225" s="198">
        <v>7</v>
      </c>
      <c r="AJ225" s="151">
        <v>41778</v>
      </c>
      <c r="AK225" s="199">
        <v>5</v>
      </c>
      <c r="AL225" s="151">
        <v>41709</v>
      </c>
      <c r="BE225" s="200">
        <v>5</v>
      </c>
      <c r="BF225" s="201">
        <v>41555</v>
      </c>
      <c r="BG225" s="203">
        <v>1.5</v>
      </c>
      <c r="BH225" s="151">
        <v>41842</v>
      </c>
      <c r="BM225" s="204">
        <v>65.3</v>
      </c>
      <c r="BN225" s="151">
        <v>41842</v>
      </c>
      <c r="BQ225" s="205">
        <v>9.5</v>
      </c>
      <c r="BR225" s="151">
        <v>41842</v>
      </c>
      <c r="BS225" s="206">
        <v>45.2</v>
      </c>
      <c r="BT225" s="151">
        <v>41842</v>
      </c>
      <c r="BU225" s="207">
        <v>14.8</v>
      </c>
      <c r="BV225" s="151">
        <v>41842</v>
      </c>
      <c r="BW225" s="206">
        <v>51.2</v>
      </c>
      <c r="BX225" s="151">
        <v>41842</v>
      </c>
      <c r="BY225" s="210">
        <v>7.02</v>
      </c>
      <c r="BZ225" s="151">
        <v>41842</v>
      </c>
      <c r="CA225" s="206">
        <v>32.299999999999997</v>
      </c>
      <c r="CB225" s="151">
        <v>41842</v>
      </c>
      <c r="CC225" s="208">
        <v>6.3</v>
      </c>
      <c r="CD225" s="151">
        <v>41838</v>
      </c>
      <c r="CL225" s="209">
        <v>7</v>
      </c>
      <c r="CM225" s="201">
        <v>41810</v>
      </c>
    </row>
    <row r="226" spans="1:91" ht="15">
      <c r="A226" s="152" t="s">
        <v>7918</v>
      </c>
      <c r="B226" s="110" t="s">
        <v>235</v>
      </c>
      <c r="C226" s="110" t="s">
        <v>8082</v>
      </c>
      <c r="D226" s="110">
        <v>11561</v>
      </c>
      <c r="E226" s="111">
        <v>5</v>
      </c>
      <c r="F226" s="111">
        <v>709</v>
      </c>
      <c r="K226" s="134">
        <v>5</v>
      </c>
      <c r="L226" s="151">
        <v>41701</v>
      </c>
      <c r="M226" s="169">
        <v>4.2</v>
      </c>
      <c r="N226" s="151">
        <v>41838</v>
      </c>
      <c r="Q226" s="497"/>
      <c r="S226" s="134">
        <v>14.3</v>
      </c>
      <c r="T226" s="151">
        <v>41842</v>
      </c>
      <c r="U226" s="134">
        <v>13.5</v>
      </c>
      <c r="V226" s="151">
        <v>41838</v>
      </c>
      <c r="W226" s="196">
        <v>1</v>
      </c>
      <c r="X226" s="151">
        <v>41829</v>
      </c>
      <c r="Y226" s="134">
        <f t="shared" si="3"/>
        <v>4.7539800000000003</v>
      </c>
      <c r="AC226" s="134">
        <v>31.11</v>
      </c>
      <c r="AD226" s="151">
        <v>41838</v>
      </c>
      <c r="AE226" s="134">
        <v>32.340000000000003</v>
      </c>
      <c r="AF226" s="151">
        <v>41838</v>
      </c>
      <c r="AG226" s="197">
        <v>4.0999999999999996</v>
      </c>
      <c r="AH226" s="151">
        <v>41843</v>
      </c>
      <c r="AI226" s="198">
        <v>5</v>
      </c>
      <c r="AJ226" s="151">
        <v>41778</v>
      </c>
      <c r="AK226" s="199">
        <v>5</v>
      </c>
      <c r="AL226" s="151">
        <v>41709</v>
      </c>
      <c r="BE226" s="200">
        <v>5</v>
      </c>
      <c r="BF226" s="201">
        <v>41555</v>
      </c>
      <c r="BG226" s="203">
        <v>3</v>
      </c>
      <c r="BH226" s="151">
        <v>41842</v>
      </c>
      <c r="BM226" s="204">
        <v>64.7</v>
      </c>
      <c r="BN226" s="151">
        <v>41842</v>
      </c>
      <c r="BQ226" s="205">
        <v>10.1</v>
      </c>
      <c r="BR226" s="151">
        <v>41842</v>
      </c>
      <c r="BS226" s="206">
        <v>44.2</v>
      </c>
      <c r="BT226" s="151">
        <v>41842</v>
      </c>
      <c r="BU226" s="207">
        <v>14.7</v>
      </c>
      <c r="BV226" s="151">
        <v>41842</v>
      </c>
      <c r="BW226" s="206">
        <v>70.5</v>
      </c>
      <c r="BX226" s="151">
        <v>41842</v>
      </c>
      <c r="BY226" s="210">
        <v>7.52</v>
      </c>
      <c r="BZ226" s="151">
        <v>41842</v>
      </c>
      <c r="CA226" s="206">
        <v>31.5</v>
      </c>
      <c r="CB226" s="151">
        <v>41842</v>
      </c>
      <c r="CC226" s="208">
        <v>5.4</v>
      </c>
      <c r="CD226" s="151">
        <v>41838</v>
      </c>
      <c r="CL226" s="209">
        <v>7</v>
      </c>
      <c r="CM226" s="201">
        <v>41810</v>
      </c>
    </row>
    <row r="227" spans="1:91" ht="15">
      <c r="A227" s="152" t="s">
        <v>7918</v>
      </c>
      <c r="B227" s="110" t="s">
        <v>233</v>
      </c>
      <c r="C227" s="110" t="s">
        <v>381</v>
      </c>
      <c r="D227" s="110">
        <v>11158</v>
      </c>
      <c r="E227" s="111">
        <v>6</v>
      </c>
      <c r="F227" s="111">
        <v>533</v>
      </c>
      <c r="K227" s="134">
        <v>5</v>
      </c>
      <c r="L227" s="151">
        <v>41701</v>
      </c>
      <c r="M227" s="169">
        <v>4.05</v>
      </c>
      <c r="N227" s="151">
        <v>41838</v>
      </c>
      <c r="Q227" s="497"/>
      <c r="S227" s="134">
        <v>14.46</v>
      </c>
      <c r="T227" s="151">
        <v>41842</v>
      </c>
      <c r="U227" s="134">
        <v>13.5</v>
      </c>
      <c r="V227" s="151">
        <v>41838</v>
      </c>
      <c r="W227" s="196">
        <v>1</v>
      </c>
      <c r="X227" s="151">
        <v>41829</v>
      </c>
      <c r="Y227" s="134">
        <f t="shared" si="3"/>
        <v>4.13497</v>
      </c>
      <c r="AC227" s="134">
        <v>30</v>
      </c>
      <c r="AD227" s="151">
        <v>41838</v>
      </c>
      <c r="AE227" s="134">
        <v>31.09</v>
      </c>
      <c r="AF227" s="151">
        <v>41838</v>
      </c>
      <c r="AG227" s="197">
        <v>4.0999999999999996</v>
      </c>
      <c r="AH227" s="151">
        <v>41843</v>
      </c>
      <c r="AI227" s="198">
        <v>5</v>
      </c>
      <c r="AJ227" s="151">
        <v>41778</v>
      </c>
      <c r="AK227" s="199">
        <v>5</v>
      </c>
      <c r="AL227" s="151">
        <v>41709</v>
      </c>
      <c r="BE227" s="200">
        <v>5</v>
      </c>
      <c r="BF227" s="201">
        <v>41555</v>
      </c>
      <c r="BG227" s="203">
        <v>-0.3</v>
      </c>
      <c r="BH227" s="151">
        <v>41842</v>
      </c>
      <c r="BM227" s="204">
        <v>64.5</v>
      </c>
      <c r="BN227" s="151">
        <v>41842</v>
      </c>
      <c r="BQ227" s="205">
        <v>10.1</v>
      </c>
      <c r="BR227" s="151">
        <v>41842</v>
      </c>
      <c r="BS227" s="206">
        <v>46.5</v>
      </c>
      <c r="BT227" s="151">
        <v>41842</v>
      </c>
      <c r="BU227" s="207">
        <v>13.3</v>
      </c>
      <c r="BV227" s="151">
        <v>41842</v>
      </c>
      <c r="BW227" s="206">
        <v>55.6</v>
      </c>
      <c r="BX227" s="151">
        <v>41842</v>
      </c>
      <c r="BY227" s="210">
        <v>7.33</v>
      </c>
      <c r="BZ227" s="151">
        <v>41842</v>
      </c>
      <c r="CA227" s="206">
        <v>30</v>
      </c>
      <c r="CB227" s="151">
        <v>41842</v>
      </c>
      <c r="CC227" s="208">
        <v>5.7</v>
      </c>
      <c r="CD227" s="151">
        <v>41838</v>
      </c>
      <c r="CL227" s="209">
        <v>5</v>
      </c>
      <c r="CM227" s="201">
        <v>41810</v>
      </c>
    </row>
    <row r="228" spans="1:91" ht="15">
      <c r="A228" s="152" t="s">
        <v>7918</v>
      </c>
      <c r="B228" s="110" t="s">
        <v>235</v>
      </c>
      <c r="C228" s="110" t="s">
        <v>8081</v>
      </c>
      <c r="D228" s="110">
        <v>11185</v>
      </c>
      <c r="E228" s="111">
        <v>7</v>
      </c>
      <c r="F228" s="111">
        <v>497</v>
      </c>
      <c r="K228" s="134">
        <v>5</v>
      </c>
      <c r="L228" s="151">
        <v>41701</v>
      </c>
      <c r="M228" s="169">
        <v>5</v>
      </c>
      <c r="N228" s="151">
        <v>41838</v>
      </c>
      <c r="Q228" s="497"/>
      <c r="S228" s="134">
        <v>17.11</v>
      </c>
      <c r="T228" s="151">
        <v>41842</v>
      </c>
      <c r="U228" s="134">
        <v>13.5</v>
      </c>
      <c r="V228" s="151">
        <v>41838</v>
      </c>
      <c r="W228" s="196">
        <v>9</v>
      </c>
      <c r="X228" s="151">
        <v>41829</v>
      </c>
      <c r="Y228" s="134">
        <f t="shared" si="3"/>
        <v>5.6624800000000004</v>
      </c>
      <c r="AC228" s="134">
        <v>37.04</v>
      </c>
      <c r="AD228" s="151">
        <v>41838</v>
      </c>
      <c r="AE228" s="134">
        <v>38.26</v>
      </c>
      <c r="AF228" s="151">
        <v>41838</v>
      </c>
      <c r="AG228" s="197">
        <v>4.2</v>
      </c>
      <c r="AH228" s="151">
        <v>41843</v>
      </c>
      <c r="AI228" s="198">
        <v>7</v>
      </c>
      <c r="AJ228" s="151">
        <v>41778</v>
      </c>
      <c r="AK228" s="199">
        <v>5</v>
      </c>
      <c r="AL228" s="151">
        <v>41709</v>
      </c>
      <c r="BE228" s="200">
        <v>5</v>
      </c>
      <c r="BF228" s="201">
        <v>41555</v>
      </c>
      <c r="BG228" s="203">
        <v>2.1</v>
      </c>
      <c r="BH228" s="151">
        <v>41842</v>
      </c>
      <c r="BM228" s="204">
        <v>64.7</v>
      </c>
      <c r="BN228" s="151">
        <v>41842</v>
      </c>
      <c r="BQ228" s="205">
        <v>10</v>
      </c>
      <c r="BR228" s="151">
        <v>41842</v>
      </c>
      <c r="BS228" s="206">
        <v>44.7</v>
      </c>
      <c r="BT228" s="151">
        <v>41842</v>
      </c>
      <c r="BU228" s="207">
        <v>14.8</v>
      </c>
      <c r="BV228" s="151">
        <v>41842</v>
      </c>
      <c r="BW228" s="206">
        <v>66.5</v>
      </c>
      <c r="BX228" s="151">
        <v>41842</v>
      </c>
      <c r="BY228" s="210">
        <v>7.38</v>
      </c>
      <c r="BZ228" s="151">
        <v>41842</v>
      </c>
      <c r="CA228" s="206">
        <v>32</v>
      </c>
      <c r="CB228" s="151">
        <v>41842</v>
      </c>
      <c r="CC228" s="208">
        <v>6</v>
      </c>
      <c r="CD228" s="151">
        <v>41838</v>
      </c>
      <c r="CL228" s="209">
        <v>5</v>
      </c>
      <c r="CM228" s="201">
        <v>41810</v>
      </c>
    </row>
    <row r="229" spans="1:91" ht="15">
      <c r="A229" s="152" t="s">
        <v>7918</v>
      </c>
      <c r="B229" s="110" t="s">
        <v>233</v>
      </c>
      <c r="C229" s="110" t="s">
        <v>8083</v>
      </c>
      <c r="D229" s="110">
        <v>11675</v>
      </c>
      <c r="E229" s="111">
        <v>8</v>
      </c>
      <c r="F229" s="111">
        <v>733</v>
      </c>
      <c r="K229" s="134">
        <v>5</v>
      </c>
      <c r="L229" s="151">
        <v>41701</v>
      </c>
      <c r="M229" s="169">
        <v>3.1</v>
      </c>
      <c r="N229" s="151">
        <v>41838</v>
      </c>
      <c r="Q229" s="497"/>
      <c r="S229" s="134">
        <v>10.82</v>
      </c>
      <c r="T229" s="151">
        <v>41842</v>
      </c>
      <c r="U229" s="134">
        <v>13.5</v>
      </c>
      <c r="V229" s="151">
        <v>41838</v>
      </c>
      <c r="W229" s="196">
        <v>9</v>
      </c>
      <c r="X229" s="151">
        <v>41829</v>
      </c>
      <c r="Y229" s="134">
        <f t="shared" si="3"/>
        <v>3.1414600000000004</v>
      </c>
      <c r="AC229" s="134">
        <v>22.96</v>
      </c>
      <c r="AD229" s="151">
        <v>41838</v>
      </c>
      <c r="AE229" s="134">
        <v>23.62</v>
      </c>
      <c r="AF229" s="151">
        <v>41838</v>
      </c>
      <c r="AG229" s="197">
        <v>4.0999999999999996</v>
      </c>
      <c r="AH229" s="151">
        <v>41843</v>
      </c>
      <c r="AI229" s="198">
        <v>5</v>
      </c>
      <c r="AJ229" s="151">
        <v>41778</v>
      </c>
      <c r="AK229" s="199">
        <v>4</v>
      </c>
      <c r="AL229" s="151">
        <v>41709</v>
      </c>
      <c r="BE229" s="200">
        <v>4</v>
      </c>
      <c r="BF229" s="201">
        <v>41555</v>
      </c>
      <c r="BG229" s="203">
        <v>-1.7</v>
      </c>
      <c r="BH229" s="151">
        <v>41842</v>
      </c>
      <c r="BM229" s="204">
        <v>65.099999999999994</v>
      </c>
      <c r="BN229" s="151">
        <v>41842</v>
      </c>
      <c r="BQ229" s="205">
        <v>9.6</v>
      </c>
      <c r="BR229" s="151">
        <v>41842</v>
      </c>
      <c r="BS229" s="206">
        <v>45.8</v>
      </c>
      <c r="BT229" s="151">
        <v>41842</v>
      </c>
      <c r="BU229" s="207">
        <v>13.3</v>
      </c>
      <c r="BV229" s="151">
        <v>41842</v>
      </c>
      <c r="BW229" s="206">
        <v>62.5</v>
      </c>
      <c r="BX229" s="151">
        <v>41842</v>
      </c>
      <c r="BY229" s="210">
        <v>7.61</v>
      </c>
      <c r="BZ229" s="151">
        <v>41842</v>
      </c>
      <c r="CA229" s="206">
        <v>29.5</v>
      </c>
      <c r="CB229" s="151">
        <v>41842</v>
      </c>
      <c r="CC229" s="208">
        <v>6.4</v>
      </c>
      <c r="CD229" s="151">
        <v>41838</v>
      </c>
      <c r="CL229" s="209">
        <v>5</v>
      </c>
      <c r="CM229" s="201">
        <v>41810</v>
      </c>
    </row>
    <row r="230" spans="1:91" s="421" customFormat="1" ht="15">
      <c r="A230" s="412" t="s">
        <v>7919</v>
      </c>
      <c r="B230" s="413" t="s">
        <v>233</v>
      </c>
      <c r="C230" s="413" t="s">
        <v>381</v>
      </c>
      <c r="D230" s="413">
        <v>11008</v>
      </c>
      <c r="E230" s="414">
        <v>2</v>
      </c>
      <c r="F230" s="414">
        <v>509</v>
      </c>
      <c r="G230" s="414"/>
      <c r="H230" s="414"/>
      <c r="I230" s="423"/>
      <c r="J230" s="413"/>
      <c r="K230" s="422">
        <v>5</v>
      </c>
      <c r="L230" s="417">
        <v>41701</v>
      </c>
      <c r="M230" s="418">
        <v>1</v>
      </c>
      <c r="N230" s="417">
        <v>41838</v>
      </c>
      <c r="O230" s="416"/>
      <c r="P230" s="417"/>
      <c r="Q230" s="497"/>
      <c r="R230" s="417"/>
      <c r="S230" s="416">
        <v>3.37</v>
      </c>
      <c r="T230" s="417">
        <v>41842</v>
      </c>
      <c r="U230" s="422">
        <v>13.5</v>
      </c>
      <c r="V230" s="417">
        <v>41838</v>
      </c>
      <c r="W230" s="418">
        <v>1</v>
      </c>
      <c r="X230" s="417">
        <v>41829</v>
      </c>
      <c r="Y230" s="134">
        <f t="shared" si="3"/>
        <v>1.2759199999999999</v>
      </c>
      <c r="Z230" s="417"/>
      <c r="AA230" s="422"/>
      <c r="AB230" s="417"/>
      <c r="AC230" s="422">
        <v>7.41</v>
      </c>
      <c r="AD230" s="417">
        <v>41838</v>
      </c>
      <c r="AE230" s="424">
        <v>7.78</v>
      </c>
      <c r="AF230" s="417">
        <v>41838</v>
      </c>
      <c r="AG230" s="418">
        <v>4.7</v>
      </c>
      <c r="AH230" s="417">
        <v>41843</v>
      </c>
      <c r="AI230" s="418">
        <v>5</v>
      </c>
      <c r="AJ230" s="417">
        <v>41778</v>
      </c>
      <c r="AK230" s="418">
        <v>5</v>
      </c>
      <c r="AL230" s="417">
        <v>41709</v>
      </c>
      <c r="AM230" s="422"/>
      <c r="AN230" s="417"/>
      <c r="AO230" s="416"/>
      <c r="AP230" s="416"/>
      <c r="AQ230" s="416"/>
      <c r="AR230" s="416"/>
      <c r="AS230" s="416"/>
      <c r="AT230" s="416"/>
      <c r="AU230" s="416"/>
      <c r="AV230" s="416"/>
      <c r="AW230" s="416"/>
      <c r="AX230" s="416"/>
      <c r="AY230" s="416"/>
      <c r="AZ230" s="416"/>
      <c r="BA230" s="416"/>
      <c r="BB230" s="416"/>
      <c r="BC230" s="416"/>
      <c r="BD230" s="416"/>
      <c r="BE230" s="418">
        <v>5</v>
      </c>
      <c r="BF230" s="419">
        <v>41555</v>
      </c>
      <c r="BG230" s="420">
        <v>-2.4</v>
      </c>
      <c r="BH230" s="417">
        <v>41842</v>
      </c>
      <c r="BM230" s="420">
        <v>64.099999999999994</v>
      </c>
      <c r="BN230" s="417">
        <v>41842</v>
      </c>
      <c r="BQ230" s="420">
        <v>12</v>
      </c>
      <c r="BR230" s="417">
        <v>41842</v>
      </c>
      <c r="BS230" s="420">
        <v>43.3</v>
      </c>
      <c r="BT230" s="417">
        <v>41842</v>
      </c>
      <c r="BU230" s="420">
        <v>16.399999999999999</v>
      </c>
      <c r="BV230" s="417">
        <v>41842</v>
      </c>
      <c r="BW230" s="420">
        <v>62.2</v>
      </c>
      <c r="BX230" s="417">
        <v>41842</v>
      </c>
      <c r="BY230" s="420">
        <v>7.51</v>
      </c>
      <c r="BZ230" s="417">
        <v>41842</v>
      </c>
      <c r="CA230" s="420">
        <v>34.4</v>
      </c>
      <c r="CB230" s="417">
        <v>41842</v>
      </c>
      <c r="CC230" s="420">
        <v>4.4000000000000004</v>
      </c>
      <c r="CD230" s="417">
        <v>41838</v>
      </c>
      <c r="CL230" s="420">
        <v>9</v>
      </c>
      <c r="CM230" s="419">
        <v>41810</v>
      </c>
    </row>
    <row r="231" spans="1:91" s="421" customFormat="1" ht="15">
      <c r="A231" s="412" t="s">
        <v>7919</v>
      </c>
      <c r="B231" s="413" t="s">
        <v>235</v>
      </c>
      <c r="C231" s="413" t="s">
        <v>8082</v>
      </c>
      <c r="D231" s="413">
        <v>11593</v>
      </c>
      <c r="E231" s="414">
        <v>6</v>
      </c>
      <c r="F231" s="414">
        <v>693</v>
      </c>
      <c r="G231" s="414"/>
      <c r="H231" s="414"/>
      <c r="I231" s="413"/>
      <c r="J231" s="413"/>
      <c r="K231" s="416">
        <v>5</v>
      </c>
      <c r="L231" s="417">
        <v>41701</v>
      </c>
      <c r="M231" s="418">
        <v>1.25</v>
      </c>
      <c r="N231" s="417">
        <v>41838</v>
      </c>
      <c r="O231" s="416"/>
      <c r="P231" s="417"/>
      <c r="Q231" s="497"/>
      <c r="R231" s="417"/>
      <c r="S231" s="416">
        <v>4.21</v>
      </c>
      <c r="T231" s="417">
        <v>41842</v>
      </c>
      <c r="U231" s="416">
        <v>13.5</v>
      </c>
      <c r="V231" s="417">
        <v>41838</v>
      </c>
      <c r="W231" s="418">
        <v>9</v>
      </c>
      <c r="X231" s="417">
        <v>41829</v>
      </c>
      <c r="Y231" s="134">
        <f t="shared" si="3"/>
        <v>1.6223999999999998</v>
      </c>
      <c r="Z231" s="417"/>
      <c r="AA231" s="416"/>
      <c r="AB231" s="417"/>
      <c r="AC231" s="416">
        <v>9.26</v>
      </c>
      <c r="AD231" s="417">
        <v>41838</v>
      </c>
      <c r="AE231" s="416">
        <v>9.6</v>
      </c>
      <c r="AF231" s="417">
        <v>41838</v>
      </c>
      <c r="AG231" s="418">
        <v>4.7</v>
      </c>
      <c r="AH231" s="417">
        <v>41843</v>
      </c>
      <c r="AI231" s="418">
        <v>5</v>
      </c>
      <c r="AJ231" s="417">
        <v>41778</v>
      </c>
      <c r="AK231" s="418">
        <v>5</v>
      </c>
      <c r="AL231" s="417">
        <v>41709</v>
      </c>
      <c r="AM231" s="416"/>
      <c r="AN231" s="417"/>
      <c r="AO231" s="416"/>
      <c r="AP231" s="416"/>
      <c r="AQ231" s="416"/>
      <c r="AR231" s="416"/>
      <c r="AS231" s="416"/>
      <c r="AT231" s="416"/>
      <c r="AU231" s="416"/>
      <c r="AV231" s="416"/>
      <c r="AW231" s="416"/>
      <c r="AX231" s="416"/>
      <c r="AY231" s="416"/>
      <c r="AZ231" s="416"/>
      <c r="BA231" s="416"/>
      <c r="BB231" s="416"/>
      <c r="BC231" s="416"/>
      <c r="BD231" s="416"/>
      <c r="BE231" s="418">
        <v>5</v>
      </c>
      <c r="BF231" s="419">
        <v>41555</v>
      </c>
      <c r="BG231" s="420">
        <v>10</v>
      </c>
      <c r="BH231" s="417">
        <v>41842</v>
      </c>
      <c r="BM231" s="420">
        <v>64.400000000000006</v>
      </c>
      <c r="BN231" s="417">
        <v>41842</v>
      </c>
      <c r="BQ231" s="420">
        <v>10.1</v>
      </c>
      <c r="BR231" s="417">
        <v>41842</v>
      </c>
      <c r="BS231" s="420">
        <v>43.8</v>
      </c>
      <c r="BT231" s="417">
        <v>41842</v>
      </c>
      <c r="BU231" s="420">
        <v>16.899999999999999</v>
      </c>
      <c r="BV231" s="417">
        <v>41842</v>
      </c>
      <c r="BW231" s="420">
        <v>74.2</v>
      </c>
      <c r="BX231" s="417">
        <v>41842</v>
      </c>
      <c r="BY231" s="420">
        <v>7.59</v>
      </c>
      <c r="BZ231" s="417">
        <v>41842</v>
      </c>
      <c r="CA231" s="420">
        <v>35.799999999999997</v>
      </c>
      <c r="CB231" s="417">
        <v>41842</v>
      </c>
      <c r="CC231" s="420">
        <v>5.7</v>
      </c>
      <c r="CD231" s="417">
        <v>41838</v>
      </c>
      <c r="CL231" s="420">
        <v>9</v>
      </c>
      <c r="CM231" s="419">
        <v>41810</v>
      </c>
    </row>
    <row r="232" spans="1:91" s="421" customFormat="1" ht="15">
      <c r="A232" s="412" t="s">
        <v>7919</v>
      </c>
      <c r="B232" s="413" t="s">
        <v>233</v>
      </c>
      <c r="C232" s="413" t="s">
        <v>8083</v>
      </c>
      <c r="D232" s="413">
        <v>11717</v>
      </c>
      <c r="E232" s="414">
        <v>9</v>
      </c>
      <c r="F232" s="414">
        <v>757</v>
      </c>
      <c r="G232" s="414"/>
      <c r="H232" s="414"/>
      <c r="I232" s="413"/>
      <c r="J232" s="413"/>
      <c r="K232" s="416">
        <v>5</v>
      </c>
      <c r="L232" s="417">
        <v>41701</v>
      </c>
      <c r="M232" s="418">
        <v>1.55</v>
      </c>
      <c r="N232" s="417">
        <v>41838</v>
      </c>
      <c r="O232" s="416"/>
      <c r="P232" s="417"/>
      <c r="Q232" s="497"/>
      <c r="R232" s="417"/>
      <c r="S232" s="416">
        <v>5.23</v>
      </c>
      <c r="T232" s="417">
        <v>41842</v>
      </c>
      <c r="U232" s="416">
        <v>13.5</v>
      </c>
      <c r="V232" s="417">
        <v>41838</v>
      </c>
      <c r="W232" s="418">
        <v>1</v>
      </c>
      <c r="X232" s="417">
        <v>41829</v>
      </c>
      <c r="Y232" s="134">
        <f t="shared" si="3"/>
        <v>1.8218200000000002</v>
      </c>
      <c r="Z232" s="417"/>
      <c r="AA232" s="416"/>
      <c r="AB232" s="417"/>
      <c r="AC232" s="416">
        <v>11.48</v>
      </c>
      <c r="AD232" s="417">
        <v>41838</v>
      </c>
      <c r="AE232" s="416">
        <v>11.83</v>
      </c>
      <c r="AF232" s="417">
        <v>41838</v>
      </c>
      <c r="AG232" s="418">
        <v>4.9000000000000004</v>
      </c>
      <c r="AH232" s="417">
        <v>41843</v>
      </c>
      <c r="AI232" s="418">
        <v>5</v>
      </c>
      <c r="AJ232" s="417">
        <v>41778</v>
      </c>
      <c r="AK232" s="418">
        <v>5</v>
      </c>
      <c r="AL232" s="417">
        <v>41709</v>
      </c>
      <c r="AM232" s="416"/>
      <c r="AN232" s="417"/>
      <c r="AO232" s="416"/>
      <c r="AP232" s="416"/>
      <c r="AQ232" s="416"/>
      <c r="AR232" s="416"/>
      <c r="AS232" s="416"/>
      <c r="AT232" s="416"/>
      <c r="AU232" s="416"/>
      <c r="AV232" s="416"/>
      <c r="AW232" s="416"/>
      <c r="AX232" s="416"/>
      <c r="AY232" s="416"/>
      <c r="AZ232" s="416"/>
      <c r="BA232" s="416"/>
      <c r="BB232" s="416"/>
      <c r="BC232" s="416"/>
      <c r="BD232" s="416"/>
      <c r="BE232" s="418">
        <v>5</v>
      </c>
      <c r="BF232" s="419">
        <v>41555</v>
      </c>
      <c r="BG232" s="420">
        <v>-5.9</v>
      </c>
      <c r="BH232" s="417">
        <v>41842</v>
      </c>
      <c r="BM232" s="420">
        <v>67.7</v>
      </c>
      <c r="BN232" s="417">
        <v>41842</v>
      </c>
      <c r="BQ232" s="420">
        <v>9.9</v>
      </c>
      <c r="BR232" s="417">
        <v>41842</v>
      </c>
      <c r="BS232" s="420">
        <v>44.2</v>
      </c>
      <c r="BT232" s="417">
        <v>41842</v>
      </c>
      <c r="BU232" s="420">
        <v>15.4</v>
      </c>
      <c r="BV232" s="417">
        <v>41842</v>
      </c>
      <c r="BW232" s="420">
        <v>51.8</v>
      </c>
      <c r="BX232" s="417">
        <v>41842</v>
      </c>
      <c r="BY232" s="420">
        <v>6.79</v>
      </c>
      <c r="BZ232" s="417">
        <v>41842</v>
      </c>
      <c r="CA232" s="420">
        <v>32.799999999999997</v>
      </c>
      <c r="CB232" s="417">
        <v>41842</v>
      </c>
      <c r="CC232" s="420">
        <v>6.2</v>
      </c>
      <c r="CD232" s="417">
        <v>41838</v>
      </c>
      <c r="CL232" s="420">
        <v>7</v>
      </c>
      <c r="CM232" s="419">
        <v>41810</v>
      </c>
    </row>
    <row r="233" spans="1:91" s="421" customFormat="1" ht="15">
      <c r="A233" s="412" t="s">
        <v>7919</v>
      </c>
      <c r="B233" s="413" t="s">
        <v>235</v>
      </c>
      <c r="C233" s="413" t="s">
        <v>8081</v>
      </c>
      <c r="D233" s="413">
        <v>11353</v>
      </c>
      <c r="E233" s="414">
        <v>11</v>
      </c>
      <c r="F233" s="414">
        <v>593</v>
      </c>
      <c r="G233" s="414"/>
      <c r="H233" s="414"/>
      <c r="I233" s="413"/>
      <c r="J233" s="413"/>
      <c r="K233" s="416">
        <v>5</v>
      </c>
      <c r="L233" s="417">
        <v>41701</v>
      </c>
      <c r="M233" s="418">
        <v>1.6</v>
      </c>
      <c r="N233" s="417">
        <v>41838</v>
      </c>
      <c r="O233" s="416"/>
      <c r="P233" s="417"/>
      <c r="Q233" s="497"/>
      <c r="R233" s="417"/>
      <c r="S233" s="416">
        <v>5.44</v>
      </c>
      <c r="T233" s="417">
        <v>41842</v>
      </c>
      <c r="U233" s="416">
        <v>13.5</v>
      </c>
      <c r="V233" s="417">
        <v>41838</v>
      </c>
      <c r="W233" s="418">
        <v>9</v>
      </c>
      <c r="X233" s="417">
        <v>41829</v>
      </c>
      <c r="Y233" s="134">
        <f t="shared" si="3"/>
        <v>1.8465</v>
      </c>
      <c r="Z233" s="417"/>
      <c r="AA233" s="416"/>
      <c r="AB233" s="417"/>
      <c r="AC233" s="416">
        <v>11.85</v>
      </c>
      <c r="AD233" s="417">
        <v>41838</v>
      </c>
      <c r="AE233" s="416">
        <v>12.31</v>
      </c>
      <c r="AF233" s="417">
        <v>41838</v>
      </c>
      <c r="AG233" s="418">
        <v>4.3</v>
      </c>
      <c r="AH233" s="417">
        <v>41843</v>
      </c>
      <c r="AI233" s="418">
        <v>5</v>
      </c>
      <c r="AJ233" s="417">
        <v>41778</v>
      </c>
      <c r="AK233" s="418">
        <v>5</v>
      </c>
      <c r="AL233" s="417">
        <v>41709</v>
      </c>
      <c r="AM233" s="416"/>
      <c r="AN233" s="417"/>
      <c r="AO233" s="416"/>
      <c r="AP233" s="416"/>
      <c r="AQ233" s="416"/>
      <c r="AR233" s="416"/>
      <c r="AS233" s="416"/>
      <c r="AT233" s="416"/>
      <c r="AU233" s="416"/>
      <c r="AV233" s="416"/>
      <c r="AW233" s="416"/>
      <c r="AX233" s="416"/>
      <c r="AY233" s="416"/>
      <c r="AZ233" s="416"/>
      <c r="BA233" s="416"/>
      <c r="BB233" s="416"/>
      <c r="BC233" s="416"/>
      <c r="BD233" s="416"/>
      <c r="BE233" s="418">
        <v>5</v>
      </c>
      <c r="BF233" s="419">
        <v>41555</v>
      </c>
      <c r="BG233" s="420">
        <v>0</v>
      </c>
      <c r="BH233" s="417">
        <v>41842</v>
      </c>
      <c r="BM233" s="420">
        <v>65</v>
      </c>
      <c r="BN233" s="417">
        <v>41842</v>
      </c>
      <c r="BQ233" s="420">
        <v>11.2</v>
      </c>
      <c r="BR233" s="417">
        <v>41842</v>
      </c>
      <c r="BS233" s="420">
        <v>44.2</v>
      </c>
      <c r="BT233" s="417">
        <v>41842</v>
      </c>
      <c r="BU233" s="420">
        <v>15</v>
      </c>
      <c r="BV233" s="417">
        <v>41842</v>
      </c>
      <c r="BW233" s="420">
        <v>44.8</v>
      </c>
      <c r="BX233" s="417">
        <v>41842</v>
      </c>
      <c r="BY233" s="420">
        <v>7.35</v>
      </c>
      <c r="BZ233" s="417">
        <v>41842</v>
      </c>
      <c r="CA233" s="420">
        <v>32</v>
      </c>
      <c r="CB233" s="417">
        <v>41842</v>
      </c>
      <c r="CC233" s="420">
        <v>5.5</v>
      </c>
      <c r="CD233" s="417">
        <v>41838</v>
      </c>
      <c r="CL233" s="420">
        <v>9</v>
      </c>
      <c r="CM233" s="419">
        <v>41810</v>
      </c>
    </row>
    <row r="234" spans="1:91" ht="15">
      <c r="A234" s="152" t="s">
        <v>7920</v>
      </c>
      <c r="B234" s="110" t="s">
        <v>233</v>
      </c>
      <c r="C234" s="110" t="s">
        <v>381</v>
      </c>
      <c r="D234" s="110">
        <v>11012</v>
      </c>
      <c r="E234" s="111">
        <v>2</v>
      </c>
      <c r="F234" s="111">
        <v>525</v>
      </c>
      <c r="I234" s="373"/>
      <c r="K234" s="194">
        <v>5</v>
      </c>
      <c r="L234" s="151">
        <v>41701</v>
      </c>
      <c r="M234" s="169">
        <v>3.35</v>
      </c>
      <c r="N234" s="151">
        <v>41838</v>
      </c>
      <c r="Q234" s="497"/>
      <c r="S234" s="134">
        <v>12.27</v>
      </c>
      <c r="T234" s="151">
        <v>41842</v>
      </c>
      <c r="U234" s="194">
        <v>13.5</v>
      </c>
      <c r="V234" s="151">
        <v>41838</v>
      </c>
      <c r="W234" s="196">
        <v>9</v>
      </c>
      <c r="X234" s="151">
        <v>41829</v>
      </c>
      <c r="Y234" s="134">
        <f t="shared" si="3"/>
        <v>3.67367</v>
      </c>
      <c r="AA234" s="194"/>
      <c r="AC234" s="194">
        <v>24.81</v>
      </c>
      <c r="AD234" s="151">
        <v>41838</v>
      </c>
      <c r="AE234" s="137">
        <v>25.69</v>
      </c>
      <c r="AF234" s="151">
        <v>41838</v>
      </c>
      <c r="AG234" s="197">
        <v>4.2</v>
      </c>
      <c r="AH234" s="151">
        <v>41843</v>
      </c>
      <c r="AI234" s="198">
        <v>1</v>
      </c>
      <c r="AJ234" s="151">
        <v>41778</v>
      </c>
      <c r="AK234" s="199">
        <v>5</v>
      </c>
      <c r="AL234" s="151">
        <v>41709</v>
      </c>
      <c r="AM234" s="194"/>
      <c r="BE234" s="200">
        <v>5</v>
      </c>
      <c r="BF234" s="201">
        <v>41555</v>
      </c>
      <c r="BG234" s="203">
        <v>1.6</v>
      </c>
      <c r="BH234" s="151">
        <v>41842</v>
      </c>
      <c r="BM234" s="204">
        <v>64.3</v>
      </c>
      <c r="BN234" s="151">
        <v>41842</v>
      </c>
      <c r="BQ234" s="205">
        <v>11.7</v>
      </c>
      <c r="BR234" s="151">
        <v>41842</v>
      </c>
      <c r="BS234" s="206">
        <v>47.8</v>
      </c>
      <c r="BT234" s="151">
        <v>41842</v>
      </c>
      <c r="BU234" s="207">
        <v>14.3</v>
      </c>
      <c r="BV234" s="151">
        <v>41842</v>
      </c>
      <c r="BW234" s="206">
        <v>56.4</v>
      </c>
      <c r="BX234" s="151">
        <v>41842</v>
      </c>
      <c r="BY234" s="210">
        <v>7.17</v>
      </c>
      <c r="BZ234" s="151">
        <v>41842</v>
      </c>
      <c r="CA234" s="206">
        <v>33</v>
      </c>
      <c r="CB234" s="151">
        <v>41842</v>
      </c>
      <c r="CC234" s="208">
        <v>5.8</v>
      </c>
      <c r="CD234" s="151">
        <v>41838</v>
      </c>
      <c r="CL234" s="209">
        <v>3</v>
      </c>
      <c r="CM234" s="201">
        <v>41810</v>
      </c>
    </row>
    <row r="235" spans="1:91" ht="15">
      <c r="A235" s="152" t="s">
        <v>7920</v>
      </c>
      <c r="B235" s="110" t="s">
        <v>235</v>
      </c>
      <c r="C235" s="110" t="s">
        <v>8082</v>
      </c>
      <c r="D235" s="110">
        <v>11610</v>
      </c>
      <c r="E235" s="111">
        <v>6</v>
      </c>
      <c r="F235" s="111">
        <v>761</v>
      </c>
      <c r="K235" s="134">
        <v>5</v>
      </c>
      <c r="L235" s="151">
        <v>41701</v>
      </c>
      <c r="M235" s="169">
        <v>5.2</v>
      </c>
      <c r="N235" s="151">
        <v>41838</v>
      </c>
      <c r="Q235" s="497"/>
      <c r="S235" s="134">
        <v>18.71</v>
      </c>
      <c r="T235" s="151">
        <v>41842</v>
      </c>
      <c r="U235" s="134">
        <v>13.5</v>
      </c>
      <c r="V235" s="151">
        <v>41838</v>
      </c>
      <c r="W235" s="196">
        <v>9</v>
      </c>
      <c r="X235" s="151">
        <v>41829</v>
      </c>
      <c r="Y235" s="134">
        <f t="shared" si="3"/>
        <v>5.7506999999999993</v>
      </c>
      <c r="AC235" s="134">
        <v>38.520000000000003</v>
      </c>
      <c r="AD235" s="151">
        <v>41838</v>
      </c>
      <c r="AE235" s="134">
        <v>39.659999999999997</v>
      </c>
      <c r="AF235" s="151">
        <v>41838</v>
      </c>
      <c r="AG235" s="197">
        <v>4.4000000000000004</v>
      </c>
      <c r="AH235" s="151">
        <v>41843</v>
      </c>
      <c r="AI235" s="198">
        <v>3</v>
      </c>
      <c r="AJ235" s="151">
        <v>41778</v>
      </c>
      <c r="AK235" s="199">
        <v>5</v>
      </c>
      <c r="AL235" s="151">
        <v>41709</v>
      </c>
      <c r="BE235" s="200">
        <v>5</v>
      </c>
      <c r="BF235" s="201">
        <v>41555</v>
      </c>
      <c r="BG235" s="203">
        <v>-0.5</v>
      </c>
      <c r="BH235" s="151">
        <v>41842</v>
      </c>
      <c r="BM235" s="204">
        <v>63.4</v>
      </c>
      <c r="BN235" s="151">
        <v>41842</v>
      </c>
      <c r="BQ235" s="205">
        <v>12</v>
      </c>
      <c r="BR235" s="151">
        <v>41842</v>
      </c>
      <c r="BS235" s="206">
        <v>47.2</v>
      </c>
      <c r="BT235" s="151">
        <v>41842</v>
      </c>
      <c r="BU235" s="207">
        <v>14.5</v>
      </c>
      <c r="BV235" s="151">
        <v>41842</v>
      </c>
      <c r="BW235" s="206">
        <v>49.5</v>
      </c>
      <c r="BX235" s="151">
        <v>41842</v>
      </c>
      <c r="BY235" s="210">
        <v>7.1</v>
      </c>
      <c r="BZ235" s="151">
        <v>41842</v>
      </c>
      <c r="CA235" s="206">
        <v>33</v>
      </c>
      <c r="CB235" s="151">
        <v>41842</v>
      </c>
      <c r="CC235" s="208">
        <v>6.3</v>
      </c>
      <c r="CD235" s="151">
        <v>41838</v>
      </c>
      <c r="CL235" s="209">
        <v>3</v>
      </c>
      <c r="CM235" s="201">
        <v>41810</v>
      </c>
    </row>
    <row r="236" spans="1:91" ht="15">
      <c r="A236" s="152" t="s">
        <v>7920</v>
      </c>
      <c r="B236" s="110" t="s">
        <v>233</v>
      </c>
      <c r="C236" s="110" t="s">
        <v>8083</v>
      </c>
      <c r="D236" s="110">
        <v>11672</v>
      </c>
      <c r="E236" s="111">
        <v>8</v>
      </c>
      <c r="F236" s="111">
        <v>721</v>
      </c>
      <c r="K236" s="134">
        <v>5</v>
      </c>
      <c r="L236" s="151">
        <v>41701</v>
      </c>
      <c r="M236" s="169">
        <v>3.6</v>
      </c>
      <c r="N236" s="151">
        <v>41838</v>
      </c>
      <c r="Q236" s="497"/>
      <c r="S236" s="134">
        <v>13.21</v>
      </c>
      <c r="T236" s="151">
        <v>41842</v>
      </c>
      <c r="U236" s="134">
        <v>13.5</v>
      </c>
      <c r="V236" s="151">
        <v>41838</v>
      </c>
      <c r="W236" s="196">
        <v>9</v>
      </c>
      <c r="X236" s="151">
        <v>41829</v>
      </c>
      <c r="Y236" s="134">
        <f t="shared" si="3"/>
        <v>3.7743500000000001</v>
      </c>
      <c r="AC236" s="134">
        <v>26.67</v>
      </c>
      <c r="AD236" s="151">
        <v>41838</v>
      </c>
      <c r="AE236" s="134">
        <v>27.55</v>
      </c>
      <c r="AF236" s="151">
        <v>41838</v>
      </c>
      <c r="AG236" s="197">
        <v>4.4000000000000004</v>
      </c>
      <c r="AH236" s="151">
        <v>41843</v>
      </c>
      <c r="AI236" s="198">
        <v>3</v>
      </c>
      <c r="AJ236" s="151">
        <v>41778</v>
      </c>
      <c r="AK236" s="199">
        <v>5</v>
      </c>
      <c r="AL236" s="151">
        <v>41709</v>
      </c>
      <c r="BE236" s="200">
        <v>5</v>
      </c>
      <c r="BF236" s="201">
        <v>41555</v>
      </c>
      <c r="BG236" s="203">
        <v>0.3</v>
      </c>
      <c r="BH236" s="151">
        <v>41842</v>
      </c>
      <c r="BM236" s="204">
        <v>64.099999999999994</v>
      </c>
      <c r="BN236" s="151">
        <v>41842</v>
      </c>
      <c r="BQ236" s="205">
        <v>11.1</v>
      </c>
      <c r="BR236" s="151">
        <v>41842</v>
      </c>
      <c r="BS236" s="206">
        <v>48</v>
      </c>
      <c r="BT236" s="151">
        <v>41842</v>
      </c>
      <c r="BU236" s="207">
        <v>13.7</v>
      </c>
      <c r="BV236" s="151">
        <v>41842</v>
      </c>
      <c r="BW236" s="206">
        <v>52.8</v>
      </c>
      <c r="BX236" s="151">
        <v>41842</v>
      </c>
      <c r="BY236" s="210">
        <v>7.22</v>
      </c>
      <c r="BZ236" s="151">
        <v>41842</v>
      </c>
      <c r="CA236" s="206">
        <v>31.9</v>
      </c>
      <c r="CB236" s="151">
        <v>41842</v>
      </c>
      <c r="CC236" s="208">
        <v>6</v>
      </c>
      <c r="CD236" s="151">
        <v>41838</v>
      </c>
      <c r="CL236" s="209">
        <v>3</v>
      </c>
      <c r="CM236" s="201">
        <v>41810</v>
      </c>
    </row>
    <row r="237" spans="1:91" ht="15">
      <c r="A237" s="152" t="s">
        <v>7920</v>
      </c>
      <c r="B237" s="110" t="s">
        <v>235</v>
      </c>
      <c r="C237" s="110" t="s">
        <v>8081</v>
      </c>
      <c r="D237" s="110">
        <v>11361</v>
      </c>
      <c r="E237" s="111">
        <v>12</v>
      </c>
      <c r="F237" s="111">
        <v>481</v>
      </c>
      <c r="K237" s="134">
        <v>5</v>
      </c>
      <c r="L237" s="151">
        <v>41701</v>
      </c>
      <c r="M237" s="169">
        <v>4.5999999999999996</v>
      </c>
      <c r="N237" s="151">
        <v>41838</v>
      </c>
      <c r="Q237" s="497"/>
      <c r="S237" s="134">
        <v>16.84</v>
      </c>
      <c r="T237" s="151">
        <v>41842</v>
      </c>
      <c r="U237" s="134">
        <v>13.5</v>
      </c>
      <c r="V237" s="151">
        <v>41838</v>
      </c>
      <c r="W237" s="196">
        <v>9</v>
      </c>
      <c r="X237" s="151">
        <v>41829</v>
      </c>
      <c r="Y237" s="134">
        <f t="shared" si="3"/>
        <v>5.0026599999999988</v>
      </c>
      <c r="AC237" s="134">
        <v>34.07</v>
      </c>
      <c r="AD237" s="151">
        <v>41838</v>
      </c>
      <c r="AE237" s="134">
        <v>35.229999999999997</v>
      </c>
      <c r="AF237" s="151">
        <v>41838</v>
      </c>
      <c r="AG237" s="197">
        <v>4.0999999999999996</v>
      </c>
      <c r="AH237" s="151">
        <v>41843</v>
      </c>
      <c r="AI237" s="198">
        <v>3</v>
      </c>
      <c r="AJ237" s="151">
        <v>41778</v>
      </c>
      <c r="AK237" s="199">
        <v>5</v>
      </c>
      <c r="AL237" s="151">
        <v>41709</v>
      </c>
      <c r="BE237" s="200">
        <v>5</v>
      </c>
      <c r="BF237" s="201">
        <v>41555</v>
      </c>
      <c r="BG237" s="203">
        <v>-0.5</v>
      </c>
      <c r="BH237" s="151">
        <v>41842</v>
      </c>
      <c r="BM237" s="204">
        <v>64.099999999999994</v>
      </c>
      <c r="BN237" s="151">
        <v>41842</v>
      </c>
      <c r="BQ237" s="205">
        <v>11.3</v>
      </c>
      <c r="BR237" s="151">
        <v>41842</v>
      </c>
      <c r="BS237" s="206">
        <v>47.8</v>
      </c>
      <c r="BT237" s="151">
        <v>41842</v>
      </c>
      <c r="BU237" s="207">
        <v>14.2</v>
      </c>
      <c r="BV237" s="151">
        <v>41842</v>
      </c>
      <c r="BW237" s="206">
        <v>50.3</v>
      </c>
      <c r="BX237" s="151">
        <v>41842</v>
      </c>
      <c r="BY237" s="210">
        <v>6.93</v>
      </c>
      <c r="BZ237" s="151">
        <v>41842</v>
      </c>
      <c r="CA237" s="206">
        <v>32.799999999999997</v>
      </c>
      <c r="CB237" s="151">
        <v>41842</v>
      </c>
      <c r="CC237" s="208">
        <v>5.9</v>
      </c>
      <c r="CD237" s="151">
        <v>41838</v>
      </c>
      <c r="CL237" s="209">
        <v>3</v>
      </c>
      <c r="CM237" s="201">
        <v>41810</v>
      </c>
    </row>
    <row r="238" spans="1:91" ht="15">
      <c r="A238" s="152" t="s">
        <v>7921</v>
      </c>
      <c r="B238" s="110" t="s">
        <v>233</v>
      </c>
      <c r="C238" s="110" t="s">
        <v>381</v>
      </c>
      <c r="D238" s="110">
        <v>10964</v>
      </c>
      <c r="E238" s="111">
        <v>1</v>
      </c>
      <c r="F238" s="111">
        <v>477</v>
      </c>
      <c r="I238" s="373"/>
      <c r="K238" s="194">
        <v>5</v>
      </c>
      <c r="L238" s="151">
        <v>41701</v>
      </c>
      <c r="M238" s="169">
        <v>3.3</v>
      </c>
      <c r="N238" s="151">
        <v>41838</v>
      </c>
      <c r="Q238" s="497"/>
      <c r="S238" s="134">
        <v>11.67</v>
      </c>
      <c r="T238" s="151">
        <v>41842</v>
      </c>
      <c r="U238" s="194">
        <v>13.5</v>
      </c>
      <c r="V238" s="151">
        <v>41838</v>
      </c>
      <c r="W238" s="196">
        <v>1</v>
      </c>
      <c r="X238" s="151">
        <v>41829</v>
      </c>
      <c r="Y238" s="134">
        <f t="shared" si="3"/>
        <v>3.528</v>
      </c>
      <c r="AA238" s="194"/>
      <c r="AC238" s="194">
        <v>24.44</v>
      </c>
      <c r="AD238" s="151">
        <v>41838</v>
      </c>
      <c r="AE238" s="137">
        <v>25.2</v>
      </c>
      <c r="AF238" s="151">
        <v>41838</v>
      </c>
      <c r="AG238" s="197">
        <v>4.4000000000000004</v>
      </c>
      <c r="AH238" s="151">
        <v>41843</v>
      </c>
      <c r="AI238" s="198">
        <v>3</v>
      </c>
      <c r="AJ238" s="151">
        <v>41778</v>
      </c>
      <c r="AK238" s="199">
        <v>5</v>
      </c>
      <c r="AL238" s="151">
        <v>41709</v>
      </c>
      <c r="AM238" s="194"/>
      <c r="BE238" s="200">
        <v>5</v>
      </c>
      <c r="BF238" s="201">
        <v>41555</v>
      </c>
      <c r="BG238" s="203">
        <v>-1.3</v>
      </c>
      <c r="BH238" s="151">
        <v>41842</v>
      </c>
      <c r="BM238" s="204">
        <v>62.7</v>
      </c>
      <c r="BN238" s="151">
        <v>41842</v>
      </c>
      <c r="BQ238" s="205">
        <v>11.4</v>
      </c>
      <c r="BR238" s="151">
        <v>41842</v>
      </c>
      <c r="BS238" s="206">
        <v>46.3</v>
      </c>
      <c r="BT238" s="151">
        <v>41842</v>
      </c>
      <c r="BU238" s="207">
        <v>14</v>
      </c>
      <c r="BV238" s="151">
        <v>41842</v>
      </c>
      <c r="BW238" s="206">
        <v>53</v>
      </c>
      <c r="BX238" s="151">
        <v>41842</v>
      </c>
      <c r="BY238" s="210">
        <v>6.85</v>
      </c>
      <c r="BZ238" s="151">
        <v>41842</v>
      </c>
      <c r="CA238" s="206">
        <v>31.2</v>
      </c>
      <c r="CB238" s="151">
        <v>41842</v>
      </c>
      <c r="CC238" s="208">
        <v>6.2</v>
      </c>
      <c r="CD238" s="151">
        <v>41838</v>
      </c>
      <c r="CL238" s="209">
        <v>5</v>
      </c>
      <c r="CM238" s="201">
        <v>41810</v>
      </c>
    </row>
    <row r="239" spans="1:91" ht="15">
      <c r="A239" s="152" t="s">
        <v>7921</v>
      </c>
      <c r="B239" s="110" t="s">
        <v>235</v>
      </c>
      <c r="C239" s="110" t="s">
        <v>8082</v>
      </c>
      <c r="D239" s="110">
        <v>11516</v>
      </c>
      <c r="E239" s="111">
        <v>4</v>
      </c>
      <c r="F239" s="111">
        <v>673</v>
      </c>
      <c r="K239" s="134">
        <v>5</v>
      </c>
      <c r="L239" s="151">
        <v>41701</v>
      </c>
      <c r="M239" s="169">
        <v>3.35</v>
      </c>
      <c r="N239" s="151">
        <v>41838</v>
      </c>
      <c r="Q239" s="497"/>
      <c r="S239" s="134">
        <v>11.42</v>
      </c>
      <c r="T239" s="151">
        <v>41842</v>
      </c>
      <c r="U239" s="134">
        <v>13.5</v>
      </c>
      <c r="V239" s="151">
        <v>41838</v>
      </c>
      <c r="W239" s="196">
        <v>1</v>
      </c>
      <c r="X239" s="151">
        <v>41829</v>
      </c>
      <c r="Y239" s="134">
        <f t="shared" si="3"/>
        <v>3.9393199999999995</v>
      </c>
      <c r="AC239" s="134">
        <v>24.81</v>
      </c>
      <c r="AD239" s="151">
        <v>41838</v>
      </c>
      <c r="AE239" s="134">
        <v>25.58</v>
      </c>
      <c r="AF239" s="151">
        <v>41838</v>
      </c>
      <c r="AG239" s="197">
        <v>4.0999999999999996</v>
      </c>
      <c r="AH239" s="151">
        <v>41843</v>
      </c>
      <c r="AI239" s="198">
        <v>7</v>
      </c>
      <c r="AJ239" s="151">
        <v>41778</v>
      </c>
      <c r="AK239" s="199">
        <v>5</v>
      </c>
      <c r="AL239" s="151">
        <v>41709</v>
      </c>
      <c r="BE239" s="200">
        <v>5</v>
      </c>
      <c r="BF239" s="201">
        <v>41555</v>
      </c>
      <c r="BG239" s="203">
        <v>-2.1</v>
      </c>
      <c r="BH239" s="151">
        <v>41842</v>
      </c>
      <c r="BM239" s="204">
        <v>60.8</v>
      </c>
      <c r="BN239" s="151">
        <v>41842</v>
      </c>
      <c r="BQ239" s="205">
        <v>11.7</v>
      </c>
      <c r="BR239" s="151">
        <v>41842</v>
      </c>
      <c r="BS239" s="206">
        <v>44.6</v>
      </c>
      <c r="BT239" s="151">
        <v>41842</v>
      </c>
      <c r="BU239" s="207">
        <v>15.4</v>
      </c>
      <c r="BV239" s="151">
        <v>41842</v>
      </c>
      <c r="BW239" s="206">
        <v>62.1</v>
      </c>
      <c r="BX239" s="151">
        <v>41842</v>
      </c>
      <c r="BY239" s="210">
        <v>6.89</v>
      </c>
      <c r="BZ239" s="151">
        <v>41842</v>
      </c>
      <c r="CA239" s="206">
        <v>33.1</v>
      </c>
      <c r="CB239" s="151">
        <v>41842</v>
      </c>
      <c r="CC239" s="208">
        <v>6.2</v>
      </c>
      <c r="CD239" s="151">
        <v>41838</v>
      </c>
      <c r="CL239" s="209">
        <v>7</v>
      </c>
      <c r="CM239" s="201">
        <v>41810</v>
      </c>
    </row>
    <row r="240" spans="1:91" ht="15">
      <c r="A240" s="152" t="s">
        <v>7921</v>
      </c>
      <c r="B240" s="110" t="s">
        <v>233</v>
      </c>
      <c r="C240" s="110" t="s">
        <v>8083</v>
      </c>
      <c r="D240" s="110">
        <v>11644</v>
      </c>
      <c r="E240" s="111">
        <v>7</v>
      </c>
      <c r="F240" s="111">
        <v>753</v>
      </c>
      <c r="K240" s="134">
        <v>5</v>
      </c>
      <c r="L240" s="151">
        <v>41701</v>
      </c>
      <c r="M240" s="169">
        <v>3.05</v>
      </c>
      <c r="N240" s="151">
        <v>41838</v>
      </c>
      <c r="Q240" s="497"/>
      <c r="S240" s="134">
        <v>10.89</v>
      </c>
      <c r="T240" s="151">
        <v>41842</v>
      </c>
      <c r="U240" s="134">
        <v>13.5</v>
      </c>
      <c r="V240" s="151">
        <v>41838</v>
      </c>
      <c r="W240" s="196">
        <v>1</v>
      </c>
      <c r="X240" s="151">
        <v>41829</v>
      </c>
      <c r="Y240" s="134">
        <f t="shared" si="3"/>
        <v>2.8548300000000002</v>
      </c>
      <c r="AC240" s="134">
        <v>22.59</v>
      </c>
      <c r="AD240" s="151">
        <v>41838</v>
      </c>
      <c r="AE240" s="134">
        <v>23.21</v>
      </c>
      <c r="AF240" s="151">
        <v>41838</v>
      </c>
      <c r="AG240" s="197">
        <v>4.5</v>
      </c>
      <c r="AH240" s="151">
        <v>41843</v>
      </c>
      <c r="AI240" s="198">
        <v>5</v>
      </c>
      <c r="AJ240" s="151">
        <v>41778</v>
      </c>
      <c r="AK240" s="199">
        <v>5</v>
      </c>
      <c r="AL240" s="151">
        <v>41709</v>
      </c>
      <c r="BE240" s="200">
        <v>5</v>
      </c>
      <c r="BF240" s="201">
        <v>41555</v>
      </c>
      <c r="BG240" s="203">
        <v>-4.4000000000000004</v>
      </c>
      <c r="BH240" s="151">
        <v>41842</v>
      </c>
      <c r="BM240" s="204">
        <v>63.1</v>
      </c>
      <c r="BN240" s="151">
        <v>41842</v>
      </c>
      <c r="BQ240" s="205">
        <v>10.5</v>
      </c>
      <c r="BR240" s="151">
        <v>41842</v>
      </c>
      <c r="BS240" s="206">
        <v>46.9</v>
      </c>
      <c r="BT240" s="151">
        <v>41842</v>
      </c>
      <c r="BU240" s="207">
        <v>12.3</v>
      </c>
      <c r="BV240" s="151">
        <v>41842</v>
      </c>
      <c r="BW240" s="206">
        <v>57</v>
      </c>
      <c r="BX240" s="151">
        <v>41842</v>
      </c>
      <c r="BY240" s="210">
        <v>6.64</v>
      </c>
      <c r="BZ240" s="151">
        <v>41842</v>
      </c>
      <c r="CA240" s="206">
        <v>28</v>
      </c>
      <c r="CB240" s="151">
        <v>41842</v>
      </c>
      <c r="CC240" s="208">
        <v>6.5</v>
      </c>
      <c r="CD240" s="151">
        <v>41838</v>
      </c>
      <c r="CL240" s="209">
        <v>5</v>
      </c>
      <c r="CM240" s="201">
        <v>41810</v>
      </c>
    </row>
    <row r="241" spans="1:91" ht="15">
      <c r="A241" s="152" t="s">
        <v>7921</v>
      </c>
      <c r="B241" s="110" t="s">
        <v>235</v>
      </c>
      <c r="C241" s="110" t="s">
        <v>8081</v>
      </c>
      <c r="D241" s="110">
        <v>11370</v>
      </c>
      <c r="E241" s="111">
        <v>12</v>
      </c>
      <c r="F241" s="111">
        <v>517</v>
      </c>
      <c r="K241" s="134">
        <v>5</v>
      </c>
      <c r="L241" s="151">
        <v>41701</v>
      </c>
      <c r="M241" s="169">
        <v>4</v>
      </c>
      <c r="N241" s="151">
        <v>41838</v>
      </c>
      <c r="Q241" s="497"/>
      <c r="S241" s="134">
        <v>14.08</v>
      </c>
      <c r="T241" s="151">
        <v>41842</v>
      </c>
      <c r="U241" s="134">
        <v>13.5</v>
      </c>
      <c r="V241" s="151">
        <v>41838</v>
      </c>
      <c r="W241" s="196">
        <v>9</v>
      </c>
      <c r="X241" s="151">
        <v>41829</v>
      </c>
      <c r="Y241" s="134">
        <f t="shared" si="3"/>
        <v>4.2589600000000001</v>
      </c>
      <c r="AC241" s="134">
        <v>29.63</v>
      </c>
      <c r="AD241" s="151">
        <v>41838</v>
      </c>
      <c r="AE241" s="134">
        <v>30.64</v>
      </c>
      <c r="AF241" s="151">
        <v>41838</v>
      </c>
      <c r="AG241" s="197">
        <v>4</v>
      </c>
      <c r="AH241" s="151">
        <v>41843</v>
      </c>
      <c r="AI241" s="198">
        <v>5</v>
      </c>
      <c r="AJ241" s="151">
        <v>41778</v>
      </c>
      <c r="AK241" s="199">
        <v>5</v>
      </c>
      <c r="AL241" s="151">
        <v>41709</v>
      </c>
      <c r="BE241" s="200">
        <v>5</v>
      </c>
      <c r="BF241" s="201">
        <v>41555</v>
      </c>
      <c r="BG241" s="203">
        <v>-1.5</v>
      </c>
      <c r="BH241" s="151">
        <v>41842</v>
      </c>
      <c r="BM241" s="204">
        <v>62</v>
      </c>
      <c r="BN241" s="151">
        <v>41842</v>
      </c>
      <c r="BQ241" s="205">
        <v>10.7</v>
      </c>
      <c r="BR241" s="151">
        <v>41842</v>
      </c>
      <c r="BS241" s="206">
        <v>45.9</v>
      </c>
      <c r="BT241" s="151">
        <v>41842</v>
      </c>
      <c r="BU241" s="207">
        <v>13.9</v>
      </c>
      <c r="BV241" s="151">
        <v>41842</v>
      </c>
      <c r="BW241" s="206">
        <v>59.4</v>
      </c>
      <c r="BX241" s="151">
        <v>41842</v>
      </c>
      <c r="BY241" s="210">
        <v>6.69</v>
      </c>
      <c r="BZ241" s="151">
        <v>41842</v>
      </c>
      <c r="CA241" s="206">
        <v>30.8</v>
      </c>
      <c r="CB241" s="151">
        <v>41842</v>
      </c>
      <c r="CC241" s="208">
        <v>5.9</v>
      </c>
      <c r="CD241" s="151">
        <v>41838</v>
      </c>
      <c r="CL241" s="209">
        <v>7</v>
      </c>
      <c r="CM241" s="201">
        <v>41810</v>
      </c>
    </row>
    <row r="242" spans="1:91" ht="15">
      <c r="A242" s="152" t="s">
        <v>7922</v>
      </c>
      <c r="B242" s="110" t="s">
        <v>233</v>
      </c>
      <c r="C242" s="110" t="s">
        <v>381</v>
      </c>
      <c r="D242" s="110">
        <v>10983</v>
      </c>
      <c r="E242" s="111">
        <v>1</v>
      </c>
      <c r="F242" s="111">
        <v>553</v>
      </c>
      <c r="I242" s="373"/>
      <c r="K242" s="194">
        <v>5</v>
      </c>
      <c r="L242" s="151">
        <v>41701</v>
      </c>
      <c r="M242" s="169">
        <v>3.6</v>
      </c>
      <c r="N242" s="151">
        <v>41838</v>
      </c>
      <c r="Q242" s="497"/>
      <c r="S242" s="134">
        <v>12.21</v>
      </c>
      <c r="T242" s="151">
        <v>41842</v>
      </c>
      <c r="U242" s="194">
        <v>13.5</v>
      </c>
      <c r="V242" s="151">
        <v>41838</v>
      </c>
      <c r="W242" s="196">
        <v>1</v>
      </c>
      <c r="X242" s="151">
        <v>41829</v>
      </c>
      <c r="Y242" s="134">
        <f t="shared" si="3"/>
        <v>3.9715199999999999</v>
      </c>
      <c r="AA242" s="194"/>
      <c r="AC242" s="194">
        <v>26.67</v>
      </c>
      <c r="AD242" s="151">
        <v>41838</v>
      </c>
      <c r="AE242" s="137">
        <v>27.58</v>
      </c>
      <c r="AF242" s="151">
        <v>41838</v>
      </c>
      <c r="AG242" s="197">
        <v>5</v>
      </c>
      <c r="AH242" s="151">
        <v>41843</v>
      </c>
      <c r="AI242" s="198">
        <v>7</v>
      </c>
      <c r="AJ242" s="151">
        <v>41778</v>
      </c>
      <c r="AK242" s="199">
        <v>4</v>
      </c>
      <c r="AL242" s="151">
        <v>41709</v>
      </c>
      <c r="AM242" s="194"/>
      <c r="BE242" s="200">
        <v>4</v>
      </c>
      <c r="BF242" s="201">
        <v>41555</v>
      </c>
      <c r="BG242" s="203">
        <v>1.1000000000000001</v>
      </c>
      <c r="BH242" s="151">
        <v>41842</v>
      </c>
      <c r="BM242" s="204">
        <v>64.2</v>
      </c>
      <c r="BN242" s="151">
        <v>41842</v>
      </c>
      <c r="BQ242" s="205">
        <v>10.4</v>
      </c>
      <c r="BR242" s="151">
        <v>41842</v>
      </c>
      <c r="BS242" s="206">
        <v>44.3</v>
      </c>
      <c r="BT242" s="151">
        <v>41842</v>
      </c>
      <c r="BU242" s="207">
        <v>14.4</v>
      </c>
      <c r="BV242" s="151">
        <v>41842</v>
      </c>
      <c r="BW242" s="206">
        <v>65.2</v>
      </c>
      <c r="BX242" s="151">
        <v>41842</v>
      </c>
      <c r="BY242" s="210">
        <v>7.49</v>
      </c>
      <c r="BZ242" s="151">
        <v>41842</v>
      </c>
      <c r="CA242" s="206">
        <v>30.9</v>
      </c>
      <c r="CB242" s="151">
        <v>41842</v>
      </c>
      <c r="CC242" s="208">
        <v>5.9</v>
      </c>
      <c r="CD242" s="151">
        <v>41838</v>
      </c>
      <c r="CL242" s="209">
        <v>3</v>
      </c>
      <c r="CM242" s="201">
        <v>41810</v>
      </c>
    </row>
    <row r="243" spans="1:91" ht="15">
      <c r="A243" s="152" t="s">
        <v>7922</v>
      </c>
      <c r="B243" s="110" t="s">
        <v>235</v>
      </c>
      <c r="C243" s="110" t="s">
        <v>8082</v>
      </c>
      <c r="D243" s="110">
        <v>11604</v>
      </c>
      <c r="E243" s="111">
        <v>6</v>
      </c>
      <c r="F243" s="111">
        <v>737</v>
      </c>
      <c r="K243" s="134">
        <v>5</v>
      </c>
      <c r="L243" s="151">
        <v>41701</v>
      </c>
      <c r="M243" s="169">
        <v>3.95</v>
      </c>
      <c r="N243" s="151">
        <v>41838</v>
      </c>
      <c r="Q243" s="497"/>
      <c r="S243" s="134">
        <v>13.54</v>
      </c>
      <c r="T243" s="151">
        <v>41842</v>
      </c>
      <c r="U243" s="134">
        <v>13.5</v>
      </c>
      <c r="V243" s="151">
        <v>41838</v>
      </c>
      <c r="W243" s="196">
        <v>9</v>
      </c>
      <c r="X243" s="151">
        <v>41829</v>
      </c>
      <c r="Y243" s="134">
        <f t="shared" si="3"/>
        <v>4.2342300000000002</v>
      </c>
      <c r="AC243" s="134">
        <v>29.26</v>
      </c>
      <c r="AD243" s="151">
        <v>41838</v>
      </c>
      <c r="AE243" s="134">
        <v>30.03</v>
      </c>
      <c r="AF243" s="151">
        <v>41838</v>
      </c>
      <c r="AG243" s="197">
        <v>4.9000000000000004</v>
      </c>
      <c r="AH243" s="151">
        <v>41843</v>
      </c>
      <c r="AI243" s="198">
        <v>3</v>
      </c>
      <c r="AJ243" s="151">
        <v>41778</v>
      </c>
      <c r="AK243" s="199">
        <v>5</v>
      </c>
      <c r="AL243" s="151">
        <v>41709</v>
      </c>
      <c r="BE243" s="200">
        <v>5</v>
      </c>
      <c r="BF243" s="201">
        <v>41555</v>
      </c>
      <c r="BG243" s="203">
        <v>0.8</v>
      </c>
      <c r="BH243" s="151">
        <v>41842</v>
      </c>
      <c r="BM243" s="204">
        <v>65</v>
      </c>
      <c r="BN243" s="151">
        <v>41842</v>
      </c>
      <c r="BQ243" s="205">
        <v>9.6</v>
      </c>
      <c r="BR243" s="151">
        <v>41842</v>
      </c>
      <c r="BS243" s="206">
        <v>45.1</v>
      </c>
      <c r="BT243" s="151">
        <v>41842</v>
      </c>
      <c r="BU243" s="207">
        <v>14.1</v>
      </c>
      <c r="BV243" s="151">
        <v>41842</v>
      </c>
      <c r="BW243" s="206">
        <v>59.2</v>
      </c>
      <c r="BX243" s="151">
        <v>41842</v>
      </c>
      <c r="BY243" s="210">
        <v>7.15</v>
      </c>
      <c r="BZ243" s="151">
        <v>41842</v>
      </c>
      <c r="CA243" s="206">
        <v>30.7</v>
      </c>
      <c r="CB243" s="151">
        <v>41842</v>
      </c>
      <c r="CC243" s="208">
        <v>6.6</v>
      </c>
      <c r="CD243" s="151">
        <v>41838</v>
      </c>
      <c r="CL243" s="209">
        <v>3</v>
      </c>
      <c r="CM243" s="201">
        <v>41810</v>
      </c>
    </row>
    <row r="244" spans="1:91" ht="15">
      <c r="A244" s="152" t="s">
        <v>7922</v>
      </c>
      <c r="B244" s="110" t="s">
        <v>233</v>
      </c>
      <c r="C244" s="110" t="s">
        <v>8083</v>
      </c>
      <c r="D244" s="110">
        <v>11778</v>
      </c>
      <c r="E244" s="111">
        <v>11</v>
      </c>
      <c r="F244" s="111">
        <v>713</v>
      </c>
      <c r="K244" s="134">
        <v>5</v>
      </c>
      <c r="L244" s="151">
        <v>41701</v>
      </c>
      <c r="M244" s="169">
        <v>3.1</v>
      </c>
      <c r="N244" s="151">
        <v>41838</v>
      </c>
      <c r="Q244" s="497"/>
      <c r="S244" s="134">
        <v>10.72</v>
      </c>
      <c r="T244" s="151">
        <v>41842</v>
      </c>
      <c r="U244" s="134">
        <v>13.5</v>
      </c>
      <c r="V244" s="151">
        <v>41838</v>
      </c>
      <c r="W244" s="196">
        <v>9</v>
      </c>
      <c r="X244" s="151">
        <v>41829</v>
      </c>
      <c r="Y244" s="134">
        <f t="shared" si="3"/>
        <v>3.3557999999999999</v>
      </c>
      <c r="AC244" s="134">
        <v>22.96</v>
      </c>
      <c r="AD244" s="151">
        <v>41838</v>
      </c>
      <c r="AE244" s="134">
        <v>23.8</v>
      </c>
      <c r="AF244" s="151">
        <v>41838</v>
      </c>
      <c r="AG244" s="197">
        <v>5.0999999999999996</v>
      </c>
      <c r="AH244" s="151">
        <v>41843</v>
      </c>
      <c r="AI244" s="198">
        <v>3</v>
      </c>
      <c r="AJ244" s="151">
        <v>41778</v>
      </c>
      <c r="AK244" s="199">
        <v>5</v>
      </c>
      <c r="AL244" s="151">
        <v>41709</v>
      </c>
      <c r="BE244" s="200">
        <v>5</v>
      </c>
      <c r="BF244" s="201">
        <v>41555</v>
      </c>
      <c r="BG244" s="203">
        <v>-3.2</v>
      </c>
      <c r="BH244" s="151">
        <v>41842</v>
      </c>
      <c r="BM244" s="204">
        <v>64.7</v>
      </c>
      <c r="BN244" s="151">
        <v>41842</v>
      </c>
      <c r="BQ244" s="205">
        <v>9.6</v>
      </c>
      <c r="BR244" s="151">
        <v>41842</v>
      </c>
      <c r="BS244" s="206">
        <v>45.1</v>
      </c>
      <c r="BT244" s="151">
        <v>41842</v>
      </c>
      <c r="BU244" s="207">
        <v>14.1</v>
      </c>
      <c r="BV244" s="151">
        <v>41842</v>
      </c>
      <c r="BW244" s="206">
        <v>61.4</v>
      </c>
      <c r="BX244" s="151">
        <v>41842</v>
      </c>
      <c r="BY244" s="210">
        <v>7.32</v>
      </c>
      <c r="BZ244" s="151">
        <v>41842</v>
      </c>
      <c r="CA244" s="206">
        <v>30.7</v>
      </c>
      <c r="CB244" s="151">
        <v>41842</v>
      </c>
      <c r="CC244" s="208">
        <v>5.7</v>
      </c>
      <c r="CD244" s="151">
        <v>41838</v>
      </c>
      <c r="CL244" s="209">
        <v>3</v>
      </c>
      <c r="CM244" s="201">
        <v>41810</v>
      </c>
    </row>
    <row r="245" spans="1:91" ht="15">
      <c r="A245" s="152" t="s">
        <v>7922</v>
      </c>
      <c r="B245" s="110" t="s">
        <v>235</v>
      </c>
      <c r="C245" s="110" t="s">
        <v>8081</v>
      </c>
      <c r="D245" s="110">
        <v>11395</v>
      </c>
      <c r="E245" s="111">
        <v>12</v>
      </c>
      <c r="F245" s="111">
        <v>617</v>
      </c>
      <c r="K245" s="134">
        <v>5</v>
      </c>
      <c r="L245" s="151">
        <v>41701</v>
      </c>
      <c r="M245" s="169">
        <v>4.1500000000000004</v>
      </c>
      <c r="N245" s="151">
        <v>41838</v>
      </c>
      <c r="Q245" s="497"/>
      <c r="S245" s="134">
        <v>13.7</v>
      </c>
      <c r="T245" s="151">
        <v>41842</v>
      </c>
      <c r="U245" s="134">
        <v>13.5</v>
      </c>
      <c r="V245" s="151">
        <v>41838</v>
      </c>
      <c r="W245" s="196">
        <v>9</v>
      </c>
      <c r="X245" s="151">
        <v>41829</v>
      </c>
      <c r="Y245" s="134">
        <f t="shared" si="3"/>
        <v>4.9280399999999993</v>
      </c>
      <c r="AC245" s="134">
        <v>30.74</v>
      </c>
      <c r="AD245" s="151">
        <v>41838</v>
      </c>
      <c r="AE245" s="134">
        <v>31.59</v>
      </c>
      <c r="AF245" s="151">
        <v>41838</v>
      </c>
      <c r="AG245" s="197">
        <v>4.5999999999999996</v>
      </c>
      <c r="AH245" s="151">
        <v>41843</v>
      </c>
      <c r="AI245" s="198">
        <v>5</v>
      </c>
      <c r="AJ245" s="151">
        <v>41778</v>
      </c>
      <c r="AK245" s="199">
        <v>5</v>
      </c>
      <c r="AL245" s="151">
        <v>41709</v>
      </c>
      <c r="BE245" s="200">
        <v>5</v>
      </c>
      <c r="BF245" s="201">
        <v>41555</v>
      </c>
      <c r="BG245" s="203">
        <v>0.9</v>
      </c>
      <c r="BH245" s="151">
        <v>41842</v>
      </c>
      <c r="BM245" s="204">
        <v>64.099999999999994</v>
      </c>
      <c r="BN245" s="151">
        <v>41842</v>
      </c>
      <c r="BQ245" s="205">
        <v>10.4</v>
      </c>
      <c r="BR245" s="151">
        <v>41842</v>
      </c>
      <c r="BS245" s="206">
        <v>43.4</v>
      </c>
      <c r="BT245" s="151">
        <v>41842</v>
      </c>
      <c r="BU245" s="207">
        <v>15.6</v>
      </c>
      <c r="BV245" s="151">
        <v>41842</v>
      </c>
      <c r="BW245" s="206">
        <v>63</v>
      </c>
      <c r="BX245" s="151">
        <v>41842</v>
      </c>
      <c r="BY245" s="210">
        <v>7.44</v>
      </c>
      <c r="BZ245" s="151">
        <v>41842</v>
      </c>
      <c r="CA245" s="206">
        <v>32.700000000000003</v>
      </c>
      <c r="CB245" s="151">
        <v>41842</v>
      </c>
      <c r="CC245" s="208">
        <v>6.5</v>
      </c>
      <c r="CD245" s="151">
        <v>41838</v>
      </c>
      <c r="CL245" s="209">
        <v>3</v>
      </c>
      <c r="CM245" s="201">
        <v>41810</v>
      </c>
    </row>
    <row r="246" spans="1:91" ht="15">
      <c r="A246" s="152" t="s">
        <v>7923</v>
      </c>
      <c r="B246" s="110" t="s">
        <v>233</v>
      </c>
      <c r="C246" s="110" t="s">
        <v>381</v>
      </c>
      <c r="D246" s="110">
        <v>11080</v>
      </c>
      <c r="E246" s="111">
        <v>4</v>
      </c>
      <c r="F246" s="111">
        <v>509</v>
      </c>
      <c r="K246" s="134">
        <v>5</v>
      </c>
      <c r="L246" s="151">
        <v>41701</v>
      </c>
      <c r="M246" s="169">
        <v>3.35</v>
      </c>
      <c r="N246" s="151">
        <v>41838</v>
      </c>
      <c r="Q246" s="497"/>
      <c r="S246" s="134">
        <v>11.27</v>
      </c>
      <c r="T246" s="151">
        <v>41842</v>
      </c>
      <c r="U246" s="134">
        <v>13.5</v>
      </c>
      <c r="V246" s="151">
        <v>41838</v>
      </c>
      <c r="W246" s="196">
        <v>1</v>
      </c>
      <c r="X246" s="151">
        <v>41829</v>
      </c>
      <c r="Y246" s="134">
        <f t="shared" si="3"/>
        <v>4.3929900000000002</v>
      </c>
      <c r="AC246" s="134">
        <v>24.81</v>
      </c>
      <c r="AD246" s="151">
        <v>41838</v>
      </c>
      <c r="AE246" s="134">
        <v>25.69</v>
      </c>
      <c r="AF246" s="151">
        <v>41838</v>
      </c>
      <c r="AG246" s="197">
        <v>5.7</v>
      </c>
      <c r="AH246" s="151">
        <v>41843</v>
      </c>
      <c r="AI246" s="198">
        <v>5</v>
      </c>
      <c r="AJ246" s="151">
        <v>41778</v>
      </c>
      <c r="AK246" s="199">
        <v>5</v>
      </c>
      <c r="AL246" s="151">
        <v>41709</v>
      </c>
      <c r="BE246" s="200">
        <v>5</v>
      </c>
      <c r="BF246" s="201">
        <v>41555</v>
      </c>
      <c r="BG246" s="203">
        <v>-1.2</v>
      </c>
      <c r="BH246" s="151">
        <v>41842</v>
      </c>
      <c r="BM246" s="204">
        <v>58.2</v>
      </c>
      <c r="BN246" s="151">
        <v>41842</v>
      </c>
      <c r="BQ246" s="205">
        <v>15.2</v>
      </c>
      <c r="BR246" s="151">
        <v>41842</v>
      </c>
      <c r="BS246" s="206">
        <v>43.9</v>
      </c>
      <c r="BT246" s="151">
        <v>41842</v>
      </c>
      <c r="BU246" s="207">
        <v>17.100000000000001</v>
      </c>
      <c r="BV246" s="151">
        <v>41842</v>
      </c>
      <c r="BW246" s="206">
        <v>28</v>
      </c>
      <c r="BX246" s="151">
        <v>41842</v>
      </c>
      <c r="BY246" s="210">
        <v>6.8</v>
      </c>
      <c r="BZ246" s="151">
        <v>41842</v>
      </c>
      <c r="CA246" s="206">
        <v>36.299999999999997</v>
      </c>
      <c r="CB246" s="151">
        <v>41842</v>
      </c>
      <c r="CC246" s="208">
        <v>5.8</v>
      </c>
      <c r="CD246" s="151">
        <v>41838</v>
      </c>
      <c r="CL246" s="209">
        <v>3</v>
      </c>
      <c r="CM246" s="201">
        <v>41810</v>
      </c>
    </row>
    <row r="247" spans="1:91" ht="15">
      <c r="A247" s="152" t="s">
        <v>7923</v>
      </c>
      <c r="B247" s="110" t="s">
        <v>235</v>
      </c>
      <c r="C247" s="110" t="s">
        <v>8082</v>
      </c>
      <c r="D247" s="110">
        <v>11508</v>
      </c>
      <c r="E247" s="111">
        <v>4</v>
      </c>
      <c r="F247" s="111">
        <v>641</v>
      </c>
      <c r="K247" s="134">
        <v>5</v>
      </c>
      <c r="L247" s="151">
        <v>41701</v>
      </c>
      <c r="M247" s="169">
        <v>4.2</v>
      </c>
      <c r="N247" s="151">
        <v>41838</v>
      </c>
      <c r="Q247" s="497"/>
      <c r="S247" s="134">
        <v>14.04</v>
      </c>
      <c r="T247" s="151">
        <v>41842</v>
      </c>
      <c r="U247" s="134">
        <v>13.5</v>
      </c>
      <c r="V247" s="151">
        <v>41838</v>
      </c>
      <c r="W247" s="196">
        <v>9</v>
      </c>
      <c r="X247" s="151">
        <v>41829</v>
      </c>
      <c r="Y247" s="134">
        <f t="shared" si="3"/>
        <v>5.5301400000000012</v>
      </c>
      <c r="AC247" s="134">
        <v>31.11</v>
      </c>
      <c r="AD247" s="151">
        <v>41838</v>
      </c>
      <c r="AE247" s="134">
        <v>32.340000000000003</v>
      </c>
      <c r="AF247" s="151">
        <v>41838</v>
      </c>
      <c r="AG247" s="197">
        <v>5.6</v>
      </c>
      <c r="AH247" s="151">
        <v>41843</v>
      </c>
      <c r="AI247" s="198">
        <v>7</v>
      </c>
      <c r="AJ247" s="151">
        <v>41778</v>
      </c>
      <c r="AK247" s="199">
        <v>5</v>
      </c>
      <c r="AL247" s="151">
        <v>41709</v>
      </c>
      <c r="BE247" s="200">
        <v>5</v>
      </c>
      <c r="BF247" s="201">
        <v>41555</v>
      </c>
      <c r="BG247" s="203">
        <v>-3.2</v>
      </c>
      <c r="BH247" s="151">
        <v>41842</v>
      </c>
      <c r="BM247" s="204">
        <v>58.4</v>
      </c>
      <c r="BN247" s="151">
        <v>41842</v>
      </c>
      <c r="BQ247" s="205">
        <v>14.6</v>
      </c>
      <c r="BR247" s="151">
        <v>41842</v>
      </c>
      <c r="BS247" s="206">
        <v>43.4</v>
      </c>
      <c r="BT247" s="151">
        <v>41842</v>
      </c>
      <c r="BU247" s="207">
        <v>17.100000000000001</v>
      </c>
      <c r="BV247" s="151">
        <v>41842</v>
      </c>
      <c r="BW247" s="206">
        <v>20.399999999999999</v>
      </c>
      <c r="BX247" s="151">
        <v>41842</v>
      </c>
      <c r="BY247" s="210">
        <v>6.99</v>
      </c>
      <c r="BZ247" s="151">
        <v>41842</v>
      </c>
      <c r="CA247" s="206">
        <v>35.9</v>
      </c>
      <c r="CB247" s="151">
        <v>41842</v>
      </c>
      <c r="CC247" s="208">
        <v>5.4</v>
      </c>
      <c r="CD247" s="151">
        <v>41838</v>
      </c>
      <c r="CL247" s="209">
        <v>5</v>
      </c>
      <c r="CM247" s="201">
        <v>41810</v>
      </c>
    </row>
    <row r="248" spans="1:91" ht="15">
      <c r="A248" s="152" t="s">
        <v>7923</v>
      </c>
      <c r="B248" s="110" t="s">
        <v>233</v>
      </c>
      <c r="C248" s="110" t="s">
        <v>8083</v>
      </c>
      <c r="D248" s="110">
        <v>11658</v>
      </c>
      <c r="E248" s="111">
        <v>8</v>
      </c>
      <c r="F248" s="111">
        <v>665</v>
      </c>
      <c r="K248" s="134">
        <v>5</v>
      </c>
      <c r="L248" s="151">
        <v>41701</v>
      </c>
      <c r="M248" s="169">
        <v>2.95</v>
      </c>
      <c r="N248" s="151">
        <v>41838</v>
      </c>
      <c r="Q248" s="497"/>
      <c r="S248" s="134">
        <v>10.16</v>
      </c>
      <c r="T248" s="151">
        <v>41842</v>
      </c>
      <c r="U248" s="134">
        <v>13.5</v>
      </c>
      <c r="V248" s="151">
        <v>41838</v>
      </c>
      <c r="W248" s="196">
        <v>1</v>
      </c>
      <c r="X248" s="151">
        <v>41829</v>
      </c>
      <c r="Y248" s="134">
        <f t="shared" si="3"/>
        <v>3.5591899999999996</v>
      </c>
      <c r="AC248" s="134">
        <v>21.85</v>
      </c>
      <c r="AD248" s="151">
        <v>41838</v>
      </c>
      <c r="AE248" s="134">
        <v>22.67</v>
      </c>
      <c r="AF248" s="151">
        <v>41838</v>
      </c>
      <c r="AG248" s="197">
        <v>5.5</v>
      </c>
      <c r="AH248" s="151">
        <v>41843</v>
      </c>
      <c r="AI248" s="198">
        <v>5</v>
      </c>
      <c r="AJ248" s="151">
        <v>41778</v>
      </c>
      <c r="AK248" s="199">
        <v>5</v>
      </c>
      <c r="AL248" s="151">
        <v>41709</v>
      </c>
      <c r="BE248" s="200">
        <v>5</v>
      </c>
      <c r="BF248" s="201">
        <v>41555</v>
      </c>
      <c r="BG248" s="203">
        <v>-3.6</v>
      </c>
      <c r="BH248" s="151">
        <v>41842</v>
      </c>
      <c r="BM248" s="204">
        <v>57.7</v>
      </c>
      <c r="BN248" s="151">
        <v>41842</v>
      </c>
      <c r="BQ248" s="205">
        <v>14.4</v>
      </c>
      <c r="BR248" s="151">
        <v>41842</v>
      </c>
      <c r="BS248" s="206">
        <v>44.8</v>
      </c>
      <c r="BT248" s="151">
        <v>41842</v>
      </c>
      <c r="BU248" s="207">
        <v>15.7</v>
      </c>
      <c r="BV248" s="151">
        <v>41842</v>
      </c>
      <c r="BW248" s="206">
        <v>22.1</v>
      </c>
      <c r="BX248" s="151">
        <v>41842</v>
      </c>
      <c r="BY248" s="210">
        <v>7.21</v>
      </c>
      <c r="BZ248" s="151">
        <v>41842</v>
      </c>
      <c r="CA248" s="206">
        <v>34.1</v>
      </c>
      <c r="CB248" s="151">
        <v>41842</v>
      </c>
      <c r="CC248" s="208">
        <v>5.6</v>
      </c>
      <c r="CD248" s="151">
        <v>41838</v>
      </c>
      <c r="CL248" s="209">
        <v>5</v>
      </c>
      <c r="CM248" s="201">
        <v>41810</v>
      </c>
    </row>
    <row r="249" spans="1:91" ht="15">
      <c r="A249" s="152" t="s">
        <v>7923</v>
      </c>
      <c r="B249" s="110" t="s">
        <v>235</v>
      </c>
      <c r="C249" s="110" t="s">
        <v>8081</v>
      </c>
      <c r="D249" s="110">
        <v>11297</v>
      </c>
      <c r="E249" s="111">
        <v>10</v>
      </c>
      <c r="F249" s="111">
        <v>513</v>
      </c>
      <c r="K249" s="134">
        <v>5</v>
      </c>
      <c r="L249" s="151">
        <v>41701</v>
      </c>
      <c r="M249" s="169">
        <v>4.4000000000000004</v>
      </c>
      <c r="N249" s="151">
        <v>41838</v>
      </c>
      <c r="Q249" s="497"/>
      <c r="S249" s="134">
        <v>14.67</v>
      </c>
      <c r="T249" s="151">
        <v>41842</v>
      </c>
      <c r="U249" s="134">
        <v>13.5</v>
      </c>
      <c r="V249" s="151">
        <v>41838</v>
      </c>
      <c r="W249" s="196">
        <v>9</v>
      </c>
      <c r="X249" s="151">
        <v>41829</v>
      </c>
      <c r="Y249" s="134">
        <f t="shared" si="3"/>
        <v>5.639590000000001</v>
      </c>
      <c r="AC249" s="134">
        <v>32.590000000000003</v>
      </c>
      <c r="AD249" s="151">
        <v>41838</v>
      </c>
      <c r="AE249" s="134">
        <v>33.770000000000003</v>
      </c>
      <c r="AF249" s="151">
        <v>41838</v>
      </c>
      <c r="AG249" s="197">
        <v>5.4</v>
      </c>
      <c r="AH249" s="151">
        <v>41843</v>
      </c>
      <c r="AI249" s="198">
        <v>5</v>
      </c>
      <c r="AJ249" s="151">
        <v>41778</v>
      </c>
      <c r="AK249" s="199">
        <v>7</v>
      </c>
      <c r="AL249" s="151">
        <v>41709</v>
      </c>
      <c r="BE249" s="200">
        <v>7</v>
      </c>
      <c r="BF249" s="201">
        <v>41555</v>
      </c>
      <c r="BG249" s="203">
        <v>-0.2</v>
      </c>
      <c r="BH249" s="151">
        <v>41842</v>
      </c>
      <c r="BM249" s="204">
        <v>58.1</v>
      </c>
      <c r="BN249" s="151">
        <v>41842</v>
      </c>
      <c r="BQ249" s="205">
        <v>14.4</v>
      </c>
      <c r="BR249" s="151">
        <v>41842</v>
      </c>
      <c r="BS249" s="206">
        <v>43.4</v>
      </c>
      <c r="BT249" s="151">
        <v>41842</v>
      </c>
      <c r="BU249" s="207">
        <v>16.7</v>
      </c>
      <c r="BV249" s="151">
        <v>41842</v>
      </c>
      <c r="BW249" s="206">
        <v>25.5</v>
      </c>
      <c r="BX249" s="151">
        <v>41842</v>
      </c>
      <c r="BY249" s="210">
        <v>6.87</v>
      </c>
      <c r="BZ249" s="151">
        <v>41842</v>
      </c>
      <c r="CA249" s="206">
        <v>35.200000000000003</v>
      </c>
      <c r="CB249" s="151">
        <v>41842</v>
      </c>
      <c r="CC249" s="208">
        <v>5.7</v>
      </c>
      <c r="CD249" s="151">
        <v>41838</v>
      </c>
      <c r="CL249" s="209">
        <v>5</v>
      </c>
      <c r="CM249" s="201">
        <v>41810</v>
      </c>
    </row>
    <row r="250" spans="1:91" ht="15">
      <c r="A250" s="152" t="s">
        <v>7924</v>
      </c>
      <c r="B250" s="110" t="s">
        <v>233</v>
      </c>
      <c r="C250" s="110" t="s">
        <v>381</v>
      </c>
      <c r="D250" s="110">
        <v>11019</v>
      </c>
      <c r="E250" s="111">
        <v>2</v>
      </c>
      <c r="F250" s="111">
        <v>553</v>
      </c>
      <c r="K250" s="134">
        <v>5</v>
      </c>
      <c r="L250" s="151">
        <v>41701</v>
      </c>
      <c r="M250" s="169">
        <v>3.75</v>
      </c>
      <c r="N250" s="151">
        <v>41838</v>
      </c>
      <c r="Q250" s="497"/>
      <c r="S250" s="134">
        <v>13.28</v>
      </c>
      <c r="T250" s="151">
        <v>41842</v>
      </c>
      <c r="U250" s="134">
        <v>13.5</v>
      </c>
      <c r="V250" s="151">
        <v>41838</v>
      </c>
      <c r="W250" s="196">
        <v>1</v>
      </c>
      <c r="X250" s="151">
        <v>41829</v>
      </c>
      <c r="Y250" s="134">
        <f t="shared" si="3"/>
        <v>4.0305999999999997</v>
      </c>
      <c r="AC250" s="134">
        <v>27.78</v>
      </c>
      <c r="AD250" s="151">
        <v>41838</v>
      </c>
      <c r="AE250" s="134">
        <v>28.79</v>
      </c>
      <c r="AF250" s="151">
        <v>41838</v>
      </c>
      <c r="AG250" s="197">
        <v>5.3</v>
      </c>
      <c r="AH250" s="151">
        <v>41843</v>
      </c>
      <c r="AI250" s="198">
        <v>5</v>
      </c>
      <c r="AJ250" s="151">
        <v>41778</v>
      </c>
      <c r="AK250" s="199">
        <v>5</v>
      </c>
      <c r="AL250" s="151">
        <v>41709</v>
      </c>
      <c r="BE250" s="200">
        <v>5</v>
      </c>
      <c r="BF250" s="201">
        <v>41555</v>
      </c>
      <c r="BG250" s="203">
        <v>0.4</v>
      </c>
      <c r="BH250" s="151">
        <v>41842</v>
      </c>
      <c r="BM250" s="204">
        <v>64.099999999999994</v>
      </c>
      <c r="BN250" s="151">
        <v>41842</v>
      </c>
      <c r="BQ250" s="205">
        <v>10.5</v>
      </c>
      <c r="BR250" s="151">
        <v>41842</v>
      </c>
      <c r="BS250" s="206">
        <v>46.1</v>
      </c>
      <c r="BT250" s="151">
        <v>41842</v>
      </c>
      <c r="BU250" s="207">
        <v>14</v>
      </c>
      <c r="BV250" s="151">
        <v>41842</v>
      </c>
      <c r="BW250" s="206">
        <v>65.900000000000006</v>
      </c>
      <c r="BX250" s="151">
        <v>41842</v>
      </c>
      <c r="BY250" s="210">
        <v>6.84</v>
      </c>
      <c r="BZ250" s="151">
        <v>41842</v>
      </c>
      <c r="CA250" s="206">
        <v>31.2</v>
      </c>
      <c r="CB250" s="151">
        <v>41842</v>
      </c>
      <c r="CC250" s="208">
        <v>5.7</v>
      </c>
      <c r="CD250" s="151">
        <v>41838</v>
      </c>
      <c r="CL250" s="209">
        <v>3</v>
      </c>
      <c r="CM250" s="201">
        <v>41810</v>
      </c>
    </row>
    <row r="251" spans="1:91" ht="15">
      <c r="A251" s="152" t="s">
        <v>7924</v>
      </c>
      <c r="B251" s="110" t="s">
        <v>235</v>
      </c>
      <c r="C251" s="110" t="s">
        <v>8082</v>
      </c>
      <c r="D251" s="110">
        <v>11597</v>
      </c>
      <c r="E251" s="111">
        <v>6</v>
      </c>
      <c r="F251" s="111">
        <v>709</v>
      </c>
      <c r="K251" s="134">
        <v>5</v>
      </c>
      <c r="L251" s="151">
        <v>41701</v>
      </c>
      <c r="M251" s="169">
        <v>4.4000000000000004</v>
      </c>
      <c r="N251" s="151">
        <v>41838</v>
      </c>
      <c r="Q251" s="497"/>
      <c r="S251" s="134">
        <v>15.89</v>
      </c>
      <c r="T251" s="151">
        <v>41842</v>
      </c>
      <c r="U251" s="134">
        <v>13.5</v>
      </c>
      <c r="V251" s="151">
        <v>41838</v>
      </c>
      <c r="W251" s="196">
        <v>9</v>
      </c>
      <c r="X251" s="151">
        <v>41829</v>
      </c>
      <c r="Y251" s="134">
        <f t="shared" si="3"/>
        <v>4.5020500000000006</v>
      </c>
      <c r="AC251" s="134">
        <v>32.590000000000003</v>
      </c>
      <c r="AD251" s="151">
        <v>41838</v>
      </c>
      <c r="AE251" s="134">
        <v>33.85</v>
      </c>
      <c r="AF251" s="151">
        <v>41838</v>
      </c>
      <c r="AG251" s="197">
        <v>5.3</v>
      </c>
      <c r="AH251" s="151">
        <v>41843</v>
      </c>
      <c r="AI251" s="198">
        <v>5</v>
      </c>
      <c r="AJ251" s="151">
        <v>41778</v>
      </c>
      <c r="AK251" s="199">
        <v>5</v>
      </c>
      <c r="AL251" s="151">
        <v>41709</v>
      </c>
      <c r="BE251" s="200">
        <v>5</v>
      </c>
      <c r="BF251" s="201">
        <v>41555</v>
      </c>
      <c r="BG251" s="203">
        <v>-0.3</v>
      </c>
      <c r="BH251" s="151">
        <v>41842</v>
      </c>
      <c r="BM251" s="204">
        <v>64.2</v>
      </c>
      <c r="BN251" s="151">
        <v>41842</v>
      </c>
      <c r="BQ251" s="205">
        <v>9.6999999999999993</v>
      </c>
      <c r="BR251" s="151">
        <v>41842</v>
      </c>
      <c r="BS251" s="206">
        <v>47</v>
      </c>
      <c r="BT251" s="151">
        <v>41842</v>
      </c>
      <c r="BU251" s="207">
        <v>13.3</v>
      </c>
      <c r="BV251" s="151">
        <v>41842</v>
      </c>
      <c r="BW251" s="206">
        <v>61.2</v>
      </c>
      <c r="BX251" s="151">
        <v>41842</v>
      </c>
      <c r="BY251" s="210">
        <v>6.87</v>
      </c>
      <c r="BZ251" s="151">
        <v>41842</v>
      </c>
      <c r="CA251" s="206">
        <v>30.2</v>
      </c>
      <c r="CB251" s="151">
        <v>41842</v>
      </c>
      <c r="CC251" s="208">
        <v>5.5</v>
      </c>
      <c r="CD251" s="151">
        <v>41838</v>
      </c>
      <c r="CL251" s="209">
        <v>3</v>
      </c>
      <c r="CM251" s="201">
        <v>41810</v>
      </c>
    </row>
    <row r="252" spans="1:91" ht="15">
      <c r="A252" s="152" t="s">
        <v>7924</v>
      </c>
      <c r="B252" s="110" t="s">
        <v>233</v>
      </c>
      <c r="C252" s="110" t="s">
        <v>8083</v>
      </c>
      <c r="D252" s="110">
        <v>11684</v>
      </c>
      <c r="E252" s="111">
        <v>9</v>
      </c>
      <c r="F252" s="111">
        <v>625</v>
      </c>
      <c r="K252" s="134">
        <v>5</v>
      </c>
      <c r="L252" s="151">
        <v>41701</v>
      </c>
      <c r="M252" s="169">
        <v>5.4</v>
      </c>
      <c r="N252" s="151">
        <v>41838</v>
      </c>
      <c r="Q252" s="497"/>
      <c r="S252" s="134">
        <v>19.29</v>
      </c>
      <c r="T252" s="151">
        <v>41842</v>
      </c>
      <c r="U252" s="134">
        <v>13.5</v>
      </c>
      <c r="V252" s="151">
        <v>41838</v>
      </c>
      <c r="W252" s="196">
        <v>9</v>
      </c>
      <c r="X252" s="151">
        <v>41829</v>
      </c>
      <c r="Y252" s="134">
        <f t="shared" si="3"/>
        <v>5.6078999999999999</v>
      </c>
      <c r="AC252" s="134">
        <v>40</v>
      </c>
      <c r="AD252" s="151">
        <v>41838</v>
      </c>
      <c r="AE252" s="134">
        <v>41.54</v>
      </c>
      <c r="AF252" s="151">
        <v>41838</v>
      </c>
      <c r="AG252" s="197">
        <v>5.3</v>
      </c>
      <c r="AH252" s="151">
        <v>41843</v>
      </c>
      <c r="AI252" s="198">
        <v>5</v>
      </c>
      <c r="AJ252" s="151">
        <v>41778</v>
      </c>
      <c r="AK252" s="199">
        <v>5</v>
      </c>
      <c r="AL252" s="151">
        <v>41709</v>
      </c>
      <c r="BE252" s="200">
        <v>5</v>
      </c>
      <c r="BF252" s="201">
        <v>41555</v>
      </c>
      <c r="BG252" s="203">
        <v>-3.3</v>
      </c>
      <c r="BH252" s="151">
        <v>41842</v>
      </c>
      <c r="BM252" s="204">
        <v>63.9</v>
      </c>
      <c r="BN252" s="151">
        <v>41842</v>
      </c>
      <c r="BQ252" s="205">
        <v>10.1</v>
      </c>
      <c r="BR252" s="151">
        <v>41842</v>
      </c>
      <c r="BS252" s="206">
        <v>46.4</v>
      </c>
      <c r="BT252" s="151">
        <v>41842</v>
      </c>
      <c r="BU252" s="207">
        <v>13.5</v>
      </c>
      <c r="BV252" s="151">
        <v>41842</v>
      </c>
      <c r="BW252" s="206">
        <v>53.8</v>
      </c>
      <c r="BX252" s="151">
        <v>41842</v>
      </c>
      <c r="BY252" s="210">
        <v>6.98</v>
      </c>
      <c r="BZ252" s="151">
        <v>41842</v>
      </c>
      <c r="CA252" s="206">
        <v>30.3</v>
      </c>
      <c r="CB252" s="151">
        <v>41842</v>
      </c>
      <c r="CC252" s="208">
        <v>5.5</v>
      </c>
      <c r="CD252" s="151">
        <v>41838</v>
      </c>
      <c r="CL252" s="209">
        <v>3</v>
      </c>
      <c r="CM252" s="201">
        <v>41810</v>
      </c>
    </row>
    <row r="253" spans="1:91" ht="15">
      <c r="A253" s="152" t="s">
        <v>7924</v>
      </c>
      <c r="B253" s="110" t="s">
        <v>235</v>
      </c>
      <c r="C253" s="110" t="s">
        <v>8081</v>
      </c>
      <c r="D253" s="110">
        <v>11366</v>
      </c>
      <c r="E253" s="111">
        <v>12</v>
      </c>
      <c r="F253" s="111">
        <v>501</v>
      </c>
      <c r="K253" s="134">
        <v>5</v>
      </c>
      <c r="L253" s="151">
        <v>41701</v>
      </c>
      <c r="M253" s="169">
        <v>4.75</v>
      </c>
      <c r="N253" s="151">
        <v>41838</v>
      </c>
      <c r="Q253" s="497"/>
      <c r="S253" s="134">
        <v>16.59</v>
      </c>
      <c r="T253" s="151">
        <v>41842</v>
      </c>
      <c r="U253" s="134">
        <v>13.5</v>
      </c>
      <c r="V253" s="151">
        <v>41838</v>
      </c>
      <c r="W253" s="196">
        <v>9</v>
      </c>
      <c r="X253" s="151">
        <v>41829</v>
      </c>
      <c r="Y253" s="134">
        <f t="shared" si="3"/>
        <v>5.2707500000000005</v>
      </c>
      <c r="AC253" s="134">
        <v>35.19</v>
      </c>
      <c r="AD253" s="151">
        <v>41838</v>
      </c>
      <c r="AE253" s="134">
        <v>36.35</v>
      </c>
      <c r="AF253" s="151">
        <v>41838</v>
      </c>
      <c r="AG253" s="197">
        <v>5.0999999999999996</v>
      </c>
      <c r="AH253" s="151">
        <v>41843</v>
      </c>
      <c r="AI253" s="198">
        <v>5</v>
      </c>
      <c r="AJ253" s="151">
        <v>41778</v>
      </c>
      <c r="AK253" s="199">
        <v>5</v>
      </c>
      <c r="AL253" s="151">
        <v>41709</v>
      </c>
      <c r="BE253" s="200">
        <v>5</v>
      </c>
      <c r="BF253" s="201">
        <v>41555</v>
      </c>
      <c r="BG253" s="203">
        <v>-2.6</v>
      </c>
      <c r="BH253" s="151">
        <v>41842</v>
      </c>
      <c r="BM253" s="204">
        <v>62.5</v>
      </c>
      <c r="BN253" s="151">
        <v>41842</v>
      </c>
      <c r="BQ253" s="205">
        <v>10.6</v>
      </c>
      <c r="BR253" s="151">
        <v>41842</v>
      </c>
      <c r="BS253" s="206">
        <v>45.6</v>
      </c>
      <c r="BT253" s="151">
        <v>41842</v>
      </c>
      <c r="BU253" s="207">
        <v>14.5</v>
      </c>
      <c r="BV253" s="151">
        <v>41842</v>
      </c>
      <c r="BW253" s="206">
        <v>60.7</v>
      </c>
      <c r="BX253" s="151">
        <v>41842</v>
      </c>
      <c r="BY253" s="210">
        <v>6.79</v>
      </c>
      <c r="BZ253" s="151">
        <v>41842</v>
      </c>
      <c r="CA253" s="206">
        <v>32</v>
      </c>
      <c r="CB253" s="151">
        <v>41842</v>
      </c>
      <c r="CC253" s="208">
        <v>6</v>
      </c>
      <c r="CD253" s="151">
        <v>41838</v>
      </c>
      <c r="CL253" s="209">
        <v>3</v>
      </c>
      <c r="CM253" s="201">
        <v>41810</v>
      </c>
    </row>
    <row r="254" spans="1:91" ht="15">
      <c r="A254" s="152" t="s">
        <v>7925</v>
      </c>
      <c r="B254" s="110" t="s">
        <v>233</v>
      </c>
      <c r="C254" s="110" t="s">
        <v>381</v>
      </c>
      <c r="D254" s="110">
        <v>11016</v>
      </c>
      <c r="E254" s="111">
        <v>2</v>
      </c>
      <c r="F254" s="111">
        <v>541</v>
      </c>
      <c r="I254" s="373"/>
      <c r="K254" s="194">
        <v>5</v>
      </c>
      <c r="L254" s="151">
        <v>41701</v>
      </c>
      <c r="M254" s="169">
        <v>3.4</v>
      </c>
      <c r="N254" s="151">
        <v>41838</v>
      </c>
      <c r="Q254" s="497"/>
      <c r="S254" s="134">
        <v>12.2</v>
      </c>
      <c r="T254" s="151">
        <v>41842</v>
      </c>
      <c r="U254" s="194">
        <v>13.5</v>
      </c>
      <c r="V254" s="151">
        <v>41838</v>
      </c>
      <c r="W254" s="196">
        <v>1</v>
      </c>
      <c r="X254" s="151">
        <v>41829</v>
      </c>
      <c r="Y254" s="134">
        <f t="shared" si="3"/>
        <v>3.915</v>
      </c>
      <c r="AA254" s="194"/>
      <c r="AC254" s="194">
        <v>25.19</v>
      </c>
      <c r="AD254" s="151">
        <v>41838</v>
      </c>
      <c r="AE254" s="137">
        <v>26.1</v>
      </c>
      <c r="AF254" s="151">
        <v>41838</v>
      </c>
      <c r="AG254" s="197">
        <v>5.0999999999999996</v>
      </c>
      <c r="AH254" s="151">
        <v>41843</v>
      </c>
      <c r="AI254" s="198">
        <v>3</v>
      </c>
      <c r="AJ254" s="151">
        <v>41778</v>
      </c>
      <c r="AK254" s="199">
        <v>5</v>
      </c>
      <c r="AL254" s="151">
        <v>41709</v>
      </c>
      <c r="AM254" s="194"/>
      <c r="BE254" s="200">
        <v>5</v>
      </c>
      <c r="BF254" s="201">
        <v>41555</v>
      </c>
      <c r="BG254" s="203">
        <v>2</v>
      </c>
      <c r="BH254" s="151">
        <v>41842</v>
      </c>
      <c r="BM254" s="204">
        <v>64.5</v>
      </c>
      <c r="BN254" s="151">
        <v>41842</v>
      </c>
      <c r="BQ254" s="205">
        <v>10.5</v>
      </c>
      <c r="BR254" s="151">
        <v>41842</v>
      </c>
      <c r="BS254" s="206">
        <v>46.7</v>
      </c>
      <c r="BT254" s="151">
        <v>41842</v>
      </c>
      <c r="BU254" s="207">
        <v>15</v>
      </c>
      <c r="BV254" s="151">
        <v>41842</v>
      </c>
      <c r="BW254" s="206">
        <v>71.900000000000006</v>
      </c>
      <c r="BX254" s="151">
        <v>41842</v>
      </c>
      <c r="BY254" s="210">
        <v>6.57</v>
      </c>
      <c r="BZ254" s="151">
        <v>41842</v>
      </c>
      <c r="CA254" s="206">
        <v>33.799999999999997</v>
      </c>
      <c r="CB254" s="151">
        <v>41842</v>
      </c>
      <c r="CC254" s="208">
        <v>5.7</v>
      </c>
      <c r="CD254" s="151">
        <v>41838</v>
      </c>
      <c r="CL254" s="209">
        <v>7</v>
      </c>
      <c r="CM254" s="201">
        <v>41810</v>
      </c>
    </row>
    <row r="255" spans="1:91" ht="15">
      <c r="A255" s="152" t="s">
        <v>7925</v>
      </c>
      <c r="B255" s="110" t="s">
        <v>235</v>
      </c>
      <c r="C255" s="110" t="s">
        <v>8082</v>
      </c>
      <c r="D255" s="110">
        <v>11606</v>
      </c>
      <c r="E255" s="111">
        <v>6</v>
      </c>
      <c r="F255" s="111">
        <v>745</v>
      </c>
      <c r="K255" s="134">
        <v>5</v>
      </c>
      <c r="L255" s="151">
        <v>41701</v>
      </c>
      <c r="M255" s="169">
        <v>3.35</v>
      </c>
      <c r="N255" s="151">
        <v>41838</v>
      </c>
      <c r="Q255" s="497"/>
      <c r="S255" s="134">
        <v>11.73</v>
      </c>
      <c r="T255" s="151">
        <v>41842</v>
      </c>
      <c r="U255" s="134">
        <v>13.5</v>
      </c>
      <c r="V255" s="151">
        <v>41838</v>
      </c>
      <c r="W255" s="196">
        <v>9</v>
      </c>
      <c r="X255" s="151">
        <v>41829</v>
      </c>
      <c r="Y255" s="134">
        <f t="shared" si="3"/>
        <v>4.0751999999999997</v>
      </c>
      <c r="AC255" s="134">
        <v>24.81</v>
      </c>
      <c r="AD255" s="151">
        <v>41838</v>
      </c>
      <c r="AE255" s="134">
        <v>25.47</v>
      </c>
      <c r="AF255" s="151">
        <v>41838</v>
      </c>
      <c r="AG255" s="197">
        <v>5</v>
      </c>
      <c r="AH255" s="151">
        <v>41843</v>
      </c>
      <c r="AI255" s="198">
        <v>5</v>
      </c>
      <c r="AJ255" s="151">
        <v>41778</v>
      </c>
      <c r="AK255" s="199">
        <v>5</v>
      </c>
      <c r="AL255" s="151">
        <v>41709</v>
      </c>
      <c r="BE255" s="200">
        <v>5</v>
      </c>
      <c r="BF255" s="201">
        <v>41555</v>
      </c>
      <c r="BG255" s="203">
        <v>0.3</v>
      </c>
      <c r="BH255" s="151">
        <v>41842</v>
      </c>
      <c r="BM255" s="204">
        <v>63</v>
      </c>
      <c r="BN255" s="151">
        <v>41842</v>
      </c>
      <c r="BQ255" s="205">
        <v>11</v>
      </c>
      <c r="BR255" s="151">
        <v>41842</v>
      </c>
      <c r="BS255" s="206">
        <v>46.1</v>
      </c>
      <c r="BT255" s="151">
        <v>41842</v>
      </c>
      <c r="BU255" s="207">
        <v>16</v>
      </c>
      <c r="BV255" s="151">
        <v>41842</v>
      </c>
      <c r="BW255" s="206">
        <v>72.8</v>
      </c>
      <c r="BX255" s="151">
        <v>41842</v>
      </c>
      <c r="BY255" s="210">
        <v>6.7</v>
      </c>
      <c r="BZ255" s="151">
        <v>41842</v>
      </c>
      <c r="CA255" s="206">
        <v>35.6</v>
      </c>
      <c r="CB255" s="151">
        <v>41842</v>
      </c>
      <c r="CC255" s="208">
        <v>6.6</v>
      </c>
      <c r="CD255" s="151">
        <v>41838</v>
      </c>
      <c r="CL255" s="209">
        <v>7</v>
      </c>
      <c r="CM255" s="201">
        <v>41810</v>
      </c>
    </row>
    <row r="256" spans="1:91" ht="15">
      <c r="A256" s="152" t="s">
        <v>7925</v>
      </c>
      <c r="B256" s="110" t="s">
        <v>233</v>
      </c>
      <c r="C256" s="110" t="s">
        <v>8083</v>
      </c>
      <c r="D256" s="110">
        <v>11746</v>
      </c>
      <c r="E256" s="111">
        <v>10</v>
      </c>
      <c r="F256" s="111">
        <v>729</v>
      </c>
      <c r="K256" s="191">
        <v>3</v>
      </c>
      <c r="L256" s="151">
        <v>41701</v>
      </c>
      <c r="M256" s="169">
        <v>3.15</v>
      </c>
      <c r="N256" s="151">
        <v>41838</v>
      </c>
      <c r="Q256" s="497"/>
      <c r="S256" s="134">
        <v>11.44</v>
      </c>
      <c r="T256" s="151">
        <v>41842</v>
      </c>
      <c r="U256" s="134">
        <v>13.5</v>
      </c>
      <c r="V256" s="151">
        <v>41838</v>
      </c>
      <c r="W256" s="196">
        <v>9</v>
      </c>
      <c r="X256" s="151">
        <v>41829</v>
      </c>
      <c r="Y256" s="134">
        <f t="shared" si="3"/>
        <v>3.3980999999999999</v>
      </c>
      <c r="AC256" s="134">
        <v>23.33</v>
      </c>
      <c r="AD256" s="151">
        <v>41838</v>
      </c>
      <c r="AE256" s="134">
        <v>24.1</v>
      </c>
      <c r="AF256" s="151">
        <v>41838</v>
      </c>
      <c r="AG256" s="197">
        <v>5</v>
      </c>
      <c r="AH256" s="151">
        <v>41843</v>
      </c>
      <c r="AI256" s="198">
        <v>5</v>
      </c>
      <c r="AJ256" s="151">
        <v>41778</v>
      </c>
      <c r="AK256" s="199">
        <v>5</v>
      </c>
      <c r="AL256" s="151">
        <v>41709</v>
      </c>
      <c r="BE256" s="200">
        <v>5</v>
      </c>
      <c r="BF256" s="201">
        <v>41555</v>
      </c>
      <c r="BG256" s="203">
        <v>-5.8</v>
      </c>
      <c r="BH256" s="151">
        <v>41842</v>
      </c>
      <c r="BM256" s="204">
        <v>64.7</v>
      </c>
      <c r="BN256" s="151">
        <v>41842</v>
      </c>
      <c r="BQ256" s="205">
        <v>9.8000000000000007</v>
      </c>
      <c r="BR256" s="151">
        <v>41842</v>
      </c>
      <c r="BS256" s="206">
        <v>47.5</v>
      </c>
      <c r="BT256" s="151">
        <v>41842</v>
      </c>
      <c r="BU256" s="207">
        <v>14.1</v>
      </c>
      <c r="BV256" s="151">
        <v>41842</v>
      </c>
      <c r="BW256" s="206">
        <v>63.5</v>
      </c>
      <c r="BX256" s="151">
        <v>41842</v>
      </c>
      <c r="BY256" s="210">
        <v>6.65</v>
      </c>
      <c r="BZ256" s="151">
        <v>41842</v>
      </c>
      <c r="CA256" s="206">
        <v>32.5</v>
      </c>
      <c r="CB256" s="151">
        <v>41842</v>
      </c>
      <c r="CC256" s="208">
        <v>6</v>
      </c>
      <c r="CD256" s="151">
        <v>41838</v>
      </c>
      <c r="CL256" s="209">
        <v>3</v>
      </c>
      <c r="CM256" s="201">
        <v>41810</v>
      </c>
    </row>
    <row r="257" spans="1:91" ht="15">
      <c r="A257" s="152" t="s">
        <v>7925</v>
      </c>
      <c r="B257" s="110" t="s">
        <v>235</v>
      </c>
      <c r="C257" s="110" t="s">
        <v>8081</v>
      </c>
      <c r="D257" s="110">
        <v>11378</v>
      </c>
      <c r="E257" s="111">
        <v>12</v>
      </c>
      <c r="F257" s="111">
        <v>549</v>
      </c>
      <c r="K257" s="134">
        <v>5</v>
      </c>
      <c r="L257" s="151">
        <v>41701</v>
      </c>
      <c r="M257" s="169">
        <v>3.65</v>
      </c>
      <c r="N257" s="151">
        <v>41838</v>
      </c>
      <c r="Q257" s="497"/>
      <c r="S257" s="134">
        <v>12.6</v>
      </c>
      <c r="T257" s="151">
        <v>41842</v>
      </c>
      <c r="U257" s="134">
        <v>13.5</v>
      </c>
      <c r="V257" s="151">
        <v>41838</v>
      </c>
      <c r="W257" s="196">
        <v>9</v>
      </c>
      <c r="X257" s="151">
        <v>41829</v>
      </c>
      <c r="Y257" s="134">
        <f t="shared" si="3"/>
        <v>4.8016800000000002</v>
      </c>
      <c r="AC257" s="134">
        <v>27.04</v>
      </c>
      <c r="AD257" s="151">
        <v>41838</v>
      </c>
      <c r="AE257" s="134">
        <v>28.08</v>
      </c>
      <c r="AF257" s="151">
        <v>41838</v>
      </c>
      <c r="AG257" s="197">
        <v>4.7</v>
      </c>
      <c r="AH257" s="151">
        <v>41843</v>
      </c>
      <c r="AI257" s="198">
        <v>3</v>
      </c>
      <c r="AJ257" s="151">
        <v>41778</v>
      </c>
      <c r="AK257" s="199">
        <v>5</v>
      </c>
      <c r="AL257" s="151">
        <v>41709</v>
      </c>
      <c r="BE257" s="200">
        <v>5</v>
      </c>
      <c r="BF257" s="201">
        <v>41555</v>
      </c>
      <c r="BG257" s="203">
        <v>-1.3</v>
      </c>
      <c r="BH257" s="151">
        <v>41842</v>
      </c>
      <c r="BM257" s="204">
        <v>62.4</v>
      </c>
      <c r="BN257" s="151">
        <v>41842</v>
      </c>
      <c r="BQ257" s="205">
        <v>11.4</v>
      </c>
      <c r="BR257" s="151">
        <v>41842</v>
      </c>
      <c r="BS257" s="206">
        <v>44.9</v>
      </c>
      <c r="BT257" s="151">
        <v>41842</v>
      </c>
      <c r="BU257" s="207">
        <v>17.100000000000001</v>
      </c>
      <c r="BV257" s="151">
        <v>41842</v>
      </c>
      <c r="BW257" s="206">
        <v>74.099999999999994</v>
      </c>
      <c r="BX257" s="151">
        <v>41842</v>
      </c>
      <c r="BY257" s="210">
        <v>6.42</v>
      </c>
      <c r="BZ257" s="151">
        <v>41842</v>
      </c>
      <c r="CA257" s="206">
        <v>37.1</v>
      </c>
      <c r="CB257" s="151">
        <v>41842</v>
      </c>
      <c r="CC257" s="208">
        <v>5.5</v>
      </c>
      <c r="CD257" s="151">
        <v>41838</v>
      </c>
      <c r="CL257" s="209">
        <v>5</v>
      </c>
      <c r="CM257" s="201">
        <v>41810</v>
      </c>
    </row>
    <row r="258" spans="1:91" ht="15">
      <c r="A258" s="152" t="s">
        <v>7926</v>
      </c>
      <c r="B258" s="110" t="s">
        <v>235</v>
      </c>
      <c r="C258" s="110" t="s">
        <v>8082</v>
      </c>
      <c r="D258" s="110">
        <v>11428</v>
      </c>
      <c r="E258" s="111">
        <v>1</v>
      </c>
      <c r="F258" s="111">
        <v>753</v>
      </c>
      <c r="I258" s="373"/>
      <c r="K258" s="194">
        <v>5</v>
      </c>
      <c r="L258" s="151">
        <v>41701</v>
      </c>
      <c r="M258" s="169">
        <v>6.1</v>
      </c>
      <c r="N258" s="151">
        <v>41838</v>
      </c>
      <c r="Q258" s="497"/>
      <c r="S258" s="134">
        <v>23.3</v>
      </c>
      <c r="T258" s="151">
        <v>41842</v>
      </c>
      <c r="U258" s="194">
        <v>13.5</v>
      </c>
      <c r="V258" s="151">
        <v>41838</v>
      </c>
      <c r="W258" s="196">
        <v>9</v>
      </c>
      <c r="X258" s="151">
        <v>41829</v>
      </c>
      <c r="Y258" s="134">
        <f t="shared" si="3"/>
        <v>5.1721599999999999</v>
      </c>
      <c r="AA258" s="194"/>
      <c r="AC258" s="194">
        <v>45.19</v>
      </c>
      <c r="AD258" s="151">
        <v>41838</v>
      </c>
      <c r="AE258" s="137">
        <v>46.18</v>
      </c>
      <c r="AF258" s="151">
        <v>41838</v>
      </c>
      <c r="AG258" s="197">
        <v>5.2</v>
      </c>
      <c r="AH258" s="151">
        <v>41843</v>
      </c>
      <c r="AI258" s="198">
        <v>5</v>
      </c>
      <c r="AJ258" s="151">
        <v>41778</v>
      </c>
      <c r="AK258" s="199">
        <v>5</v>
      </c>
      <c r="AL258" s="151">
        <v>41709</v>
      </c>
      <c r="AM258" s="194"/>
      <c r="BE258" s="200">
        <v>5</v>
      </c>
      <c r="BF258" s="201">
        <v>41555</v>
      </c>
      <c r="BG258" s="203">
        <v>-9</v>
      </c>
      <c r="BH258" s="151">
        <v>41842</v>
      </c>
      <c r="BM258" s="204">
        <v>68.7</v>
      </c>
      <c r="BN258" s="151">
        <v>41842</v>
      </c>
      <c r="BQ258" s="205">
        <v>7.8</v>
      </c>
      <c r="BR258" s="151">
        <v>41842</v>
      </c>
      <c r="BS258" s="206">
        <v>50.5</v>
      </c>
      <c r="BT258" s="151">
        <v>41842</v>
      </c>
      <c r="BU258" s="207">
        <v>11.2</v>
      </c>
      <c r="BV258" s="151">
        <v>41842</v>
      </c>
      <c r="BW258" s="206">
        <v>9.9</v>
      </c>
      <c r="BX258" s="151">
        <v>41842</v>
      </c>
      <c r="BY258" s="210">
        <v>6.13</v>
      </c>
      <c r="BZ258" s="151">
        <v>41842</v>
      </c>
      <c r="CA258" s="206">
        <v>27.7</v>
      </c>
      <c r="CB258" s="151">
        <v>41842</v>
      </c>
      <c r="CC258" s="208">
        <v>7</v>
      </c>
      <c r="CD258" s="151">
        <v>41838</v>
      </c>
      <c r="CL258" s="209">
        <v>5</v>
      </c>
      <c r="CM258" s="201">
        <v>41810</v>
      </c>
    </row>
    <row r="259" spans="1:91" ht="15">
      <c r="A259" s="152" t="s">
        <v>7926</v>
      </c>
      <c r="B259" s="110" t="s">
        <v>233</v>
      </c>
      <c r="C259" s="110" t="s">
        <v>381</v>
      </c>
      <c r="D259" s="110">
        <v>11116</v>
      </c>
      <c r="E259" s="111">
        <v>5</v>
      </c>
      <c r="F259" s="111">
        <v>509</v>
      </c>
      <c r="K259" s="134">
        <v>5</v>
      </c>
      <c r="L259" s="151">
        <v>41701</v>
      </c>
      <c r="M259" s="169">
        <v>5.05</v>
      </c>
      <c r="N259" s="151">
        <v>41838</v>
      </c>
      <c r="Q259" s="497"/>
      <c r="S259" s="134">
        <v>19.38</v>
      </c>
      <c r="T259" s="151">
        <v>41842</v>
      </c>
      <c r="U259" s="134">
        <v>13.5</v>
      </c>
      <c r="V259" s="151">
        <v>41838</v>
      </c>
      <c r="W259" s="196">
        <v>9</v>
      </c>
      <c r="X259" s="151">
        <v>41829</v>
      </c>
      <c r="Y259" s="134">
        <f t="shared" ref="Y259:Y322" si="4">(AE259*BU259)/100</f>
        <v>4.3708400000000003</v>
      </c>
      <c r="AC259" s="134">
        <v>37.409999999999997</v>
      </c>
      <c r="AD259" s="151">
        <v>41838</v>
      </c>
      <c r="AE259" s="134">
        <v>38.68</v>
      </c>
      <c r="AF259" s="151">
        <v>41838</v>
      </c>
      <c r="AG259" s="197">
        <v>5.2</v>
      </c>
      <c r="AH259" s="151">
        <v>41843</v>
      </c>
      <c r="AI259" s="198">
        <v>7</v>
      </c>
      <c r="AJ259" s="151">
        <v>41778</v>
      </c>
      <c r="AK259" s="199">
        <v>4</v>
      </c>
      <c r="AL259" s="151">
        <v>41709</v>
      </c>
      <c r="BE259" s="200">
        <v>4</v>
      </c>
      <c r="BF259" s="201">
        <v>41555</v>
      </c>
      <c r="BG259" s="203">
        <v>-8.9</v>
      </c>
      <c r="BH259" s="151">
        <v>41842</v>
      </c>
      <c r="BM259" s="204">
        <v>69.7</v>
      </c>
      <c r="BN259" s="151">
        <v>41842</v>
      </c>
      <c r="BQ259" s="205">
        <v>8.3000000000000007</v>
      </c>
      <c r="BR259" s="151">
        <v>41842</v>
      </c>
      <c r="BS259" s="206">
        <v>50.1</v>
      </c>
      <c r="BT259" s="151">
        <v>41842</v>
      </c>
      <c r="BU259" s="207">
        <v>11.3</v>
      </c>
      <c r="BV259" s="151">
        <v>41842</v>
      </c>
      <c r="BW259" s="206">
        <v>10.4</v>
      </c>
      <c r="BX259" s="151">
        <v>41842</v>
      </c>
      <c r="BY259" s="210">
        <v>6</v>
      </c>
      <c r="BZ259" s="151">
        <v>41842</v>
      </c>
      <c r="CA259" s="206">
        <v>27.6</v>
      </c>
      <c r="CB259" s="151">
        <v>41842</v>
      </c>
      <c r="CC259" s="208">
        <v>5.9</v>
      </c>
      <c r="CD259" s="151">
        <v>41838</v>
      </c>
      <c r="CL259" s="209">
        <v>3</v>
      </c>
      <c r="CM259" s="201">
        <v>41810</v>
      </c>
    </row>
    <row r="260" spans="1:91" ht="15">
      <c r="A260" s="152" t="s">
        <v>7926</v>
      </c>
      <c r="B260" s="110" t="s">
        <v>235</v>
      </c>
      <c r="C260" s="110" t="s">
        <v>8081</v>
      </c>
      <c r="D260" s="110">
        <v>11191</v>
      </c>
      <c r="E260" s="111">
        <v>7</v>
      </c>
      <c r="F260" s="111">
        <v>521</v>
      </c>
      <c r="K260" s="134">
        <v>5</v>
      </c>
      <c r="L260" s="151">
        <v>41701</v>
      </c>
      <c r="M260" s="169">
        <v>6.55</v>
      </c>
      <c r="N260" s="151">
        <v>41838</v>
      </c>
      <c r="Q260" s="497"/>
      <c r="S260" s="134">
        <v>24.6</v>
      </c>
      <c r="T260" s="151">
        <v>41842</v>
      </c>
      <c r="U260" s="134">
        <v>13.5</v>
      </c>
      <c r="V260" s="151">
        <v>41838</v>
      </c>
      <c r="W260" s="196">
        <v>9</v>
      </c>
      <c r="X260" s="151">
        <v>41829</v>
      </c>
      <c r="Y260" s="134">
        <f t="shared" si="4"/>
        <v>6.2272799999999995</v>
      </c>
      <c r="AC260" s="134">
        <v>48.52</v>
      </c>
      <c r="AD260" s="151">
        <v>41838</v>
      </c>
      <c r="AE260" s="134">
        <v>50.22</v>
      </c>
      <c r="AF260" s="151">
        <v>41838</v>
      </c>
      <c r="AG260" s="197">
        <v>5.0999999999999996</v>
      </c>
      <c r="AH260" s="151">
        <v>41843</v>
      </c>
      <c r="AI260" s="198">
        <v>5</v>
      </c>
      <c r="AJ260" s="151">
        <v>41778</v>
      </c>
      <c r="AK260" s="199">
        <v>5</v>
      </c>
      <c r="AL260" s="151">
        <v>41709</v>
      </c>
      <c r="BE260" s="200">
        <v>5</v>
      </c>
      <c r="BF260" s="201">
        <v>41555</v>
      </c>
      <c r="BG260" s="203">
        <v>-5.9</v>
      </c>
      <c r="BH260" s="151">
        <v>41842</v>
      </c>
      <c r="BM260" s="204">
        <v>68.599999999999994</v>
      </c>
      <c r="BN260" s="151">
        <v>41842</v>
      </c>
      <c r="BQ260" s="205">
        <v>8.5</v>
      </c>
      <c r="BR260" s="151">
        <v>41842</v>
      </c>
      <c r="BS260" s="206">
        <v>49</v>
      </c>
      <c r="BT260" s="151">
        <v>41842</v>
      </c>
      <c r="BU260" s="207">
        <v>12.4</v>
      </c>
      <c r="BV260" s="151">
        <v>41842</v>
      </c>
      <c r="BW260" s="206">
        <v>14.1</v>
      </c>
      <c r="BX260" s="151">
        <v>41842</v>
      </c>
      <c r="BY260" s="210">
        <v>6.13</v>
      </c>
      <c r="BZ260" s="151">
        <v>41842</v>
      </c>
      <c r="CA260" s="206">
        <v>29.5</v>
      </c>
      <c r="CB260" s="151">
        <v>41842</v>
      </c>
      <c r="CC260" s="208">
        <v>5.8</v>
      </c>
      <c r="CD260" s="151">
        <v>41838</v>
      </c>
      <c r="CL260" s="209">
        <v>3</v>
      </c>
      <c r="CM260" s="201">
        <v>41810</v>
      </c>
    </row>
    <row r="261" spans="1:91" ht="15">
      <c r="A261" s="152" t="s">
        <v>7926</v>
      </c>
      <c r="B261" s="110" t="s">
        <v>233</v>
      </c>
      <c r="C261" s="110" t="s">
        <v>8083</v>
      </c>
      <c r="D261" s="110">
        <v>11709</v>
      </c>
      <c r="E261" s="111">
        <v>9</v>
      </c>
      <c r="F261" s="111">
        <v>725</v>
      </c>
      <c r="K261" s="134">
        <v>5</v>
      </c>
      <c r="L261" s="151">
        <v>41701</v>
      </c>
      <c r="M261" s="169">
        <v>4.05</v>
      </c>
      <c r="N261" s="151">
        <v>41838</v>
      </c>
      <c r="Q261" s="497"/>
      <c r="S261" s="134">
        <v>15.56</v>
      </c>
      <c r="T261" s="151">
        <v>41842</v>
      </c>
      <c r="U261" s="134">
        <v>13.5</v>
      </c>
      <c r="V261" s="151">
        <v>41838</v>
      </c>
      <c r="W261" s="196">
        <v>9</v>
      </c>
      <c r="X261" s="151">
        <v>41829</v>
      </c>
      <c r="Y261" s="134">
        <f t="shared" si="4"/>
        <v>3.4563199999999994</v>
      </c>
      <c r="AC261" s="134">
        <v>30</v>
      </c>
      <c r="AD261" s="151">
        <v>41838</v>
      </c>
      <c r="AE261" s="134">
        <v>30.86</v>
      </c>
      <c r="AF261" s="151">
        <v>41838</v>
      </c>
      <c r="AG261" s="197">
        <v>5.3</v>
      </c>
      <c r="AH261" s="151">
        <v>41843</v>
      </c>
      <c r="AI261" s="198">
        <v>5</v>
      </c>
      <c r="AJ261" s="151">
        <v>41778</v>
      </c>
      <c r="AK261" s="199">
        <v>5</v>
      </c>
      <c r="AL261" s="151">
        <v>41709</v>
      </c>
      <c r="BE261" s="200">
        <v>5</v>
      </c>
      <c r="BF261" s="201">
        <v>41555</v>
      </c>
      <c r="BG261" s="203">
        <v>-5.9</v>
      </c>
      <c r="BH261" s="151">
        <v>41842</v>
      </c>
      <c r="BM261" s="204">
        <v>70</v>
      </c>
      <c r="BN261" s="151">
        <v>41842</v>
      </c>
      <c r="BQ261" s="205">
        <v>7.1</v>
      </c>
      <c r="BR261" s="151">
        <v>41842</v>
      </c>
      <c r="BS261" s="206">
        <v>50.4</v>
      </c>
      <c r="BT261" s="151">
        <v>41842</v>
      </c>
      <c r="BU261" s="207">
        <v>11.2</v>
      </c>
      <c r="BV261" s="151">
        <v>41842</v>
      </c>
      <c r="BW261" s="206">
        <v>16.3</v>
      </c>
      <c r="BX261" s="151">
        <v>41842</v>
      </c>
      <c r="BY261" s="210">
        <v>6.46</v>
      </c>
      <c r="BZ261" s="151">
        <v>41842</v>
      </c>
      <c r="CA261" s="206">
        <v>27.5</v>
      </c>
      <c r="CB261" s="151">
        <v>41842</v>
      </c>
      <c r="CC261" s="208">
        <v>6.4</v>
      </c>
      <c r="CD261" s="151">
        <v>41838</v>
      </c>
      <c r="CL261" s="209">
        <v>3</v>
      </c>
      <c r="CM261" s="201">
        <v>41810</v>
      </c>
    </row>
    <row r="262" spans="1:91" ht="15">
      <c r="A262" s="152" t="s">
        <v>7927</v>
      </c>
      <c r="B262" s="110" t="s">
        <v>235</v>
      </c>
      <c r="C262" s="110" t="s">
        <v>8082</v>
      </c>
      <c r="D262" s="110">
        <v>11415</v>
      </c>
      <c r="E262" s="111">
        <v>1</v>
      </c>
      <c r="F262" s="111">
        <v>701</v>
      </c>
      <c r="I262" s="373"/>
      <c r="K262" s="194">
        <v>5</v>
      </c>
      <c r="L262" s="151">
        <v>41701</v>
      </c>
      <c r="M262" s="169">
        <v>4.75</v>
      </c>
      <c r="N262" s="151">
        <v>41838</v>
      </c>
      <c r="Q262" s="497"/>
      <c r="S262" s="134">
        <v>17</v>
      </c>
      <c r="T262" s="151">
        <v>41842</v>
      </c>
      <c r="U262" s="194">
        <v>13.5</v>
      </c>
      <c r="V262" s="151">
        <v>41838</v>
      </c>
      <c r="W262" s="196">
        <v>1</v>
      </c>
      <c r="X262" s="151">
        <v>41829</v>
      </c>
      <c r="Y262" s="134">
        <f t="shared" si="4"/>
        <v>5.4749999999999996</v>
      </c>
      <c r="AA262" s="194"/>
      <c r="AC262" s="194">
        <v>35.19</v>
      </c>
      <c r="AD262" s="151">
        <v>41838</v>
      </c>
      <c r="AE262" s="137">
        <v>36.5</v>
      </c>
      <c r="AF262" s="151">
        <v>41838</v>
      </c>
      <c r="AG262" s="197">
        <v>4.5</v>
      </c>
      <c r="AH262" s="151">
        <v>41843</v>
      </c>
      <c r="AI262" s="198">
        <v>7</v>
      </c>
      <c r="AJ262" s="151">
        <v>41778</v>
      </c>
      <c r="AK262" s="199">
        <v>5</v>
      </c>
      <c r="AL262" s="151">
        <v>41709</v>
      </c>
      <c r="AM262" s="194"/>
      <c r="BE262" s="200">
        <v>5</v>
      </c>
      <c r="BF262" s="201">
        <v>41555</v>
      </c>
      <c r="BG262" s="203">
        <v>15.8</v>
      </c>
      <c r="BH262" s="151">
        <v>41842</v>
      </c>
      <c r="BM262" s="204">
        <v>64.3</v>
      </c>
      <c r="BN262" s="151">
        <v>41842</v>
      </c>
      <c r="BQ262" s="205">
        <v>9.4</v>
      </c>
      <c r="BR262" s="151">
        <v>41842</v>
      </c>
      <c r="BS262" s="206">
        <v>46.6</v>
      </c>
      <c r="BT262" s="151">
        <v>41842</v>
      </c>
      <c r="BU262" s="207">
        <v>15</v>
      </c>
      <c r="BV262" s="151">
        <v>41842</v>
      </c>
      <c r="BW262" s="206">
        <v>43.9</v>
      </c>
      <c r="BX262" s="151">
        <v>41842</v>
      </c>
      <c r="BY262" s="210">
        <v>7.36</v>
      </c>
      <c r="BZ262" s="151">
        <v>41842</v>
      </c>
      <c r="CA262" s="206">
        <v>33.799999999999997</v>
      </c>
      <c r="CB262" s="151">
        <v>41842</v>
      </c>
      <c r="CC262" s="208">
        <v>5.6</v>
      </c>
      <c r="CD262" s="151">
        <v>41838</v>
      </c>
      <c r="CL262" s="209">
        <v>5</v>
      </c>
      <c r="CM262" s="201">
        <v>41810</v>
      </c>
    </row>
    <row r="263" spans="1:91" ht="15">
      <c r="A263" s="152" t="s">
        <v>7927</v>
      </c>
      <c r="B263" s="110" t="s">
        <v>233</v>
      </c>
      <c r="C263" s="110" t="s">
        <v>381</v>
      </c>
      <c r="D263" s="110">
        <v>11038</v>
      </c>
      <c r="E263" s="111">
        <v>3</v>
      </c>
      <c r="F263" s="111">
        <v>485</v>
      </c>
      <c r="K263" s="134">
        <v>5</v>
      </c>
      <c r="L263" s="151">
        <v>41701</v>
      </c>
      <c r="M263" s="169">
        <v>4.0999999999999996</v>
      </c>
      <c r="N263" s="151">
        <v>41838</v>
      </c>
      <c r="Q263" s="497"/>
      <c r="S263" s="134">
        <v>14.9</v>
      </c>
      <c r="T263" s="151">
        <v>41842</v>
      </c>
      <c r="U263" s="134">
        <v>13.5</v>
      </c>
      <c r="V263" s="151">
        <v>41838</v>
      </c>
      <c r="W263" s="196">
        <v>9</v>
      </c>
      <c r="X263" s="151">
        <v>41829</v>
      </c>
      <c r="Y263" s="134">
        <f t="shared" si="4"/>
        <v>4.2350400000000006</v>
      </c>
      <c r="AC263" s="134">
        <v>30.37</v>
      </c>
      <c r="AD263" s="151">
        <v>41838</v>
      </c>
      <c r="AE263" s="134">
        <v>31.14</v>
      </c>
      <c r="AF263" s="151">
        <v>41838</v>
      </c>
      <c r="AG263" s="197">
        <v>4.7</v>
      </c>
      <c r="AH263" s="151">
        <v>41843</v>
      </c>
      <c r="AI263" s="198">
        <v>7</v>
      </c>
      <c r="AJ263" s="151">
        <v>41778</v>
      </c>
      <c r="AK263" s="199">
        <v>4</v>
      </c>
      <c r="AL263" s="151">
        <v>41709</v>
      </c>
      <c r="BE263" s="200">
        <v>4</v>
      </c>
      <c r="BF263" s="201">
        <v>41555</v>
      </c>
      <c r="BG263" s="203">
        <v>14.1</v>
      </c>
      <c r="BH263" s="151">
        <v>41842</v>
      </c>
      <c r="BM263" s="204">
        <v>66.7</v>
      </c>
      <c r="BN263" s="151">
        <v>41842</v>
      </c>
      <c r="BQ263" s="205">
        <v>8.6</v>
      </c>
      <c r="BR263" s="151">
        <v>41842</v>
      </c>
      <c r="BS263" s="206">
        <v>47.8</v>
      </c>
      <c r="BT263" s="151">
        <v>41842</v>
      </c>
      <c r="BU263" s="207">
        <v>13.6</v>
      </c>
      <c r="BV263" s="151">
        <v>41842</v>
      </c>
      <c r="BW263" s="206">
        <v>40.799999999999997</v>
      </c>
      <c r="BX263" s="151">
        <v>41842</v>
      </c>
      <c r="BY263" s="210">
        <v>7.16</v>
      </c>
      <c r="BZ263" s="151">
        <v>41842</v>
      </c>
      <c r="CA263" s="206">
        <v>31.5</v>
      </c>
      <c r="CB263" s="151">
        <v>41842</v>
      </c>
      <c r="CC263" s="208">
        <v>6.7</v>
      </c>
      <c r="CD263" s="151">
        <v>41838</v>
      </c>
      <c r="CL263" s="209">
        <v>5</v>
      </c>
      <c r="CM263" s="201">
        <v>41810</v>
      </c>
    </row>
    <row r="264" spans="1:91" ht="15">
      <c r="A264" s="152" t="s">
        <v>7927</v>
      </c>
      <c r="B264" s="110" t="s">
        <v>235</v>
      </c>
      <c r="C264" s="110" t="s">
        <v>8081</v>
      </c>
      <c r="D264" s="110">
        <v>11230</v>
      </c>
      <c r="E264" s="111">
        <v>8</v>
      </c>
      <c r="F264" s="111">
        <v>533</v>
      </c>
      <c r="K264" s="134">
        <v>5</v>
      </c>
      <c r="L264" s="151">
        <v>41701</v>
      </c>
      <c r="M264" s="169">
        <v>4.8</v>
      </c>
      <c r="N264" s="151">
        <v>41838</v>
      </c>
      <c r="Q264" s="497"/>
      <c r="S264" s="134">
        <v>17.43</v>
      </c>
      <c r="T264" s="151">
        <v>41842</v>
      </c>
      <c r="U264" s="134">
        <v>13.5</v>
      </c>
      <c r="V264" s="151">
        <v>41838</v>
      </c>
      <c r="W264" s="196">
        <v>9</v>
      </c>
      <c r="X264" s="151">
        <v>41829</v>
      </c>
      <c r="Y264" s="134">
        <f t="shared" si="4"/>
        <v>5.3006400000000005</v>
      </c>
      <c r="AC264" s="134">
        <v>35.56</v>
      </c>
      <c r="AD264" s="151">
        <v>41838</v>
      </c>
      <c r="AE264" s="134">
        <v>36.81</v>
      </c>
      <c r="AF264" s="151">
        <v>41838</v>
      </c>
      <c r="AG264" s="197">
        <v>4.4000000000000004</v>
      </c>
      <c r="AH264" s="151">
        <v>41843</v>
      </c>
      <c r="AI264" s="198">
        <v>7</v>
      </c>
      <c r="AJ264" s="151">
        <v>41778</v>
      </c>
      <c r="AK264" s="199">
        <v>5</v>
      </c>
      <c r="AL264" s="151">
        <v>41709</v>
      </c>
      <c r="BE264" s="200">
        <v>5</v>
      </c>
      <c r="BF264" s="201">
        <v>41555</v>
      </c>
      <c r="BG264" s="203">
        <v>14.8</v>
      </c>
      <c r="BH264" s="151">
        <v>41842</v>
      </c>
      <c r="BM264" s="204">
        <v>65.8</v>
      </c>
      <c r="BN264" s="151">
        <v>41842</v>
      </c>
      <c r="BQ264" s="205">
        <v>8.6</v>
      </c>
      <c r="BR264" s="151">
        <v>41842</v>
      </c>
      <c r="BS264" s="206">
        <v>47.4</v>
      </c>
      <c r="BT264" s="151">
        <v>41842</v>
      </c>
      <c r="BU264" s="207">
        <v>14.4</v>
      </c>
      <c r="BV264" s="151">
        <v>41842</v>
      </c>
      <c r="BW264" s="206">
        <v>38.1</v>
      </c>
      <c r="BX264" s="151">
        <v>41842</v>
      </c>
      <c r="BY264" s="210">
        <v>6.94</v>
      </c>
      <c r="BZ264" s="151">
        <v>41842</v>
      </c>
      <c r="CA264" s="206">
        <v>33.1</v>
      </c>
      <c r="CB264" s="151">
        <v>41842</v>
      </c>
      <c r="CC264" s="208">
        <v>5.8</v>
      </c>
      <c r="CD264" s="151">
        <v>41838</v>
      </c>
      <c r="CL264" s="209">
        <v>3</v>
      </c>
      <c r="CM264" s="201">
        <v>41810</v>
      </c>
    </row>
    <row r="265" spans="1:91" ht="15">
      <c r="A265" s="152" t="s">
        <v>7927</v>
      </c>
      <c r="B265" s="110" t="s">
        <v>233</v>
      </c>
      <c r="C265" s="110" t="s">
        <v>8083</v>
      </c>
      <c r="D265" s="110">
        <v>11761</v>
      </c>
      <c r="E265" s="111">
        <v>11</v>
      </c>
      <c r="F265" s="111">
        <v>645</v>
      </c>
      <c r="K265" s="134">
        <v>5</v>
      </c>
      <c r="L265" s="151">
        <v>41701</v>
      </c>
      <c r="M265" s="169">
        <v>3.8</v>
      </c>
      <c r="N265" s="151">
        <v>41838</v>
      </c>
      <c r="Q265" s="497"/>
      <c r="S265" s="134">
        <v>14.09</v>
      </c>
      <c r="T265" s="151">
        <v>41842</v>
      </c>
      <c r="U265" s="134">
        <v>13.5</v>
      </c>
      <c r="V265" s="151">
        <v>41838</v>
      </c>
      <c r="W265" s="196">
        <v>9</v>
      </c>
      <c r="X265" s="151">
        <v>41829</v>
      </c>
      <c r="Y265" s="134">
        <f t="shared" si="4"/>
        <v>3.9880699999999996</v>
      </c>
      <c r="AC265" s="134">
        <v>28.15</v>
      </c>
      <c r="AD265" s="151">
        <v>41838</v>
      </c>
      <c r="AE265" s="134">
        <v>29.11</v>
      </c>
      <c r="AF265" s="151">
        <v>41838</v>
      </c>
      <c r="AG265" s="197">
        <v>4.8</v>
      </c>
      <c r="AH265" s="151">
        <v>41843</v>
      </c>
      <c r="AI265" s="198">
        <v>7</v>
      </c>
      <c r="AJ265" s="151">
        <v>41778</v>
      </c>
      <c r="AK265" s="199">
        <v>4</v>
      </c>
      <c r="AL265" s="151">
        <v>41709</v>
      </c>
      <c r="BE265" s="200">
        <v>4</v>
      </c>
      <c r="BF265" s="201">
        <v>41555</v>
      </c>
      <c r="BG265" s="203">
        <v>17.3</v>
      </c>
      <c r="BH265" s="151">
        <v>41842</v>
      </c>
      <c r="BM265" s="204">
        <v>67.099999999999994</v>
      </c>
      <c r="BN265" s="151">
        <v>41842</v>
      </c>
      <c r="BQ265" s="205">
        <v>7.6</v>
      </c>
      <c r="BR265" s="151">
        <v>41842</v>
      </c>
      <c r="BS265" s="206">
        <v>48.4</v>
      </c>
      <c r="BT265" s="151">
        <v>41842</v>
      </c>
      <c r="BU265" s="207">
        <v>13.7</v>
      </c>
      <c r="BV265" s="151">
        <v>41842</v>
      </c>
      <c r="BW265" s="206">
        <v>39.1</v>
      </c>
      <c r="BX265" s="151">
        <v>41842</v>
      </c>
      <c r="BY265" s="210">
        <v>7.22</v>
      </c>
      <c r="BZ265" s="151">
        <v>41842</v>
      </c>
      <c r="CA265" s="206">
        <v>32.200000000000003</v>
      </c>
      <c r="CB265" s="151">
        <v>41842</v>
      </c>
      <c r="CC265" s="208">
        <v>5.9</v>
      </c>
      <c r="CD265" s="151">
        <v>41838</v>
      </c>
      <c r="CL265" s="209">
        <v>3</v>
      </c>
      <c r="CM265" s="201">
        <v>41810</v>
      </c>
    </row>
    <row r="266" spans="1:91" ht="15">
      <c r="A266" s="152" t="s">
        <v>7928</v>
      </c>
      <c r="B266" s="110" t="s">
        <v>233</v>
      </c>
      <c r="C266" s="110" t="s">
        <v>381</v>
      </c>
      <c r="D266" s="110">
        <v>11005</v>
      </c>
      <c r="E266" s="111">
        <v>2</v>
      </c>
      <c r="F266" s="111">
        <v>497</v>
      </c>
      <c r="I266" s="373"/>
      <c r="K266" s="194">
        <v>5</v>
      </c>
      <c r="L266" s="151">
        <v>41701</v>
      </c>
      <c r="M266" s="169">
        <v>4.45</v>
      </c>
      <c r="N266" s="151">
        <v>41838</v>
      </c>
      <c r="Q266" s="497"/>
      <c r="S266" s="134">
        <v>15.65</v>
      </c>
      <c r="T266" s="151">
        <v>41842</v>
      </c>
      <c r="U266" s="194">
        <v>13.5</v>
      </c>
      <c r="V266" s="151">
        <v>41838</v>
      </c>
      <c r="W266" s="196">
        <v>9</v>
      </c>
      <c r="X266" s="151">
        <v>41829</v>
      </c>
      <c r="Y266" s="134">
        <f t="shared" si="4"/>
        <v>4.7572000000000001</v>
      </c>
      <c r="AA266" s="194"/>
      <c r="AC266" s="194">
        <v>32.96</v>
      </c>
      <c r="AD266" s="151">
        <v>41838</v>
      </c>
      <c r="AE266" s="137">
        <v>33.979999999999997</v>
      </c>
      <c r="AF266" s="151">
        <v>41838</v>
      </c>
      <c r="AG266" s="197">
        <v>4.5999999999999996</v>
      </c>
      <c r="AH266" s="151">
        <v>41843</v>
      </c>
      <c r="AI266" s="198">
        <v>3</v>
      </c>
      <c r="AJ266" s="151">
        <v>41778</v>
      </c>
      <c r="AK266" s="199">
        <v>5</v>
      </c>
      <c r="AL266" s="151">
        <v>41709</v>
      </c>
      <c r="AM266" s="194"/>
      <c r="BE266" s="200">
        <v>5</v>
      </c>
      <c r="BF266" s="201">
        <v>41555</v>
      </c>
      <c r="BG266" s="203">
        <v>-3.1</v>
      </c>
      <c r="BH266" s="151">
        <v>41842</v>
      </c>
      <c r="BM266" s="204">
        <v>67.2</v>
      </c>
      <c r="BN266" s="151">
        <v>41842</v>
      </c>
      <c r="BQ266" s="205">
        <v>9.4</v>
      </c>
      <c r="BR266" s="151">
        <v>41842</v>
      </c>
      <c r="BS266" s="206">
        <v>46.1</v>
      </c>
      <c r="BT266" s="151">
        <v>41842</v>
      </c>
      <c r="BU266" s="207">
        <v>14</v>
      </c>
      <c r="BV266" s="151">
        <v>41842</v>
      </c>
      <c r="BW266" s="206">
        <v>11.3</v>
      </c>
      <c r="BX266" s="151">
        <v>41842</v>
      </c>
      <c r="BY266" s="210">
        <v>7.13</v>
      </c>
      <c r="BZ266" s="151">
        <v>41842</v>
      </c>
      <c r="CA266" s="206">
        <v>31.1</v>
      </c>
      <c r="CB266" s="151">
        <v>41842</v>
      </c>
      <c r="CC266" s="208">
        <v>6.2</v>
      </c>
      <c r="CD266" s="151">
        <v>41838</v>
      </c>
      <c r="CL266" s="209">
        <v>3</v>
      </c>
      <c r="CM266" s="201">
        <v>41810</v>
      </c>
    </row>
    <row r="267" spans="1:91" ht="15">
      <c r="A267" s="152" t="s">
        <v>7928</v>
      </c>
      <c r="B267" s="110" t="s">
        <v>235</v>
      </c>
      <c r="C267" s="110" t="s">
        <v>8082</v>
      </c>
      <c r="D267" s="110">
        <v>11507</v>
      </c>
      <c r="E267" s="111">
        <v>4</v>
      </c>
      <c r="F267" s="111">
        <v>637</v>
      </c>
      <c r="K267" s="134">
        <v>5</v>
      </c>
      <c r="L267" s="151">
        <v>41701</v>
      </c>
      <c r="M267" s="169">
        <v>6.05</v>
      </c>
      <c r="N267" s="151">
        <v>41838</v>
      </c>
      <c r="Q267" s="497"/>
      <c r="S267" s="134">
        <v>20.87</v>
      </c>
      <c r="T267" s="151">
        <v>41842</v>
      </c>
      <c r="U267" s="134">
        <v>13.5</v>
      </c>
      <c r="V267" s="151">
        <v>41838</v>
      </c>
      <c r="W267" s="196">
        <v>9</v>
      </c>
      <c r="X267" s="151">
        <v>41829</v>
      </c>
      <c r="Y267" s="134">
        <f t="shared" si="4"/>
        <v>6.6801600000000008</v>
      </c>
      <c r="AC267" s="134">
        <v>44.81</v>
      </c>
      <c r="AD267" s="151">
        <v>41838</v>
      </c>
      <c r="AE267" s="134">
        <v>46.39</v>
      </c>
      <c r="AF267" s="151">
        <v>41838</v>
      </c>
      <c r="AG267" s="197">
        <v>4.7</v>
      </c>
      <c r="AH267" s="151">
        <v>41843</v>
      </c>
      <c r="AI267" s="198">
        <v>5</v>
      </c>
      <c r="AJ267" s="151">
        <v>41778</v>
      </c>
      <c r="AK267" s="199">
        <v>4</v>
      </c>
      <c r="AL267" s="151">
        <v>41709</v>
      </c>
      <c r="BE267" s="200">
        <v>4</v>
      </c>
      <c r="BF267" s="201">
        <v>41555</v>
      </c>
      <c r="BG267" s="203">
        <v>-2.5</v>
      </c>
      <c r="BH267" s="151">
        <v>41842</v>
      </c>
      <c r="BM267" s="204">
        <v>66.099999999999994</v>
      </c>
      <c r="BN267" s="151">
        <v>41842</v>
      </c>
      <c r="BQ267" s="205">
        <v>8.9</v>
      </c>
      <c r="BR267" s="151">
        <v>41842</v>
      </c>
      <c r="BS267" s="206">
        <v>45</v>
      </c>
      <c r="BT267" s="151">
        <v>41842</v>
      </c>
      <c r="BU267" s="207">
        <v>14.4</v>
      </c>
      <c r="BV267" s="151">
        <v>41842</v>
      </c>
      <c r="BW267" s="206">
        <v>8.5</v>
      </c>
      <c r="BX267" s="151">
        <v>41842</v>
      </c>
      <c r="BY267" s="210">
        <v>7.33</v>
      </c>
      <c r="BZ267" s="151">
        <v>41842</v>
      </c>
      <c r="CA267" s="206">
        <v>31.4</v>
      </c>
      <c r="CB267" s="151">
        <v>41842</v>
      </c>
      <c r="CC267" s="208">
        <v>5.8</v>
      </c>
      <c r="CD267" s="151">
        <v>41838</v>
      </c>
      <c r="CL267" s="209">
        <v>3</v>
      </c>
      <c r="CM267" s="201">
        <v>41810</v>
      </c>
    </row>
    <row r="268" spans="1:91" ht="15">
      <c r="A268" s="152" t="s">
        <v>7928</v>
      </c>
      <c r="B268" s="110" t="s">
        <v>235</v>
      </c>
      <c r="C268" s="110" t="s">
        <v>8081</v>
      </c>
      <c r="D268" s="110">
        <v>11269</v>
      </c>
      <c r="E268" s="111">
        <v>9</v>
      </c>
      <c r="F268" s="111">
        <v>545</v>
      </c>
      <c r="K268" s="134">
        <v>5</v>
      </c>
      <c r="L268" s="151">
        <v>41701</v>
      </c>
      <c r="M268" s="169">
        <v>5.85</v>
      </c>
      <c r="N268" s="151">
        <v>41838</v>
      </c>
      <c r="Q268" s="497"/>
      <c r="S268" s="134">
        <v>20.73</v>
      </c>
      <c r="T268" s="151">
        <v>41842</v>
      </c>
      <c r="U268" s="134">
        <v>13.5</v>
      </c>
      <c r="V268" s="151">
        <v>41838</v>
      </c>
      <c r="W268" s="196">
        <v>9</v>
      </c>
      <c r="X268" s="151">
        <v>41829</v>
      </c>
      <c r="Y268" s="134">
        <f t="shared" si="4"/>
        <v>6.1063999999999998</v>
      </c>
      <c r="AC268" s="134">
        <v>43.33</v>
      </c>
      <c r="AD268" s="151">
        <v>41838</v>
      </c>
      <c r="AE268" s="134">
        <v>44.9</v>
      </c>
      <c r="AF268" s="151">
        <v>41838</v>
      </c>
      <c r="AG268" s="197">
        <v>4.3</v>
      </c>
      <c r="AH268" s="151">
        <v>41843</v>
      </c>
      <c r="AI268" s="198">
        <v>5</v>
      </c>
      <c r="AJ268" s="151">
        <v>41778</v>
      </c>
      <c r="AK268" s="199">
        <v>5</v>
      </c>
      <c r="AL268" s="151">
        <v>41709</v>
      </c>
      <c r="BE268" s="200">
        <v>5</v>
      </c>
      <c r="BF268" s="201">
        <v>41555</v>
      </c>
      <c r="BG268" s="203">
        <v>-3.3</v>
      </c>
      <c r="BH268" s="151">
        <v>41842</v>
      </c>
      <c r="BM268" s="204">
        <v>67.8</v>
      </c>
      <c r="BN268" s="151">
        <v>41842</v>
      </c>
      <c r="BQ268" s="205">
        <v>8.1999999999999993</v>
      </c>
      <c r="BR268" s="151">
        <v>41842</v>
      </c>
      <c r="BS268" s="206">
        <v>46.2</v>
      </c>
      <c r="BT268" s="151">
        <v>41842</v>
      </c>
      <c r="BU268" s="207">
        <v>13.6</v>
      </c>
      <c r="BV268" s="151">
        <v>41842</v>
      </c>
      <c r="BW268" s="206">
        <v>10</v>
      </c>
      <c r="BX268" s="151">
        <v>41842</v>
      </c>
      <c r="BY268" s="210">
        <v>6.81</v>
      </c>
      <c r="BZ268" s="151">
        <v>41842</v>
      </c>
      <c r="CA268" s="206">
        <v>30.3</v>
      </c>
      <c r="CB268" s="151">
        <v>41842</v>
      </c>
      <c r="CC268" s="208">
        <v>5.7</v>
      </c>
      <c r="CD268" s="151">
        <v>41838</v>
      </c>
      <c r="CL268" s="209">
        <v>3</v>
      </c>
      <c r="CM268" s="201">
        <v>41810</v>
      </c>
    </row>
    <row r="269" spans="1:91" ht="15">
      <c r="A269" s="152" t="s">
        <v>7928</v>
      </c>
      <c r="B269" s="110" t="s">
        <v>233</v>
      </c>
      <c r="C269" s="110" t="s">
        <v>8083</v>
      </c>
      <c r="D269" s="110">
        <v>11747</v>
      </c>
      <c r="E269" s="111">
        <v>10</v>
      </c>
      <c r="F269" s="111">
        <v>733</v>
      </c>
      <c r="K269" s="191">
        <v>3</v>
      </c>
      <c r="L269" s="151">
        <v>41701</v>
      </c>
      <c r="M269" s="169">
        <v>3.55</v>
      </c>
      <c r="N269" s="151">
        <v>41838</v>
      </c>
      <c r="Q269" s="497"/>
      <c r="S269" s="134">
        <v>12.09</v>
      </c>
      <c r="T269" s="151">
        <v>41842</v>
      </c>
      <c r="U269" s="134">
        <v>13.5</v>
      </c>
      <c r="V269" s="151">
        <v>41838</v>
      </c>
      <c r="W269" s="196">
        <v>9</v>
      </c>
      <c r="X269" s="151">
        <v>41829</v>
      </c>
      <c r="Y269" s="134">
        <f t="shared" si="4"/>
        <v>4.0125700000000002</v>
      </c>
      <c r="AC269" s="134">
        <v>26.3</v>
      </c>
      <c r="AD269" s="151">
        <v>41838</v>
      </c>
      <c r="AE269" s="134">
        <v>26.93</v>
      </c>
      <c r="AF269" s="151">
        <v>41838</v>
      </c>
      <c r="AG269" s="197">
        <v>5.3</v>
      </c>
      <c r="AH269" s="151">
        <v>41843</v>
      </c>
      <c r="AI269" s="198">
        <v>5</v>
      </c>
      <c r="AJ269" s="151">
        <v>41778</v>
      </c>
      <c r="AK269" s="199">
        <v>5</v>
      </c>
      <c r="AL269" s="151">
        <v>41709</v>
      </c>
      <c r="BE269" s="200">
        <v>5</v>
      </c>
      <c r="BF269" s="201">
        <v>41555</v>
      </c>
      <c r="BG269" s="203">
        <v>-1.6</v>
      </c>
      <c r="BH269" s="151">
        <v>41842</v>
      </c>
      <c r="BM269" s="204">
        <v>65.8</v>
      </c>
      <c r="BN269" s="151">
        <v>41842</v>
      </c>
      <c r="BQ269" s="205">
        <v>9.1999999999999993</v>
      </c>
      <c r="BR269" s="151">
        <v>41842</v>
      </c>
      <c r="BS269" s="206">
        <v>44.9</v>
      </c>
      <c r="BT269" s="151">
        <v>41842</v>
      </c>
      <c r="BU269" s="207">
        <v>14.9</v>
      </c>
      <c r="BV269" s="151">
        <v>41842</v>
      </c>
      <c r="BW269" s="206">
        <v>15.2</v>
      </c>
      <c r="BX269" s="151">
        <v>41842</v>
      </c>
      <c r="BY269" s="210">
        <v>7.41</v>
      </c>
      <c r="BZ269" s="151">
        <v>41842</v>
      </c>
      <c r="CA269" s="206">
        <v>32.200000000000003</v>
      </c>
      <c r="CB269" s="151">
        <v>41842</v>
      </c>
      <c r="CC269" s="208">
        <v>6.8</v>
      </c>
      <c r="CD269" s="151">
        <v>41838</v>
      </c>
      <c r="CL269" s="209">
        <v>3</v>
      </c>
      <c r="CM269" s="201">
        <v>41810</v>
      </c>
    </row>
    <row r="270" spans="1:91" ht="15">
      <c r="A270" s="152" t="s">
        <v>7929</v>
      </c>
      <c r="B270" s="110" t="s">
        <v>235</v>
      </c>
      <c r="C270" s="110" t="s">
        <v>8082</v>
      </c>
      <c r="D270" s="110">
        <v>11419</v>
      </c>
      <c r="E270" s="111">
        <v>1</v>
      </c>
      <c r="F270" s="111">
        <v>717</v>
      </c>
      <c r="I270" s="373"/>
      <c r="K270" s="191">
        <v>3</v>
      </c>
      <c r="L270" s="151">
        <v>41701</v>
      </c>
      <c r="M270" s="169">
        <v>5.4</v>
      </c>
      <c r="N270" s="151">
        <v>41838</v>
      </c>
      <c r="Q270" s="497"/>
      <c r="S270" s="134">
        <v>19.09</v>
      </c>
      <c r="T270" s="151">
        <v>41842</v>
      </c>
      <c r="U270" s="194">
        <v>13.5</v>
      </c>
      <c r="V270" s="151">
        <v>41838</v>
      </c>
      <c r="W270" s="196">
        <v>1</v>
      </c>
      <c r="X270" s="151">
        <v>41829</v>
      </c>
      <c r="Y270" s="134">
        <f t="shared" si="4"/>
        <v>5.648509999999999</v>
      </c>
      <c r="AA270" s="194"/>
      <c r="AC270" s="194">
        <v>40</v>
      </c>
      <c r="AD270" s="151">
        <v>41838</v>
      </c>
      <c r="AE270" s="137">
        <v>41.23</v>
      </c>
      <c r="AF270" s="151">
        <v>41838</v>
      </c>
      <c r="AG270" s="197">
        <v>4.4000000000000004</v>
      </c>
      <c r="AH270" s="151">
        <v>41843</v>
      </c>
      <c r="AI270" s="198">
        <v>5</v>
      </c>
      <c r="AJ270" s="151">
        <v>41778</v>
      </c>
      <c r="AK270" s="199">
        <v>5</v>
      </c>
      <c r="AL270" s="151">
        <v>41709</v>
      </c>
      <c r="AM270" s="194"/>
      <c r="BE270" s="200">
        <v>5</v>
      </c>
      <c r="BF270" s="201">
        <v>41555</v>
      </c>
      <c r="BG270" s="203">
        <v>-1.4</v>
      </c>
      <c r="BH270" s="151">
        <v>41842</v>
      </c>
      <c r="BM270" s="204">
        <v>63.2</v>
      </c>
      <c r="BN270" s="151">
        <v>41842</v>
      </c>
      <c r="BQ270" s="205">
        <v>11.1</v>
      </c>
      <c r="BR270" s="151">
        <v>41842</v>
      </c>
      <c r="BS270" s="206">
        <v>46.3</v>
      </c>
      <c r="BT270" s="151">
        <v>41842</v>
      </c>
      <c r="BU270" s="207">
        <v>13.7</v>
      </c>
      <c r="BV270" s="151">
        <v>41842</v>
      </c>
      <c r="BW270" s="206">
        <v>11.9</v>
      </c>
      <c r="BX270" s="151">
        <v>41842</v>
      </c>
      <c r="BY270" s="210">
        <v>7.33</v>
      </c>
      <c r="BZ270" s="151">
        <v>41842</v>
      </c>
      <c r="CA270" s="206">
        <v>30.6</v>
      </c>
      <c r="CB270" s="151">
        <v>41842</v>
      </c>
      <c r="CC270" s="208">
        <v>6.2</v>
      </c>
      <c r="CD270" s="151">
        <v>41838</v>
      </c>
      <c r="CL270" s="209">
        <v>3</v>
      </c>
      <c r="CM270" s="201">
        <v>41810</v>
      </c>
    </row>
    <row r="271" spans="1:91" ht="15">
      <c r="A271" s="152" t="s">
        <v>7929</v>
      </c>
      <c r="B271" s="110" t="s">
        <v>233</v>
      </c>
      <c r="C271" s="110" t="s">
        <v>381</v>
      </c>
      <c r="D271" s="110">
        <v>11163</v>
      </c>
      <c r="E271" s="111">
        <v>6</v>
      </c>
      <c r="F271" s="111">
        <v>553</v>
      </c>
      <c r="K271" s="134">
        <v>5</v>
      </c>
      <c r="L271" s="151">
        <v>41701</v>
      </c>
      <c r="M271" s="169">
        <v>3.75</v>
      </c>
      <c r="N271" s="151">
        <v>41838</v>
      </c>
      <c r="Q271" s="497"/>
      <c r="S271" s="134">
        <v>13.52</v>
      </c>
      <c r="T271" s="151">
        <v>41842</v>
      </c>
      <c r="U271" s="134">
        <v>13.5</v>
      </c>
      <c r="V271" s="151">
        <v>41838</v>
      </c>
      <c r="W271" s="196">
        <v>9</v>
      </c>
      <c r="X271" s="151">
        <v>41829</v>
      </c>
      <c r="Y271" s="134">
        <f t="shared" si="4"/>
        <v>3.8525</v>
      </c>
      <c r="AC271" s="134">
        <v>27.78</v>
      </c>
      <c r="AD271" s="151">
        <v>41838</v>
      </c>
      <c r="AE271" s="134">
        <v>28.75</v>
      </c>
      <c r="AF271" s="151">
        <v>41838</v>
      </c>
      <c r="AG271" s="197">
        <v>4.5999999999999996</v>
      </c>
      <c r="AH271" s="151">
        <v>41843</v>
      </c>
      <c r="AI271" s="198">
        <v>5</v>
      </c>
      <c r="AJ271" s="151">
        <v>41778</v>
      </c>
      <c r="AK271" s="199">
        <v>4</v>
      </c>
      <c r="AL271" s="151">
        <v>41709</v>
      </c>
      <c r="BE271" s="200">
        <v>4</v>
      </c>
      <c r="BF271" s="201">
        <v>41555</v>
      </c>
      <c r="BG271" s="203">
        <v>-1.8</v>
      </c>
      <c r="BH271" s="151">
        <v>41842</v>
      </c>
      <c r="BM271" s="204">
        <v>63.9</v>
      </c>
      <c r="BN271" s="151">
        <v>41842</v>
      </c>
      <c r="BQ271" s="205">
        <v>11.2</v>
      </c>
      <c r="BR271" s="151">
        <v>41842</v>
      </c>
      <c r="BS271" s="206">
        <v>47</v>
      </c>
      <c r="BT271" s="151">
        <v>41842</v>
      </c>
      <c r="BU271" s="207">
        <v>13.4</v>
      </c>
      <c r="BV271" s="151">
        <v>41842</v>
      </c>
      <c r="BW271" s="206">
        <v>11.8</v>
      </c>
      <c r="BX271" s="151">
        <v>41842</v>
      </c>
      <c r="BY271" s="210">
        <v>7.28</v>
      </c>
      <c r="BZ271" s="151">
        <v>41842</v>
      </c>
      <c r="CA271" s="206">
        <v>30.5</v>
      </c>
      <c r="CB271" s="151">
        <v>41842</v>
      </c>
      <c r="CC271" s="208">
        <v>5.8</v>
      </c>
      <c r="CD271" s="151">
        <v>41838</v>
      </c>
      <c r="CL271" s="209">
        <v>3</v>
      </c>
      <c r="CM271" s="201">
        <v>41810</v>
      </c>
    </row>
    <row r="272" spans="1:91" ht="15">
      <c r="A272" s="152" t="s">
        <v>7929</v>
      </c>
      <c r="B272" s="110" t="s">
        <v>235</v>
      </c>
      <c r="C272" s="110" t="s">
        <v>8081</v>
      </c>
      <c r="D272" s="110">
        <v>11180</v>
      </c>
      <c r="E272" s="111">
        <v>7</v>
      </c>
      <c r="F272" s="111">
        <v>477</v>
      </c>
      <c r="K272" s="134">
        <v>5</v>
      </c>
      <c r="L272" s="151">
        <v>41701</v>
      </c>
      <c r="M272" s="169">
        <v>5.8</v>
      </c>
      <c r="N272" s="151">
        <v>41838</v>
      </c>
      <c r="Q272" s="497"/>
      <c r="S272" s="134">
        <v>20.91</v>
      </c>
      <c r="T272" s="151">
        <v>41842</v>
      </c>
      <c r="U272" s="134">
        <v>13.5</v>
      </c>
      <c r="V272" s="151">
        <v>41838</v>
      </c>
      <c r="W272" s="196">
        <v>9</v>
      </c>
      <c r="X272" s="151">
        <v>41829</v>
      </c>
      <c r="Y272" s="134">
        <f t="shared" si="4"/>
        <v>6.0913200000000005</v>
      </c>
      <c r="AC272" s="134">
        <v>42.96</v>
      </c>
      <c r="AD272" s="151">
        <v>41838</v>
      </c>
      <c r="AE272" s="134">
        <v>44.14</v>
      </c>
      <c r="AF272" s="151">
        <v>41838</v>
      </c>
      <c r="AG272" s="197">
        <v>4.3</v>
      </c>
      <c r="AH272" s="151">
        <v>41843</v>
      </c>
      <c r="AI272" s="198">
        <v>7</v>
      </c>
      <c r="AJ272" s="151">
        <v>41778</v>
      </c>
      <c r="AK272" s="199">
        <v>4</v>
      </c>
      <c r="AL272" s="151">
        <v>41709</v>
      </c>
      <c r="BE272" s="200">
        <v>4</v>
      </c>
      <c r="BF272" s="201">
        <v>41555</v>
      </c>
      <c r="BG272" s="203">
        <v>-0.8</v>
      </c>
      <c r="BH272" s="151">
        <v>41842</v>
      </c>
      <c r="BM272" s="204">
        <v>62.8</v>
      </c>
      <c r="BN272" s="151">
        <v>41842</v>
      </c>
      <c r="BQ272" s="205">
        <v>11.2</v>
      </c>
      <c r="BR272" s="151">
        <v>41842</v>
      </c>
      <c r="BS272" s="206">
        <v>47.4</v>
      </c>
      <c r="BT272" s="151">
        <v>41842</v>
      </c>
      <c r="BU272" s="207">
        <v>13.8</v>
      </c>
      <c r="BV272" s="151">
        <v>41842</v>
      </c>
      <c r="BW272" s="206">
        <v>11.2</v>
      </c>
      <c r="BX272" s="151">
        <v>41842</v>
      </c>
      <c r="BY272" s="210">
        <v>7.15</v>
      </c>
      <c r="BZ272" s="151">
        <v>41842</v>
      </c>
      <c r="CA272" s="206">
        <v>31.6</v>
      </c>
      <c r="CB272" s="151">
        <v>41842</v>
      </c>
      <c r="CC272" s="208">
        <v>6.5</v>
      </c>
      <c r="CD272" s="151">
        <v>41838</v>
      </c>
      <c r="CL272" s="209">
        <v>3</v>
      </c>
      <c r="CM272" s="201">
        <v>41810</v>
      </c>
    </row>
    <row r="273" spans="1:91" ht="15">
      <c r="A273" s="152" t="s">
        <v>7929</v>
      </c>
      <c r="B273" s="110" t="s">
        <v>233</v>
      </c>
      <c r="C273" s="110" t="s">
        <v>8083</v>
      </c>
      <c r="D273" s="110">
        <v>11800</v>
      </c>
      <c r="E273" s="111">
        <v>12</v>
      </c>
      <c r="F273" s="111">
        <v>657</v>
      </c>
      <c r="K273" s="191">
        <v>3</v>
      </c>
      <c r="L273" s="151">
        <v>41701</v>
      </c>
      <c r="M273" s="169">
        <v>3.6</v>
      </c>
      <c r="N273" s="151">
        <v>41838</v>
      </c>
      <c r="Q273" s="497"/>
      <c r="S273" s="134">
        <v>12.99</v>
      </c>
      <c r="T273" s="151">
        <v>41842</v>
      </c>
      <c r="U273" s="134">
        <v>13.5</v>
      </c>
      <c r="V273" s="151">
        <v>41838</v>
      </c>
      <c r="W273" s="196">
        <v>9</v>
      </c>
      <c r="X273" s="151">
        <v>41829</v>
      </c>
      <c r="Y273" s="134">
        <f t="shared" si="4"/>
        <v>3.4224000000000001</v>
      </c>
      <c r="AC273" s="134">
        <v>26.67</v>
      </c>
      <c r="AD273" s="151">
        <v>41838</v>
      </c>
      <c r="AE273" s="134">
        <v>27.6</v>
      </c>
      <c r="AF273" s="151">
        <v>41838</v>
      </c>
      <c r="AG273" s="197">
        <v>5</v>
      </c>
      <c r="AH273" s="151">
        <v>41843</v>
      </c>
      <c r="AI273" s="198">
        <v>5</v>
      </c>
      <c r="AJ273" s="151">
        <v>41778</v>
      </c>
      <c r="AK273" s="199">
        <v>4</v>
      </c>
      <c r="AL273" s="151">
        <v>41709</v>
      </c>
      <c r="BE273" s="200">
        <v>4</v>
      </c>
      <c r="BF273" s="201">
        <v>41555</v>
      </c>
      <c r="BG273" s="203">
        <v>-7.7</v>
      </c>
      <c r="BH273" s="151">
        <v>41842</v>
      </c>
      <c r="BM273" s="204">
        <v>67.400000000000006</v>
      </c>
      <c r="BN273" s="151">
        <v>41842</v>
      </c>
      <c r="BQ273" s="205">
        <v>10.6</v>
      </c>
      <c r="BR273" s="151">
        <v>41842</v>
      </c>
      <c r="BS273" s="206">
        <v>47.1</v>
      </c>
      <c r="BT273" s="151">
        <v>41842</v>
      </c>
      <c r="BU273" s="207">
        <v>12.4</v>
      </c>
      <c r="BV273" s="151">
        <v>41842</v>
      </c>
      <c r="BW273" s="206">
        <v>11.9</v>
      </c>
      <c r="BX273" s="151">
        <v>41842</v>
      </c>
      <c r="BY273" s="210">
        <v>7.22</v>
      </c>
      <c r="BZ273" s="151">
        <v>41842</v>
      </c>
      <c r="CA273" s="206">
        <v>28.1</v>
      </c>
      <c r="CB273" s="151">
        <v>41842</v>
      </c>
      <c r="CC273" s="208">
        <v>5.8</v>
      </c>
      <c r="CD273" s="151">
        <v>41838</v>
      </c>
      <c r="CL273" s="209">
        <v>3</v>
      </c>
      <c r="CM273" s="201">
        <v>41810</v>
      </c>
    </row>
    <row r="274" spans="1:91" ht="15">
      <c r="A274" s="152" t="s">
        <v>7930</v>
      </c>
      <c r="B274" s="110" t="s">
        <v>233</v>
      </c>
      <c r="C274" s="110" t="s">
        <v>381</v>
      </c>
      <c r="D274" s="110">
        <v>11076</v>
      </c>
      <c r="E274" s="111">
        <v>4</v>
      </c>
      <c r="F274" s="111">
        <v>493</v>
      </c>
      <c r="K274" s="134">
        <v>5</v>
      </c>
      <c r="L274" s="151">
        <v>41701</v>
      </c>
      <c r="M274" s="169">
        <v>5.6</v>
      </c>
      <c r="N274" s="151">
        <v>41838</v>
      </c>
      <c r="Q274" s="497"/>
      <c r="S274" s="134">
        <v>19.399999999999999</v>
      </c>
      <c r="T274" s="151">
        <v>41842</v>
      </c>
      <c r="U274" s="134">
        <v>13.5</v>
      </c>
      <c r="V274" s="151">
        <v>41838</v>
      </c>
      <c r="W274" s="196">
        <v>9</v>
      </c>
      <c r="X274" s="151">
        <v>41829</v>
      </c>
      <c r="Y274" s="134">
        <f t="shared" si="4"/>
        <v>6.2724900000000003</v>
      </c>
      <c r="AC274" s="134">
        <v>41.48</v>
      </c>
      <c r="AD274" s="151">
        <v>41838</v>
      </c>
      <c r="AE274" s="134">
        <v>42.67</v>
      </c>
      <c r="AF274" s="151">
        <v>41838</v>
      </c>
      <c r="AG274" s="197">
        <v>5</v>
      </c>
      <c r="AH274" s="151">
        <v>41843</v>
      </c>
      <c r="AI274" s="198">
        <v>5</v>
      </c>
      <c r="AJ274" s="151">
        <v>41778</v>
      </c>
      <c r="AK274" s="199">
        <v>7</v>
      </c>
      <c r="AL274" s="151">
        <v>41709</v>
      </c>
      <c r="BE274" s="200">
        <v>7</v>
      </c>
      <c r="BF274" s="201">
        <v>41555</v>
      </c>
      <c r="BG274" s="203">
        <v>0.4</v>
      </c>
      <c r="BH274" s="151">
        <v>41842</v>
      </c>
      <c r="BM274" s="204">
        <v>65.5</v>
      </c>
      <c r="BN274" s="151">
        <v>41842</v>
      </c>
      <c r="BQ274" s="205">
        <v>10.9</v>
      </c>
      <c r="BR274" s="151">
        <v>41842</v>
      </c>
      <c r="BS274" s="206">
        <v>45.5</v>
      </c>
      <c r="BT274" s="151">
        <v>41842</v>
      </c>
      <c r="BU274" s="207">
        <v>14.7</v>
      </c>
      <c r="BV274" s="151">
        <v>41842</v>
      </c>
      <c r="BW274" s="206">
        <v>17.7</v>
      </c>
      <c r="BX274" s="151">
        <v>41842</v>
      </c>
      <c r="BY274" s="210">
        <v>7.38</v>
      </c>
      <c r="BZ274" s="151">
        <v>41842</v>
      </c>
      <c r="CA274" s="206">
        <v>32.299999999999997</v>
      </c>
      <c r="CB274" s="151">
        <v>41842</v>
      </c>
      <c r="CC274" s="208">
        <v>6.4</v>
      </c>
      <c r="CD274" s="151">
        <v>41838</v>
      </c>
      <c r="CL274" s="209">
        <v>3</v>
      </c>
      <c r="CM274" s="201">
        <v>41810</v>
      </c>
    </row>
    <row r="275" spans="1:91" ht="15">
      <c r="A275" s="152" t="s">
        <v>7930</v>
      </c>
      <c r="B275" s="110" t="s">
        <v>235</v>
      </c>
      <c r="C275" s="110" t="s">
        <v>8082</v>
      </c>
      <c r="D275" s="110">
        <v>11567</v>
      </c>
      <c r="E275" s="111">
        <v>5</v>
      </c>
      <c r="F275" s="111">
        <v>733</v>
      </c>
      <c r="K275" s="134">
        <v>5</v>
      </c>
      <c r="L275" s="151">
        <v>41701</v>
      </c>
      <c r="M275" s="169">
        <v>4.95</v>
      </c>
      <c r="N275" s="151">
        <v>41838</v>
      </c>
      <c r="Q275" s="497"/>
      <c r="S275" s="134">
        <v>17.59</v>
      </c>
      <c r="T275" s="151">
        <v>41842</v>
      </c>
      <c r="U275" s="134">
        <v>13.5</v>
      </c>
      <c r="V275" s="151">
        <v>41838</v>
      </c>
      <c r="W275" s="196">
        <v>9</v>
      </c>
      <c r="X275" s="151">
        <v>41829</v>
      </c>
      <c r="Y275" s="134">
        <f t="shared" si="4"/>
        <v>5.1874200000000004</v>
      </c>
      <c r="AC275" s="134">
        <v>36.67</v>
      </c>
      <c r="AD275" s="151">
        <v>41838</v>
      </c>
      <c r="AE275" s="134">
        <v>37.590000000000003</v>
      </c>
      <c r="AF275" s="151">
        <v>41838</v>
      </c>
      <c r="AG275" s="197">
        <v>4.9000000000000004</v>
      </c>
      <c r="AH275" s="151">
        <v>41843</v>
      </c>
      <c r="AI275" s="198">
        <v>7</v>
      </c>
      <c r="AJ275" s="151">
        <v>41778</v>
      </c>
      <c r="AK275" s="199">
        <v>5</v>
      </c>
      <c r="AL275" s="151">
        <v>41709</v>
      </c>
      <c r="BE275" s="200">
        <v>5</v>
      </c>
      <c r="BF275" s="201">
        <v>41555</v>
      </c>
      <c r="BG275" s="203">
        <v>-1</v>
      </c>
      <c r="BH275" s="151">
        <v>41842</v>
      </c>
      <c r="BM275" s="204">
        <v>65.099999999999994</v>
      </c>
      <c r="BN275" s="151">
        <v>41842</v>
      </c>
      <c r="BQ275" s="205">
        <v>10.5</v>
      </c>
      <c r="BR275" s="151">
        <v>41842</v>
      </c>
      <c r="BS275" s="206">
        <v>46.8</v>
      </c>
      <c r="BT275" s="151">
        <v>41842</v>
      </c>
      <c r="BU275" s="207">
        <v>13.8</v>
      </c>
      <c r="BV275" s="151">
        <v>41842</v>
      </c>
      <c r="BW275" s="206">
        <v>12</v>
      </c>
      <c r="BX275" s="151">
        <v>41842</v>
      </c>
      <c r="BY275" s="210">
        <v>7.13</v>
      </c>
      <c r="BZ275" s="151">
        <v>41842</v>
      </c>
      <c r="CA275" s="206">
        <v>31.1</v>
      </c>
      <c r="CB275" s="151">
        <v>41842</v>
      </c>
      <c r="CC275" s="208">
        <v>6.7</v>
      </c>
      <c r="CD275" s="151">
        <v>41838</v>
      </c>
      <c r="CL275" s="209">
        <v>3</v>
      </c>
      <c r="CM275" s="201">
        <v>41810</v>
      </c>
    </row>
    <row r="276" spans="1:91" ht="15">
      <c r="A276" s="152" t="s">
        <v>7930</v>
      </c>
      <c r="B276" s="110" t="s">
        <v>235</v>
      </c>
      <c r="C276" s="110" t="s">
        <v>8081</v>
      </c>
      <c r="D276" s="110">
        <v>11305</v>
      </c>
      <c r="E276" s="111">
        <v>10</v>
      </c>
      <c r="F276" s="111">
        <v>545</v>
      </c>
      <c r="K276" s="134">
        <v>5</v>
      </c>
      <c r="L276" s="151">
        <v>41701</v>
      </c>
      <c r="M276" s="169">
        <v>5.4</v>
      </c>
      <c r="N276" s="151">
        <v>41838</v>
      </c>
      <c r="Q276" s="497"/>
      <c r="S276" s="134">
        <v>19.510000000000002</v>
      </c>
      <c r="T276" s="151">
        <v>41842</v>
      </c>
      <c r="U276" s="134">
        <v>13.5</v>
      </c>
      <c r="V276" s="151">
        <v>41838</v>
      </c>
      <c r="W276" s="196">
        <v>9</v>
      </c>
      <c r="X276" s="151">
        <v>41829</v>
      </c>
      <c r="Y276" s="134">
        <f t="shared" si="4"/>
        <v>5.3936999999999999</v>
      </c>
      <c r="AC276" s="134">
        <v>40</v>
      </c>
      <c r="AD276" s="151">
        <v>41838</v>
      </c>
      <c r="AE276" s="134">
        <v>41.49</v>
      </c>
      <c r="AF276" s="151">
        <v>41838</v>
      </c>
      <c r="AG276" s="197">
        <v>4.7</v>
      </c>
      <c r="AH276" s="151">
        <v>41843</v>
      </c>
      <c r="AI276" s="198">
        <v>7</v>
      </c>
      <c r="AJ276" s="151">
        <v>41778</v>
      </c>
      <c r="AK276" s="199">
        <v>5</v>
      </c>
      <c r="AL276" s="151">
        <v>41709</v>
      </c>
      <c r="BE276" s="200">
        <v>5</v>
      </c>
      <c r="BF276" s="201">
        <v>41555</v>
      </c>
      <c r="BG276" s="203">
        <v>-2.2000000000000002</v>
      </c>
      <c r="BH276" s="151">
        <v>41842</v>
      </c>
      <c r="BM276" s="204">
        <v>65.2</v>
      </c>
      <c r="BN276" s="151">
        <v>41842</v>
      </c>
      <c r="BQ276" s="205">
        <v>10.6</v>
      </c>
      <c r="BR276" s="151">
        <v>41842</v>
      </c>
      <c r="BS276" s="206">
        <v>47</v>
      </c>
      <c r="BT276" s="151">
        <v>41842</v>
      </c>
      <c r="BU276" s="207">
        <v>13</v>
      </c>
      <c r="BV276" s="151">
        <v>41842</v>
      </c>
      <c r="BW276" s="206">
        <v>11.9</v>
      </c>
      <c r="BX276" s="151">
        <v>41842</v>
      </c>
      <c r="BY276" s="210">
        <v>7.01</v>
      </c>
      <c r="BZ276" s="151">
        <v>41842</v>
      </c>
      <c r="CA276" s="206">
        <v>29.5</v>
      </c>
      <c r="CB276" s="151">
        <v>41842</v>
      </c>
      <c r="CC276" s="208">
        <v>5.6</v>
      </c>
      <c r="CD276" s="151">
        <v>41838</v>
      </c>
      <c r="CL276" s="209">
        <v>3</v>
      </c>
      <c r="CM276" s="201">
        <v>41810</v>
      </c>
    </row>
    <row r="277" spans="1:91" ht="15">
      <c r="A277" s="152" t="s">
        <v>7930</v>
      </c>
      <c r="B277" s="110" t="s">
        <v>233</v>
      </c>
      <c r="C277" s="110" t="s">
        <v>8083</v>
      </c>
      <c r="D277" s="110">
        <v>11737</v>
      </c>
      <c r="E277" s="111">
        <v>10</v>
      </c>
      <c r="F277" s="111">
        <v>693</v>
      </c>
      <c r="K277" s="134">
        <v>5</v>
      </c>
      <c r="L277" s="151">
        <v>41701</v>
      </c>
      <c r="M277" s="169">
        <v>2.4500000000000002</v>
      </c>
      <c r="N277" s="151">
        <v>41838</v>
      </c>
      <c r="Q277" s="497"/>
      <c r="S277" s="134">
        <v>8.99</v>
      </c>
      <c r="T277" s="151">
        <v>41842</v>
      </c>
      <c r="U277" s="134">
        <v>13.5</v>
      </c>
      <c r="V277" s="151">
        <v>41838</v>
      </c>
      <c r="W277" s="196">
        <v>1</v>
      </c>
      <c r="X277" s="151">
        <v>41829</v>
      </c>
      <c r="Y277" s="134">
        <f t="shared" si="4"/>
        <v>2.5259000000000005</v>
      </c>
      <c r="AC277" s="134">
        <v>18.149999999999999</v>
      </c>
      <c r="AD277" s="151">
        <v>41838</v>
      </c>
      <c r="AE277" s="134">
        <v>18.850000000000001</v>
      </c>
      <c r="AF277" s="151">
        <v>41838</v>
      </c>
      <c r="AG277" s="197">
        <v>5.3</v>
      </c>
      <c r="AH277" s="151">
        <v>41843</v>
      </c>
      <c r="AI277" s="198">
        <v>5</v>
      </c>
      <c r="AJ277" s="151">
        <v>41778</v>
      </c>
      <c r="AK277" s="199">
        <v>4</v>
      </c>
      <c r="AL277" s="151">
        <v>41709</v>
      </c>
      <c r="BE277" s="200">
        <v>4</v>
      </c>
      <c r="BF277" s="201">
        <v>41555</v>
      </c>
      <c r="BG277" s="203">
        <v>1.8</v>
      </c>
      <c r="BH277" s="151">
        <v>41842</v>
      </c>
      <c r="BM277" s="204">
        <v>67.5</v>
      </c>
      <c r="BN277" s="151">
        <v>41842</v>
      </c>
      <c r="BQ277" s="205">
        <v>10</v>
      </c>
      <c r="BR277" s="151">
        <v>41842</v>
      </c>
      <c r="BS277" s="206">
        <v>47.7</v>
      </c>
      <c r="BT277" s="151">
        <v>41842</v>
      </c>
      <c r="BU277" s="207">
        <v>13.4</v>
      </c>
      <c r="BV277" s="151">
        <v>41842</v>
      </c>
      <c r="BW277" s="206">
        <v>19.3</v>
      </c>
      <c r="BX277" s="151">
        <v>41842</v>
      </c>
      <c r="BY277" s="210">
        <v>7.4</v>
      </c>
      <c r="BZ277" s="151">
        <v>41842</v>
      </c>
      <c r="CA277" s="206">
        <v>30.8</v>
      </c>
      <c r="CB277" s="151">
        <v>41842</v>
      </c>
      <c r="CC277" s="208">
        <v>5.5</v>
      </c>
      <c r="CD277" s="151">
        <v>41838</v>
      </c>
      <c r="CL277" s="209">
        <v>5</v>
      </c>
      <c r="CM277" s="201">
        <v>41810</v>
      </c>
    </row>
    <row r="278" spans="1:91" ht="15">
      <c r="A278" s="152" t="s">
        <v>7931</v>
      </c>
      <c r="B278" s="110" t="s">
        <v>233</v>
      </c>
      <c r="C278" s="110" t="s">
        <v>381</v>
      </c>
      <c r="D278" s="110">
        <v>10986</v>
      </c>
      <c r="E278" s="111">
        <v>1</v>
      </c>
      <c r="F278" s="111">
        <v>565</v>
      </c>
      <c r="I278" s="373"/>
      <c r="K278" s="194">
        <v>5</v>
      </c>
      <c r="L278" s="151">
        <v>41701</v>
      </c>
      <c r="M278" s="169">
        <v>3.55</v>
      </c>
      <c r="N278" s="151">
        <v>41838</v>
      </c>
      <c r="Q278" s="497"/>
      <c r="S278" s="134">
        <v>12.34</v>
      </c>
      <c r="T278" s="151">
        <v>41842</v>
      </c>
      <c r="U278" s="194">
        <v>13.5</v>
      </c>
      <c r="V278" s="151">
        <v>41838</v>
      </c>
      <c r="W278" s="196">
        <v>9</v>
      </c>
      <c r="X278" s="151">
        <v>41829</v>
      </c>
      <c r="Y278" s="134">
        <f t="shared" si="4"/>
        <v>3.9741199999999997</v>
      </c>
      <c r="AA278" s="194"/>
      <c r="AC278" s="194">
        <v>26.3</v>
      </c>
      <c r="AD278" s="151">
        <v>41838</v>
      </c>
      <c r="AE278" s="137">
        <v>27.22</v>
      </c>
      <c r="AF278" s="151">
        <v>41838</v>
      </c>
      <c r="AG278" s="197">
        <v>4.5</v>
      </c>
      <c r="AH278" s="151">
        <v>41843</v>
      </c>
      <c r="AI278" s="198">
        <v>5</v>
      </c>
      <c r="AJ278" s="151">
        <v>41778</v>
      </c>
      <c r="AK278" s="199">
        <v>4</v>
      </c>
      <c r="AL278" s="151">
        <v>41709</v>
      </c>
      <c r="AM278" s="194"/>
      <c r="BE278" s="200">
        <v>4</v>
      </c>
      <c r="BF278" s="201">
        <v>41555</v>
      </c>
      <c r="BG278" s="203">
        <v>0.7</v>
      </c>
      <c r="BH278" s="151">
        <v>41842</v>
      </c>
      <c r="BM278" s="204">
        <v>62.8</v>
      </c>
      <c r="BN278" s="151">
        <v>41842</v>
      </c>
      <c r="BQ278" s="205">
        <v>11.2</v>
      </c>
      <c r="BR278" s="151">
        <v>41842</v>
      </c>
      <c r="BS278" s="206">
        <v>45.4</v>
      </c>
      <c r="BT278" s="151">
        <v>41842</v>
      </c>
      <c r="BU278" s="207">
        <v>14.6</v>
      </c>
      <c r="BV278" s="151">
        <v>41842</v>
      </c>
      <c r="BW278" s="206">
        <v>16.7</v>
      </c>
      <c r="BX278" s="151">
        <v>41842</v>
      </c>
      <c r="BY278" s="210">
        <v>7.75</v>
      </c>
      <c r="BZ278" s="151">
        <v>41842</v>
      </c>
      <c r="CA278" s="206">
        <v>32</v>
      </c>
      <c r="CB278" s="151">
        <v>41842</v>
      </c>
      <c r="CC278" s="208">
        <v>5.8</v>
      </c>
      <c r="CD278" s="151">
        <v>41838</v>
      </c>
      <c r="CL278" s="209">
        <v>3</v>
      </c>
      <c r="CM278" s="201">
        <v>41810</v>
      </c>
    </row>
    <row r="279" spans="1:91" ht="15">
      <c r="A279" s="152" t="s">
        <v>7931</v>
      </c>
      <c r="B279" s="110" t="s">
        <v>235</v>
      </c>
      <c r="C279" s="110" t="s">
        <v>8082</v>
      </c>
      <c r="D279" s="110">
        <v>11556</v>
      </c>
      <c r="E279" s="111">
        <v>5</v>
      </c>
      <c r="F279" s="111">
        <v>689</v>
      </c>
      <c r="K279" s="134">
        <v>5</v>
      </c>
      <c r="L279" s="151">
        <v>41701</v>
      </c>
      <c r="M279" s="169">
        <v>3.5</v>
      </c>
      <c r="N279" s="151">
        <v>41838</v>
      </c>
      <c r="Q279" s="497"/>
      <c r="S279" s="134">
        <v>11.99</v>
      </c>
      <c r="T279" s="151">
        <v>41842</v>
      </c>
      <c r="U279" s="134">
        <v>13.5</v>
      </c>
      <c r="V279" s="151">
        <v>41838</v>
      </c>
      <c r="W279" s="196">
        <v>1</v>
      </c>
      <c r="X279" s="151">
        <v>41829</v>
      </c>
      <c r="Y279" s="134">
        <f t="shared" si="4"/>
        <v>4.1601999999999997</v>
      </c>
      <c r="AC279" s="134">
        <v>25.93</v>
      </c>
      <c r="AD279" s="151">
        <v>41838</v>
      </c>
      <c r="AE279" s="134">
        <v>26.84</v>
      </c>
      <c r="AF279" s="151">
        <v>41838</v>
      </c>
      <c r="AG279" s="197">
        <v>4.2</v>
      </c>
      <c r="AH279" s="151">
        <v>41843</v>
      </c>
      <c r="AI279" s="198">
        <v>7</v>
      </c>
      <c r="AJ279" s="151">
        <v>41778</v>
      </c>
      <c r="AK279" s="199">
        <v>4</v>
      </c>
      <c r="AL279" s="151">
        <v>41709</v>
      </c>
      <c r="BE279" s="200">
        <v>4</v>
      </c>
      <c r="BF279" s="201">
        <v>41555</v>
      </c>
      <c r="BG279" s="203">
        <v>1.2</v>
      </c>
      <c r="BH279" s="151">
        <v>41842</v>
      </c>
      <c r="BM279" s="204">
        <v>61.4</v>
      </c>
      <c r="BN279" s="151">
        <v>41842</v>
      </c>
      <c r="BQ279" s="205">
        <v>10.8</v>
      </c>
      <c r="BR279" s="151">
        <v>41842</v>
      </c>
      <c r="BS279" s="206">
        <v>44.7</v>
      </c>
      <c r="BT279" s="151">
        <v>41842</v>
      </c>
      <c r="BU279" s="207">
        <v>15.5</v>
      </c>
      <c r="BV279" s="151">
        <v>41842</v>
      </c>
      <c r="BW279" s="206">
        <v>20.5</v>
      </c>
      <c r="BX279" s="151">
        <v>41842</v>
      </c>
      <c r="BY279" s="210">
        <v>7.78</v>
      </c>
      <c r="BZ279" s="151">
        <v>41842</v>
      </c>
      <c r="CA279" s="206">
        <v>33.4</v>
      </c>
      <c r="CB279" s="151">
        <v>41842</v>
      </c>
      <c r="CC279" s="208">
        <v>5.8</v>
      </c>
      <c r="CD279" s="151">
        <v>41838</v>
      </c>
      <c r="CL279" s="209">
        <v>3</v>
      </c>
      <c r="CM279" s="201">
        <v>41810</v>
      </c>
    </row>
    <row r="280" spans="1:91" ht="15">
      <c r="A280" s="152" t="s">
        <v>7931</v>
      </c>
      <c r="B280" s="110" t="s">
        <v>233</v>
      </c>
      <c r="C280" s="110" t="s">
        <v>8083</v>
      </c>
      <c r="D280" s="110">
        <v>11691</v>
      </c>
      <c r="E280" s="111">
        <v>9</v>
      </c>
      <c r="F280" s="111">
        <v>653</v>
      </c>
      <c r="K280" s="134">
        <v>5</v>
      </c>
      <c r="L280" s="151">
        <v>41701</v>
      </c>
      <c r="M280" s="169">
        <v>3.25</v>
      </c>
      <c r="N280" s="151">
        <v>41838</v>
      </c>
      <c r="Q280" s="497"/>
      <c r="S280" s="134">
        <v>11.36</v>
      </c>
      <c r="T280" s="151">
        <v>41842</v>
      </c>
      <c r="U280" s="134">
        <v>13.5</v>
      </c>
      <c r="V280" s="151">
        <v>41838</v>
      </c>
      <c r="W280" s="196">
        <v>9</v>
      </c>
      <c r="X280" s="151">
        <v>41829</v>
      </c>
      <c r="Y280" s="134">
        <f t="shared" si="4"/>
        <v>3.6177499999999996</v>
      </c>
      <c r="AC280" s="134">
        <v>24.07</v>
      </c>
      <c r="AD280" s="151">
        <v>41838</v>
      </c>
      <c r="AE280" s="134">
        <v>24.95</v>
      </c>
      <c r="AF280" s="151">
        <v>41838</v>
      </c>
      <c r="AG280" s="197">
        <v>4.5</v>
      </c>
      <c r="AH280" s="151">
        <v>41843</v>
      </c>
      <c r="AI280" s="198">
        <v>5</v>
      </c>
      <c r="AJ280" s="151">
        <v>41778</v>
      </c>
      <c r="AK280" s="199">
        <v>4</v>
      </c>
      <c r="AL280" s="151">
        <v>41709</v>
      </c>
      <c r="BE280" s="200">
        <v>4</v>
      </c>
      <c r="BF280" s="201">
        <v>41555</v>
      </c>
      <c r="BG280" s="203">
        <v>-1</v>
      </c>
      <c r="BH280" s="151">
        <v>41842</v>
      </c>
      <c r="BM280" s="204">
        <v>63.4</v>
      </c>
      <c r="BN280" s="151">
        <v>41842</v>
      </c>
      <c r="BQ280" s="205">
        <v>11</v>
      </c>
      <c r="BR280" s="151">
        <v>41842</v>
      </c>
      <c r="BS280" s="206">
        <v>45.6</v>
      </c>
      <c r="BT280" s="151">
        <v>41842</v>
      </c>
      <c r="BU280" s="207">
        <v>14.5</v>
      </c>
      <c r="BV280" s="151">
        <v>41842</v>
      </c>
      <c r="BW280" s="206">
        <v>17.2</v>
      </c>
      <c r="BX280" s="151">
        <v>41842</v>
      </c>
      <c r="BY280" s="210">
        <v>7.95</v>
      </c>
      <c r="BZ280" s="151">
        <v>41842</v>
      </c>
      <c r="CA280" s="206">
        <v>31.9</v>
      </c>
      <c r="CB280" s="151">
        <v>41842</v>
      </c>
      <c r="CC280" s="208">
        <v>5.7</v>
      </c>
      <c r="CD280" s="151">
        <v>41838</v>
      </c>
      <c r="CL280" s="209">
        <v>3</v>
      </c>
      <c r="CM280" s="201">
        <v>41810</v>
      </c>
    </row>
    <row r="281" spans="1:91" ht="15">
      <c r="A281" s="152" t="s">
        <v>7931</v>
      </c>
      <c r="B281" s="110" t="s">
        <v>235</v>
      </c>
      <c r="C281" s="110" t="s">
        <v>8081</v>
      </c>
      <c r="D281" s="110">
        <v>11368</v>
      </c>
      <c r="E281" s="111">
        <v>12</v>
      </c>
      <c r="F281" s="111">
        <v>509</v>
      </c>
      <c r="K281" s="134">
        <v>5</v>
      </c>
      <c r="L281" s="151">
        <v>41701</v>
      </c>
      <c r="M281" s="169">
        <v>4.2</v>
      </c>
      <c r="N281" s="151">
        <v>41838</v>
      </c>
      <c r="Q281" s="497"/>
      <c r="S281" s="134">
        <v>14.71</v>
      </c>
      <c r="T281" s="151">
        <v>41842</v>
      </c>
      <c r="U281" s="134">
        <v>13.5</v>
      </c>
      <c r="V281" s="151">
        <v>41838</v>
      </c>
      <c r="W281" s="196">
        <v>9</v>
      </c>
      <c r="X281" s="151">
        <v>41829</v>
      </c>
      <c r="Y281" s="134">
        <f t="shared" si="4"/>
        <v>4.66465</v>
      </c>
      <c r="AC281" s="134">
        <v>31.11</v>
      </c>
      <c r="AD281" s="151">
        <v>41838</v>
      </c>
      <c r="AE281" s="134">
        <v>32.17</v>
      </c>
      <c r="AF281" s="151">
        <v>41838</v>
      </c>
      <c r="AG281" s="197">
        <v>4.4000000000000004</v>
      </c>
      <c r="AH281" s="151">
        <v>41843</v>
      </c>
      <c r="AI281" s="198">
        <v>7</v>
      </c>
      <c r="AJ281" s="151">
        <v>41778</v>
      </c>
      <c r="AK281" s="199">
        <v>4</v>
      </c>
      <c r="AL281" s="151">
        <v>41709</v>
      </c>
      <c r="BE281" s="200">
        <v>4</v>
      </c>
      <c r="BF281" s="201">
        <v>41555</v>
      </c>
      <c r="BG281" s="203">
        <v>1.8</v>
      </c>
      <c r="BH281" s="151">
        <v>41842</v>
      </c>
      <c r="BM281" s="204">
        <v>63.8</v>
      </c>
      <c r="BN281" s="151">
        <v>41842</v>
      </c>
      <c r="BQ281" s="205">
        <v>10.7</v>
      </c>
      <c r="BR281" s="151">
        <v>41842</v>
      </c>
      <c r="BS281" s="206">
        <v>45.7</v>
      </c>
      <c r="BT281" s="151">
        <v>41842</v>
      </c>
      <c r="BU281" s="207">
        <v>14.5</v>
      </c>
      <c r="BV281" s="151">
        <v>41842</v>
      </c>
      <c r="BW281" s="206">
        <v>17.3</v>
      </c>
      <c r="BX281" s="151">
        <v>41842</v>
      </c>
      <c r="BY281" s="210">
        <v>7.45</v>
      </c>
      <c r="BZ281" s="151">
        <v>41842</v>
      </c>
      <c r="CA281" s="206">
        <v>32.1</v>
      </c>
      <c r="CB281" s="151">
        <v>41842</v>
      </c>
      <c r="CC281" s="208">
        <v>5.9</v>
      </c>
      <c r="CD281" s="151">
        <v>41838</v>
      </c>
      <c r="CL281" s="209">
        <v>3</v>
      </c>
      <c r="CM281" s="201">
        <v>41810</v>
      </c>
    </row>
    <row r="282" spans="1:91" ht="15">
      <c r="A282" s="152" t="s">
        <v>7932</v>
      </c>
      <c r="B282" s="110" t="s">
        <v>235</v>
      </c>
      <c r="C282" s="110" t="s">
        <v>8082</v>
      </c>
      <c r="D282" s="110">
        <v>11440</v>
      </c>
      <c r="E282" s="111">
        <v>2</v>
      </c>
      <c r="F282" s="111">
        <v>657</v>
      </c>
      <c r="K282" s="194">
        <v>7</v>
      </c>
      <c r="L282" s="151">
        <v>41701</v>
      </c>
      <c r="M282" s="169">
        <v>5.7</v>
      </c>
      <c r="N282" s="151">
        <v>41838</v>
      </c>
      <c r="Q282" s="497"/>
      <c r="S282" s="134">
        <v>20.99</v>
      </c>
      <c r="T282" s="151">
        <v>41842</v>
      </c>
      <c r="U282" s="134">
        <v>13.5</v>
      </c>
      <c r="V282" s="151">
        <v>41838</v>
      </c>
      <c r="W282" s="196">
        <v>1</v>
      </c>
      <c r="X282" s="151">
        <v>41829</v>
      </c>
      <c r="Y282" s="134">
        <f t="shared" si="4"/>
        <v>5.8624999999999998</v>
      </c>
      <c r="AC282" s="134">
        <v>42.22</v>
      </c>
      <c r="AD282" s="151">
        <v>41838</v>
      </c>
      <c r="AE282" s="134">
        <v>43.75</v>
      </c>
      <c r="AF282" s="151">
        <v>41838</v>
      </c>
      <c r="AG282" s="197">
        <v>4.5</v>
      </c>
      <c r="AH282" s="151">
        <v>41843</v>
      </c>
      <c r="AI282" s="198">
        <v>7</v>
      </c>
      <c r="AJ282" s="151">
        <v>41778</v>
      </c>
      <c r="AK282" s="199">
        <v>5</v>
      </c>
      <c r="AL282" s="151">
        <v>41709</v>
      </c>
      <c r="BE282" s="200">
        <v>5</v>
      </c>
      <c r="BF282" s="201">
        <v>41555</v>
      </c>
      <c r="BG282" s="203">
        <v>-2.6</v>
      </c>
      <c r="BH282" s="151">
        <v>41842</v>
      </c>
      <c r="BM282" s="204">
        <v>68.900000000000006</v>
      </c>
      <c r="BN282" s="151">
        <v>41842</v>
      </c>
      <c r="BQ282" s="205">
        <v>9.1</v>
      </c>
      <c r="BR282" s="151">
        <v>41842</v>
      </c>
      <c r="BS282" s="206">
        <v>48</v>
      </c>
      <c r="BT282" s="151">
        <v>41842</v>
      </c>
      <c r="BU282" s="207">
        <v>13.4</v>
      </c>
      <c r="BV282" s="151">
        <v>41842</v>
      </c>
      <c r="BW282" s="206">
        <v>15.6</v>
      </c>
      <c r="BX282" s="151">
        <v>41842</v>
      </c>
      <c r="BY282" s="210">
        <v>7.35</v>
      </c>
      <c r="BZ282" s="151">
        <v>41842</v>
      </c>
      <c r="CA282" s="206">
        <v>31.2</v>
      </c>
      <c r="CB282" s="151">
        <v>41842</v>
      </c>
      <c r="CC282" s="208">
        <v>5.7</v>
      </c>
      <c r="CD282" s="151">
        <v>41838</v>
      </c>
      <c r="CL282" s="209">
        <v>3</v>
      </c>
      <c r="CM282" s="201">
        <v>41810</v>
      </c>
    </row>
    <row r="283" spans="1:91" ht="15">
      <c r="A283" s="152" t="s">
        <v>7932</v>
      </c>
      <c r="B283" s="110" t="s">
        <v>233</v>
      </c>
      <c r="C283" s="110" t="s">
        <v>381</v>
      </c>
      <c r="D283" s="110">
        <v>11166</v>
      </c>
      <c r="E283" s="111">
        <v>6</v>
      </c>
      <c r="F283" s="111">
        <v>565</v>
      </c>
      <c r="K283" s="134">
        <v>5</v>
      </c>
      <c r="L283" s="151">
        <v>41701</v>
      </c>
      <c r="M283" s="169">
        <v>4.25</v>
      </c>
      <c r="N283" s="151">
        <v>41838</v>
      </c>
      <c r="Q283" s="497"/>
      <c r="S283" s="134">
        <v>15.7</v>
      </c>
      <c r="T283" s="151">
        <v>41842</v>
      </c>
      <c r="U283" s="134">
        <v>13.5</v>
      </c>
      <c r="V283" s="151">
        <v>41838</v>
      </c>
      <c r="W283" s="196">
        <v>9</v>
      </c>
      <c r="X283" s="151">
        <v>41829</v>
      </c>
      <c r="Y283" s="134">
        <f t="shared" si="4"/>
        <v>4.2079800000000001</v>
      </c>
      <c r="AC283" s="134">
        <v>31.48</v>
      </c>
      <c r="AD283" s="151">
        <v>41838</v>
      </c>
      <c r="AE283" s="134">
        <v>32.619999999999997</v>
      </c>
      <c r="AF283" s="151">
        <v>41838</v>
      </c>
      <c r="AG283" s="197">
        <v>4.4000000000000004</v>
      </c>
      <c r="AH283" s="151">
        <v>41843</v>
      </c>
      <c r="AI283" s="198">
        <v>5</v>
      </c>
      <c r="AJ283" s="151">
        <v>41778</v>
      </c>
      <c r="AK283" s="199">
        <v>5</v>
      </c>
      <c r="AL283" s="151">
        <v>41709</v>
      </c>
      <c r="BE283" s="200">
        <v>5</v>
      </c>
      <c r="BF283" s="201">
        <v>41555</v>
      </c>
      <c r="BG283" s="203">
        <v>-1.7</v>
      </c>
      <c r="BH283" s="151">
        <v>41842</v>
      </c>
      <c r="BM283" s="204">
        <v>68.900000000000006</v>
      </c>
      <c r="BN283" s="151">
        <v>41842</v>
      </c>
      <c r="BQ283" s="205">
        <v>9.8000000000000007</v>
      </c>
      <c r="BR283" s="151">
        <v>41842</v>
      </c>
      <c r="BS283" s="206">
        <v>48.1</v>
      </c>
      <c r="BT283" s="151">
        <v>41842</v>
      </c>
      <c r="BU283" s="207">
        <v>12.9</v>
      </c>
      <c r="BV283" s="151">
        <v>41842</v>
      </c>
      <c r="BW283" s="206">
        <v>14.6</v>
      </c>
      <c r="BX283" s="151">
        <v>41842</v>
      </c>
      <c r="BY283" s="210">
        <v>7.2</v>
      </c>
      <c r="BZ283" s="151">
        <v>41842</v>
      </c>
      <c r="CA283" s="206">
        <v>30.1</v>
      </c>
      <c r="CB283" s="151">
        <v>41842</v>
      </c>
      <c r="CC283" s="208">
        <v>5.7</v>
      </c>
      <c r="CD283" s="151">
        <v>41838</v>
      </c>
      <c r="CL283" s="209">
        <v>3</v>
      </c>
      <c r="CM283" s="201">
        <v>41810</v>
      </c>
    </row>
    <row r="284" spans="1:91" ht="15">
      <c r="A284" s="152" t="s">
        <v>7932</v>
      </c>
      <c r="B284" s="110" t="s">
        <v>235</v>
      </c>
      <c r="C284" s="110" t="s">
        <v>8081</v>
      </c>
      <c r="D284" s="110">
        <v>11183</v>
      </c>
      <c r="E284" s="111">
        <v>7</v>
      </c>
      <c r="F284" s="111">
        <v>489</v>
      </c>
      <c r="K284" s="134">
        <v>5</v>
      </c>
      <c r="L284" s="151">
        <v>41701</v>
      </c>
      <c r="M284" s="169">
        <v>5.85</v>
      </c>
      <c r="N284" s="151">
        <v>41838</v>
      </c>
      <c r="Q284" s="497"/>
      <c r="S284" s="134">
        <v>21.5</v>
      </c>
      <c r="T284" s="151">
        <v>41842</v>
      </c>
      <c r="U284" s="134">
        <v>13.5</v>
      </c>
      <c r="V284" s="151">
        <v>41838</v>
      </c>
      <c r="W284" s="196">
        <v>9</v>
      </c>
      <c r="X284" s="151">
        <v>41829</v>
      </c>
      <c r="Y284" s="134">
        <f t="shared" si="4"/>
        <v>6.0358499999999999</v>
      </c>
      <c r="AC284" s="134">
        <v>43.33</v>
      </c>
      <c r="AD284" s="151">
        <v>41838</v>
      </c>
      <c r="AE284" s="134">
        <v>44.71</v>
      </c>
      <c r="AF284" s="151">
        <v>41838</v>
      </c>
      <c r="AG284" s="197">
        <v>4.4000000000000004</v>
      </c>
      <c r="AH284" s="151">
        <v>41843</v>
      </c>
      <c r="AI284" s="198">
        <v>7</v>
      </c>
      <c r="AJ284" s="151">
        <v>41778</v>
      </c>
      <c r="AK284" s="199">
        <v>5</v>
      </c>
      <c r="AL284" s="151">
        <v>41709</v>
      </c>
      <c r="BE284" s="200">
        <v>5</v>
      </c>
      <c r="BF284" s="201">
        <v>41555</v>
      </c>
      <c r="BG284" s="203">
        <v>-0.3</v>
      </c>
      <c r="BH284" s="151">
        <v>41842</v>
      </c>
      <c r="BM284" s="204">
        <v>68.8</v>
      </c>
      <c r="BN284" s="151">
        <v>41842</v>
      </c>
      <c r="BQ284" s="205">
        <v>9.8000000000000007</v>
      </c>
      <c r="BR284" s="151">
        <v>41842</v>
      </c>
      <c r="BS284" s="206">
        <v>48.1</v>
      </c>
      <c r="BT284" s="151">
        <v>41842</v>
      </c>
      <c r="BU284" s="207">
        <v>13.5</v>
      </c>
      <c r="BV284" s="151">
        <v>41842</v>
      </c>
      <c r="BW284" s="206">
        <v>15.8</v>
      </c>
      <c r="BX284" s="151">
        <v>41842</v>
      </c>
      <c r="BY284" s="210">
        <v>7.15</v>
      </c>
      <c r="BZ284" s="151">
        <v>41842</v>
      </c>
      <c r="CA284" s="206">
        <v>31.5</v>
      </c>
      <c r="CB284" s="151">
        <v>41842</v>
      </c>
      <c r="CC284" s="208">
        <v>6.1</v>
      </c>
      <c r="CD284" s="151">
        <v>41838</v>
      </c>
      <c r="CL284" s="209">
        <v>3</v>
      </c>
      <c r="CM284" s="201">
        <v>41810</v>
      </c>
    </row>
    <row r="285" spans="1:91" ht="15">
      <c r="A285" s="152" t="s">
        <v>7932</v>
      </c>
      <c r="B285" s="110" t="s">
        <v>233</v>
      </c>
      <c r="C285" s="110" t="s">
        <v>8083</v>
      </c>
      <c r="D285" s="110">
        <v>11745</v>
      </c>
      <c r="E285" s="111">
        <v>10</v>
      </c>
      <c r="F285" s="111">
        <v>725</v>
      </c>
      <c r="K285" s="134">
        <v>5</v>
      </c>
      <c r="L285" s="151">
        <v>41701</v>
      </c>
      <c r="M285" s="169">
        <v>2.9</v>
      </c>
      <c r="N285" s="151">
        <v>41838</v>
      </c>
      <c r="Q285" s="497"/>
      <c r="S285" s="134">
        <v>10.46</v>
      </c>
      <c r="T285" s="151">
        <v>41842</v>
      </c>
      <c r="U285" s="134">
        <v>13.5</v>
      </c>
      <c r="V285" s="151">
        <v>41838</v>
      </c>
      <c r="W285" s="196">
        <v>9</v>
      </c>
      <c r="X285" s="151">
        <v>41829</v>
      </c>
      <c r="Y285" s="134">
        <f t="shared" si="4"/>
        <v>3.0498000000000003</v>
      </c>
      <c r="AC285" s="134">
        <v>21.48</v>
      </c>
      <c r="AD285" s="151">
        <v>41838</v>
      </c>
      <c r="AE285" s="134">
        <v>22.1</v>
      </c>
      <c r="AF285" s="151">
        <v>41838</v>
      </c>
      <c r="AG285" s="197">
        <v>4.5</v>
      </c>
      <c r="AH285" s="151">
        <v>41843</v>
      </c>
      <c r="AI285" s="198">
        <v>5</v>
      </c>
      <c r="AJ285" s="151">
        <v>41778</v>
      </c>
      <c r="AK285" s="199">
        <v>5</v>
      </c>
      <c r="AL285" s="151">
        <v>41709</v>
      </c>
      <c r="BE285" s="200">
        <v>5</v>
      </c>
      <c r="BF285" s="201">
        <v>41555</v>
      </c>
      <c r="BG285" s="203">
        <v>-4.2</v>
      </c>
      <c r="BH285" s="151">
        <v>41842</v>
      </c>
      <c r="BM285" s="204">
        <v>67.7</v>
      </c>
      <c r="BN285" s="151">
        <v>41842</v>
      </c>
      <c r="BQ285" s="205">
        <v>10.3</v>
      </c>
      <c r="BR285" s="151">
        <v>41842</v>
      </c>
      <c r="BS285" s="206">
        <v>47.3</v>
      </c>
      <c r="BT285" s="151">
        <v>41842</v>
      </c>
      <c r="BU285" s="207">
        <v>13.8</v>
      </c>
      <c r="BV285" s="151">
        <v>41842</v>
      </c>
      <c r="BW285" s="206">
        <v>18.7</v>
      </c>
      <c r="BX285" s="151">
        <v>41842</v>
      </c>
      <c r="BY285" s="210">
        <v>7.53</v>
      </c>
      <c r="BZ285" s="151">
        <v>41842</v>
      </c>
      <c r="CA285" s="206">
        <v>31.6</v>
      </c>
      <c r="CB285" s="151">
        <v>41842</v>
      </c>
      <c r="CC285" s="208">
        <v>6.4</v>
      </c>
      <c r="CD285" s="151">
        <v>41838</v>
      </c>
      <c r="CL285" s="209">
        <v>3</v>
      </c>
      <c r="CM285" s="201">
        <v>41810</v>
      </c>
    </row>
    <row r="286" spans="1:91" ht="15">
      <c r="A286" s="152" t="s">
        <v>7933</v>
      </c>
      <c r="B286" s="110" t="s">
        <v>233</v>
      </c>
      <c r="C286" s="110" t="s">
        <v>381</v>
      </c>
      <c r="D286" s="110">
        <v>11001</v>
      </c>
      <c r="E286" s="111">
        <v>2</v>
      </c>
      <c r="F286" s="111">
        <v>481</v>
      </c>
      <c r="I286" s="373"/>
      <c r="K286" s="194">
        <v>5</v>
      </c>
      <c r="L286" s="151">
        <v>41701</v>
      </c>
      <c r="M286" s="169">
        <v>3.9</v>
      </c>
      <c r="N286" s="151">
        <v>41838</v>
      </c>
      <c r="Q286" s="497"/>
      <c r="S286" s="134">
        <v>14.29</v>
      </c>
      <c r="T286" s="151">
        <v>41842</v>
      </c>
      <c r="U286" s="194">
        <v>13.5</v>
      </c>
      <c r="V286" s="151">
        <v>41838</v>
      </c>
      <c r="W286" s="196">
        <v>1</v>
      </c>
      <c r="X286" s="151">
        <v>41829</v>
      </c>
      <c r="Y286" s="134">
        <f t="shared" si="4"/>
        <v>3.8675000000000002</v>
      </c>
      <c r="AA286" s="194"/>
      <c r="AC286" s="194">
        <v>28.89</v>
      </c>
      <c r="AD286" s="151">
        <v>41838</v>
      </c>
      <c r="AE286" s="137">
        <v>29.75</v>
      </c>
      <c r="AF286" s="151">
        <v>41838</v>
      </c>
      <c r="AG286" s="197">
        <v>4.3</v>
      </c>
      <c r="AH286" s="151">
        <v>41843</v>
      </c>
      <c r="AI286" s="198">
        <v>5</v>
      </c>
      <c r="AJ286" s="151">
        <v>41778</v>
      </c>
      <c r="AK286" s="199">
        <v>5</v>
      </c>
      <c r="AL286" s="151">
        <v>41709</v>
      </c>
      <c r="AM286" s="194"/>
      <c r="BE286" s="200">
        <v>5</v>
      </c>
      <c r="BF286" s="201">
        <v>41555</v>
      </c>
      <c r="BG286" s="203">
        <v>-6.3</v>
      </c>
      <c r="BH286" s="151">
        <v>41842</v>
      </c>
      <c r="BM286" s="204">
        <v>64.8</v>
      </c>
      <c r="BN286" s="151">
        <v>41842</v>
      </c>
      <c r="BQ286" s="205">
        <v>10.4</v>
      </c>
      <c r="BR286" s="151">
        <v>41842</v>
      </c>
      <c r="BS286" s="206">
        <v>48</v>
      </c>
      <c r="BT286" s="151">
        <v>41842</v>
      </c>
      <c r="BU286" s="207">
        <v>13</v>
      </c>
      <c r="BV286" s="151">
        <v>41842</v>
      </c>
      <c r="BW286" s="206">
        <v>13.6</v>
      </c>
      <c r="BX286" s="151">
        <v>41842</v>
      </c>
      <c r="BY286" s="210">
        <v>7.1</v>
      </c>
      <c r="BZ286" s="151">
        <v>41842</v>
      </c>
      <c r="CA286" s="206">
        <v>30.1</v>
      </c>
      <c r="CB286" s="151">
        <v>41842</v>
      </c>
      <c r="CC286" s="208">
        <v>6.3</v>
      </c>
      <c r="CD286" s="151">
        <v>41838</v>
      </c>
      <c r="CL286" s="209">
        <v>3</v>
      </c>
      <c r="CM286" s="201">
        <v>41810</v>
      </c>
    </row>
    <row r="287" spans="1:91" ht="15">
      <c r="A287" s="152" t="s">
        <v>7933</v>
      </c>
      <c r="B287" s="110" t="s">
        <v>235</v>
      </c>
      <c r="C287" s="110" t="s">
        <v>8082</v>
      </c>
      <c r="D287" s="110">
        <v>11455</v>
      </c>
      <c r="E287" s="111">
        <v>2</v>
      </c>
      <c r="F287" s="111">
        <v>717</v>
      </c>
      <c r="K287" s="134">
        <v>5</v>
      </c>
      <c r="L287" s="151">
        <v>41701</v>
      </c>
      <c r="M287" s="169">
        <v>5.0999999999999996</v>
      </c>
      <c r="N287" s="151">
        <v>41838</v>
      </c>
      <c r="Q287" s="497"/>
      <c r="S287" s="134">
        <v>18.27</v>
      </c>
      <c r="T287" s="151">
        <v>41842</v>
      </c>
      <c r="U287" s="134">
        <v>13.5</v>
      </c>
      <c r="V287" s="151">
        <v>41838</v>
      </c>
      <c r="W287" s="196">
        <v>9</v>
      </c>
      <c r="X287" s="151">
        <v>41829</v>
      </c>
      <c r="Y287" s="134">
        <f t="shared" si="4"/>
        <v>5.2285499999999994</v>
      </c>
      <c r="AC287" s="134">
        <v>37.78</v>
      </c>
      <c r="AD287" s="151">
        <v>41838</v>
      </c>
      <c r="AE287" s="134">
        <v>38.729999999999997</v>
      </c>
      <c r="AF287" s="151">
        <v>41838</v>
      </c>
      <c r="AG287" s="197">
        <v>4.4000000000000004</v>
      </c>
      <c r="AH287" s="151">
        <v>41843</v>
      </c>
      <c r="AI287" s="198">
        <v>5</v>
      </c>
      <c r="AJ287" s="151">
        <v>41778</v>
      </c>
      <c r="AK287" s="199">
        <v>5</v>
      </c>
      <c r="AL287" s="151">
        <v>41709</v>
      </c>
      <c r="BE287" s="200">
        <v>5</v>
      </c>
      <c r="BF287" s="201">
        <v>41555</v>
      </c>
      <c r="BG287" s="203">
        <v>-4.5999999999999996</v>
      </c>
      <c r="BH287" s="151">
        <v>41842</v>
      </c>
      <c r="BM287" s="204">
        <v>64.099999999999994</v>
      </c>
      <c r="BN287" s="151">
        <v>41842</v>
      </c>
      <c r="BQ287" s="205">
        <v>10.4</v>
      </c>
      <c r="BR287" s="151">
        <v>41842</v>
      </c>
      <c r="BS287" s="206">
        <v>47.2</v>
      </c>
      <c r="BT287" s="151">
        <v>41842</v>
      </c>
      <c r="BU287" s="207">
        <v>13.5</v>
      </c>
      <c r="BV287" s="151">
        <v>41842</v>
      </c>
      <c r="BW287" s="206">
        <v>13</v>
      </c>
      <c r="BX287" s="151">
        <v>41842</v>
      </c>
      <c r="BY287" s="210">
        <v>7.33</v>
      </c>
      <c r="BZ287" s="151">
        <v>41842</v>
      </c>
      <c r="CA287" s="206">
        <v>30.8</v>
      </c>
      <c r="CB287" s="151">
        <v>41842</v>
      </c>
      <c r="CC287" s="208">
        <v>6.7</v>
      </c>
      <c r="CD287" s="151">
        <v>41838</v>
      </c>
      <c r="CL287" s="209">
        <v>3</v>
      </c>
      <c r="CM287" s="201">
        <v>41810</v>
      </c>
    </row>
    <row r="288" spans="1:91" ht="15">
      <c r="A288" s="152" t="s">
        <v>7933</v>
      </c>
      <c r="B288" s="110" t="s">
        <v>235</v>
      </c>
      <c r="C288" s="110" t="s">
        <v>8081</v>
      </c>
      <c r="D288" s="110">
        <v>11338</v>
      </c>
      <c r="E288" s="111">
        <v>11</v>
      </c>
      <c r="F288" s="111">
        <v>533</v>
      </c>
      <c r="K288" s="194">
        <v>7</v>
      </c>
      <c r="L288" s="151">
        <v>41701</v>
      </c>
      <c r="M288" s="169">
        <v>5.0999999999999996</v>
      </c>
      <c r="N288" s="151">
        <v>41838</v>
      </c>
      <c r="Q288" s="497"/>
      <c r="S288" s="134">
        <v>18.73</v>
      </c>
      <c r="T288" s="151">
        <v>41842</v>
      </c>
      <c r="U288" s="134">
        <v>13.5</v>
      </c>
      <c r="V288" s="151">
        <v>41838</v>
      </c>
      <c r="W288" s="196">
        <v>9</v>
      </c>
      <c r="X288" s="151">
        <v>41829</v>
      </c>
      <c r="Y288" s="134">
        <f t="shared" si="4"/>
        <v>5.2677000000000014</v>
      </c>
      <c r="AC288" s="134">
        <v>37.78</v>
      </c>
      <c r="AD288" s="151">
        <v>41838</v>
      </c>
      <c r="AE288" s="134">
        <v>39.020000000000003</v>
      </c>
      <c r="AF288" s="151">
        <v>41838</v>
      </c>
      <c r="AG288" s="197">
        <v>4.2</v>
      </c>
      <c r="AH288" s="151">
        <v>41843</v>
      </c>
      <c r="AI288" s="198">
        <v>5</v>
      </c>
      <c r="AJ288" s="151">
        <v>41778</v>
      </c>
      <c r="AK288" s="199">
        <v>5</v>
      </c>
      <c r="AL288" s="151">
        <v>41709</v>
      </c>
      <c r="BE288" s="200">
        <v>5</v>
      </c>
      <c r="BF288" s="201">
        <v>41555</v>
      </c>
      <c r="BG288" s="203">
        <v>-1.3</v>
      </c>
      <c r="BH288" s="151">
        <v>41842</v>
      </c>
      <c r="BM288" s="204">
        <v>65.5</v>
      </c>
      <c r="BN288" s="151">
        <v>41842</v>
      </c>
      <c r="BQ288" s="205">
        <v>9.6999999999999993</v>
      </c>
      <c r="BR288" s="151">
        <v>41842</v>
      </c>
      <c r="BS288" s="206">
        <v>48</v>
      </c>
      <c r="BT288" s="151">
        <v>41842</v>
      </c>
      <c r="BU288" s="207">
        <v>13.5</v>
      </c>
      <c r="BV288" s="151">
        <v>41842</v>
      </c>
      <c r="BW288" s="206">
        <v>13.2</v>
      </c>
      <c r="BX288" s="151">
        <v>41842</v>
      </c>
      <c r="BY288" s="210">
        <v>6.96</v>
      </c>
      <c r="BZ288" s="151">
        <v>41842</v>
      </c>
      <c r="CA288" s="206">
        <v>31.4</v>
      </c>
      <c r="CB288" s="151">
        <v>41842</v>
      </c>
      <c r="CC288" s="208">
        <v>6</v>
      </c>
      <c r="CD288" s="151">
        <v>41838</v>
      </c>
      <c r="CL288" s="209">
        <v>3</v>
      </c>
      <c r="CM288" s="201">
        <v>41810</v>
      </c>
    </row>
    <row r="289" spans="1:91" ht="15">
      <c r="A289" s="152" t="s">
        <v>7933</v>
      </c>
      <c r="B289" s="110" t="s">
        <v>233</v>
      </c>
      <c r="C289" s="110" t="s">
        <v>8083</v>
      </c>
      <c r="D289" s="110">
        <v>11797</v>
      </c>
      <c r="E289" s="111">
        <v>12</v>
      </c>
      <c r="F289" s="111">
        <v>645</v>
      </c>
      <c r="K289" s="191">
        <v>3</v>
      </c>
      <c r="L289" s="151">
        <v>41701</v>
      </c>
      <c r="M289" s="169">
        <v>3.45</v>
      </c>
      <c r="N289" s="151">
        <v>41838</v>
      </c>
      <c r="Q289" s="497"/>
      <c r="S289" s="134">
        <v>12.33</v>
      </c>
      <c r="T289" s="151">
        <v>41842</v>
      </c>
      <c r="U289" s="134">
        <v>13.5</v>
      </c>
      <c r="V289" s="151">
        <v>41838</v>
      </c>
      <c r="W289" s="196">
        <v>9</v>
      </c>
      <c r="X289" s="151">
        <v>41829</v>
      </c>
      <c r="Y289" s="134">
        <f t="shared" si="4"/>
        <v>3.6431999999999998</v>
      </c>
      <c r="AC289" s="134">
        <v>25.56</v>
      </c>
      <c r="AD289" s="151">
        <v>41838</v>
      </c>
      <c r="AE289" s="134">
        <v>26.4</v>
      </c>
      <c r="AF289" s="151">
        <v>41838</v>
      </c>
      <c r="AG289" s="197">
        <v>4.5</v>
      </c>
      <c r="AH289" s="151">
        <v>41843</v>
      </c>
      <c r="AI289" s="198">
        <v>5</v>
      </c>
      <c r="AJ289" s="151">
        <v>41778</v>
      </c>
      <c r="AK289" s="199">
        <v>7</v>
      </c>
      <c r="AL289" s="151">
        <v>41709</v>
      </c>
      <c r="BE289" s="200">
        <v>7</v>
      </c>
      <c r="BF289" s="201">
        <v>41555</v>
      </c>
      <c r="BG289" s="203">
        <v>-4.9000000000000004</v>
      </c>
      <c r="BH289" s="151">
        <v>41842</v>
      </c>
      <c r="BM289" s="204">
        <v>65.599999999999994</v>
      </c>
      <c r="BN289" s="151">
        <v>41842</v>
      </c>
      <c r="BQ289" s="205">
        <v>10.4</v>
      </c>
      <c r="BR289" s="151">
        <v>41842</v>
      </c>
      <c r="BS289" s="206">
        <v>46.7</v>
      </c>
      <c r="BT289" s="151">
        <v>41842</v>
      </c>
      <c r="BU289" s="207">
        <v>13.8</v>
      </c>
      <c r="BV289" s="151">
        <v>41842</v>
      </c>
      <c r="BW289" s="206">
        <v>14.5</v>
      </c>
      <c r="BX289" s="151">
        <v>41842</v>
      </c>
      <c r="BY289" s="210">
        <v>7.46</v>
      </c>
      <c r="BZ289" s="151">
        <v>41842</v>
      </c>
      <c r="CA289" s="206">
        <v>31.1</v>
      </c>
      <c r="CB289" s="151">
        <v>41842</v>
      </c>
      <c r="CC289" s="208">
        <v>6</v>
      </c>
      <c r="CD289" s="151">
        <v>41838</v>
      </c>
      <c r="CL289" s="209">
        <v>3</v>
      </c>
      <c r="CM289" s="201">
        <v>41810</v>
      </c>
    </row>
    <row r="290" spans="1:91" ht="15">
      <c r="A290" s="152" t="s">
        <v>7934</v>
      </c>
      <c r="B290" s="110" t="s">
        <v>235</v>
      </c>
      <c r="C290" s="110" t="s">
        <v>8082</v>
      </c>
      <c r="D290" s="110">
        <v>11545</v>
      </c>
      <c r="E290" s="111">
        <v>5</v>
      </c>
      <c r="F290" s="111">
        <v>645</v>
      </c>
      <c r="K290" s="134">
        <v>5</v>
      </c>
      <c r="L290" s="151">
        <v>41701</v>
      </c>
      <c r="M290" s="169">
        <v>5.65</v>
      </c>
      <c r="N290" s="151">
        <v>41838</v>
      </c>
      <c r="Q290" s="497"/>
      <c r="S290" s="134">
        <v>20.61</v>
      </c>
      <c r="T290" s="151">
        <v>41842</v>
      </c>
      <c r="U290" s="134">
        <v>13.5</v>
      </c>
      <c r="V290" s="151">
        <v>41838</v>
      </c>
      <c r="W290" s="196">
        <v>1</v>
      </c>
      <c r="X290" s="151">
        <v>41829</v>
      </c>
      <c r="Y290" s="134">
        <f t="shared" si="4"/>
        <v>5.9485400000000004</v>
      </c>
      <c r="AC290" s="134">
        <v>41.85</v>
      </c>
      <c r="AD290" s="151">
        <v>41838</v>
      </c>
      <c r="AE290" s="134">
        <v>43.42</v>
      </c>
      <c r="AF290" s="151">
        <v>41838</v>
      </c>
      <c r="AG290" s="197">
        <v>4.9000000000000004</v>
      </c>
      <c r="AH290" s="151">
        <v>41843</v>
      </c>
      <c r="AI290" s="198">
        <v>3</v>
      </c>
      <c r="AJ290" s="151">
        <v>41778</v>
      </c>
      <c r="AK290" s="199">
        <v>5</v>
      </c>
      <c r="AL290" s="151">
        <v>41709</v>
      </c>
      <c r="BE290" s="200">
        <v>5</v>
      </c>
      <c r="BF290" s="201">
        <v>41555</v>
      </c>
      <c r="BG290" s="203">
        <v>-5.2</v>
      </c>
      <c r="BH290" s="151">
        <v>41842</v>
      </c>
      <c r="BM290" s="204">
        <v>64.099999999999994</v>
      </c>
      <c r="BN290" s="151">
        <v>41842</v>
      </c>
      <c r="BQ290" s="205">
        <v>10</v>
      </c>
      <c r="BR290" s="151">
        <v>41842</v>
      </c>
      <c r="BS290" s="206">
        <v>47.5</v>
      </c>
      <c r="BT290" s="151">
        <v>41842</v>
      </c>
      <c r="BU290" s="207">
        <v>13.7</v>
      </c>
      <c r="BV290" s="151">
        <v>41842</v>
      </c>
      <c r="BW290" s="206">
        <v>17.100000000000001</v>
      </c>
      <c r="BX290" s="151">
        <v>41842</v>
      </c>
      <c r="BY290" s="210">
        <v>7.04</v>
      </c>
      <c r="BZ290" s="151">
        <v>41842</v>
      </c>
      <c r="CA290" s="206">
        <v>31.4</v>
      </c>
      <c r="CB290" s="151">
        <v>41842</v>
      </c>
      <c r="CC290" s="208">
        <v>5.6</v>
      </c>
      <c r="CD290" s="151">
        <v>41838</v>
      </c>
      <c r="CL290" s="209">
        <v>3</v>
      </c>
      <c r="CM290" s="201">
        <v>41810</v>
      </c>
    </row>
    <row r="291" spans="1:91" ht="15">
      <c r="A291" s="152" t="s">
        <v>7934</v>
      </c>
      <c r="B291" s="110" t="s">
        <v>233</v>
      </c>
      <c r="C291" s="110" t="s">
        <v>381</v>
      </c>
      <c r="D291" s="110">
        <v>11160</v>
      </c>
      <c r="E291" s="111">
        <v>6</v>
      </c>
      <c r="F291" s="111">
        <v>541</v>
      </c>
      <c r="K291" s="134">
        <v>5</v>
      </c>
      <c r="L291" s="151">
        <v>41701</v>
      </c>
      <c r="M291" s="169">
        <v>3.5</v>
      </c>
      <c r="N291" s="151">
        <v>41838</v>
      </c>
      <c r="Q291" s="497"/>
      <c r="S291" s="134">
        <v>13.23</v>
      </c>
      <c r="T291" s="151">
        <v>41842</v>
      </c>
      <c r="U291" s="134">
        <v>13.5</v>
      </c>
      <c r="V291" s="151">
        <v>41838</v>
      </c>
      <c r="W291" s="196">
        <v>9</v>
      </c>
      <c r="X291" s="151">
        <v>41829</v>
      </c>
      <c r="Y291" s="134">
        <f t="shared" si="4"/>
        <v>3.1706600000000003</v>
      </c>
      <c r="AC291" s="134">
        <v>25.93</v>
      </c>
      <c r="AD291" s="151">
        <v>41838</v>
      </c>
      <c r="AE291" s="134">
        <v>26.87</v>
      </c>
      <c r="AF291" s="151">
        <v>41838</v>
      </c>
      <c r="AG291" s="197">
        <v>4.7</v>
      </c>
      <c r="AH291" s="151">
        <v>41843</v>
      </c>
      <c r="AI291" s="198">
        <v>3</v>
      </c>
      <c r="AJ291" s="151">
        <v>41778</v>
      </c>
      <c r="AK291" s="199">
        <v>5</v>
      </c>
      <c r="AL291" s="151">
        <v>41709</v>
      </c>
      <c r="BE291" s="200">
        <v>5</v>
      </c>
      <c r="BF291" s="201">
        <v>41555</v>
      </c>
      <c r="BG291" s="203">
        <v>-4.0999999999999996</v>
      </c>
      <c r="BH291" s="151">
        <v>41842</v>
      </c>
      <c r="BM291" s="204">
        <v>65.8</v>
      </c>
      <c r="BN291" s="151">
        <v>41842</v>
      </c>
      <c r="BQ291" s="205">
        <v>9.1999999999999993</v>
      </c>
      <c r="BR291" s="151">
        <v>41842</v>
      </c>
      <c r="BS291" s="206">
        <v>49.3</v>
      </c>
      <c r="BT291" s="151">
        <v>41842</v>
      </c>
      <c r="BU291" s="207">
        <v>11.8</v>
      </c>
      <c r="BV291" s="151">
        <v>41842</v>
      </c>
      <c r="BW291" s="206">
        <v>14.9</v>
      </c>
      <c r="BX291" s="151">
        <v>41842</v>
      </c>
      <c r="BY291" s="210">
        <v>6.87</v>
      </c>
      <c r="BZ291" s="151">
        <v>41842</v>
      </c>
      <c r="CA291" s="206">
        <v>28.3</v>
      </c>
      <c r="CB291" s="151">
        <v>41842</v>
      </c>
      <c r="CC291" s="208">
        <v>5.7</v>
      </c>
      <c r="CD291" s="151">
        <v>41838</v>
      </c>
      <c r="CL291" s="209">
        <v>3</v>
      </c>
      <c r="CM291" s="201">
        <v>41810</v>
      </c>
    </row>
    <row r="292" spans="1:91" ht="15">
      <c r="A292" s="152" t="s">
        <v>7934</v>
      </c>
      <c r="B292" s="110" t="s">
        <v>235</v>
      </c>
      <c r="C292" s="110" t="s">
        <v>8081</v>
      </c>
      <c r="D292" s="110">
        <v>11216</v>
      </c>
      <c r="E292" s="111">
        <v>8</v>
      </c>
      <c r="F292" s="111">
        <v>477</v>
      </c>
      <c r="K292" s="134">
        <v>5</v>
      </c>
      <c r="L292" s="151">
        <v>41701</v>
      </c>
      <c r="M292" s="169">
        <v>6</v>
      </c>
      <c r="N292" s="151">
        <v>41838</v>
      </c>
      <c r="Q292" s="497"/>
      <c r="S292" s="134">
        <v>21.8</v>
      </c>
      <c r="T292" s="151">
        <v>41842</v>
      </c>
      <c r="U292" s="134">
        <v>13.5</v>
      </c>
      <c r="V292" s="151">
        <v>41838</v>
      </c>
      <c r="W292" s="196">
        <v>9</v>
      </c>
      <c r="X292" s="151">
        <v>41829</v>
      </c>
      <c r="Y292" s="134">
        <f t="shared" si="4"/>
        <v>6.6809599999999998</v>
      </c>
      <c r="AC292" s="134">
        <v>44.44</v>
      </c>
      <c r="AD292" s="151">
        <v>41838</v>
      </c>
      <c r="AE292" s="134">
        <v>45.76</v>
      </c>
      <c r="AF292" s="151">
        <v>41838</v>
      </c>
      <c r="AG292" s="197">
        <v>5</v>
      </c>
      <c r="AH292" s="151">
        <v>41843</v>
      </c>
      <c r="AI292" s="198">
        <v>5</v>
      </c>
      <c r="AJ292" s="151">
        <v>41778</v>
      </c>
      <c r="AK292" s="199">
        <v>5</v>
      </c>
      <c r="AL292" s="151">
        <v>41709</v>
      </c>
      <c r="BE292" s="200">
        <v>5</v>
      </c>
      <c r="BF292" s="201">
        <v>41555</v>
      </c>
      <c r="BG292" s="203">
        <v>-3.4</v>
      </c>
      <c r="BH292" s="151">
        <v>41842</v>
      </c>
      <c r="BM292" s="204">
        <v>64.5</v>
      </c>
      <c r="BN292" s="151">
        <v>41842</v>
      </c>
      <c r="BQ292" s="205">
        <v>10.8</v>
      </c>
      <c r="BR292" s="151">
        <v>41842</v>
      </c>
      <c r="BS292" s="206">
        <v>47.6</v>
      </c>
      <c r="BT292" s="151">
        <v>41842</v>
      </c>
      <c r="BU292" s="207">
        <v>14.6</v>
      </c>
      <c r="BV292" s="151">
        <v>41842</v>
      </c>
      <c r="BW292" s="206">
        <v>22.1</v>
      </c>
      <c r="BX292" s="151">
        <v>41842</v>
      </c>
      <c r="BY292" s="210">
        <v>6.75</v>
      </c>
      <c r="BZ292" s="151">
        <v>41842</v>
      </c>
      <c r="CA292" s="206">
        <v>33.6</v>
      </c>
      <c r="CB292" s="151">
        <v>41842</v>
      </c>
      <c r="CC292" s="208">
        <v>6.3</v>
      </c>
      <c r="CD292" s="151">
        <v>41838</v>
      </c>
      <c r="CL292" s="209">
        <v>5</v>
      </c>
      <c r="CM292" s="201">
        <v>41810</v>
      </c>
    </row>
    <row r="293" spans="1:91" ht="15">
      <c r="A293" s="152" t="s">
        <v>7934</v>
      </c>
      <c r="B293" s="110" t="s">
        <v>233</v>
      </c>
      <c r="C293" s="110" t="s">
        <v>8083</v>
      </c>
      <c r="D293" s="110">
        <v>11789</v>
      </c>
      <c r="E293" s="111">
        <v>11</v>
      </c>
      <c r="F293" s="111">
        <v>757</v>
      </c>
      <c r="K293" s="194">
        <v>7</v>
      </c>
      <c r="L293" s="151">
        <v>41701</v>
      </c>
      <c r="M293" s="169">
        <v>4.95</v>
      </c>
      <c r="N293" s="151">
        <v>41838</v>
      </c>
      <c r="Q293" s="497"/>
      <c r="S293" s="134">
        <v>18.579999999999998</v>
      </c>
      <c r="T293" s="151">
        <v>41842</v>
      </c>
      <c r="U293" s="134">
        <v>13.5</v>
      </c>
      <c r="V293" s="151">
        <v>41838</v>
      </c>
      <c r="W293" s="196">
        <v>9</v>
      </c>
      <c r="X293" s="151">
        <v>41829</v>
      </c>
      <c r="Y293" s="134">
        <f t="shared" si="4"/>
        <v>4.7300000000000004</v>
      </c>
      <c r="AC293" s="134">
        <v>36.67</v>
      </c>
      <c r="AD293" s="151">
        <v>41838</v>
      </c>
      <c r="AE293" s="134">
        <v>37.840000000000003</v>
      </c>
      <c r="AF293" s="151">
        <v>41838</v>
      </c>
      <c r="AG293" s="197">
        <v>4.9000000000000004</v>
      </c>
      <c r="AH293" s="151">
        <v>41843</v>
      </c>
      <c r="AI293" s="198">
        <v>5</v>
      </c>
      <c r="AJ293" s="151">
        <v>41778</v>
      </c>
      <c r="AK293" s="199">
        <v>5</v>
      </c>
      <c r="AL293" s="151">
        <v>41709</v>
      </c>
      <c r="BE293" s="200">
        <v>5</v>
      </c>
      <c r="BF293" s="201">
        <v>41555</v>
      </c>
      <c r="BG293" s="203">
        <v>-5.5</v>
      </c>
      <c r="BH293" s="151">
        <v>41842</v>
      </c>
      <c r="BM293" s="204">
        <v>65.7</v>
      </c>
      <c r="BN293" s="151">
        <v>41842</v>
      </c>
      <c r="BQ293" s="205">
        <v>9.6</v>
      </c>
      <c r="BR293" s="151">
        <v>41842</v>
      </c>
      <c r="BS293" s="206">
        <v>49.1</v>
      </c>
      <c r="BT293" s="151">
        <v>41842</v>
      </c>
      <c r="BU293" s="207">
        <v>12.5</v>
      </c>
      <c r="BV293" s="151">
        <v>41842</v>
      </c>
      <c r="BW293" s="206">
        <v>16.5</v>
      </c>
      <c r="BX293" s="151">
        <v>41842</v>
      </c>
      <c r="BY293" s="210">
        <v>7.04</v>
      </c>
      <c r="BZ293" s="151">
        <v>41842</v>
      </c>
      <c r="CA293" s="206">
        <v>29.8</v>
      </c>
      <c r="CB293" s="151">
        <v>41842</v>
      </c>
      <c r="CC293" s="208">
        <v>6.1</v>
      </c>
      <c r="CD293" s="151">
        <v>41838</v>
      </c>
      <c r="CL293" s="209">
        <v>3</v>
      </c>
      <c r="CM293" s="201">
        <v>41810</v>
      </c>
    </row>
    <row r="294" spans="1:91" ht="15">
      <c r="A294" s="152" t="s">
        <v>7935</v>
      </c>
      <c r="B294" s="110" t="s">
        <v>233</v>
      </c>
      <c r="C294" s="110" t="s">
        <v>381</v>
      </c>
      <c r="D294" s="110">
        <v>11004</v>
      </c>
      <c r="E294" s="111">
        <v>2</v>
      </c>
      <c r="F294" s="111">
        <v>493</v>
      </c>
      <c r="I294" s="373"/>
      <c r="K294" s="194">
        <v>5</v>
      </c>
      <c r="L294" s="151">
        <v>41701</v>
      </c>
      <c r="M294" s="169">
        <v>3.35</v>
      </c>
      <c r="N294" s="151">
        <v>41838</v>
      </c>
      <c r="Q294" s="497"/>
      <c r="S294" s="134">
        <v>11.26</v>
      </c>
      <c r="T294" s="151">
        <v>41842</v>
      </c>
      <c r="U294" s="194">
        <v>13.5</v>
      </c>
      <c r="V294" s="151">
        <v>41838</v>
      </c>
      <c r="W294" s="196">
        <v>9</v>
      </c>
      <c r="X294" s="151">
        <v>41829</v>
      </c>
      <c r="Y294" s="134">
        <f t="shared" si="4"/>
        <v>3.9940800000000003</v>
      </c>
      <c r="AA294" s="194"/>
      <c r="AC294" s="194">
        <v>24.81</v>
      </c>
      <c r="AD294" s="151">
        <v>41838</v>
      </c>
      <c r="AE294" s="137">
        <v>25.44</v>
      </c>
      <c r="AF294" s="151">
        <v>41838</v>
      </c>
      <c r="AG294" s="197">
        <v>4.5999999999999996</v>
      </c>
      <c r="AH294" s="151">
        <v>41843</v>
      </c>
      <c r="AI294" s="198">
        <v>5</v>
      </c>
      <c r="AJ294" s="151">
        <v>41778</v>
      </c>
      <c r="AK294" s="199">
        <v>5</v>
      </c>
      <c r="AL294" s="151">
        <v>41709</v>
      </c>
      <c r="AM294" s="194"/>
      <c r="BE294" s="200">
        <v>5</v>
      </c>
      <c r="BF294" s="201">
        <v>41555</v>
      </c>
      <c r="BG294" s="203">
        <v>0.5</v>
      </c>
      <c r="BH294" s="151">
        <v>41842</v>
      </c>
      <c r="BM294" s="204">
        <v>62.1</v>
      </c>
      <c r="BN294" s="151">
        <v>41842</v>
      </c>
      <c r="BQ294" s="205">
        <v>11.4</v>
      </c>
      <c r="BR294" s="151">
        <v>41842</v>
      </c>
      <c r="BS294" s="206">
        <v>44.3</v>
      </c>
      <c r="BT294" s="151">
        <v>41842</v>
      </c>
      <c r="BU294" s="207">
        <v>15.7</v>
      </c>
      <c r="BV294" s="151">
        <v>41842</v>
      </c>
      <c r="BW294" s="206">
        <v>10.7</v>
      </c>
      <c r="BX294" s="151">
        <v>41842</v>
      </c>
      <c r="BY294" s="210">
        <v>7.76</v>
      </c>
      <c r="BZ294" s="151">
        <v>41842</v>
      </c>
      <c r="CA294" s="206">
        <v>33.6</v>
      </c>
      <c r="CB294" s="151">
        <v>41842</v>
      </c>
      <c r="CC294" s="208">
        <v>6.7</v>
      </c>
      <c r="CD294" s="151">
        <v>41838</v>
      </c>
      <c r="CL294" s="209">
        <v>3</v>
      </c>
      <c r="CM294" s="201">
        <v>41810</v>
      </c>
    </row>
    <row r="295" spans="1:91" ht="15">
      <c r="A295" s="152" t="s">
        <v>7935</v>
      </c>
      <c r="B295" s="110" t="s">
        <v>235</v>
      </c>
      <c r="C295" s="110" t="s">
        <v>8082</v>
      </c>
      <c r="D295" s="110">
        <v>11494</v>
      </c>
      <c r="E295" s="111">
        <v>3</v>
      </c>
      <c r="F295" s="111">
        <v>729</v>
      </c>
      <c r="K295" s="191">
        <v>3</v>
      </c>
      <c r="L295" s="151">
        <v>41701</v>
      </c>
      <c r="M295" s="169">
        <v>3.7</v>
      </c>
      <c r="N295" s="151">
        <v>41838</v>
      </c>
      <c r="Q295" s="497"/>
      <c r="S295" s="134">
        <v>12.15</v>
      </c>
      <c r="T295" s="151">
        <v>41842</v>
      </c>
      <c r="U295" s="134">
        <v>13.5</v>
      </c>
      <c r="V295" s="151">
        <v>41838</v>
      </c>
      <c r="W295" s="196">
        <v>9</v>
      </c>
      <c r="X295" s="151">
        <v>41829</v>
      </c>
      <c r="Y295" s="134">
        <f t="shared" si="4"/>
        <v>4.8102300000000007</v>
      </c>
      <c r="AC295" s="134">
        <v>27.41</v>
      </c>
      <c r="AD295" s="151">
        <v>41838</v>
      </c>
      <c r="AE295" s="134">
        <v>28.13</v>
      </c>
      <c r="AF295" s="151">
        <v>41838</v>
      </c>
      <c r="AG295" s="197">
        <v>4.9000000000000004</v>
      </c>
      <c r="AH295" s="151">
        <v>41843</v>
      </c>
      <c r="AI295" s="198">
        <v>5</v>
      </c>
      <c r="AJ295" s="151">
        <v>41778</v>
      </c>
      <c r="AK295" s="199">
        <v>4</v>
      </c>
      <c r="AL295" s="151">
        <v>41709</v>
      </c>
      <c r="BE295" s="200">
        <v>4</v>
      </c>
      <c r="BF295" s="201">
        <v>41555</v>
      </c>
      <c r="BG295" s="203">
        <v>1.4</v>
      </c>
      <c r="BH295" s="151">
        <v>41842</v>
      </c>
      <c r="BM295" s="204">
        <v>61.8</v>
      </c>
      <c r="BN295" s="151">
        <v>41842</v>
      </c>
      <c r="BQ295" s="205">
        <v>11.4</v>
      </c>
      <c r="BR295" s="151">
        <v>41842</v>
      </c>
      <c r="BS295" s="206">
        <v>43.2</v>
      </c>
      <c r="BT295" s="151">
        <v>41842</v>
      </c>
      <c r="BU295" s="207">
        <v>17.100000000000001</v>
      </c>
      <c r="BV295" s="151">
        <v>41842</v>
      </c>
      <c r="BW295" s="206">
        <v>12</v>
      </c>
      <c r="BX295" s="151">
        <v>41842</v>
      </c>
      <c r="BY295" s="210">
        <v>7.86</v>
      </c>
      <c r="BZ295" s="151">
        <v>41842</v>
      </c>
      <c r="CA295" s="206">
        <v>35.799999999999997</v>
      </c>
      <c r="CB295" s="151">
        <v>41842</v>
      </c>
      <c r="CC295" s="208">
        <v>6.6</v>
      </c>
      <c r="CD295" s="151">
        <v>41838</v>
      </c>
      <c r="CL295" s="209">
        <v>3</v>
      </c>
      <c r="CM295" s="201">
        <v>41810</v>
      </c>
    </row>
    <row r="296" spans="1:91" ht="15">
      <c r="A296" s="152" t="s">
        <v>7935</v>
      </c>
      <c r="B296" s="110" t="s">
        <v>235</v>
      </c>
      <c r="C296" s="110" t="s">
        <v>8081</v>
      </c>
      <c r="D296" s="110">
        <v>11206</v>
      </c>
      <c r="E296" s="111">
        <v>7</v>
      </c>
      <c r="F296" s="111">
        <v>581</v>
      </c>
      <c r="K296" s="134">
        <v>5</v>
      </c>
      <c r="L296" s="151">
        <v>41701</v>
      </c>
      <c r="M296" s="169">
        <v>4.6500000000000004</v>
      </c>
      <c r="N296" s="151">
        <v>41838</v>
      </c>
      <c r="Q296" s="497"/>
      <c r="S296" s="134">
        <v>16.25</v>
      </c>
      <c r="T296" s="151">
        <v>41842</v>
      </c>
      <c r="U296" s="134">
        <v>13.5</v>
      </c>
      <c r="V296" s="151">
        <v>41838</v>
      </c>
      <c r="W296" s="196">
        <v>9</v>
      </c>
      <c r="X296" s="151">
        <v>41829</v>
      </c>
      <c r="Y296" s="134">
        <f t="shared" si="4"/>
        <v>5.3014199999999994</v>
      </c>
      <c r="AC296" s="134">
        <v>34.44</v>
      </c>
      <c r="AD296" s="151">
        <v>41838</v>
      </c>
      <c r="AE296" s="134">
        <v>35.58</v>
      </c>
      <c r="AF296" s="151">
        <v>41838</v>
      </c>
      <c r="AG296" s="197">
        <v>4.5</v>
      </c>
      <c r="AH296" s="151">
        <v>41843</v>
      </c>
      <c r="AI296" s="198">
        <v>5</v>
      </c>
      <c r="AJ296" s="151">
        <v>41778</v>
      </c>
      <c r="AK296" s="199">
        <v>4</v>
      </c>
      <c r="AL296" s="151">
        <v>41709</v>
      </c>
      <c r="BE296" s="200">
        <v>4</v>
      </c>
      <c r="BF296" s="201">
        <v>41555</v>
      </c>
      <c r="BG296" s="203">
        <v>3.3</v>
      </c>
      <c r="BH296" s="151">
        <v>41842</v>
      </c>
      <c r="BM296" s="204">
        <v>63.1</v>
      </c>
      <c r="BN296" s="151">
        <v>41842</v>
      </c>
      <c r="BQ296" s="205">
        <v>10.5</v>
      </c>
      <c r="BR296" s="151">
        <v>41842</v>
      </c>
      <c r="BS296" s="206">
        <v>45.7</v>
      </c>
      <c r="BT296" s="151">
        <v>41842</v>
      </c>
      <c r="BU296" s="207">
        <v>14.9</v>
      </c>
      <c r="BV296" s="151">
        <v>41842</v>
      </c>
      <c r="BW296" s="206">
        <v>10.6</v>
      </c>
      <c r="BX296" s="151">
        <v>41842</v>
      </c>
      <c r="BY296" s="210">
        <v>7.22</v>
      </c>
      <c r="BZ296" s="151">
        <v>41842</v>
      </c>
      <c r="CA296" s="206">
        <v>32.799999999999997</v>
      </c>
      <c r="CB296" s="151">
        <v>41842</v>
      </c>
      <c r="CC296" s="208">
        <v>6</v>
      </c>
      <c r="CD296" s="151">
        <v>41838</v>
      </c>
      <c r="CL296" s="209">
        <v>3</v>
      </c>
      <c r="CM296" s="201">
        <v>41810</v>
      </c>
    </row>
    <row r="297" spans="1:91" ht="15">
      <c r="A297" s="152" t="s">
        <v>7935</v>
      </c>
      <c r="B297" s="110" t="s">
        <v>233</v>
      </c>
      <c r="C297" s="110" t="s">
        <v>8083</v>
      </c>
      <c r="D297" s="110">
        <v>11698</v>
      </c>
      <c r="E297" s="111">
        <v>9</v>
      </c>
      <c r="F297" s="111">
        <v>681</v>
      </c>
      <c r="K297" s="191">
        <v>3</v>
      </c>
      <c r="L297" s="151">
        <v>41701</v>
      </c>
      <c r="M297" s="169">
        <v>2.5499999999999998</v>
      </c>
      <c r="N297" s="151">
        <v>41838</v>
      </c>
      <c r="Q297" s="497"/>
      <c r="S297" s="134">
        <v>8.68</v>
      </c>
      <c r="T297" s="151">
        <v>41842</v>
      </c>
      <c r="U297" s="134">
        <v>13.5</v>
      </c>
      <c r="V297" s="151">
        <v>41838</v>
      </c>
      <c r="W297" s="196">
        <v>9</v>
      </c>
      <c r="X297" s="151">
        <v>41829</v>
      </c>
      <c r="Y297" s="134">
        <f t="shared" si="4"/>
        <v>2.9697300000000002</v>
      </c>
      <c r="AC297" s="134">
        <v>18.89</v>
      </c>
      <c r="AD297" s="151">
        <v>41838</v>
      </c>
      <c r="AE297" s="134">
        <v>19.41</v>
      </c>
      <c r="AF297" s="151">
        <v>41838</v>
      </c>
      <c r="AG297" s="197">
        <v>4.7</v>
      </c>
      <c r="AH297" s="151">
        <v>41843</v>
      </c>
      <c r="AI297" s="198">
        <v>3</v>
      </c>
      <c r="AJ297" s="151">
        <v>41778</v>
      </c>
      <c r="AK297" s="199">
        <v>4</v>
      </c>
      <c r="AL297" s="151">
        <v>41709</v>
      </c>
      <c r="BE297" s="200">
        <v>4</v>
      </c>
      <c r="BF297" s="201">
        <v>41555</v>
      </c>
      <c r="BG297" s="203">
        <v>-4.5</v>
      </c>
      <c r="BH297" s="151">
        <v>41842</v>
      </c>
      <c r="BM297" s="204">
        <v>62.4</v>
      </c>
      <c r="BN297" s="151">
        <v>41842</v>
      </c>
      <c r="BQ297" s="205">
        <v>11.1</v>
      </c>
      <c r="BR297" s="151">
        <v>41842</v>
      </c>
      <c r="BS297" s="206">
        <v>44.7</v>
      </c>
      <c r="BT297" s="151">
        <v>41842</v>
      </c>
      <c r="BU297" s="207">
        <v>15.3</v>
      </c>
      <c r="BV297" s="151">
        <v>41842</v>
      </c>
      <c r="BW297" s="206">
        <v>11.8</v>
      </c>
      <c r="BX297" s="151">
        <v>41842</v>
      </c>
      <c r="BY297" s="210">
        <v>7.77</v>
      </c>
      <c r="BZ297" s="151">
        <v>41842</v>
      </c>
      <c r="CA297" s="206">
        <v>33.1</v>
      </c>
      <c r="CB297" s="151">
        <v>41842</v>
      </c>
      <c r="CC297" s="208">
        <v>6.5</v>
      </c>
      <c r="CD297" s="151">
        <v>41838</v>
      </c>
      <c r="CL297" s="209">
        <v>3</v>
      </c>
      <c r="CM297" s="201">
        <v>41810</v>
      </c>
    </row>
    <row r="298" spans="1:91" ht="15">
      <c r="A298" s="152" t="s">
        <v>7936</v>
      </c>
      <c r="B298" s="110" t="s">
        <v>235</v>
      </c>
      <c r="C298" s="110" t="s">
        <v>8082</v>
      </c>
      <c r="D298" s="110">
        <v>11502</v>
      </c>
      <c r="E298" s="111">
        <v>3</v>
      </c>
      <c r="F298" s="111">
        <v>761</v>
      </c>
      <c r="K298" s="134">
        <v>5</v>
      </c>
      <c r="L298" s="151">
        <v>41701</v>
      </c>
      <c r="M298" s="169">
        <v>5.55</v>
      </c>
      <c r="N298" s="151">
        <v>41838</v>
      </c>
      <c r="Q298" s="497"/>
      <c r="S298" s="134">
        <v>19.91</v>
      </c>
      <c r="T298" s="151">
        <v>41842</v>
      </c>
      <c r="U298" s="134">
        <v>13.5</v>
      </c>
      <c r="V298" s="151">
        <v>41838</v>
      </c>
      <c r="W298" s="196">
        <v>9</v>
      </c>
      <c r="X298" s="151">
        <v>41829</v>
      </c>
      <c r="Y298" s="134">
        <f t="shared" si="4"/>
        <v>5.871360000000001</v>
      </c>
      <c r="AC298" s="134">
        <v>41.11</v>
      </c>
      <c r="AD298" s="151">
        <v>41838</v>
      </c>
      <c r="AE298" s="134">
        <v>42.24</v>
      </c>
      <c r="AF298" s="151">
        <v>41838</v>
      </c>
      <c r="AG298" s="197">
        <v>5.0999999999999996</v>
      </c>
      <c r="AH298" s="151">
        <v>41843</v>
      </c>
      <c r="AI298" s="198">
        <v>7</v>
      </c>
      <c r="AJ298" s="151">
        <v>41778</v>
      </c>
      <c r="AK298" s="199">
        <v>4</v>
      </c>
      <c r="AL298" s="151">
        <v>41709</v>
      </c>
      <c r="BE298" s="200">
        <v>4</v>
      </c>
      <c r="BF298" s="201">
        <v>41555</v>
      </c>
      <c r="BG298" s="203">
        <v>-3.1</v>
      </c>
      <c r="BH298" s="151">
        <v>41842</v>
      </c>
      <c r="BM298" s="204">
        <v>66.099999999999994</v>
      </c>
      <c r="BN298" s="151">
        <v>41842</v>
      </c>
      <c r="BQ298" s="205">
        <v>10.1</v>
      </c>
      <c r="BR298" s="151">
        <v>41842</v>
      </c>
      <c r="BS298" s="206">
        <v>47.1</v>
      </c>
      <c r="BT298" s="151">
        <v>41842</v>
      </c>
      <c r="BU298" s="207">
        <v>13.9</v>
      </c>
      <c r="BV298" s="151">
        <v>41842</v>
      </c>
      <c r="BW298" s="206">
        <v>13.6</v>
      </c>
      <c r="BX298" s="151">
        <v>41842</v>
      </c>
      <c r="BY298" s="210">
        <v>7.24</v>
      </c>
      <c r="BZ298" s="151">
        <v>41842</v>
      </c>
      <c r="CA298" s="206">
        <v>31.7</v>
      </c>
      <c r="CB298" s="151">
        <v>41842</v>
      </c>
      <c r="CC298" s="208">
        <v>6.5</v>
      </c>
      <c r="CD298" s="151">
        <v>41838</v>
      </c>
      <c r="CL298" s="209">
        <v>3</v>
      </c>
      <c r="CM298" s="201">
        <v>41810</v>
      </c>
    </row>
    <row r="299" spans="1:91" ht="15">
      <c r="A299" s="152" t="s">
        <v>7936</v>
      </c>
      <c r="B299" s="110" t="s">
        <v>233</v>
      </c>
      <c r="C299" s="110" t="s">
        <v>381</v>
      </c>
      <c r="D299" s="110">
        <v>11123</v>
      </c>
      <c r="E299" s="111">
        <v>5</v>
      </c>
      <c r="F299" s="111">
        <v>537</v>
      </c>
      <c r="K299" s="134">
        <v>5</v>
      </c>
      <c r="L299" s="151">
        <v>41701</v>
      </c>
      <c r="M299" s="169">
        <v>3.4</v>
      </c>
      <c r="N299" s="151">
        <v>41838</v>
      </c>
      <c r="Q299" s="497"/>
      <c r="S299" s="134">
        <v>12.65</v>
      </c>
      <c r="T299" s="151">
        <v>41842</v>
      </c>
      <c r="U299" s="134">
        <v>13.5</v>
      </c>
      <c r="V299" s="151">
        <v>41838</v>
      </c>
      <c r="W299" s="196">
        <v>9</v>
      </c>
      <c r="X299" s="151">
        <v>41829</v>
      </c>
      <c r="Y299" s="134">
        <f t="shared" si="4"/>
        <v>3.4335100000000001</v>
      </c>
      <c r="AC299" s="134">
        <v>25.19</v>
      </c>
      <c r="AD299" s="151">
        <v>41838</v>
      </c>
      <c r="AE299" s="134">
        <v>26.21</v>
      </c>
      <c r="AF299" s="151">
        <v>41838</v>
      </c>
      <c r="AG299" s="197">
        <v>4.7</v>
      </c>
      <c r="AH299" s="151">
        <v>41843</v>
      </c>
      <c r="AI299" s="198">
        <v>5</v>
      </c>
      <c r="AJ299" s="151">
        <v>41778</v>
      </c>
      <c r="AK299" s="199">
        <v>5</v>
      </c>
      <c r="AL299" s="151">
        <v>41709</v>
      </c>
      <c r="BE299" s="200">
        <v>5</v>
      </c>
      <c r="BF299" s="201">
        <v>41555</v>
      </c>
      <c r="BG299" s="203">
        <v>0.5</v>
      </c>
      <c r="BH299" s="151">
        <v>41842</v>
      </c>
      <c r="BM299" s="204">
        <v>67</v>
      </c>
      <c r="BN299" s="151">
        <v>41842</v>
      </c>
      <c r="BQ299" s="205">
        <v>9.8000000000000007</v>
      </c>
      <c r="BR299" s="151">
        <v>41842</v>
      </c>
      <c r="BS299" s="206">
        <v>48.3</v>
      </c>
      <c r="BT299" s="151">
        <v>41842</v>
      </c>
      <c r="BU299" s="207">
        <v>13.1</v>
      </c>
      <c r="BV299" s="151">
        <v>41842</v>
      </c>
      <c r="BW299" s="206">
        <v>19.3</v>
      </c>
      <c r="BX299" s="151">
        <v>41842</v>
      </c>
      <c r="BY299" s="210">
        <v>6.98</v>
      </c>
      <c r="BZ299" s="151">
        <v>41842</v>
      </c>
      <c r="CA299" s="206">
        <v>30.7</v>
      </c>
      <c r="CB299" s="151">
        <v>41842</v>
      </c>
      <c r="CC299" s="208">
        <v>5.3</v>
      </c>
      <c r="CD299" s="151">
        <v>41838</v>
      </c>
      <c r="CL299" s="209">
        <v>3</v>
      </c>
      <c r="CM299" s="201">
        <v>41810</v>
      </c>
    </row>
    <row r="300" spans="1:91" ht="15">
      <c r="A300" s="152" t="s">
        <v>7936</v>
      </c>
      <c r="B300" s="110" t="s">
        <v>235</v>
      </c>
      <c r="C300" s="110" t="s">
        <v>8081</v>
      </c>
      <c r="D300" s="110">
        <v>11209</v>
      </c>
      <c r="E300" s="111">
        <v>7</v>
      </c>
      <c r="F300" s="111">
        <v>593</v>
      </c>
      <c r="K300" s="134">
        <v>5</v>
      </c>
      <c r="L300" s="151">
        <v>41701</v>
      </c>
      <c r="M300" s="169">
        <v>5.05</v>
      </c>
      <c r="N300" s="151">
        <v>41838</v>
      </c>
      <c r="Q300" s="497"/>
      <c r="S300" s="134">
        <v>18.59</v>
      </c>
      <c r="T300" s="151">
        <v>41842</v>
      </c>
      <c r="U300" s="134">
        <v>13.5</v>
      </c>
      <c r="V300" s="151">
        <v>41838</v>
      </c>
      <c r="W300" s="196">
        <v>9</v>
      </c>
      <c r="X300" s="151">
        <v>41829</v>
      </c>
      <c r="Y300" s="134">
        <f t="shared" si="4"/>
        <v>5.1831199999999997</v>
      </c>
      <c r="AC300" s="134">
        <v>37.409999999999997</v>
      </c>
      <c r="AD300" s="151">
        <v>41838</v>
      </c>
      <c r="AE300" s="134">
        <v>38.68</v>
      </c>
      <c r="AF300" s="151">
        <v>41838</v>
      </c>
      <c r="AG300" s="197">
        <v>4.7</v>
      </c>
      <c r="AH300" s="151">
        <v>41843</v>
      </c>
      <c r="AI300" s="198">
        <v>7</v>
      </c>
      <c r="AJ300" s="151">
        <v>41778</v>
      </c>
      <c r="AK300" s="199">
        <v>4</v>
      </c>
      <c r="AL300" s="151">
        <v>41709</v>
      </c>
      <c r="BE300" s="200">
        <v>4</v>
      </c>
      <c r="BF300" s="201">
        <v>41555</v>
      </c>
      <c r="BG300" s="203">
        <v>2.2999999999999998</v>
      </c>
      <c r="BH300" s="151">
        <v>41842</v>
      </c>
      <c r="BM300" s="204">
        <v>66.900000000000006</v>
      </c>
      <c r="BN300" s="151">
        <v>41842</v>
      </c>
      <c r="BQ300" s="205">
        <v>9.4</v>
      </c>
      <c r="BR300" s="151">
        <v>41842</v>
      </c>
      <c r="BS300" s="206">
        <v>48.1</v>
      </c>
      <c r="BT300" s="151">
        <v>41842</v>
      </c>
      <c r="BU300" s="207">
        <v>13.4</v>
      </c>
      <c r="BV300" s="151">
        <v>41842</v>
      </c>
      <c r="BW300" s="206">
        <v>18</v>
      </c>
      <c r="BX300" s="151">
        <v>41842</v>
      </c>
      <c r="BY300" s="210">
        <v>6.95</v>
      </c>
      <c r="BZ300" s="151">
        <v>41842</v>
      </c>
      <c r="CA300" s="206">
        <v>31.2</v>
      </c>
      <c r="CB300" s="151">
        <v>41842</v>
      </c>
      <c r="CC300" s="208">
        <v>5.9</v>
      </c>
      <c r="CD300" s="151">
        <v>41838</v>
      </c>
      <c r="CL300" s="209">
        <v>5</v>
      </c>
      <c r="CM300" s="201">
        <v>41810</v>
      </c>
    </row>
    <row r="301" spans="1:91" ht="15">
      <c r="A301" s="152" t="s">
        <v>7936</v>
      </c>
      <c r="B301" s="110" t="s">
        <v>233</v>
      </c>
      <c r="C301" s="110" t="s">
        <v>8083</v>
      </c>
      <c r="D301" s="110">
        <v>11628</v>
      </c>
      <c r="E301" s="111">
        <v>7</v>
      </c>
      <c r="F301" s="111">
        <v>689</v>
      </c>
      <c r="K301" s="134">
        <v>5</v>
      </c>
      <c r="L301" s="151">
        <v>41701</v>
      </c>
      <c r="M301" s="169">
        <v>3.7</v>
      </c>
      <c r="N301" s="151">
        <v>41838</v>
      </c>
      <c r="Q301" s="497"/>
      <c r="S301" s="134">
        <v>13.81</v>
      </c>
      <c r="T301" s="151">
        <v>41842</v>
      </c>
      <c r="U301" s="134">
        <v>13.5</v>
      </c>
      <c r="V301" s="151">
        <v>41838</v>
      </c>
      <c r="W301" s="196">
        <v>9</v>
      </c>
      <c r="X301" s="151">
        <v>41829</v>
      </c>
      <c r="Y301" s="134">
        <f t="shared" si="4"/>
        <v>3.55</v>
      </c>
      <c r="AC301" s="134">
        <v>27.41</v>
      </c>
      <c r="AD301" s="151">
        <v>41838</v>
      </c>
      <c r="AE301" s="134">
        <v>28.4</v>
      </c>
      <c r="AF301" s="151">
        <v>41838</v>
      </c>
      <c r="AG301" s="197">
        <v>5.0999999999999996</v>
      </c>
      <c r="AH301" s="151">
        <v>41843</v>
      </c>
      <c r="AI301" s="198">
        <v>5</v>
      </c>
      <c r="AJ301" s="151">
        <v>41778</v>
      </c>
      <c r="AK301" s="199">
        <v>4</v>
      </c>
      <c r="AL301" s="151">
        <v>41709</v>
      </c>
      <c r="BE301" s="200">
        <v>4</v>
      </c>
      <c r="BF301" s="201">
        <v>41555</v>
      </c>
      <c r="BG301" s="203">
        <v>-5.9</v>
      </c>
      <c r="BH301" s="151">
        <v>41842</v>
      </c>
      <c r="BM301" s="204">
        <v>66.3</v>
      </c>
      <c r="BN301" s="151">
        <v>41842</v>
      </c>
      <c r="BQ301" s="205">
        <v>9.6999999999999993</v>
      </c>
      <c r="BR301" s="151">
        <v>41842</v>
      </c>
      <c r="BS301" s="206">
        <v>48.6</v>
      </c>
      <c r="BT301" s="151">
        <v>41842</v>
      </c>
      <c r="BU301" s="207">
        <v>12.5</v>
      </c>
      <c r="BV301" s="151">
        <v>41842</v>
      </c>
      <c r="BW301" s="206">
        <v>13.8</v>
      </c>
      <c r="BX301" s="151">
        <v>41842</v>
      </c>
      <c r="BY301" s="210">
        <v>7.29</v>
      </c>
      <c r="BZ301" s="151">
        <v>41842</v>
      </c>
      <c r="CA301" s="206">
        <v>29.6</v>
      </c>
      <c r="CB301" s="151">
        <v>41842</v>
      </c>
      <c r="CC301" s="208">
        <v>5.7</v>
      </c>
      <c r="CD301" s="151">
        <v>41838</v>
      </c>
      <c r="CL301" s="209">
        <v>3</v>
      </c>
      <c r="CM301" s="201">
        <v>41810</v>
      </c>
    </row>
    <row r="302" spans="1:91" ht="15">
      <c r="A302" s="152" t="s">
        <v>7937</v>
      </c>
      <c r="B302" s="110" t="s">
        <v>235</v>
      </c>
      <c r="C302" s="110" t="s">
        <v>8082</v>
      </c>
      <c r="D302" s="110">
        <v>11410</v>
      </c>
      <c r="E302" s="111">
        <v>1</v>
      </c>
      <c r="F302" s="111">
        <v>681</v>
      </c>
      <c r="I302" s="373"/>
      <c r="K302" s="194">
        <v>5</v>
      </c>
      <c r="L302" s="151">
        <v>41701</v>
      </c>
      <c r="M302" s="169">
        <v>3.2</v>
      </c>
      <c r="N302" s="151">
        <v>41838</v>
      </c>
      <c r="Q302" s="497"/>
      <c r="S302" s="134">
        <v>11.25</v>
      </c>
      <c r="T302" s="151">
        <v>41842</v>
      </c>
      <c r="U302" s="194">
        <v>13.5</v>
      </c>
      <c r="V302" s="151">
        <v>41838</v>
      </c>
      <c r="W302" s="196">
        <v>1</v>
      </c>
      <c r="X302" s="151">
        <v>41829</v>
      </c>
      <c r="Y302" s="134">
        <f t="shared" si="4"/>
        <v>3.6082400000000003</v>
      </c>
      <c r="AA302" s="194"/>
      <c r="AC302" s="194">
        <v>23.7</v>
      </c>
      <c r="AD302" s="151">
        <v>41838</v>
      </c>
      <c r="AE302" s="137">
        <v>24.38</v>
      </c>
      <c r="AF302" s="151">
        <v>41838</v>
      </c>
      <c r="AG302" s="197">
        <v>5</v>
      </c>
      <c r="AH302" s="151">
        <v>41843</v>
      </c>
      <c r="AI302" s="198">
        <v>3</v>
      </c>
      <c r="AJ302" s="151">
        <v>41778</v>
      </c>
      <c r="AK302" s="199">
        <v>7</v>
      </c>
      <c r="AL302" s="151">
        <v>41709</v>
      </c>
      <c r="AM302" s="194"/>
      <c r="BE302" s="200">
        <v>7</v>
      </c>
      <c r="BF302" s="201">
        <v>41555</v>
      </c>
      <c r="BG302" s="203">
        <v>12</v>
      </c>
      <c r="BH302" s="151">
        <v>41842</v>
      </c>
      <c r="BM302" s="204">
        <v>68.400000000000006</v>
      </c>
      <c r="BN302" s="151">
        <v>41842</v>
      </c>
      <c r="BQ302" s="205">
        <v>7.7</v>
      </c>
      <c r="BR302" s="151">
        <v>41842</v>
      </c>
      <c r="BS302" s="206">
        <v>46.1</v>
      </c>
      <c r="BT302" s="151">
        <v>41842</v>
      </c>
      <c r="BU302" s="207">
        <v>14.8</v>
      </c>
      <c r="BV302" s="151">
        <v>41842</v>
      </c>
      <c r="BW302" s="206">
        <v>33.4</v>
      </c>
      <c r="BX302" s="151">
        <v>41842</v>
      </c>
      <c r="BY302" s="210">
        <v>7.26</v>
      </c>
      <c r="BZ302" s="151">
        <v>41842</v>
      </c>
      <c r="CA302" s="206">
        <v>32.9</v>
      </c>
      <c r="CB302" s="151">
        <v>41842</v>
      </c>
      <c r="CC302" s="208">
        <v>6.4</v>
      </c>
      <c r="CD302" s="151">
        <v>41838</v>
      </c>
      <c r="CL302" s="209">
        <v>7</v>
      </c>
      <c r="CM302" s="201">
        <v>41810</v>
      </c>
    </row>
    <row r="303" spans="1:91" ht="15">
      <c r="A303" s="152" t="s">
        <v>7937</v>
      </c>
      <c r="B303" s="110" t="s">
        <v>233</v>
      </c>
      <c r="C303" s="110" t="s">
        <v>381</v>
      </c>
      <c r="D303" s="110">
        <v>11061</v>
      </c>
      <c r="E303" s="111">
        <v>3</v>
      </c>
      <c r="F303" s="111">
        <v>577</v>
      </c>
      <c r="K303" s="134">
        <v>5</v>
      </c>
      <c r="L303" s="151">
        <v>41701</v>
      </c>
      <c r="M303" s="169">
        <v>3.1</v>
      </c>
      <c r="N303" s="151">
        <v>41838</v>
      </c>
      <c r="Q303" s="497"/>
      <c r="S303" s="134">
        <v>11.49</v>
      </c>
      <c r="T303" s="151">
        <v>41842</v>
      </c>
      <c r="U303" s="134">
        <v>13.5</v>
      </c>
      <c r="V303" s="151">
        <v>41838</v>
      </c>
      <c r="W303" s="196">
        <v>1</v>
      </c>
      <c r="X303" s="151">
        <v>41829</v>
      </c>
      <c r="Y303" s="134">
        <f t="shared" si="4"/>
        <v>3.3515699999999997</v>
      </c>
      <c r="AC303" s="134">
        <v>22.96</v>
      </c>
      <c r="AD303" s="151">
        <v>41838</v>
      </c>
      <c r="AE303" s="134">
        <v>23.77</v>
      </c>
      <c r="AF303" s="151">
        <v>41838</v>
      </c>
      <c r="AG303" s="197">
        <v>4.8</v>
      </c>
      <c r="AH303" s="151">
        <v>41843</v>
      </c>
      <c r="AI303" s="198">
        <v>7</v>
      </c>
      <c r="AJ303" s="151">
        <v>41778</v>
      </c>
      <c r="AK303" s="199">
        <v>7</v>
      </c>
      <c r="AL303" s="151">
        <v>41709</v>
      </c>
      <c r="BE303" s="200">
        <v>7</v>
      </c>
      <c r="BF303" s="201">
        <v>41555</v>
      </c>
      <c r="BG303" s="203">
        <v>25.3</v>
      </c>
      <c r="BH303" s="151">
        <v>41842</v>
      </c>
      <c r="BM303" s="204">
        <v>69</v>
      </c>
      <c r="BN303" s="151">
        <v>41842</v>
      </c>
      <c r="BQ303" s="205">
        <v>6.9</v>
      </c>
      <c r="BR303" s="151">
        <v>41842</v>
      </c>
      <c r="BS303" s="206">
        <v>48.3</v>
      </c>
      <c r="BT303" s="151">
        <v>41842</v>
      </c>
      <c r="BU303" s="207">
        <v>14.1</v>
      </c>
      <c r="BV303" s="151">
        <v>41842</v>
      </c>
      <c r="BW303" s="206">
        <v>44.3</v>
      </c>
      <c r="BX303" s="151">
        <v>41842</v>
      </c>
      <c r="BY303" s="210">
        <v>6.97</v>
      </c>
      <c r="BZ303" s="151">
        <v>41842</v>
      </c>
      <c r="CA303" s="206">
        <v>33.1</v>
      </c>
      <c r="CB303" s="151">
        <v>41842</v>
      </c>
      <c r="CC303" s="208">
        <v>5.8</v>
      </c>
      <c r="CD303" s="151">
        <v>41838</v>
      </c>
      <c r="CL303" s="209">
        <v>7</v>
      </c>
      <c r="CM303" s="201">
        <v>41810</v>
      </c>
    </row>
    <row r="304" spans="1:91" ht="15">
      <c r="A304" s="152" t="s">
        <v>7937</v>
      </c>
      <c r="B304" s="110" t="s">
        <v>235</v>
      </c>
      <c r="C304" s="110" t="s">
        <v>8081</v>
      </c>
      <c r="D304" s="110">
        <v>11254</v>
      </c>
      <c r="E304" s="111">
        <v>9</v>
      </c>
      <c r="F304" s="111">
        <v>485</v>
      </c>
      <c r="K304" s="134">
        <v>5</v>
      </c>
      <c r="L304" s="151">
        <v>41701</v>
      </c>
      <c r="M304" s="169">
        <v>3.65</v>
      </c>
      <c r="N304" s="151">
        <v>41838</v>
      </c>
      <c r="Q304" s="497"/>
      <c r="S304" s="134">
        <v>13.35</v>
      </c>
      <c r="T304" s="151">
        <v>41842</v>
      </c>
      <c r="U304" s="134">
        <v>13.5</v>
      </c>
      <c r="V304" s="151">
        <v>41838</v>
      </c>
      <c r="W304" s="196">
        <v>9</v>
      </c>
      <c r="X304" s="151">
        <v>41829</v>
      </c>
      <c r="Y304" s="134">
        <f t="shared" si="4"/>
        <v>3.8849999999999998</v>
      </c>
      <c r="AC304" s="134">
        <v>27.04</v>
      </c>
      <c r="AD304" s="151">
        <v>41838</v>
      </c>
      <c r="AE304" s="134">
        <v>27.75</v>
      </c>
      <c r="AF304" s="151">
        <v>41838</v>
      </c>
      <c r="AG304" s="197">
        <v>4.9000000000000004</v>
      </c>
      <c r="AH304" s="151">
        <v>41843</v>
      </c>
      <c r="AI304" s="198">
        <v>5</v>
      </c>
      <c r="AJ304" s="151">
        <v>41778</v>
      </c>
      <c r="AK304" s="199">
        <v>5</v>
      </c>
      <c r="AL304" s="151">
        <v>41709</v>
      </c>
      <c r="BE304" s="200">
        <v>5</v>
      </c>
      <c r="BF304" s="201">
        <v>41555</v>
      </c>
      <c r="BG304" s="203">
        <v>19.100000000000001</v>
      </c>
      <c r="BH304" s="151">
        <v>41842</v>
      </c>
      <c r="BM304" s="204">
        <v>69.8</v>
      </c>
      <c r="BN304" s="151">
        <v>41842</v>
      </c>
      <c r="BQ304" s="205">
        <v>6.4</v>
      </c>
      <c r="BR304" s="151">
        <v>41842</v>
      </c>
      <c r="BS304" s="206">
        <v>48.1</v>
      </c>
      <c r="BT304" s="151">
        <v>41842</v>
      </c>
      <c r="BU304" s="207">
        <v>14</v>
      </c>
      <c r="BV304" s="151">
        <v>41842</v>
      </c>
      <c r="BW304" s="206">
        <v>34.4</v>
      </c>
      <c r="BX304" s="151">
        <v>41842</v>
      </c>
      <c r="BY304" s="210">
        <v>7.03</v>
      </c>
      <c r="BZ304" s="151">
        <v>41842</v>
      </c>
      <c r="CA304" s="206">
        <v>32.5</v>
      </c>
      <c r="CB304" s="151">
        <v>41842</v>
      </c>
      <c r="CC304" s="208">
        <v>6.6</v>
      </c>
      <c r="CD304" s="151">
        <v>41838</v>
      </c>
      <c r="CL304" s="209">
        <v>5</v>
      </c>
      <c r="CM304" s="201">
        <v>41810</v>
      </c>
    </row>
    <row r="305" spans="1:91" ht="15">
      <c r="A305" s="152" t="s">
        <v>7937</v>
      </c>
      <c r="B305" s="110" t="s">
        <v>233</v>
      </c>
      <c r="C305" s="110" t="s">
        <v>8083</v>
      </c>
      <c r="D305" s="110">
        <v>11784</v>
      </c>
      <c r="E305" s="111">
        <v>11</v>
      </c>
      <c r="F305" s="111">
        <v>737</v>
      </c>
      <c r="K305" s="134">
        <v>5</v>
      </c>
      <c r="L305" s="151">
        <v>41701</v>
      </c>
      <c r="M305" s="169">
        <v>2.95</v>
      </c>
      <c r="N305" s="151">
        <v>41838</v>
      </c>
      <c r="Q305" s="497"/>
      <c r="S305" s="134">
        <v>11.02</v>
      </c>
      <c r="T305" s="151">
        <v>41842</v>
      </c>
      <c r="U305" s="134">
        <v>13.5</v>
      </c>
      <c r="V305" s="151">
        <v>41838</v>
      </c>
      <c r="W305" s="196">
        <v>1</v>
      </c>
      <c r="X305" s="151">
        <v>41829</v>
      </c>
      <c r="Y305" s="134">
        <f t="shared" si="4"/>
        <v>2.8511499999999996</v>
      </c>
      <c r="AC305" s="134">
        <v>21.85</v>
      </c>
      <c r="AD305" s="151">
        <v>41838</v>
      </c>
      <c r="AE305" s="134">
        <v>22.45</v>
      </c>
      <c r="AF305" s="151">
        <v>41838</v>
      </c>
      <c r="AG305" s="197">
        <v>4.8</v>
      </c>
      <c r="AH305" s="151">
        <v>41843</v>
      </c>
      <c r="AI305" s="198">
        <v>3</v>
      </c>
      <c r="AJ305" s="151">
        <v>41778</v>
      </c>
      <c r="AK305" s="199">
        <v>7</v>
      </c>
      <c r="AL305" s="151">
        <v>41709</v>
      </c>
      <c r="BE305" s="200">
        <v>7</v>
      </c>
      <c r="BF305" s="201">
        <v>41555</v>
      </c>
      <c r="BG305" s="203">
        <v>14.4</v>
      </c>
      <c r="BH305" s="151">
        <v>41842</v>
      </c>
      <c r="BM305" s="204">
        <v>69.599999999999994</v>
      </c>
      <c r="BN305" s="151">
        <v>41842</v>
      </c>
      <c r="BQ305" s="205">
        <v>6.5</v>
      </c>
      <c r="BR305" s="151">
        <v>41842</v>
      </c>
      <c r="BS305" s="206">
        <v>49.1</v>
      </c>
      <c r="BT305" s="151">
        <v>41842</v>
      </c>
      <c r="BU305" s="207">
        <v>12.7</v>
      </c>
      <c r="BV305" s="151">
        <v>41842</v>
      </c>
      <c r="BW305" s="206">
        <v>33</v>
      </c>
      <c r="BX305" s="151">
        <v>41842</v>
      </c>
      <c r="BY305" s="210">
        <v>7.15</v>
      </c>
      <c r="BZ305" s="151">
        <v>41842</v>
      </c>
      <c r="CA305" s="206">
        <v>30.3</v>
      </c>
      <c r="CB305" s="151">
        <v>41842</v>
      </c>
      <c r="CC305" s="208">
        <v>6.5</v>
      </c>
      <c r="CD305" s="151">
        <v>41838</v>
      </c>
      <c r="CL305" s="209">
        <v>7</v>
      </c>
      <c r="CM305" s="201">
        <v>41810</v>
      </c>
    </row>
    <row r="306" spans="1:91" ht="15">
      <c r="A306" s="152" t="s">
        <v>7938</v>
      </c>
      <c r="B306" s="110" t="s">
        <v>233</v>
      </c>
      <c r="C306" s="110" t="s">
        <v>381</v>
      </c>
      <c r="D306" s="110">
        <v>11018</v>
      </c>
      <c r="E306" s="111">
        <v>2</v>
      </c>
      <c r="F306" s="111">
        <v>549</v>
      </c>
      <c r="I306" s="373"/>
      <c r="K306" s="194">
        <v>5</v>
      </c>
      <c r="L306" s="151">
        <v>41701</v>
      </c>
      <c r="M306" s="169">
        <v>4.5</v>
      </c>
      <c r="N306" s="151">
        <v>41838</v>
      </c>
      <c r="Q306" s="497"/>
      <c r="S306" s="134">
        <v>16.28</v>
      </c>
      <c r="T306" s="151">
        <v>41842</v>
      </c>
      <c r="U306" s="194">
        <v>13.5</v>
      </c>
      <c r="V306" s="151">
        <v>41838</v>
      </c>
      <c r="W306" s="196">
        <v>9</v>
      </c>
      <c r="X306" s="151">
        <v>41829</v>
      </c>
      <c r="Y306" s="134">
        <f t="shared" si="4"/>
        <v>4.6933599999999993</v>
      </c>
      <c r="AA306" s="194"/>
      <c r="AC306" s="194">
        <v>33.33</v>
      </c>
      <c r="AD306" s="151">
        <v>41838</v>
      </c>
      <c r="AE306" s="137">
        <v>34.51</v>
      </c>
      <c r="AF306" s="151">
        <v>41838</v>
      </c>
      <c r="AG306" s="197">
        <v>5</v>
      </c>
      <c r="AH306" s="151">
        <v>41843</v>
      </c>
      <c r="AI306" s="198">
        <v>5</v>
      </c>
      <c r="AJ306" s="151">
        <v>41778</v>
      </c>
      <c r="AK306" s="199">
        <v>5</v>
      </c>
      <c r="AL306" s="151">
        <v>41709</v>
      </c>
      <c r="AM306" s="194"/>
      <c r="BE306" s="200">
        <v>5</v>
      </c>
      <c r="BF306" s="201">
        <v>41555</v>
      </c>
      <c r="BG306" s="203">
        <v>-4.9000000000000004</v>
      </c>
      <c r="BH306" s="151">
        <v>41842</v>
      </c>
      <c r="BM306" s="204">
        <v>64.8</v>
      </c>
      <c r="BN306" s="151">
        <v>41842</v>
      </c>
      <c r="BQ306" s="205">
        <v>10.8</v>
      </c>
      <c r="BR306" s="151">
        <v>41842</v>
      </c>
      <c r="BS306" s="206">
        <v>47.2</v>
      </c>
      <c r="BT306" s="151">
        <v>41842</v>
      </c>
      <c r="BU306" s="207">
        <v>13.6</v>
      </c>
      <c r="BV306" s="151">
        <v>41842</v>
      </c>
      <c r="BW306" s="206">
        <v>14.6</v>
      </c>
      <c r="BX306" s="151">
        <v>41842</v>
      </c>
      <c r="BY306" s="210">
        <v>6.96</v>
      </c>
      <c r="BZ306" s="151">
        <v>41842</v>
      </c>
      <c r="CA306" s="206">
        <v>30.9</v>
      </c>
      <c r="CB306" s="151">
        <v>41842</v>
      </c>
      <c r="CC306" s="208">
        <v>5.8</v>
      </c>
      <c r="CD306" s="151">
        <v>41838</v>
      </c>
      <c r="CL306" s="209">
        <v>3</v>
      </c>
      <c r="CM306" s="201">
        <v>41810</v>
      </c>
    </row>
    <row r="307" spans="1:91" ht="15">
      <c r="A307" s="152" t="s">
        <v>7938</v>
      </c>
      <c r="B307" s="110" t="s">
        <v>235</v>
      </c>
      <c r="C307" s="110" t="s">
        <v>8082</v>
      </c>
      <c r="D307" s="110">
        <v>11436</v>
      </c>
      <c r="E307" s="111">
        <v>2</v>
      </c>
      <c r="F307" s="111">
        <v>641</v>
      </c>
      <c r="K307" s="134">
        <v>5</v>
      </c>
      <c r="L307" s="151">
        <v>41701</v>
      </c>
      <c r="M307" s="169">
        <v>5.4</v>
      </c>
      <c r="N307" s="151">
        <v>41838</v>
      </c>
      <c r="Q307" s="497"/>
      <c r="S307" s="134">
        <v>19.64</v>
      </c>
      <c r="T307" s="151">
        <v>41842</v>
      </c>
      <c r="U307" s="134">
        <v>13.5</v>
      </c>
      <c r="V307" s="151">
        <v>41838</v>
      </c>
      <c r="W307" s="196">
        <v>9</v>
      </c>
      <c r="X307" s="151">
        <v>41829</v>
      </c>
      <c r="Y307" s="134">
        <f t="shared" si="4"/>
        <v>5.7671099999999997</v>
      </c>
      <c r="AC307" s="134">
        <v>40</v>
      </c>
      <c r="AD307" s="151">
        <v>41838</v>
      </c>
      <c r="AE307" s="134">
        <v>41.49</v>
      </c>
      <c r="AF307" s="151">
        <v>41838</v>
      </c>
      <c r="AG307" s="197">
        <v>5.2</v>
      </c>
      <c r="AH307" s="151">
        <v>41843</v>
      </c>
      <c r="AI307" s="198">
        <v>7</v>
      </c>
      <c r="AJ307" s="151">
        <v>41778</v>
      </c>
      <c r="AK307" s="199">
        <v>4</v>
      </c>
      <c r="AL307" s="151">
        <v>41709</v>
      </c>
      <c r="BE307" s="200">
        <v>4</v>
      </c>
      <c r="BF307" s="201">
        <v>41555</v>
      </c>
      <c r="BG307" s="203">
        <v>-5</v>
      </c>
      <c r="BH307" s="151">
        <v>41842</v>
      </c>
      <c r="BM307" s="204">
        <v>64</v>
      </c>
      <c r="BN307" s="151">
        <v>41842</v>
      </c>
      <c r="BQ307" s="205">
        <v>10.7</v>
      </c>
      <c r="BR307" s="151">
        <v>41842</v>
      </c>
      <c r="BS307" s="206">
        <v>47.3</v>
      </c>
      <c r="BT307" s="151">
        <v>41842</v>
      </c>
      <c r="BU307" s="207">
        <v>13.9</v>
      </c>
      <c r="BV307" s="151">
        <v>41842</v>
      </c>
      <c r="BW307" s="206">
        <v>11.3</v>
      </c>
      <c r="BX307" s="151">
        <v>41842</v>
      </c>
      <c r="BY307" s="210">
        <v>7.14</v>
      </c>
      <c r="BZ307" s="151">
        <v>41842</v>
      </c>
      <c r="CA307" s="206">
        <v>31.7</v>
      </c>
      <c r="CB307" s="151">
        <v>41842</v>
      </c>
      <c r="CC307" s="208">
        <v>5.6</v>
      </c>
      <c r="CD307" s="151">
        <v>41838</v>
      </c>
      <c r="CL307" s="209">
        <v>3</v>
      </c>
      <c r="CM307" s="201">
        <v>41810</v>
      </c>
    </row>
    <row r="308" spans="1:91" ht="15">
      <c r="A308" s="152" t="s">
        <v>7938</v>
      </c>
      <c r="B308" s="110" t="s">
        <v>235</v>
      </c>
      <c r="C308" s="110" t="s">
        <v>8081</v>
      </c>
      <c r="D308" s="110">
        <v>11184</v>
      </c>
      <c r="E308" s="111">
        <v>7</v>
      </c>
      <c r="F308" s="111">
        <v>493</v>
      </c>
      <c r="K308" s="134">
        <v>5</v>
      </c>
      <c r="L308" s="151">
        <v>41701</v>
      </c>
      <c r="M308" s="169">
        <v>5.3</v>
      </c>
      <c r="N308" s="151">
        <v>41838</v>
      </c>
      <c r="Q308" s="497"/>
      <c r="S308" s="134">
        <v>18.940000000000001</v>
      </c>
      <c r="T308" s="151">
        <v>41842</v>
      </c>
      <c r="U308" s="134">
        <v>13.5</v>
      </c>
      <c r="V308" s="151">
        <v>41838</v>
      </c>
      <c r="W308" s="196">
        <v>9</v>
      </c>
      <c r="X308" s="151">
        <v>41829</v>
      </c>
      <c r="Y308" s="134">
        <f t="shared" si="4"/>
        <v>5.607260000000001</v>
      </c>
      <c r="AC308" s="134">
        <v>39.26</v>
      </c>
      <c r="AD308" s="151">
        <v>41838</v>
      </c>
      <c r="AE308" s="134">
        <v>40.340000000000003</v>
      </c>
      <c r="AF308" s="151">
        <v>41838</v>
      </c>
      <c r="AG308" s="197">
        <v>5.2</v>
      </c>
      <c r="AH308" s="151">
        <v>41843</v>
      </c>
      <c r="AI308" s="198">
        <v>7</v>
      </c>
      <c r="AJ308" s="151">
        <v>41778</v>
      </c>
      <c r="AK308" s="199">
        <v>5</v>
      </c>
      <c r="AL308" s="151">
        <v>41709</v>
      </c>
      <c r="BE308" s="200">
        <v>5</v>
      </c>
      <c r="BF308" s="201">
        <v>41555</v>
      </c>
      <c r="BG308" s="203">
        <v>-3.5</v>
      </c>
      <c r="BH308" s="151">
        <v>41842</v>
      </c>
      <c r="BM308" s="204">
        <v>65.5</v>
      </c>
      <c r="BN308" s="151">
        <v>41842</v>
      </c>
      <c r="BQ308" s="205">
        <v>10.9</v>
      </c>
      <c r="BR308" s="151">
        <v>41842</v>
      </c>
      <c r="BS308" s="206">
        <v>47</v>
      </c>
      <c r="BT308" s="151">
        <v>41842</v>
      </c>
      <c r="BU308" s="207">
        <v>13.9</v>
      </c>
      <c r="BV308" s="151">
        <v>41842</v>
      </c>
      <c r="BW308" s="206">
        <v>11.5</v>
      </c>
      <c r="BX308" s="151">
        <v>41842</v>
      </c>
      <c r="BY308" s="210">
        <v>6.93</v>
      </c>
      <c r="BZ308" s="151">
        <v>41842</v>
      </c>
      <c r="CA308" s="206">
        <v>31.5</v>
      </c>
      <c r="CB308" s="151">
        <v>41842</v>
      </c>
      <c r="CC308" s="208">
        <v>6.5</v>
      </c>
      <c r="CD308" s="151">
        <v>41838</v>
      </c>
      <c r="CL308" s="209">
        <v>3</v>
      </c>
      <c r="CM308" s="201">
        <v>41810</v>
      </c>
    </row>
    <row r="309" spans="1:91" ht="15">
      <c r="A309" s="152" t="s">
        <v>7938</v>
      </c>
      <c r="B309" s="110" t="s">
        <v>233</v>
      </c>
      <c r="C309" s="110" t="s">
        <v>8083</v>
      </c>
      <c r="D309" s="110">
        <v>11643</v>
      </c>
      <c r="E309" s="111">
        <v>7</v>
      </c>
      <c r="F309" s="111">
        <v>749</v>
      </c>
      <c r="K309" s="134">
        <v>5</v>
      </c>
      <c r="L309" s="151">
        <v>41701</v>
      </c>
      <c r="M309" s="169">
        <v>4.0999999999999996</v>
      </c>
      <c r="N309" s="151">
        <v>41838</v>
      </c>
      <c r="Q309" s="497"/>
      <c r="S309" s="134">
        <v>15.02</v>
      </c>
      <c r="T309" s="151">
        <v>41842</v>
      </c>
      <c r="U309" s="134">
        <v>13.5</v>
      </c>
      <c r="V309" s="151">
        <v>41838</v>
      </c>
      <c r="W309" s="196">
        <v>9</v>
      </c>
      <c r="X309" s="151">
        <v>41829</v>
      </c>
      <c r="Y309" s="134">
        <f t="shared" si="4"/>
        <v>4.0963700000000003</v>
      </c>
      <c r="AC309" s="134">
        <v>30.37</v>
      </c>
      <c r="AD309" s="151">
        <v>41838</v>
      </c>
      <c r="AE309" s="134">
        <v>31.27</v>
      </c>
      <c r="AF309" s="151">
        <v>41838</v>
      </c>
      <c r="AG309" s="197">
        <v>5.5</v>
      </c>
      <c r="AH309" s="151">
        <v>41843</v>
      </c>
      <c r="AI309" s="198">
        <v>5</v>
      </c>
      <c r="AJ309" s="151">
        <v>41778</v>
      </c>
      <c r="AK309" s="199">
        <v>4</v>
      </c>
      <c r="AL309" s="151">
        <v>41709</v>
      </c>
      <c r="BE309" s="200">
        <v>4</v>
      </c>
      <c r="BF309" s="201">
        <v>41555</v>
      </c>
      <c r="BG309" s="203">
        <v>-7.3</v>
      </c>
      <c r="BH309" s="151">
        <v>41842</v>
      </c>
      <c r="BM309" s="204">
        <v>65</v>
      </c>
      <c r="BN309" s="151">
        <v>41842</v>
      </c>
      <c r="BQ309" s="205">
        <v>10.8</v>
      </c>
      <c r="BR309" s="151">
        <v>41842</v>
      </c>
      <c r="BS309" s="206">
        <v>48</v>
      </c>
      <c r="BT309" s="151">
        <v>41842</v>
      </c>
      <c r="BU309" s="207">
        <v>13.1</v>
      </c>
      <c r="BV309" s="151">
        <v>41842</v>
      </c>
      <c r="BW309" s="206">
        <v>10.1</v>
      </c>
      <c r="BX309" s="151">
        <v>41842</v>
      </c>
      <c r="BY309" s="210">
        <v>6.97</v>
      </c>
      <c r="BZ309" s="151">
        <v>41842</v>
      </c>
      <c r="CA309" s="206">
        <v>30.4</v>
      </c>
      <c r="CB309" s="151">
        <v>41842</v>
      </c>
      <c r="CC309" s="208">
        <v>6.3</v>
      </c>
      <c r="CD309" s="151">
        <v>41838</v>
      </c>
      <c r="CL309" s="209">
        <v>3</v>
      </c>
      <c r="CM309" s="201">
        <v>41810</v>
      </c>
    </row>
    <row r="310" spans="1:91" ht="15">
      <c r="A310" s="152" t="s">
        <v>7939</v>
      </c>
      <c r="B310" s="110" t="s">
        <v>233</v>
      </c>
      <c r="C310" s="110" t="s">
        <v>381</v>
      </c>
      <c r="D310" s="110">
        <v>10985</v>
      </c>
      <c r="E310" s="111">
        <v>1</v>
      </c>
      <c r="F310" s="111">
        <v>561</v>
      </c>
      <c r="I310" s="373"/>
      <c r="K310" s="194">
        <v>7</v>
      </c>
      <c r="L310" s="151">
        <v>41701</v>
      </c>
      <c r="M310" s="169">
        <v>4.1500000000000004</v>
      </c>
      <c r="N310" s="151">
        <v>41838</v>
      </c>
      <c r="Q310" s="497"/>
      <c r="S310" s="134">
        <v>15</v>
      </c>
      <c r="T310" s="151">
        <v>41842</v>
      </c>
      <c r="U310" s="194">
        <v>13.5</v>
      </c>
      <c r="V310" s="151">
        <v>41838</v>
      </c>
      <c r="W310" s="196">
        <v>1</v>
      </c>
      <c r="X310" s="151">
        <v>41829</v>
      </c>
      <c r="Y310" s="134">
        <f t="shared" si="4"/>
        <v>4.4922599999999999</v>
      </c>
      <c r="AA310" s="194"/>
      <c r="AC310" s="194">
        <v>30.74</v>
      </c>
      <c r="AD310" s="151">
        <v>41838</v>
      </c>
      <c r="AE310" s="137">
        <v>31.86</v>
      </c>
      <c r="AF310" s="151">
        <v>41838</v>
      </c>
      <c r="AG310" s="197">
        <v>4.5999999999999996</v>
      </c>
      <c r="AH310" s="151">
        <v>41843</v>
      </c>
      <c r="AI310" s="198">
        <v>5</v>
      </c>
      <c r="AJ310" s="151">
        <v>41778</v>
      </c>
      <c r="AK310" s="199">
        <v>7</v>
      </c>
      <c r="AL310" s="151">
        <v>41709</v>
      </c>
      <c r="AM310" s="194"/>
      <c r="BE310" s="200">
        <v>7</v>
      </c>
      <c r="BF310" s="201">
        <v>41555</v>
      </c>
      <c r="BG310" s="203">
        <v>0.4</v>
      </c>
      <c r="BH310" s="151">
        <v>41842</v>
      </c>
      <c r="BM310" s="204">
        <v>67.3</v>
      </c>
      <c r="BN310" s="151">
        <v>41842</v>
      </c>
      <c r="BQ310" s="205">
        <v>10</v>
      </c>
      <c r="BR310" s="151">
        <v>41842</v>
      </c>
      <c r="BS310" s="206">
        <v>47.1</v>
      </c>
      <c r="BT310" s="151">
        <v>41842</v>
      </c>
      <c r="BU310" s="207">
        <v>14.1</v>
      </c>
      <c r="BV310" s="151">
        <v>41842</v>
      </c>
      <c r="BW310" s="206">
        <v>13.3</v>
      </c>
      <c r="BX310" s="151">
        <v>41842</v>
      </c>
      <c r="BY310" s="210">
        <v>7.84</v>
      </c>
      <c r="BZ310" s="151">
        <v>41842</v>
      </c>
      <c r="CA310" s="206">
        <v>32.200000000000003</v>
      </c>
      <c r="CB310" s="151">
        <v>41842</v>
      </c>
      <c r="CC310" s="208">
        <v>5.7</v>
      </c>
      <c r="CD310" s="151">
        <v>41838</v>
      </c>
      <c r="CL310" s="209">
        <v>3</v>
      </c>
      <c r="CM310" s="201">
        <v>41810</v>
      </c>
    </row>
    <row r="311" spans="1:91" ht="15">
      <c r="A311" s="152" t="s">
        <v>7939</v>
      </c>
      <c r="B311" s="110" t="s">
        <v>235</v>
      </c>
      <c r="C311" s="110" t="s">
        <v>8082</v>
      </c>
      <c r="D311" s="110">
        <v>11589</v>
      </c>
      <c r="E311" s="111">
        <v>6</v>
      </c>
      <c r="F311" s="111">
        <v>677</v>
      </c>
      <c r="K311" s="194">
        <v>7</v>
      </c>
      <c r="L311" s="151">
        <v>41701</v>
      </c>
      <c r="M311" s="169">
        <v>4.7</v>
      </c>
      <c r="N311" s="151">
        <v>41838</v>
      </c>
      <c r="Q311" s="497"/>
      <c r="S311" s="134">
        <v>17.399999999999999</v>
      </c>
      <c r="T311" s="151">
        <v>41842</v>
      </c>
      <c r="U311" s="134">
        <v>13.5</v>
      </c>
      <c r="V311" s="151">
        <v>41838</v>
      </c>
      <c r="W311" s="196">
        <v>9</v>
      </c>
      <c r="X311" s="151">
        <v>41829</v>
      </c>
      <c r="Y311" s="134">
        <f t="shared" si="4"/>
        <v>4.8802500000000002</v>
      </c>
      <c r="AC311" s="134">
        <v>34.81</v>
      </c>
      <c r="AD311" s="151">
        <v>41838</v>
      </c>
      <c r="AE311" s="134">
        <v>36.15</v>
      </c>
      <c r="AF311" s="151">
        <v>41838</v>
      </c>
      <c r="AG311" s="197">
        <v>4.9000000000000004</v>
      </c>
      <c r="AH311" s="151">
        <v>41843</v>
      </c>
      <c r="AI311" s="198">
        <v>3</v>
      </c>
      <c r="AJ311" s="151">
        <v>41778</v>
      </c>
      <c r="AK311" s="199">
        <v>7</v>
      </c>
      <c r="AL311" s="151">
        <v>41709</v>
      </c>
      <c r="BE311" s="200">
        <v>7</v>
      </c>
      <c r="BF311" s="201">
        <v>41555</v>
      </c>
      <c r="BG311" s="203">
        <v>0.4</v>
      </c>
      <c r="BH311" s="151">
        <v>41842</v>
      </c>
      <c r="BM311" s="204">
        <v>68.3</v>
      </c>
      <c r="BN311" s="151">
        <v>41842</v>
      </c>
      <c r="BQ311" s="205">
        <v>9.3000000000000007</v>
      </c>
      <c r="BR311" s="151">
        <v>41842</v>
      </c>
      <c r="BS311" s="206">
        <v>48.1</v>
      </c>
      <c r="BT311" s="151">
        <v>41842</v>
      </c>
      <c r="BU311" s="207">
        <v>13.5</v>
      </c>
      <c r="BV311" s="151">
        <v>41842</v>
      </c>
      <c r="BW311" s="206">
        <v>12.5</v>
      </c>
      <c r="BX311" s="151">
        <v>41842</v>
      </c>
      <c r="BY311" s="210">
        <v>7.62</v>
      </c>
      <c r="BZ311" s="151">
        <v>41842</v>
      </c>
      <c r="CA311" s="206">
        <v>31.4</v>
      </c>
      <c r="CB311" s="151">
        <v>41842</v>
      </c>
      <c r="CC311" s="208">
        <v>5.5</v>
      </c>
      <c r="CD311" s="151">
        <v>41838</v>
      </c>
      <c r="CL311" s="209">
        <v>3</v>
      </c>
      <c r="CM311" s="201">
        <v>41810</v>
      </c>
    </row>
    <row r="312" spans="1:91" ht="15">
      <c r="A312" s="152" t="s">
        <v>7939</v>
      </c>
      <c r="B312" s="110" t="s">
        <v>235</v>
      </c>
      <c r="C312" s="110" t="s">
        <v>8081</v>
      </c>
      <c r="D312" s="110">
        <v>11329</v>
      </c>
      <c r="E312" s="111">
        <v>11</v>
      </c>
      <c r="F312" s="111">
        <v>497</v>
      </c>
      <c r="K312" s="194">
        <v>7</v>
      </c>
      <c r="L312" s="151">
        <v>41701</v>
      </c>
      <c r="M312" s="169">
        <v>5.5</v>
      </c>
      <c r="N312" s="151">
        <v>41838</v>
      </c>
      <c r="Q312" s="497"/>
      <c r="S312" s="134">
        <v>19.88</v>
      </c>
      <c r="T312" s="151">
        <v>41842</v>
      </c>
      <c r="U312" s="134">
        <v>13.5</v>
      </c>
      <c r="V312" s="151">
        <v>41838</v>
      </c>
      <c r="W312" s="196">
        <v>9</v>
      </c>
      <c r="X312" s="151">
        <v>41829</v>
      </c>
      <c r="Y312" s="134">
        <f t="shared" si="4"/>
        <v>5.9881399999999996</v>
      </c>
      <c r="AC312" s="134">
        <v>40.74</v>
      </c>
      <c r="AD312" s="151">
        <v>41838</v>
      </c>
      <c r="AE312" s="134">
        <v>42.17</v>
      </c>
      <c r="AF312" s="151">
        <v>41838</v>
      </c>
      <c r="AG312" s="197">
        <v>4.9000000000000004</v>
      </c>
      <c r="AH312" s="151">
        <v>41843</v>
      </c>
      <c r="AI312" s="198">
        <v>3</v>
      </c>
      <c r="AJ312" s="151">
        <v>41778</v>
      </c>
      <c r="AK312" s="199">
        <v>7</v>
      </c>
      <c r="AL312" s="151">
        <v>41709</v>
      </c>
      <c r="BE312" s="200">
        <v>7</v>
      </c>
      <c r="BF312" s="201">
        <v>41555</v>
      </c>
      <c r="BG312" s="203">
        <v>-1.3</v>
      </c>
      <c r="BH312" s="151">
        <v>41842</v>
      </c>
      <c r="BM312" s="204">
        <v>67.599999999999994</v>
      </c>
      <c r="BN312" s="151">
        <v>41842</v>
      </c>
      <c r="BQ312" s="205">
        <v>9.6999999999999993</v>
      </c>
      <c r="BR312" s="151">
        <v>41842</v>
      </c>
      <c r="BS312" s="206">
        <v>47.2</v>
      </c>
      <c r="BT312" s="151">
        <v>41842</v>
      </c>
      <c r="BU312" s="207">
        <v>14.2</v>
      </c>
      <c r="BV312" s="151">
        <v>41842</v>
      </c>
      <c r="BW312" s="206">
        <v>11.5</v>
      </c>
      <c r="BX312" s="151">
        <v>41842</v>
      </c>
      <c r="BY312" s="210">
        <v>7.62</v>
      </c>
      <c r="BZ312" s="151">
        <v>41842</v>
      </c>
      <c r="CA312" s="206">
        <v>32.299999999999997</v>
      </c>
      <c r="CB312" s="151">
        <v>41842</v>
      </c>
      <c r="CC312" s="208">
        <v>5.8</v>
      </c>
      <c r="CD312" s="151">
        <v>41838</v>
      </c>
      <c r="CL312" s="209">
        <v>3</v>
      </c>
      <c r="CM312" s="201">
        <v>41810</v>
      </c>
    </row>
    <row r="313" spans="1:91" ht="15">
      <c r="A313" s="152" t="s">
        <v>7939</v>
      </c>
      <c r="B313" s="110" t="s">
        <v>233</v>
      </c>
      <c r="C313" s="110" t="s">
        <v>8083</v>
      </c>
      <c r="D313" s="110">
        <v>11790</v>
      </c>
      <c r="E313" s="111">
        <v>11</v>
      </c>
      <c r="F313" s="111">
        <v>761</v>
      </c>
      <c r="K313" s="194">
        <v>7</v>
      </c>
      <c r="L313" s="151">
        <v>41701</v>
      </c>
      <c r="M313" s="169">
        <v>4.8499999999999996</v>
      </c>
      <c r="N313" s="151">
        <v>41838</v>
      </c>
      <c r="Q313" s="497"/>
      <c r="S313" s="134">
        <v>17.489999999999998</v>
      </c>
      <c r="T313" s="151">
        <v>41842</v>
      </c>
      <c r="U313" s="134">
        <v>13.5</v>
      </c>
      <c r="V313" s="151">
        <v>41838</v>
      </c>
      <c r="W313" s="196">
        <v>9</v>
      </c>
      <c r="X313" s="151">
        <v>41829</v>
      </c>
      <c r="Y313" s="134">
        <f t="shared" si="4"/>
        <v>5.1898</v>
      </c>
      <c r="AC313" s="134">
        <v>35.93</v>
      </c>
      <c r="AD313" s="151">
        <v>41838</v>
      </c>
      <c r="AE313" s="134">
        <v>37.07</v>
      </c>
      <c r="AF313" s="151">
        <v>41838</v>
      </c>
      <c r="AG313" s="197">
        <v>4.9000000000000004</v>
      </c>
      <c r="AH313" s="151">
        <v>41843</v>
      </c>
      <c r="AI313" s="198">
        <v>3</v>
      </c>
      <c r="AJ313" s="151">
        <v>41778</v>
      </c>
      <c r="AK313" s="199">
        <v>7</v>
      </c>
      <c r="AL313" s="151">
        <v>41709</v>
      </c>
      <c r="BE313" s="200">
        <v>7</v>
      </c>
      <c r="BF313" s="201">
        <v>41555</v>
      </c>
      <c r="BG313" s="203">
        <v>-2.2000000000000002</v>
      </c>
      <c r="BH313" s="151">
        <v>41842</v>
      </c>
      <c r="BM313" s="204">
        <v>68</v>
      </c>
      <c r="BN313" s="151">
        <v>41842</v>
      </c>
      <c r="BQ313" s="205">
        <v>10</v>
      </c>
      <c r="BR313" s="151">
        <v>41842</v>
      </c>
      <c r="BS313" s="206">
        <v>47.2</v>
      </c>
      <c r="BT313" s="151">
        <v>41842</v>
      </c>
      <c r="BU313" s="207">
        <v>14</v>
      </c>
      <c r="BV313" s="151">
        <v>41842</v>
      </c>
      <c r="BW313" s="206">
        <v>12.2</v>
      </c>
      <c r="BX313" s="151">
        <v>41842</v>
      </c>
      <c r="BY313" s="210">
        <v>8</v>
      </c>
      <c r="BZ313" s="151">
        <v>41842</v>
      </c>
      <c r="CA313" s="206">
        <v>32</v>
      </c>
      <c r="CB313" s="151">
        <v>41842</v>
      </c>
      <c r="CC313" s="208">
        <v>6.1</v>
      </c>
      <c r="CD313" s="151">
        <v>41838</v>
      </c>
      <c r="CL313" s="209">
        <v>3</v>
      </c>
      <c r="CM313" s="201">
        <v>41810</v>
      </c>
    </row>
    <row r="314" spans="1:91" ht="15">
      <c r="A314" s="152" t="s">
        <v>7940</v>
      </c>
      <c r="B314" s="110" t="s">
        <v>235</v>
      </c>
      <c r="C314" s="110" t="s">
        <v>8082</v>
      </c>
      <c r="D314" s="110">
        <v>11425</v>
      </c>
      <c r="E314" s="111">
        <v>1</v>
      </c>
      <c r="F314" s="111">
        <v>741</v>
      </c>
      <c r="I314" s="373"/>
      <c r="K314" s="194">
        <v>5</v>
      </c>
      <c r="L314" s="151">
        <v>41701</v>
      </c>
      <c r="M314" s="169">
        <v>5.05</v>
      </c>
      <c r="N314" s="151">
        <v>41838</v>
      </c>
      <c r="Q314" s="497"/>
      <c r="S314" s="134">
        <v>17.899999999999999</v>
      </c>
      <c r="T314" s="151">
        <v>41842</v>
      </c>
      <c r="U314" s="194">
        <v>13.5</v>
      </c>
      <c r="V314" s="151">
        <v>41838</v>
      </c>
      <c r="W314" s="196">
        <v>1</v>
      </c>
      <c r="X314" s="151">
        <v>41829</v>
      </c>
      <c r="Y314" s="134">
        <f t="shared" si="4"/>
        <v>5.3250900000000003</v>
      </c>
      <c r="AA314" s="194"/>
      <c r="AC314" s="194">
        <v>37.409999999999997</v>
      </c>
      <c r="AD314" s="151">
        <v>41838</v>
      </c>
      <c r="AE314" s="137">
        <v>38.31</v>
      </c>
      <c r="AF314" s="151">
        <v>41838</v>
      </c>
      <c r="AG314" s="197">
        <v>5.2</v>
      </c>
      <c r="AH314" s="151">
        <v>41843</v>
      </c>
      <c r="AI314" s="198">
        <v>5</v>
      </c>
      <c r="AJ314" s="151">
        <v>41778</v>
      </c>
      <c r="AK314" s="199">
        <v>4</v>
      </c>
      <c r="AL314" s="151">
        <v>41709</v>
      </c>
      <c r="AM314" s="194"/>
      <c r="BE314" s="200">
        <v>4</v>
      </c>
      <c r="BF314" s="201">
        <v>41555</v>
      </c>
      <c r="BG314" s="203">
        <v>-6.9</v>
      </c>
      <c r="BH314" s="151">
        <v>41842</v>
      </c>
      <c r="BM314" s="204">
        <v>65</v>
      </c>
      <c r="BN314" s="151">
        <v>41842</v>
      </c>
      <c r="BQ314" s="205">
        <v>11.6</v>
      </c>
      <c r="BR314" s="151">
        <v>41842</v>
      </c>
      <c r="BS314" s="206">
        <v>46.7</v>
      </c>
      <c r="BT314" s="151">
        <v>41842</v>
      </c>
      <c r="BU314" s="207">
        <v>13.9</v>
      </c>
      <c r="BV314" s="151">
        <v>41842</v>
      </c>
      <c r="BW314" s="206">
        <v>13</v>
      </c>
      <c r="BX314" s="151">
        <v>41842</v>
      </c>
      <c r="BY314" s="210">
        <v>7.6</v>
      </c>
      <c r="BZ314" s="151">
        <v>41842</v>
      </c>
      <c r="CA314" s="206">
        <v>31.4</v>
      </c>
      <c r="CB314" s="151">
        <v>41842</v>
      </c>
      <c r="CC314" s="208">
        <v>6.8</v>
      </c>
      <c r="CD314" s="151">
        <v>41838</v>
      </c>
      <c r="CL314" s="209">
        <v>3</v>
      </c>
      <c r="CM314" s="201">
        <v>41810</v>
      </c>
    </row>
    <row r="315" spans="1:91" ht="15">
      <c r="A315" s="152" t="s">
        <v>7940</v>
      </c>
      <c r="B315" s="110" t="s">
        <v>233</v>
      </c>
      <c r="C315" s="110" t="s">
        <v>381</v>
      </c>
      <c r="D315" s="110">
        <v>11050</v>
      </c>
      <c r="E315" s="111">
        <v>3</v>
      </c>
      <c r="F315" s="111">
        <v>533</v>
      </c>
      <c r="K315" s="134">
        <v>5</v>
      </c>
      <c r="L315" s="151">
        <v>41701</v>
      </c>
      <c r="M315" s="169">
        <v>3.85</v>
      </c>
      <c r="N315" s="151">
        <v>41838</v>
      </c>
      <c r="Q315" s="497"/>
      <c r="S315" s="134">
        <v>13.78</v>
      </c>
      <c r="T315" s="151">
        <v>41842</v>
      </c>
      <c r="U315" s="134">
        <v>13.5</v>
      </c>
      <c r="V315" s="151">
        <v>41838</v>
      </c>
      <c r="W315" s="196">
        <v>9</v>
      </c>
      <c r="X315" s="151">
        <v>41829</v>
      </c>
      <c r="Y315" s="134">
        <f t="shared" si="4"/>
        <v>4.07376</v>
      </c>
      <c r="AC315" s="134">
        <v>28.52</v>
      </c>
      <c r="AD315" s="151">
        <v>41838</v>
      </c>
      <c r="AE315" s="134">
        <v>29.52</v>
      </c>
      <c r="AF315" s="151">
        <v>41838</v>
      </c>
      <c r="AG315" s="197">
        <v>5.3</v>
      </c>
      <c r="AH315" s="151">
        <v>41843</v>
      </c>
      <c r="AI315" s="198">
        <v>5</v>
      </c>
      <c r="AJ315" s="151">
        <v>41778</v>
      </c>
      <c r="AK315" s="199">
        <v>5</v>
      </c>
      <c r="AL315" s="151">
        <v>41709</v>
      </c>
      <c r="BE315" s="200">
        <v>5</v>
      </c>
      <c r="BF315" s="201">
        <v>41555</v>
      </c>
      <c r="BG315" s="203">
        <v>-4.4000000000000004</v>
      </c>
      <c r="BH315" s="151">
        <v>41842</v>
      </c>
      <c r="BM315" s="204">
        <v>65.400000000000006</v>
      </c>
      <c r="BN315" s="151">
        <v>41842</v>
      </c>
      <c r="BQ315" s="205">
        <v>11.9</v>
      </c>
      <c r="BR315" s="151">
        <v>41842</v>
      </c>
      <c r="BS315" s="206">
        <v>46.7</v>
      </c>
      <c r="BT315" s="151">
        <v>41842</v>
      </c>
      <c r="BU315" s="207">
        <v>13.8</v>
      </c>
      <c r="BV315" s="151">
        <v>41842</v>
      </c>
      <c r="BW315" s="206">
        <v>12.3</v>
      </c>
      <c r="BX315" s="151">
        <v>41842</v>
      </c>
      <c r="BY315" s="210">
        <v>7.48</v>
      </c>
      <c r="BZ315" s="151">
        <v>41842</v>
      </c>
      <c r="CA315" s="206">
        <v>31</v>
      </c>
      <c r="CB315" s="151">
        <v>41842</v>
      </c>
      <c r="CC315" s="208">
        <v>5.8</v>
      </c>
      <c r="CD315" s="151">
        <v>41838</v>
      </c>
      <c r="CL315" s="209">
        <v>3</v>
      </c>
      <c r="CM315" s="201">
        <v>41810</v>
      </c>
    </row>
    <row r="316" spans="1:91" ht="15">
      <c r="A316" s="152" t="s">
        <v>7940</v>
      </c>
      <c r="B316" s="110" t="s">
        <v>235</v>
      </c>
      <c r="C316" s="110" t="s">
        <v>8081</v>
      </c>
      <c r="D316" s="110">
        <v>11358</v>
      </c>
      <c r="E316" s="111">
        <v>11</v>
      </c>
      <c r="F316" s="111">
        <v>613</v>
      </c>
      <c r="K316" s="134">
        <v>5</v>
      </c>
      <c r="L316" s="151">
        <v>41701</v>
      </c>
      <c r="M316" s="169">
        <v>4.6500000000000004</v>
      </c>
      <c r="N316" s="151">
        <v>41838</v>
      </c>
      <c r="Q316" s="497"/>
      <c r="S316" s="134">
        <v>16.78</v>
      </c>
      <c r="T316" s="151">
        <v>41842</v>
      </c>
      <c r="U316" s="134">
        <v>13.5</v>
      </c>
      <c r="V316" s="151">
        <v>41838</v>
      </c>
      <c r="W316" s="196">
        <v>9</v>
      </c>
      <c r="X316" s="151">
        <v>41829</v>
      </c>
      <c r="Y316" s="134">
        <f t="shared" si="4"/>
        <v>4.8388799999999996</v>
      </c>
      <c r="AC316" s="134">
        <v>34.44</v>
      </c>
      <c r="AD316" s="151">
        <v>41838</v>
      </c>
      <c r="AE316" s="134">
        <v>35.58</v>
      </c>
      <c r="AF316" s="151">
        <v>41838</v>
      </c>
      <c r="AG316" s="197">
        <v>5</v>
      </c>
      <c r="AH316" s="151">
        <v>41843</v>
      </c>
      <c r="AI316" s="198">
        <v>7</v>
      </c>
      <c r="AJ316" s="151">
        <v>41778</v>
      </c>
      <c r="AK316" s="199">
        <v>5</v>
      </c>
      <c r="AL316" s="151">
        <v>41709</v>
      </c>
      <c r="BE316" s="200">
        <v>5</v>
      </c>
      <c r="BF316" s="201">
        <v>41555</v>
      </c>
      <c r="BG316" s="203">
        <v>-5.9</v>
      </c>
      <c r="BH316" s="151">
        <v>41842</v>
      </c>
      <c r="BM316" s="204">
        <v>65.599999999999994</v>
      </c>
      <c r="BN316" s="151">
        <v>41842</v>
      </c>
      <c r="BQ316" s="205">
        <v>10.9</v>
      </c>
      <c r="BR316" s="151">
        <v>41842</v>
      </c>
      <c r="BS316" s="206">
        <v>47.2</v>
      </c>
      <c r="BT316" s="151">
        <v>41842</v>
      </c>
      <c r="BU316" s="207">
        <v>13.6</v>
      </c>
      <c r="BV316" s="151">
        <v>41842</v>
      </c>
      <c r="BW316" s="206">
        <v>14.4</v>
      </c>
      <c r="BX316" s="151">
        <v>41842</v>
      </c>
      <c r="BY316" s="210">
        <v>7.31</v>
      </c>
      <c r="BZ316" s="151">
        <v>41842</v>
      </c>
      <c r="CA316" s="206">
        <v>31</v>
      </c>
      <c r="CB316" s="151">
        <v>41842</v>
      </c>
      <c r="CC316" s="208">
        <v>6</v>
      </c>
      <c r="CD316" s="151">
        <v>41838</v>
      </c>
      <c r="CL316" s="209">
        <v>3</v>
      </c>
      <c r="CM316" s="201">
        <v>41810</v>
      </c>
    </row>
    <row r="317" spans="1:91" ht="15">
      <c r="A317" s="152" t="s">
        <v>7940</v>
      </c>
      <c r="B317" s="110" t="s">
        <v>233</v>
      </c>
      <c r="C317" s="110" t="s">
        <v>8083</v>
      </c>
      <c r="D317" s="110">
        <v>11775</v>
      </c>
      <c r="E317" s="111">
        <v>11</v>
      </c>
      <c r="F317" s="111">
        <v>701</v>
      </c>
      <c r="J317" s="187"/>
      <c r="K317" s="134">
        <v>5</v>
      </c>
      <c r="L317" s="151">
        <v>41701</v>
      </c>
      <c r="M317" s="169">
        <v>4.1500000000000004</v>
      </c>
      <c r="N317" s="151">
        <v>41838</v>
      </c>
      <c r="Q317" s="497"/>
      <c r="S317" s="134">
        <v>15.19</v>
      </c>
      <c r="T317" s="151">
        <v>41842</v>
      </c>
      <c r="U317" s="134">
        <v>13.5</v>
      </c>
      <c r="V317" s="151">
        <v>41838</v>
      </c>
      <c r="W317" s="196">
        <v>9</v>
      </c>
      <c r="X317" s="151">
        <v>41829</v>
      </c>
      <c r="Y317" s="134">
        <f t="shared" si="4"/>
        <v>4.1496000000000004</v>
      </c>
      <c r="AC317" s="134">
        <v>30.74</v>
      </c>
      <c r="AD317" s="151">
        <v>41838</v>
      </c>
      <c r="AE317" s="134">
        <v>31.92</v>
      </c>
      <c r="AF317" s="151">
        <v>41838</v>
      </c>
      <c r="AG317" s="197">
        <v>5.4</v>
      </c>
      <c r="AH317" s="151">
        <v>41843</v>
      </c>
      <c r="AI317" s="198">
        <v>5</v>
      </c>
      <c r="AJ317" s="151">
        <v>41778</v>
      </c>
      <c r="AK317" s="199">
        <v>5</v>
      </c>
      <c r="AL317" s="151">
        <v>41709</v>
      </c>
      <c r="BE317" s="200">
        <v>5</v>
      </c>
      <c r="BF317" s="201">
        <v>41555</v>
      </c>
      <c r="BG317" s="203">
        <v>-8.8000000000000007</v>
      </c>
      <c r="BH317" s="151">
        <v>41842</v>
      </c>
      <c r="BM317" s="204">
        <v>65.400000000000006</v>
      </c>
      <c r="BN317" s="151">
        <v>41842</v>
      </c>
      <c r="BQ317" s="205">
        <v>11.3</v>
      </c>
      <c r="BR317" s="151">
        <v>41842</v>
      </c>
      <c r="BS317" s="206">
        <v>47.6</v>
      </c>
      <c r="BT317" s="151">
        <v>41842</v>
      </c>
      <c r="BU317" s="207">
        <v>13</v>
      </c>
      <c r="BV317" s="151">
        <v>41842</v>
      </c>
      <c r="BW317" s="206">
        <v>11.2</v>
      </c>
      <c r="BX317" s="151">
        <v>41842</v>
      </c>
      <c r="BY317" s="210">
        <v>7.55</v>
      </c>
      <c r="BZ317" s="151">
        <v>41842</v>
      </c>
      <c r="CA317" s="206">
        <v>30</v>
      </c>
      <c r="CB317" s="151">
        <v>41842</v>
      </c>
      <c r="CC317" s="208">
        <v>5.5</v>
      </c>
      <c r="CD317" s="151">
        <v>41838</v>
      </c>
      <c r="CL317" s="209">
        <v>3</v>
      </c>
      <c r="CM317" s="201">
        <v>41810</v>
      </c>
    </row>
    <row r="318" spans="1:91" ht="15">
      <c r="A318" s="152" t="s">
        <v>7941</v>
      </c>
      <c r="B318" s="110" t="s">
        <v>235</v>
      </c>
      <c r="C318" s="110" t="s">
        <v>8082</v>
      </c>
      <c r="D318" s="110">
        <v>11430</v>
      </c>
      <c r="E318" s="111">
        <v>1</v>
      </c>
      <c r="F318" s="111">
        <v>761</v>
      </c>
      <c r="I318" s="373"/>
      <c r="K318" s="194">
        <v>7</v>
      </c>
      <c r="L318" s="151">
        <v>41701</v>
      </c>
      <c r="M318" s="169">
        <v>4.9000000000000004</v>
      </c>
      <c r="N318" s="151">
        <v>41838</v>
      </c>
      <c r="Q318" s="497"/>
      <c r="S318" s="134">
        <v>17.73</v>
      </c>
      <c r="T318" s="151">
        <v>41842</v>
      </c>
      <c r="U318" s="194">
        <v>13.5</v>
      </c>
      <c r="V318" s="151">
        <v>41838</v>
      </c>
      <c r="W318" s="196">
        <v>1</v>
      </c>
      <c r="X318" s="151">
        <v>41829</v>
      </c>
      <c r="Y318" s="134">
        <f t="shared" si="4"/>
        <v>4.9169999999999998</v>
      </c>
      <c r="AA318" s="194"/>
      <c r="AC318" s="194">
        <v>36.299999999999997</v>
      </c>
      <c r="AD318" s="151">
        <v>41838</v>
      </c>
      <c r="AE318" s="137">
        <v>37.25</v>
      </c>
      <c r="AF318" s="151">
        <v>41838</v>
      </c>
      <c r="AG318" s="197">
        <v>5.4</v>
      </c>
      <c r="AH318" s="151">
        <v>41843</v>
      </c>
      <c r="AI318" s="198">
        <v>7</v>
      </c>
      <c r="AJ318" s="151">
        <v>41778</v>
      </c>
      <c r="AK318" s="199">
        <v>5</v>
      </c>
      <c r="AL318" s="151">
        <v>41709</v>
      </c>
      <c r="AM318" s="194"/>
      <c r="BE318" s="200">
        <v>5</v>
      </c>
      <c r="BF318" s="201">
        <v>41555</v>
      </c>
      <c r="BG318" s="203">
        <v>-5.5</v>
      </c>
      <c r="BH318" s="151">
        <v>41842</v>
      </c>
      <c r="BM318" s="204">
        <v>64.5</v>
      </c>
      <c r="BN318" s="151">
        <v>41842</v>
      </c>
      <c r="BQ318" s="205">
        <v>11.2</v>
      </c>
      <c r="BR318" s="151">
        <v>41842</v>
      </c>
      <c r="BS318" s="206">
        <v>47.6</v>
      </c>
      <c r="BT318" s="151">
        <v>41842</v>
      </c>
      <c r="BU318" s="207">
        <v>13.2</v>
      </c>
      <c r="BV318" s="151">
        <v>41842</v>
      </c>
      <c r="BW318" s="206">
        <v>14.4</v>
      </c>
      <c r="BX318" s="151">
        <v>41842</v>
      </c>
      <c r="BY318" s="210">
        <v>7.4</v>
      </c>
      <c r="BZ318" s="151">
        <v>41842</v>
      </c>
      <c r="CA318" s="206">
        <v>30.4</v>
      </c>
      <c r="CB318" s="151">
        <v>41842</v>
      </c>
      <c r="CC318" s="208">
        <v>6.6</v>
      </c>
      <c r="CD318" s="151">
        <v>41838</v>
      </c>
      <c r="CL318" s="209">
        <v>5</v>
      </c>
      <c r="CM318" s="201">
        <v>41810</v>
      </c>
    </row>
    <row r="319" spans="1:91" ht="15">
      <c r="A319" s="152" t="s">
        <v>7941</v>
      </c>
      <c r="B319" s="110" t="s">
        <v>233</v>
      </c>
      <c r="C319" s="110" t="s">
        <v>381</v>
      </c>
      <c r="D319" s="110">
        <v>11148</v>
      </c>
      <c r="E319" s="111">
        <v>6</v>
      </c>
      <c r="F319" s="111">
        <v>493</v>
      </c>
      <c r="K319" s="134">
        <v>5</v>
      </c>
      <c r="L319" s="151">
        <v>41701</v>
      </c>
      <c r="M319" s="169">
        <v>3.45</v>
      </c>
      <c r="N319" s="151">
        <v>41838</v>
      </c>
      <c r="Q319" s="497"/>
      <c r="S319" s="134">
        <v>12.61</v>
      </c>
      <c r="T319" s="151">
        <v>41842</v>
      </c>
      <c r="U319" s="134">
        <v>13.5</v>
      </c>
      <c r="V319" s="151">
        <v>41838</v>
      </c>
      <c r="W319" s="196">
        <v>1</v>
      </c>
      <c r="X319" s="151">
        <v>41829</v>
      </c>
      <c r="Y319" s="134">
        <f t="shared" si="4"/>
        <v>3.3715200000000003</v>
      </c>
      <c r="AC319" s="134">
        <v>25.56</v>
      </c>
      <c r="AD319" s="151">
        <v>41838</v>
      </c>
      <c r="AE319" s="134">
        <v>26.34</v>
      </c>
      <c r="AF319" s="151">
        <v>41838</v>
      </c>
      <c r="AG319" s="197">
        <v>5.4</v>
      </c>
      <c r="AH319" s="151">
        <v>41843</v>
      </c>
      <c r="AI319" s="198">
        <v>7</v>
      </c>
      <c r="AJ319" s="151">
        <v>41778</v>
      </c>
      <c r="AK319" s="199">
        <v>7</v>
      </c>
      <c r="AL319" s="151">
        <v>41709</v>
      </c>
      <c r="BE319" s="200">
        <v>7</v>
      </c>
      <c r="BF319" s="201">
        <v>41555</v>
      </c>
      <c r="BG319" s="203">
        <v>-5.0999999999999996</v>
      </c>
      <c r="BH319" s="151">
        <v>41842</v>
      </c>
      <c r="BM319" s="204">
        <v>65</v>
      </c>
      <c r="BN319" s="151">
        <v>41842</v>
      </c>
      <c r="BQ319" s="205">
        <v>10.7</v>
      </c>
      <c r="BR319" s="151">
        <v>41842</v>
      </c>
      <c r="BS319" s="206">
        <v>47.9</v>
      </c>
      <c r="BT319" s="151">
        <v>41842</v>
      </c>
      <c r="BU319" s="207">
        <v>12.8</v>
      </c>
      <c r="BV319" s="151">
        <v>41842</v>
      </c>
      <c r="BW319" s="206">
        <v>13.1</v>
      </c>
      <c r="BX319" s="151">
        <v>41842</v>
      </c>
      <c r="BY319" s="210">
        <v>7.22</v>
      </c>
      <c r="BZ319" s="151">
        <v>41842</v>
      </c>
      <c r="CA319" s="206">
        <v>29.6</v>
      </c>
      <c r="CB319" s="151">
        <v>41842</v>
      </c>
      <c r="CC319" s="208">
        <v>6.2</v>
      </c>
      <c r="CD319" s="151">
        <v>41838</v>
      </c>
      <c r="CL319" s="209">
        <v>3</v>
      </c>
      <c r="CM319" s="201">
        <v>41810</v>
      </c>
    </row>
    <row r="320" spans="1:91" ht="15">
      <c r="A320" s="152" t="s">
        <v>7941</v>
      </c>
      <c r="B320" s="110" t="s">
        <v>235</v>
      </c>
      <c r="C320" s="110" t="s">
        <v>8081</v>
      </c>
      <c r="D320" s="110">
        <v>11263</v>
      </c>
      <c r="E320" s="111">
        <v>9</v>
      </c>
      <c r="F320" s="111">
        <v>521</v>
      </c>
      <c r="K320" s="194">
        <v>7</v>
      </c>
      <c r="L320" s="151">
        <v>41701</v>
      </c>
      <c r="M320" s="169">
        <v>5.45</v>
      </c>
      <c r="N320" s="151">
        <v>41838</v>
      </c>
      <c r="Q320" s="497"/>
      <c r="S320" s="134">
        <v>19.440000000000001</v>
      </c>
      <c r="T320" s="151">
        <v>41842</v>
      </c>
      <c r="U320" s="134">
        <v>13.5</v>
      </c>
      <c r="V320" s="151">
        <v>41838</v>
      </c>
      <c r="W320" s="196">
        <v>9</v>
      </c>
      <c r="X320" s="151">
        <v>41829</v>
      </c>
      <c r="Y320" s="134">
        <f t="shared" si="4"/>
        <v>5.7670199999999996</v>
      </c>
      <c r="AC320" s="134">
        <v>40.369999999999997</v>
      </c>
      <c r="AD320" s="151">
        <v>41838</v>
      </c>
      <c r="AE320" s="134">
        <v>41.79</v>
      </c>
      <c r="AF320" s="151">
        <v>41838</v>
      </c>
      <c r="AG320" s="197">
        <v>5.6</v>
      </c>
      <c r="AH320" s="151">
        <v>41843</v>
      </c>
      <c r="AI320" s="198">
        <v>7</v>
      </c>
      <c r="AJ320" s="151">
        <v>41778</v>
      </c>
      <c r="AK320" s="199">
        <v>5</v>
      </c>
      <c r="AL320" s="151">
        <v>41709</v>
      </c>
      <c r="BE320" s="200">
        <v>5</v>
      </c>
      <c r="BF320" s="201">
        <v>41555</v>
      </c>
      <c r="BG320" s="203">
        <v>-7.3</v>
      </c>
      <c r="BH320" s="151">
        <v>41842</v>
      </c>
      <c r="BM320" s="204">
        <v>64.2</v>
      </c>
      <c r="BN320" s="151">
        <v>41842</v>
      </c>
      <c r="BQ320" s="205">
        <v>10.8</v>
      </c>
      <c r="BR320" s="151">
        <v>41842</v>
      </c>
      <c r="BS320" s="206">
        <v>46.5</v>
      </c>
      <c r="BT320" s="151">
        <v>41842</v>
      </c>
      <c r="BU320" s="207">
        <v>13.8</v>
      </c>
      <c r="BV320" s="151">
        <v>41842</v>
      </c>
      <c r="BW320" s="206">
        <v>12.2</v>
      </c>
      <c r="BX320" s="151">
        <v>41842</v>
      </c>
      <c r="BY320" s="210">
        <v>7.16</v>
      </c>
      <c r="BZ320" s="151">
        <v>41842</v>
      </c>
      <c r="CA320" s="206">
        <v>30.9</v>
      </c>
      <c r="CB320" s="151">
        <v>41842</v>
      </c>
      <c r="CC320" s="208">
        <v>5.8</v>
      </c>
      <c r="CD320" s="151">
        <v>41838</v>
      </c>
      <c r="CL320" s="209">
        <v>3</v>
      </c>
      <c r="CM320" s="201">
        <v>41810</v>
      </c>
    </row>
    <row r="321" spans="1:91" ht="15">
      <c r="A321" s="152" t="s">
        <v>7941</v>
      </c>
      <c r="B321" s="110" t="s">
        <v>233</v>
      </c>
      <c r="C321" s="110" t="s">
        <v>8083</v>
      </c>
      <c r="D321" s="110">
        <v>11812</v>
      </c>
      <c r="E321" s="111">
        <v>12</v>
      </c>
      <c r="F321" s="111">
        <v>705</v>
      </c>
      <c r="K321" s="191">
        <v>3</v>
      </c>
      <c r="L321" s="151">
        <v>41701</v>
      </c>
      <c r="M321" s="169">
        <v>2.9</v>
      </c>
      <c r="N321" s="151">
        <v>41838</v>
      </c>
      <c r="Q321" s="497"/>
      <c r="S321" s="134">
        <v>10.26</v>
      </c>
      <c r="T321" s="151">
        <v>41842</v>
      </c>
      <c r="U321" s="134">
        <v>13.5</v>
      </c>
      <c r="V321" s="151">
        <v>41838</v>
      </c>
      <c r="W321" s="196">
        <v>9</v>
      </c>
      <c r="X321" s="151">
        <v>41829</v>
      </c>
      <c r="Y321" s="134">
        <f t="shared" si="4"/>
        <v>3.1538200000000001</v>
      </c>
      <c r="AC321" s="134">
        <v>21.48</v>
      </c>
      <c r="AD321" s="151">
        <v>41838</v>
      </c>
      <c r="AE321" s="134">
        <v>22.21</v>
      </c>
      <c r="AF321" s="151">
        <v>41838</v>
      </c>
      <c r="AG321" s="197">
        <v>5.8</v>
      </c>
      <c r="AH321" s="151">
        <v>41843</v>
      </c>
      <c r="AI321" s="198">
        <v>7</v>
      </c>
      <c r="AJ321" s="151">
        <v>41778</v>
      </c>
      <c r="AK321" s="199">
        <v>7</v>
      </c>
      <c r="AL321" s="151">
        <v>41709</v>
      </c>
      <c r="BE321" s="200">
        <v>7</v>
      </c>
      <c r="BF321" s="201">
        <v>41555</v>
      </c>
      <c r="BG321" s="203">
        <v>-7.6</v>
      </c>
      <c r="BH321" s="151">
        <v>41842</v>
      </c>
      <c r="BM321" s="204">
        <v>63.9</v>
      </c>
      <c r="BN321" s="151">
        <v>41842</v>
      </c>
      <c r="BQ321" s="205">
        <v>11.6</v>
      </c>
      <c r="BR321" s="151">
        <v>41842</v>
      </c>
      <c r="BS321" s="206">
        <v>46.2</v>
      </c>
      <c r="BT321" s="151">
        <v>41842</v>
      </c>
      <c r="BU321" s="207">
        <v>14.2</v>
      </c>
      <c r="BV321" s="151">
        <v>41842</v>
      </c>
      <c r="BW321" s="206">
        <v>12.1</v>
      </c>
      <c r="BX321" s="151">
        <v>41842</v>
      </c>
      <c r="BY321" s="210">
        <v>7.08</v>
      </c>
      <c r="BZ321" s="151">
        <v>41842</v>
      </c>
      <c r="CA321" s="206">
        <v>31.7</v>
      </c>
      <c r="CB321" s="151">
        <v>41842</v>
      </c>
      <c r="CC321" s="208">
        <v>5.9</v>
      </c>
      <c r="CD321" s="151">
        <v>41838</v>
      </c>
      <c r="CL321" s="209">
        <v>3</v>
      </c>
      <c r="CM321" s="201">
        <v>41810</v>
      </c>
    </row>
    <row r="322" spans="1:91" ht="15">
      <c r="A322" s="152" t="s">
        <v>7942</v>
      </c>
      <c r="B322" s="110" t="s">
        <v>235</v>
      </c>
      <c r="C322" s="110" t="s">
        <v>8082</v>
      </c>
      <c r="D322" s="110">
        <v>11447</v>
      </c>
      <c r="E322" s="111">
        <v>2</v>
      </c>
      <c r="F322" s="111">
        <v>685</v>
      </c>
      <c r="K322" s="191">
        <v>3</v>
      </c>
      <c r="L322" s="151">
        <v>41701</v>
      </c>
      <c r="M322" s="169">
        <v>4.5</v>
      </c>
      <c r="N322" s="151">
        <v>41838</v>
      </c>
      <c r="Q322" s="497"/>
      <c r="S322" s="134">
        <v>15.96</v>
      </c>
      <c r="T322" s="151">
        <v>41842</v>
      </c>
      <c r="U322" s="134">
        <v>13.5</v>
      </c>
      <c r="V322" s="151">
        <v>41838</v>
      </c>
      <c r="W322" s="196">
        <v>9</v>
      </c>
      <c r="X322" s="151">
        <v>41829</v>
      </c>
      <c r="Y322" s="134">
        <f t="shared" si="4"/>
        <v>4.9694399999999996</v>
      </c>
      <c r="AC322" s="134">
        <v>33.33</v>
      </c>
      <c r="AD322" s="151">
        <v>41838</v>
      </c>
      <c r="AE322" s="134">
        <v>34.51</v>
      </c>
      <c r="AF322" s="151">
        <v>41838</v>
      </c>
      <c r="AG322" s="197">
        <v>5.5</v>
      </c>
      <c r="AH322" s="151">
        <v>41843</v>
      </c>
      <c r="AI322" s="198">
        <v>5</v>
      </c>
      <c r="AJ322" s="151">
        <v>41778</v>
      </c>
      <c r="AK322" s="199">
        <v>4</v>
      </c>
      <c r="AL322" s="151">
        <v>41709</v>
      </c>
      <c r="BE322" s="200">
        <v>4</v>
      </c>
      <c r="BF322" s="201">
        <v>41555</v>
      </c>
      <c r="BG322" s="203">
        <v>-2.4</v>
      </c>
      <c r="BH322" s="151">
        <v>41842</v>
      </c>
      <c r="BM322" s="204">
        <v>63</v>
      </c>
      <c r="BN322" s="151">
        <v>41842</v>
      </c>
      <c r="BQ322" s="205">
        <v>11.4</v>
      </c>
      <c r="BR322" s="151">
        <v>41842</v>
      </c>
      <c r="BS322" s="206">
        <v>46.3</v>
      </c>
      <c r="BT322" s="151">
        <v>41842</v>
      </c>
      <c r="BU322" s="207">
        <v>14.4</v>
      </c>
      <c r="BV322" s="151">
        <v>41842</v>
      </c>
      <c r="BW322" s="206">
        <v>19.100000000000001</v>
      </c>
      <c r="BX322" s="151">
        <v>41842</v>
      </c>
      <c r="BY322" s="210">
        <v>7.21</v>
      </c>
      <c r="BZ322" s="151">
        <v>41842</v>
      </c>
      <c r="CA322" s="206">
        <v>32.299999999999997</v>
      </c>
      <c r="CB322" s="151">
        <v>41842</v>
      </c>
      <c r="CC322" s="208">
        <v>5.8</v>
      </c>
      <c r="CD322" s="151">
        <v>41838</v>
      </c>
      <c r="CL322" s="209">
        <v>3</v>
      </c>
      <c r="CM322" s="201">
        <v>41810</v>
      </c>
    </row>
    <row r="323" spans="1:91" ht="15">
      <c r="A323" s="152" t="s">
        <v>7942</v>
      </c>
      <c r="B323" s="110" t="s">
        <v>233</v>
      </c>
      <c r="C323" s="110" t="s">
        <v>381</v>
      </c>
      <c r="D323" s="110">
        <v>11071</v>
      </c>
      <c r="E323" s="111">
        <v>3</v>
      </c>
      <c r="F323" s="111">
        <v>617</v>
      </c>
      <c r="K323" s="191">
        <v>3</v>
      </c>
      <c r="L323" s="151">
        <v>41701</v>
      </c>
      <c r="M323" s="169">
        <v>3.2</v>
      </c>
      <c r="N323" s="151">
        <v>41838</v>
      </c>
      <c r="Q323" s="497"/>
      <c r="S323" s="134">
        <v>11.57</v>
      </c>
      <c r="T323" s="151">
        <v>41842</v>
      </c>
      <c r="U323" s="134">
        <v>13.5</v>
      </c>
      <c r="V323" s="151">
        <v>41838</v>
      </c>
      <c r="W323" s="196">
        <v>9</v>
      </c>
      <c r="X323" s="151">
        <v>41829</v>
      </c>
      <c r="Y323" s="134">
        <f t="shared" ref="Y323:Y386" si="5">(AE323*BU323)/100</f>
        <v>3.2872500000000002</v>
      </c>
      <c r="AC323" s="134">
        <v>23.7</v>
      </c>
      <c r="AD323" s="151">
        <v>41838</v>
      </c>
      <c r="AE323" s="134">
        <v>24.35</v>
      </c>
      <c r="AF323" s="151">
        <v>41838</v>
      </c>
      <c r="AG323" s="197">
        <v>5.3</v>
      </c>
      <c r="AH323" s="151">
        <v>41843</v>
      </c>
      <c r="AI323" s="198">
        <v>1</v>
      </c>
      <c r="AJ323" s="151">
        <v>41778</v>
      </c>
      <c r="AK323" s="199">
        <v>3</v>
      </c>
      <c r="AL323" s="151">
        <v>41709</v>
      </c>
      <c r="BE323" s="200">
        <v>3</v>
      </c>
      <c r="BF323" s="201">
        <v>41555</v>
      </c>
      <c r="BG323" s="203">
        <v>-3.6</v>
      </c>
      <c r="BH323" s="151">
        <v>41842</v>
      </c>
      <c r="BM323" s="204">
        <v>63.6</v>
      </c>
      <c r="BN323" s="151">
        <v>41842</v>
      </c>
      <c r="BQ323" s="205">
        <v>11.5</v>
      </c>
      <c r="BR323" s="151">
        <v>41842</v>
      </c>
      <c r="BS323" s="206">
        <v>47.5</v>
      </c>
      <c r="BT323" s="151">
        <v>41842</v>
      </c>
      <c r="BU323" s="207">
        <v>13.5</v>
      </c>
      <c r="BV323" s="151">
        <v>41842</v>
      </c>
      <c r="BW323" s="206">
        <v>21.2</v>
      </c>
      <c r="BX323" s="151">
        <v>41842</v>
      </c>
      <c r="BY323" s="210">
        <v>6.99</v>
      </c>
      <c r="BZ323" s="151">
        <v>41842</v>
      </c>
      <c r="CA323" s="206">
        <v>30.9</v>
      </c>
      <c r="CB323" s="151">
        <v>41842</v>
      </c>
      <c r="CC323" s="208">
        <v>6.5</v>
      </c>
      <c r="CD323" s="151">
        <v>41838</v>
      </c>
      <c r="CL323" s="209">
        <v>3</v>
      </c>
      <c r="CM323" s="201">
        <v>41810</v>
      </c>
    </row>
    <row r="324" spans="1:91" ht="15">
      <c r="A324" s="152" t="s">
        <v>7942</v>
      </c>
      <c r="B324" s="110" t="s">
        <v>235</v>
      </c>
      <c r="C324" s="110" t="s">
        <v>8081</v>
      </c>
      <c r="D324" s="110">
        <v>11189</v>
      </c>
      <c r="E324" s="111">
        <v>7</v>
      </c>
      <c r="F324" s="111">
        <v>513</v>
      </c>
      <c r="K324" s="191">
        <v>3</v>
      </c>
      <c r="L324" s="151">
        <v>41701</v>
      </c>
      <c r="M324" s="169">
        <v>4.6500000000000004</v>
      </c>
      <c r="N324" s="151">
        <v>41838</v>
      </c>
      <c r="Q324" s="497"/>
      <c r="S324" s="134">
        <v>16.29</v>
      </c>
      <c r="T324" s="151">
        <v>41842</v>
      </c>
      <c r="U324" s="134">
        <v>13.5</v>
      </c>
      <c r="V324" s="151">
        <v>41838</v>
      </c>
      <c r="W324" s="196">
        <v>9</v>
      </c>
      <c r="X324" s="151">
        <v>41829</v>
      </c>
      <c r="Y324" s="134">
        <f t="shared" si="5"/>
        <v>5.3369999999999997</v>
      </c>
      <c r="AC324" s="134">
        <v>34.44</v>
      </c>
      <c r="AD324" s="151">
        <v>41838</v>
      </c>
      <c r="AE324" s="134">
        <v>35.58</v>
      </c>
      <c r="AF324" s="151">
        <v>41838</v>
      </c>
      <c r="AG324" s="197">
        <v>5.2</v>
      </c>
      <c r="AH324" s="151">
        <v>41843</v>
      </c>
      <c r="AI324" s="198">
        <v>3</v>
      </c>
      <c r="AJ324" s="151">
        <v>41778</v>
      </c>
      <c r="AK324" s="199">
        <v>4</v>
      </c>
      <c r="AL324" s="151">
        <v>41709</v>
      </c>
      <c r="BE324" s="200">
        <v>4</v>
      </c>
      <c r="BF324" s="201">
        <v>41555</v>
      </c>
      <c r="BG324" s="203">
        <v>-0.9</v>
      </c>
      <c r="BH324" s="151">
        <v>41842</v>
      </c>
      <c r="BM324" s="204">
        <v>62.6</v>
      </c>
      <c r="BN324" s="151">
        <v>41842</v>
      </c>
      <c r="BQ324" s="205">
        <v>11.5</v>
      </c>
      <c r="BR324" s="151">
        <v>41842</v>
      </c>
      <c r="BS324" s="206">
        <v>45.8</v>
      </c>
      <c r="BT324" s="151">
        <v>41842</v>
      </c>
      <c r="BU324" s="207">
        <v>15</v>
      </c>
      <c r="BV324" s="151">
        <v>41842</v>
      </c>
      <c r="BW324" s="206">
        <v>24.9</v>
      </c>
      <c r="BX324" s="151">
        <v>41842</v>
      </c>
      <c r="BY324" s="210">
        <v>6.97</v>
      </c>
      <c r="BZ324" s="151">
        <v>41842</v>
      </c>
      <c r="CA324" s="206">
        <v>33.200000000000003</v>
      </c>
      <c r="CB324" s="151">
        <v>41842</v>
      </c>
      <c r="CC324" s="208">
        <v>6</v>
      </c>
      <c r="CD324" s="151">
        <v>41838</v>
      </c>
      <c r="CL324" s="209">
        <v>3</v>
      </c>
      <c r="CM324" s="201">
        <v>41810</v>
      </c>
    </row>
    <row r="325" spans="1:91" ht="15">
      <c r="A325" s="152" t="s">
        <v>7942</v>
      </c>
      <c r="B325" s="110" t="s">
        <v>233</v>
      </c>
      <c r="C325" s="110" t="s">
        <v>8083</v>
      </c>
      <c r="D325" s="110">
        <v>11781</v>
      </c>
      <c r="E325" s="111">
        <v>11</v>
      </c>
      <c r="F325" s="111">
        <v>725</v>
      </c>
      <c r="K325" s="191">
        <v>3</v>
      </c>
      <c r="L325" s="151">
        <v>41701</v>
      </c>
      <c r="M325" s="169">
        <v>3.2</v>
      </c>
      <c r="N325" s="151">
        <v>41838</v>
      </c>
      <c r="Q325" s="497"/>
      <c r="S325" s="134">
        <v>11.73</v>
      </c>
      <c r="T325" s="151">
        <v>41842</v>
      </c>
      <c r="U325" s="134">
        <v>13.5</v>
      </c>
      <c r="V325" s="151">
        <v>41838</v>
      </c>
      <c r="W325" s="196">
        <v>9</v>
      </c>
      <c r="X325" s="151">
        <v>41829</v>
      </c>
      <c r="Y325" s="134">
        <f t="shared" si="5"/>
        <v>3.1000700000000001</v>
      </c>
      <c r="AC325" s="134">
        <v>23.7</v>
      </c>
      <c r="AD325" s="151">
        <v>41838</v>
      </c>
      <c r="AE325" s="134">
        <v>24.41</v>
      </c>
      <c r="AF325" s="151">
        <v>41838</v>
      </c>
      <c r="AG325" s="197">
        <v>5.6</v>
      </c>
      <c r="AH325" s="151">
        <v>41843</v>
      </c>
      <c r="AI325" s="198">
        <v>3</v>
      </c>
      <c r="AJ325" s="151">
        <v>41778</v>
      </c>
      <c r="AK325" s="199">
        <v>4</v>
      </c>
      <c r="AL325" s="151">
        <v>41709</v>
      </c>
      <c r="BE325" s="200">
        <v>4</v>
      </c>
      <c r="BF325" s="201">
        <v>41555</v>
      </c>
      <c r="BG325" s="203">
        <v>-5.4</v>
      </c>
      <c r="BH325" s="151">
        <v>41842</v>
      </c>
      <c r="BM325" s="204">
        <v>63.5</v>
      </c>
      <c r="BN325" s="151">
        <v>41842</v>
      </c>
      <c r="BQ325" s="205">
        <v>11.3</v>
      </c>
      <c r="BR325" s="151">
        <v>41842</v>
      </c>
      <c r="BS325" s="206">
        <v>48.1</v>
      </c>
      <c r="BT325" s="151">
        <v>41842</v>
      </c>
      <c r="BU325" s="207">
        <v>12.7</v>
      </c>
      <c r="BV325" s="151">
        <v>41842</v>
      </c>
      <c r="BW325" s="206">
        <v>18.100000000000001</v>
      </c>
      <c r="BX325" s="151">
        <v>41842</v>
      </c>
      <c r="BY325" s="210">
        <v>6.64</v>
      </c>
      <c r="BZ325" s="151">
        <v>41842</v>
      </c>
      <c r="CA325" s="206">
        <v>29.6</v>
      </c>
      <c r="CB325" s="151">
        <v>41842</v>
      </c>
      <c r="CC325" s="208">
        <v>6.3</v>
      </c>
      <c r="CD325" s="151">
        <v>41838</v>
      </c>
      <c r="CL325" s="209">
        <v>3</v>
      </c>
      <c r="CM325" s="201">
        <v>41810</v>
      </c>
    </row>
    <row r="326" spans="1:91" ht="15">
      <c r="A326" s="152" t="s">
        <v>7943</v>
      </c>
      <c r="B326" s="110" t="s">
        <v>233</v>
      </c>
      <c r="C326" s="110" t="s">
        <v>381</v>
      </c>
      <c r="D326" s="110">
        <v>11174</v>
      </c>
      <c r="E326" s="111">
        <v>6</v>
      </c>
      <c r="F326" s="111">
        <v>597</v>
      </c>
      <c r="K326" s="134">
        <v>5</v>
      </c>
      <c r="L326" s="151">
        <v>41701</v>
      </c>
      <c r="M326" s="169">
        <v>4.1500000000000004</v>
      </c>
      <c r="N326" s="151">
        <v>41838</v>
      </c>
      <c r="Q326" s="497"/>
      <c r="S326" s="134">
        <v>15.27</v>
      </c>
      <c r="T326" s="151">
        <v>41842</v>
      </c>
      <c r="U326" s="134">
        <v>13.5</v>
      </c>
      <c r="V326" s="151">
        <v>41838</v>
      </c>
      <c r="W326" s="196">
        <v>9</v>
      </c>
      <c r="X326" s="151">
        <v>41829</v>
      </c>
      <c r="Y326" s="134">
        <f t="shared" si="5"/>
        <v>4.1326999999999998</v>
      </c>
      <c r="AC326" s="134">
        <v>30.74</v>
      </c>
      <c r="AD326" s="151">
        <v>41838</v>
      </c>
      <c r="AE326" s="134">
        <v>31.79</v>
      </c>
      <c r="AF326" s="151">
        <v>41838</v>
      </c>
      <c r="AG326" s="197">
        <v>5</v>
      </c>
      <c r="AH326" s="151">
        <v>41843</v>
      </c>
      <c r="AI326" s="198">
        <v>5</v>
      </c>
      <c r="AJ326" s="151">
        <v>41778</v>
      </c>
      <c r="AK326" s="199">
        <v>4</v>
      </c>
      <c r="AL326" s="151">
        <v>41709</v>
      </c>
      <c r="BE326" s="200">
        <v>4</v>
      </c>
      <c r="BF326" s="201">
        <v>41555</v>
      </c>
      <c r="BG326" s="203">
        <v>-3.7</v>
      </c>
      <c r="BH326" s="151">
        <v>41842</v>
      </c>
      <c r="BM326" s="204">
        <v>66.400000000000006</v>
      </c>
      <c r="BN326" s="151">
        <v>41842</v>
      </c>
      <c r="BQ326" s="205">
        <v>9.4</v>
      </c>
      <c r="BR326" s="151">
        <v>41842</v>
      </c>
      <c r="BS326" s="206">
        <v>48.1</v>
      </c>
      <c r="BT326" s="151">
        <v>41842</v>
      </c>
      <c r="BU326" s="207">
        <v>13</v>
      </c>
      <c r="BV326" s="151">
        <v>41842</v>
      </c>
      <c r="BW326" s="206">
        <v>14.1</v>
      </c>
      <c r="BX326" s="151">
        <v>41842</v>
      </c>
      <c r="BY326" s="210">
        <v>7.04</v>
      </c>
      <c r="BZ326" s="151">
        <v>41842</v>
      </c>
      <c r="CA326" s="206">
        <v>30.3</v>
      </c>
      <c r="CB326" s="151">
        <v>41842</v>
      </c>
      <c r="CC326" s="208">
        <v>5.9</v>
      </c>
      <c r="CD326" s="151">
        <v>41838</v>
      </c>
      <c r="CL326" s="209">
        <v>3</v>
      </c>
      <c r="CM326" s="201">
        <v>41810</v>
      </c>
    </row>
    <row r="327" spans="1:91" ht="15">
      <c r="A327" s="152" t="s">
        <v>7943</v>
      </c>
      <c r="B327" s="110" t="s">
        <v>235</v>
      </c>
      <c r="C327" s="110" t="s">
        <v>8082</v>
      </c>
      <c r="D327" s="110">
        <v>11578</v>
      </c>
      <c r="E327" s="111">
        <v>6</v>
      </c>
      <c r="F327" s="111">
        <v>633</v>
      </c>
      <c r="K327" s="134">
        <v>5</v>
      </c>
      <c r="L327" s="151">
        <v>41701</v>
      </c>
      <c r="M327" s="169">
        <v>5.6</v>
      </c>
      <c r="N327" s="151">
        <v>41838</v>
      </c>
      <c r="Q327" s="497"/>
      <c r="S327" s="134">
        <v>19.84</v>
      </c>
      <c r="T327" s="151">
        <v>41842</v>
      </c>
      <c r="U327" s="134">
        <v>13.5</v>
      </c>
      <c r="V327" s="151">
        <v>41838</v>
      </c>
      <c r="W327" s="196">
        <v>9</v>
      </c>
      <c r="X327" s="151">
        <v>41829</v>
      </c>
      <c r="Y327" s="134">
        <f t="shared" si="5"/>
        <v>6.3684400000000005</v>
      </c>
      <c r="AC327" s="134">
        <v>41.48</v>
      </c>
      <c r="AD327" s="151">
        <v>41838</v>
      </c>
      <c r="AE327" s="134">
        <v>43.03</v>
      </c>
      <c r="AF327" s="151">
        <v>41838</v>
      </c>
      <c r="AG327" s="197">
        <v>4.8</v>
      </c>
      <c r="AH327" s="151">
        <v>41843</v>
      </c>
      <c r="AI327" s="198">
        <v>5</v>
      </c>
      <c r="AJ327" s="151">
        <v>41778</v>
      </c>
      <c r="AK327" s="199">
        <v>5</v>
      </c>
      <c r="AL327" s="151">
        <v>41709</v>
      </c>
      <c r="BE327" s="200">
        <v>5</v>
      </c>
      <c r="BF327" s="201">
        <v>41555</v>
      </c>
      <c r="BG327" s="203">
        <v>-6.4</v>
      </c>
      <c r="BH327" s="151">
        <v>41842</v>
      </c>
      <c r="BM327" s="204">
        <v>64.099999999999994</v>
      </c>
      <c r="BN327" s="151">
        <v>41842</v>
      </c>
      <c r="BQ327" s="205">
        <v>10.1</v>
      </c>
      <c r="BR327" s="151">
        <v>41842</v>
      </c>
      <c r="BS327" s="206">
        <v>46.1</v>
      </c>
      <c r="BT327" s="151">
        <v>41842</v>
      </c>
      <c r="BU327" s="207">
        <v>14.8</v>
      </c>
      <c r="BV327" s="151">
        <v>41842</v>
      </c>
      <c r="BW327" s="206">
        <v>15.1</v>
      </c>
      <c r="BX327" s="151">
        <v>41842</v>
      </c>
      <c r="BY327" s="210">
        <v>7.51</v>
      </c>
      <c r="BZ327" s="151">
        <v>41842</v>
      </c>
      <c r="CA327" s="206">
        <v>33</v>
      </c>
      <c r="CB327" s="151">
        <v>41842</v>
      </c>
      <c r="CC327" s="208">
        <v>5.6</v>
      </c>
      <c r="CD327" s="151">
        <v>41838</v>
      </c>
      <c r="CL327" s="209">
        <v>3</v>
      </c>
      <c r="CM327" s="201">
        <v>41810</v>
      </c>
    </row>
    <row r="328" spans="1:91" ht="15">
      <c r="A328" s="152" t="s">
        <v>7943</v>
      </c>
      <c r="B328" s="110" t="s">
        <v>235</v>
      </c>
      <c r="C328" s="110" t="s">
        <v>8081</v>
      </c>
      <c r="D328" s="110">
        <v>11380</v>
      </c>
      <c r="E328" s="111">
        <v>12</v>
      </c>
      <c r="F328" s="111">
        <v>557</v>
      </c>
      <c r="K328" s="134">
        <v>5</v>
      </c>
      <c r="L328" s="151">
        <v>41701</v>
      </c>
      <c r="M328" s="169">
        <v>6.3</v>
      </c>
      <c r="N328" s="151">
        <v>41838</v>
      </c>
      <c r="Q328" s="497"/>
      <c r="S328" s="134">
        <v>22.88</v>
      </c>
      <c r="T328" s="151">
        <v>41842</v>
      </c>
      <c r="U328" s="134">
        <v>13.5</v>
      </c>
      <c r="V328" s="151">
        <v>41838</v>
      </c>
      <c r="W328" s="196">
        <v>9</v>
      </c>
      <c r="X328" s="151">
        <v>41829</v>
      </c>
      <c r="Y328" s="134">
        <f t="shared" si="5"/>
        <v>6.5286</v>
      </c>
      <c r="AC328" s="134">
        <v>46.67</v>
      </c>
      <c r="AD328" s="151">
        <v>41838</v>
      </c>
      <c r="AE328" s="134">
        <v>48.36</v>
      </c>
      <c r="AF328" s="151">
        <v>41838</v>
      </c>
      <c r="AG328" s="197">
        <v>4.8</v>
      </c>
      <c r="AH328" s="151">
        <v>41843</v>
      </c>
      <c r="AI328" s="198">
        <v>5</v>
      </c>
      <c r="AJ328" s="151">
        <v>41778</v>
      </c>
      <c r="AK328" s="199">
        <v>5</v>
      </c>
      <c r="AL328" s="151">
        <v>41709</v>
      </c>
      <c r="BE328" s="200">
        <v>5</v>
      </c>
      <c r="BF328" s="201">
        <v>41555</v>
      </c>
      <c r="BG328" s="203">
        <v>-7.4</v>
      </c>
      <c r="BH328" s="151">
        <v>41842</v>
      </c>
      <c r="BM328" s="204">
        <v>65.7</v>
      </c>
      <c r="BN328" s="151">
        <v>41842</v>
      </c>
      <c r="BQ328" s="205">
        <v>10.199999999999999</v>
      </c>
      <c r="BR328" s="151">
        <v>41842</v>
      </c>
      <c r="BS328" s="206">
        <v>47.3</v>
      </c>
      <c r="BT328" s="151">
        <v>41842</v>
      </c>
      <c r="BU328" s="207">
        <v>13.5</v>
      </c>
      <c r="BV328" s="151">
        <v>41842</v>
      </c>
      <c r="BW328" s="206">
        <v>14.1</v>
      </c>
      <c r="BX328" s="151">
        <v>41842</v>
      </c>
      <c r="BY328" s="210">
        <v>6.89</v>
      </c>
      <c r="BZ328" s="151">
        <v>41842</v>
      </c>
      <c r="CA328" s="206">
        <v>31</v>
      </c>
      <c r="CB328" s="151">
        <v>41842</v>
      </c>
      <c r="CC328" s="208">
        <v>5.7</v>
      </c>
      <c r="CD328" s="151">
        <v>41838</v>
      </c>
      <c r="CL328" s="209">
        <v>3</v>
      </c>
      <c r="CM328" s="201">
        <v>41810</v>
      </c>
    </row>
    <row r="329" spans="1:91" ht="15">
      <c r="A329" s="152" t="s">
        <v>7943</v>
      </c>
      <c r="B329" s="110" t="s">
        <v>233</v>
      </c>
      <c r="C329" s="110" t="s">
        <v>8083</v>
      </c>
      <c r="D329" s="110">
        <v>11826</v>
      </c>
      <c r="E329" s="111">
        <v>12</v>
      </c>
      <c r="F329" s="111">
        <v>761</v>
      </c>
      <c r="K329" s="134">
        <v>5</v>
      </c>
      <c r="L329" s="151">
        <v>41701</v>
      </c>
      <c r="M329" s="169">
        <v>3.65</v>
      </c>
      <c r="N329" s="151">
        <v>41838</v>
      </c>
      <c r="Q329" s="497"/>
      <c r="S329" s="134">
        <v>13.16</v>
      </c>
      <c r="T329" s="151">
        <v>41842</v>
      </c>
      <c r="U329" s="134">
        <v>13.5</v>
      </c>
      <c r="V329" s="151">
        <v>41838</v>
      </c>
      <c r="W329" s="196">
        <v>9</v>
      </c>
      <c r="X329" s="151">
        <v>41829</v>
      </c>
      <c r="Y329" s="134">
        <f t="shared" si="5"/>
        <v>3.7543500000000001</v>
      </c>
      <c r="AC329" s="134">
        <v>27.04</v>
      </c>
      <c r="AD329" s="151">
        <v>41838</v>
      </c>
      <c r="AE329" s="134">
        <v>27.81</v>
      </c>
      <c r="AF329" s="151">
        <v>41838</v>
      </c>
      <c r="AG329" s="197">
        <v>5.3</v>
      </c>
      <c r="AH329" s="151">
        <v>41843</v>
      </c>
      <c r="AI329" s="198">
        <v>3</v>
      </c>
      <c r="AJ329" s="151">
        <v>41778</v>
      </c>
      <c r="AK329" s="199">
        <v>5</v>
      </c>
      <c r="AL329" s="151">
        <v>41709</v>
      </c>
      <c r="BE329" s="200">
        <v>5</v>
      </c>
      <c r="BF329" s="201">
        <v>41555</v>
      </c>
      <c r="BG329" s="203">
        <v>-8.8000000000000007</v>
      </c>
      <c r="BH329" s="151">
        <v>41842</v>
      </c>
      <c r="BM329" s="204">
        <v>65.8</v>
      </c>
      <c r="BN329" s="151">
        <v>41842</v>
      </c>
      <c r="BQ329" s="205">
        <v>10.1</v>
      </c>
      <c r="BR329" s="151">
        <v>41842</v>
      </c>
      <c r="BS329" s="206">
        <v>47.3</v>
      </c>
      <c r="BT329" s="151">
        <v>41842</v>
      </c>
      <c r="BU329" s="207">
        <v>13.5</v>
      </c>
      <c r="BV329" s="151">
        <v>41842</v>
      </c>
      <c r="BW329" s="206">
        <v>14.6</v>
      </c>
      <c r="BX329" s="151">
        <v>41842</v>
      </c>
      <c r="BY329" s="210">
        <v>7.03</v>
      </c>
      <c r="BZ329" s="151">
        <v>41842</v>
      </c>
      <c r="CA329" s="206">
        <v>30.8</v>
      </c>
      <c r="CB329" s="151">
        <v>41842</v>
      </c>
      <c r="CC329" s="208">
        <v>6.4</v>
      </c>
      <c r="CD329" s="151">
        <v>41838</v>
      </c>
      <c r="CL329" s="209">
        <v>3</v>
      </c>
      <c r="CM329" s="201">
        <v>41810</v>
      </c>
    </row>
    <row r="330" spans="1:91" ht="15">
      <c r="A330" s="152" t="s">
        <v>7944</v>
      </c>
      <c r="B330" s="110" t="s">
        <v>235</v>
      </c>
      <c r="C330" s="110" t="s">
        <v>8082</v>
      </c>
      <c r="D330" s="110">
        <v>11484</v>
      </c>
      <c r="E330" s="111">
        <v>3</v>
      </c>
      <c r="F330" s="111">
        <v>689</v>
      </c>
      <c r="K330" s="134">
        <v>5</v>
      </c>
      <c r="L330" s="151">
        <v>41701</v>
      </c>
      <c r="M330" s="169">
        <v>4.75</v>
      </c>
      <c r="N330" s="151">
        <v>41838</v>
      </c>
      <c r="Q330" s="497"/>
      <c r="S330" s="134">
        <v>17.149999999999999</v>
      </c>
      <c r="T330" s="151">
        <v>41842</v>
      </c>
      <c r="U330" s="134">
        <v>13.5</v>
      </c>
      <c r="V330" s="151">
        <v>41838</v>
      </c>
      <c r="W330" s="196">
        <v>1</v>
      </c>
      <c r="X330" s="151">
        <v>41829</v>
      </c>
      <c r="Y330" s="134">
        <f t="shared" si="5"/>
        <v>4.7814999999999994</v>
      </c>
      <c r="AC330" s="134">
        <v>35.19</v>
      </c>
      <c r="AD330" s="151">
        <v>41838</v>
      </c>
      <c r="AE330" s="134">
        <v>36.5</v>
      </c>
      <c r="AF330" s="151">
        <v>41838</v>
      </c>
      <c r="AG330" s="197">
        <v>4.3</v>
      </c>
      <c r="AH330" s="151">
        <v>41843</v>
      </c>
      <c r="AI330" s="198">
        <v>5</v>
      </c>
      <c r="AJ330" s="151">
        <v>41778</v>
      </c>
      <c r="AK330" s="199">
        <v>5</v>
      </c>
      <c r="AL330" s="151">
        <v>41709</v>
      </c>
      <c r="BE330" s="200">
        <v>5</v>
      </c>
      <c r="BF330" s="201">
        <v>41555</v>
      </c>
      <c r="BG330" s="203">
        <v>-1.2</v>
      </c>
      <c r="BH330" s="151">
        <v>41842</v>
      </c>
      <c r="BM330" s="204">
        <v>61.1</v>
      </c>
      <c r="BN330" s="151">
        <v>41842</v>
      </c>
      <c r="BQ330" s="205">
        <v>11.4</v>
      </c>
      <c r="BR330" s="151">
        <v>41842</v>
      </c>
      <c r="BS330" s="206">
        <v>47</v>
      </c>
      <c r="BT330" s="151">
        <v>41842</v>
      </c>
      <c r="BU330" s="207">
        <v>13.1</v>
      </c>
      <c r="BV330" s="151">
        <v>41842</v>
      </c>
      <c r="BW330" s="206">
        <v>13.2</v>
      </c>
      <c r="BX330" s="151">
        <v>41842</v>
      </c>
      <c r="BY330" s="210">
        <v>7.2</v>
      </c>
      <c r="BZ330" s="151">
        <v>41842</v>
      </c>
      <c r="CA330" s="206">
        <v>29.7</v>
      </c>
      <c r="CB330" s="151">
        <v>41842</v>
      </c>
      <c r="CC330" s="208">
        <v>5.6</v>
      </c>
      <c r="CD330" s="151">
        <v>41838</v>
      </c>
      <c r="CL330" s="209">
        <v>3</v>
      </c>
      <c r="CM330" s="201">
        <v>41810</v>
      </c>
    </row>
    <row r="331" spans="1:91" ht="15">
      <c r="A331" s="152" t="s">
        <v>7944</v>
      </c>
      <c r="B331" s="110" t="s">
        <v>233</v>
      </c>
      <c r="C331" s="110" t="s">
        <v>381</v>
      </c>
      <c r="D331" s="110">
        <v>11090</v>
      </c>
      <c r="E331" s="111">
        <v>4</v>
      </c>
      <c r="F331" s="111">
        <v>549</v>
      </c>
      <c r="K331" s="134">
        <v>5</v>
      </c>
      <c r="L331" s="151">
        <v>41701</v>
      </c>
      <c r="M331" s="169">
        <v>4.25</v>
      </c>
      <c r="N331" s="151">
        <v>41838</v>
      </c>
      <c r="Q331" s="497"/>
      <c r="S331" s="134">
        <v>15.54</v>
      </c>
      <c r="T331" s="151">
        <v>41842</v>
      </c>
      <c r="U331" s="134">
        <v>13.5</v>
      </c>
      <c r="V331" s="151">
        <v>41838</v>
      </c>
      <c r="W331" s="196">
        <v>1</v>
      </c>
      <c r="X331" s="151">
        <v>41829</v>
      </c>
      <c r="Y331" s="134">
        <f t="shared" si="5"/>
        <v>4.0535600000000001</v>
      </c>
      <c r="AC331" s="134">
        <v>31.48</v>
      </c>
      <c r="AD331" s="151">
        <v>41838</v>
      </c>
      <c r="AE331" s="134">
        <v>32.69</v>
      </c>
      <c r="AF331" s="151">
        <v>41838</v>
      </c>
      <c r="AG331" s="197">
        <v>4.5999999999999996</v>
      </c>
      <c r="AH331" s="151">
        <v>41843</v>
      </c>
      <c r="AI331" s="198">
        <v>3</v>
      </c>
      <c r="AJ331" s="151">
        <v>41778</v>
      </c>
      <c r="AK331" s="199">
        <v>4</v>
      </c>
      <c r="AL331" s="151">
        <v>41709</v>
      </c>
      <c r="BE331" s="200">
        <v>4</v>
      </c>
      <c r="BF331" s="201">
        <v>41555</v>
      </c>
      <c r="BG331" s="203">
        <v>-3.3</v>
      </c>
      <c r="BH331" s="151">
        <v>41842</v>
      </c>
      <c r="BM331" s="204">
        <v>60.5</v>
      </c>
      <c r="BN331" s="151">
        <v>41842</v>
      </c>
      <c r="BQ331" s="205">
        <v>11.9</v>
      </c>
      <c r="BR331" s="151">
        <v>41842</v>
      </c>
      <c r="BS331" s="206">
        <v>47.5</v>
      </c>
      <c r="BT331" s="151">
        <v>41842</v>
      </c>
      <c r="BU331" s="207">
        <v>12.4</v>
      </c>
      <c r="BV331" s="151">
        <v>41842</v>
      </c>
      <c r="BW331" s="206">
        <v>11.9</v>
      </c>
      <c r="BX331" s="151">
        <v>41842</v>
      </c>
      <c r="BY331" s="210">
        <v>7.02</v>
      </c>
      <c r="BZ331" s="151">
        <v>41842</v>
      </c>
      <c r="CA331" s="206">
        <v>28.6</v>
      </c>
      <c r="CB331" s="151">
        <v>41842</v>
      </c>
      <c r="CC331" s="208">
        <v>5.5</v>
      </c>
      <c r="CD331" s="151">
        <v>41838</v>
      </c>
      <c r="CL331" s="209">
        <v>3</v>
      </c>
      <c r="CM331" s="201">
        <v>41810</v>
      </c>
    </row>
    <row r="332" spans="1:91" ht="15">
      <c r="A332" s="152" t="s">
        <v>7944</v>
      </c>
      <c r="B332" s="110" t="s">
        <v>235</v>
      </c>
      <c r="C332" s="110" t="s">
        <v>8081</v>
      </c>
      <c r="D332" s="110">
        <v>11221</v>
      </c>
      <c r="E332" s="111">
        <v>8</v>
      </c>
      <c r="F332" s="111">
        <v>497</v>
      </c>
      <c r="K332" s="134">
        <v>5</v>
      </c>
      <c r="L332" s="151">
        <v>41701</v>
      </c>
      <c r="M332" s="169">
        <v>5.2</v>
      </c>
      <c r="N332" s="151">
        <v>41838</v>
      </c>
      <c r="Q332" s="497"/>
      <c r="S332" s="134">
        <v>18.23</v>
      </c>
      <c r="T332" s="151">
        <v>41842</v>
      </c>
      <c r="U332" s="134">
        <v>13.5</v>
      </c>
      <c r="V332" s="151">
        <v>41838</v>
      </c>
      <c r="W332" s="196">
        <v>9</v>
      </c>
      <c r="X332" s="151">
        <v>41829</v>
      </c>
      <c r="Y332" s="134">
        <f t="shared" si="5"/>
        <v>5.4567099999999993</v>
      </c>
      <c r="AC332" s="134">
        <v>38.520000000000003</v>
      </c>
      <c r="AD332" s="151">
        <v>41838</v>
      </c>
      <c r="AE332" s="134">
        <v>39.83</v>
      </c>
      <c r="AF332" s="151">
        <v>41838</v>
      </c>
      <c r="AG332" s="197">
        <v>4.4000000000000004</v>
      </c>
      <c r="AH332" s="151">
        <v>41843</v>
      </c>
      <c r="AI332" s="198">
        <v>5</v>
      </c>
      <c r="AJ332" s="151">
        <v>41778</v>
      </c>
      <c r="AK332" s="199">
        <v>5</v>
      </c>
      <c r="AL332" s="151">
        <v>41709</v>
      </c>
      <c r="BE332" s="200">
        <v>5</v>
      </c>
      <c r="BF332" s="201">
        <v>41555</v>
      </c>
      <c r="BG332" s="203">
        <v>-3.1</v>
      </c>
      <c r="BH332" s="151">
        <v>41842</v>
      </c>
      <c r="BM332" s="204">
        <v>59.3</v>
      </c>
      <c r="BN332" s="151">
        <v>41842</v>
      </c>
      <c r="BQ332" s="205">
        <v>12</v>
      </c>
      <c r="BR332" s="151">
        <v>41842</v>
      </c>
      <c r="BS332" s="206">
        <v>45.8</v>
      </c>
      <c r="BT332" s="151">
        <v>41842</v>
      </c>
      <c r="BU332" s="207">
        <v>13.7</v>
      </c>
      <c r="BV332" s="151">
        <v>41842</v>
      </c>
      <c r="BW332" s="206">
        <v>13.1</v>
      </c>
      <c r="BX332" s="151">
        <v>41842</v>
      </c>
      <c r="BY332" s="210">
        <v>7.08</v>
      </c>
      <c r="BZ332" s="151">
        <v>41842</v>
      </c>
      <c r="CA332" s="206">
        <v>30.4</v>
      </c>
      <c r="CB332" s="151">
        <v>41842</v>
      </c>
      <c r="CC332" s="208">
        <v>5.9</v>
      </c>
      <c r="CD332" s="151">
        <v>41838</v>
      </c>
      <c r="CL332" s="209">
        <v>3</v>
      </c>
      <c r="CM332" s="201">
        <v>41810</v>
      </c>
    </row>
    <row r="333" spans="1:91" ht="15">
      <c r="A333" s="152" t="s">
        <v>7944</v>
      </c>
      <c r="B333" s="110" t="s">
        <v>233</v>
      </c>
      <c r="C333" s="110" t="s">
        <v>8083</v>
      </c>
      <c r="D333" s="110">
        <v>11786</v>
      </c>
      <c r="E333" s="111">
        <v>11</v>
      </c>
      <c r="F333" s="111">
        <v>745</v>
      </c>
      <c r="K333" s="134">
        <v>5</v>
      </c>
      <c r="L333" s="151">
        <v>41701</v>
      </c>
      <c r="M333" s="169">
        <v>4.05</v>
      </c>
      <c r="N333" s="151">
        <v>41838</v>
      </c>
      <c r="Q333" s="497"/>
      <c r="S333" s="134">
        <v>14.48</v>
      </c>
      <c r="T333" s="151">
        <v>41842</v>
      </c>
      <c r="U333" s="134">
        <v>13.5</v>
      </c>
      <c r="V333" s="151">
        <v>41838</v>
      </c>
      <c r="W333" s="196">
        <v>1</v>
      </c>
      <c r="X333" s="151">
        <v>41829</v>
      </c>
      <c r="Y333" s="134">
        <f t="shared" si="5"/>
        <v>3.9449600000000005</v>
      </c>
      <c r="AC333" s="134">
        <v>30</v>
      </c>
      <c r="AD333" s="151">
        <v>41838</v>
      </c>
      <c r="AE333" s="134">
        <v>30.82</v>
      </c>
      <c r="AF333" s="151">
        <v>41838</v>
      </c>
      <c r="AG333" s="197">
        <v>4.7</v>
      </c>
      <c r="AH333" s="151">
        <v>41843</v>
      </c>
      <c r="AI333" s="198">
        <v>3</v>
      </c>
      <c r="AJ333" s="151">
        <v>41778</v>
      </c>
      <c r="AK333" s="199">
        <v>5</v>
      </c>
      <c r="AL333" s="151">
        <v>41709</v>
      </c>
      <c r="BE333" s="200">
        <v>5</v>
      </c>
      <c r="BF333" s="201">
        <v>41555</v>
      </c>
      <c r="BG333" s="203">
        <v>-5</v>
      </c>
      <c r="BH333" s="151">
        <v>41842</v>
      </c>
      <c r="BM333" s="204">
        <v>60.4</v>
      </c>
      <c r="BN333" s="151">
        <v>41842</v>
      </c>
      <c r="BQ333" s="205">
        <v>11.4</v>
      </c>
      <c r="BR333" s="151">
        <v>41842</v>
      </c>
      <c r="BS333" s="206">
        <v>47</v>
      </c>
      <c r="BT333" s="151">
        <v>41842</v>
      </c>
      <c r="BU333" s="207">
        <v>12.8</v>
      </c>
      <c r="BV333" s="151">
        <v>41842</v>
      </c>
      <c r="BW333" s="206">
        <v>9.5</v>
      </c>
      <c r="BX333" s="151">
        <v>41842</v>
      </c>
      <c r="BY333" s="210">
        <v>6.91</v>
      </c>
      <c r="BZ333" s="151">
        <v>41842</v>
      </c>
      <c r="CA333" s="206">
        <v>29</v>
      </c>
      <c r="CB333" s="151">
        <v>41842</v>
      </c>
      <c r="CC333" s="208">
        <v>6.5</v>
      </c>
      <c r="CD333" s="151">
        <v>41838</v>
      </c>
      <c r="CL333" s="209">
        <v>3</v>
      </c>
      <c r="CM333" s="201">
        <v>41810</v>
      </c>
    </row>
    <row r="334" spans="1:91" ht="15">
      <c r="A334" s="152" t="s">
        <v>7945</v>
      </c>
      <c r="B334" s="110" t="s">
        <v>235</v>
      </c>
      <c r="C334" s="110" t="s">
        <v>8082</v>
      </c>
      <c r="D334" s="110">
        <v>11406</v>
      </c>
      <c r="E334" s="111">
        <v>1</v>
      </c>
      <c r="F334" s="111">
        <v>665</v>
      </c>
      <c r="I334" s="373"/>
      <c r="K334" s="191">
        <v>3</v>
      </c>
      <c r="L334" s="151">
        <v>41701</v>
      </c>
      <c r="M334" s="169">
        <v>5.3</v>
      </c>
      <c r="N334" s="151">
        <v>41838</v>
      </c>
      <c r="Q334" s="497"/>
      <c r="S334" s="134">
        <v>18.84</v>
      </c>
      <c r="T334" s="151">
        <v>41842</v>
      </c>
      <c r="U334" s="194">
        <v>13.5</v>
      </c>
      <c r="V334" s="151">
        <v>41838</v>
      </c>
      <c r="W334" s="196">
        <v>9</v>
      </c>
      <c r="X334" s="151">
        <v>41829</v>
      </c>
      <c r="Y334" s="134">
        <f t="shared" si="5"/>
        <v>5.6489600000000006</v>
      </c>
      <c r="AA334" s="194"/>
      <c r="AC334" s="194">
        <v>39.26</v>
      </c>
      <c r="AD334" s="151">
        <v>41838</v>
      </c>
      <c r="AE334" s="137">
        <v>40.64</v>
      </c>
      <c r="AF334" s="151">
        <v>41838</v>
      </c>
      <c r="AG334" s="197">
        <v>4.3</v>
      </c>
      <c r="AH334" s="151">
        <v>41843</v>
      </c>
      <c r="AI334" s="198">
        <v>5</v>
      </c>
      <c r="AJ334" s="151">
        <v>41778</v>
      </c>
      <c r="AK334" s="199">
        <v>4</v>
      </c>
      <c r="AL334" s="151">
        <v>41709</v>
      </c>
      <c r="AM334" s="194"/>
      <c r="BE334" s="200">
        <v>4</v>
      </c>
      <c r="BF334" s="201">
        <v>41555</v>
      </c>
      <c r="BG334" s="203">
        <v>-0.5</v>
      </c>
      <c r="BH334" s="151">
        <v>41842</v>
      </c>
      <c r="BM334" s="204">
        <v>66.3</v>
      </c>
      <c r="BN334" s="151">
        <v>41842</v>
      </c>
      <c r="BQ334" s="205">
        <v>10.8</v>
      </c>
      <c r="BR334" s="151">
        <v>41842</v>
      </c>
      <c r="BS334" s="206">
        <v>46.4</v>
      </c>
      <c r="BT334" s="151">
        <v>41842</v>
      </c>
      <c r="BU334" s="207">
        <v>13.9</v>
      </c>
      <c r="BV334" s="151">
        <v>41842</v>
      </c>
      <c r="BW334" s="206">
        <v>18.3</v>
      </c>
      <c r="BX334" s="151">
        <v>41842</v>
      </c>
      <c r="BY334" s="210">
        <v>8</v>
      </c>
      <c r="BZ334" s="151">
        <v>41842</v>
      </c>
      <c r="CA334" s="206">
        <v>31</v>
      </c>
      <c r="CB334" s="151">
        <v>41842</v>
      </c>
      <c r="CC334" s="208">
        <v>5.8</v>
      </c>
      <c r="CD334" s="151">
        <v>41838</v>
      </c>
      <c r="CL334" s="209">
        <v>3</v>
      </c>
      <c r="CM334" s="201">
        <v>41810</v>
      </c>
    </row>
    <row r="335" spans="1:91" ht="15">
      <c r="A335" s="152" t="s">
        <v>7945</v>
      </c>
      <c r="B335" s="110" t="s">
        <v>233</v>
      </c>
      <c r="C335" s="110" t="s">
        <v>381</v>
      </c>
      <c r="D335" s="110">
        <v>11140</v>
      </c>
      <c r="E335" s="111">
        <v>5</v>
      </c>
      <c r="F335" s="111">
        <v>605</v>
      </c>
      <c r="K335" s="134">
        <v>5</v>
      </c>
      <c r="L335" s="151">
        <v>41701</v>
      </c>
      <c r="M335" s="169">
        <v>4.1500000000000004</v>
      </c>
      <c r="N335" s="151">
        <v>41838</v>
      </c>
      <c r="Q335" s="497"/>
      <c r="S335" s="134">
        <v>14.79</v>
      </c>
      <c r="T335" s="151">
        <v>41842</v>
      </c>
      <c r="U335" s="134">
        <v>13.5</v>
      </c>
      <c r="V335" s="151">
        <v>41838</v>
      </c>
      <c r="W335" s="196">
        <v>1</v>
      </c>
      <c r="X335" s="151">
        <v>41829</v>
      </c>
      <c r="Y335" s="134">
        <f t="shared" si="5"/>
        <v>4.5084999999999997</v>
      </c>
      <c r="AC335" s="134">
        <v>30.74</v>
      </c>
      <c r="AD335" s="151">
        <v>41838</v>
      </c>
      <c r="AE335" s="134">
        <v>31.75</v>
      </c>
      <c r="AF335" s="151">
        <v>41838</v>
      </c>
      <c r="AG335" s="197">
        <v>4.8</v>
      </c>
      <c r="AH335" s="151">
        <v>41843</v>
      </c>
      <c r="AI335" s="198">
        <v>5</v>
      </c>
      <c r="AJ335" s="151">
        <v>41778</v>
      </c>
      <c r="AK335" s="199">
        <v>4</v>
      </c>
      <c r="AL335" s="151">
        <v>41709</v>
      </c>
      <c r="BE335" s="200">
        <v>4</v>
      </c>
      <c r="BF335" s="201">
        <v>41555</v>
      </c>
      <c r="BG335" s="203">
        <v>3.8</v>
      </c>
      <c r="BH335" s="151">
        <v>41842</v>
      </c>
      <c r="BM335" s="204">
        <v>68</v>
      </c>
      <c r="BN335" s="151">
        <v>41842</v>
      </c>
      <c r="BQ335" s="205">
        <v>10.7</v>
      </c>
      <c r="BR335" s="151">
        <v>41842</v>
      </c>
      <c r="BS335" s="206">
        <v>46.6</v>
      </c>
      <c r="BT335" s="151">
        <v>41842</v>
      </c>
      <c r="BU335" s="207">
        <v>14.2</v>
      </c>
      <c r="BV335" s="151">
        <v>41842</v>
      </c>
      <c r="BW335" s="206">
        <v>23</v>
      </c>
      <c r="BX335" s="151">
        <v>41842</v>
      </c>
      <c r="BY335" s="210">
        <v>7.61</v>
      </c>
      <c r="BZ335" s="151">
        <v>41842</v>
      </c>
      <c r="CA335" s="206">
        <v>31.9</v>
      </c>
      <c r="CB335" s="151">
        <v>41842</v>
      </c>
      <c r="CC335" s="208">
        <v>6</v>
      </c>
      <c r="CD335" s="151">
        <v>41838</v>
      </c>
      <c r="CL335" s="209">
        <v>3</v>
      </c>
      <c r="CM335" s="201">
        <v>41810</v>
      </c>
    </row>
    <row r="336" spans="1:91" ht="15">
      <c r="A336" s="152" t="s">
        <v>7945</v>
      </c>
      <c r="B336" s="110" t="s">
        <v>235</v>
      </c>
      <c r="C336" s="110" t="s">
        <v>8081</v>
      </c>
      <c r="D336" s="110">
        <v>11271</v>
      </c>
      <c r="E336" s="111">
        <v>9</v>
      </c>
      <c r="F336" s="111">
        <v>553</v>
      </c>
      <c r="K336" s="134">
        <v>5</v>
      </c>
      <c r="L336" s="151">
        <v>41701</v>
      </c>
      <c r="M336" s="169">
        <v>6</v>
      </c>
      <c r="N336" s="151">
        <v>41838</v>
      </c>
      <c r="Q336" s="497"/>
      <c r="S336" s="134">
        <v>21.4</v>
      </c>
      <c r="T336" s="151">
        <v>41842</v>
      </c>
      <c r="U336" s="134">
        <v>13.5</v>
      </c>
      <c r="V336" s="151">
        <v>41838</v>
      </c>
      <c r="W336" s="196">
        <v>9</v>
      </c>
      <c r="X336" s="151">
        <v>41829</v>
      </c>
      <c r="Y336" s="134">
        <f t="shared" si="5"/>
        <v>6.5937300000000008</v>
      </c>
      <c r="AC336" s="134">
        <v>44.44</v>
      </c>
      <c r="AD336" s="151">
        <v>41838</v>
      </c>
      <c r="AE336" s="134">
        <v>46.11</v>
      </c>
      <c r="AF336" s="151">
        <v>41838</v>
      </c>
      <c r="AG336" s="197">
        <v>4.5</v>
      </c>
      <c r="AH336" s="151">
        <v>41843</v>
      </c>
      <c r="AI336" s="198">
        <v>7</v>
      </c>
      <c r="AJ336" s="151">
        <v>41778</v>
      </c>
      <c r="AK336" s="199">
        <v>5</v>
      </c>
      <c r="AL336" s="151">
        <v>41709</v>
      </c>
      <c r="BE336" s="200">
        <v>5</v>
      </c>
      <c r="BF336" s="201">
        <v>41555</v>
      </c>
      <c r="BG336" s="203">
        <v>-1.2</v>
      </c>
      <c r="BH336" s="151">
        <v>41842</v>
      </c>
      <c r="BM336" s="204">
        <v>67.2</v>
      </c>
      <c r="BN336" s="151">
        <v>41842</v>
      </c>
      <c r="BQ336" s="205">
        <v>10.5</v>
      </c>
      <c r="BR336" s="151">
        <v>41842</v>
      </c>
      <c r="BS336" s="206">
        <v>46.4</v>
      </c>
      <c r="BT336" s="151">
        <v>41842</v>
      </c>
      <c r="BU336" s="207">
        <v>14.3</v>
      </c>
      <c r="BV336" s="151">
        <v>41842</v>
      </c>
      <c r="BW336" s="206">
        <v>16.3</v>
      </c>
      <c r="BX336" s="151">
        <v>41842</v>
      </c>
      <c r="BY336" s="210">
        <v>7.56</v>
      </c>
      <c r="BZ336" s="151">
        <v>41842</v>
      </c>
      <c r="CA336" s="206">
        <v>32.1</v>
      </c>
      <c r="CB336" s="151">
        <v>41842</v>
      </c>
      <c r="CC336" s="208">
        <v>5.6</v>
      </c>
      <c r="CD336" s="151">
        <v>41838</v>
      </c>
      <c r="CL336" s="209">
        <v>5</v>
      </c>
      <c r="CM336" s="201">
        <v>41810</v>
      </c>
    </row>
    <row r="337" spans="1:91" ht="15">
      <c r="A337" s="152" t="s">
        <v>7945</v>
      </c>
      <c r="B337" s="110" t="s">
        <v>233</v>
      </c>
      <c r="C337" s="110" t="s">
        <v>8083</v>
      </c>
      <c r="D337" s="110">
        <v>11825</v>
      </c>
      <c r="E337" s="111">
        <v>12</v>
      </c>
      <c r="F337" s="111">
        <v>757</v>
      </c>
      <c r="K337" s="191">
        <v>3</v>
      </c>
      <c r="L337" s="151">
        <v>41701</v>
      </c>
      <c r="M337" s="169">
        <v>3.45</v>
      </c>
      <c r="N337" s="151">
        <v>41838</v>
      </c>
      <c r="Q337" s="497"/>
      <c r="S337" s="134">
        <v>12.53</v>
      </c>
      <c r="T337" s="151">
        <v>41842</v>
      </c>
      <c r="U337" s="134">
        <v>13.5</v>
      </c>
      <c r="V337" s="151">
        <v>41838</v>
      </c>
      <c r="W337" s="196">
        <v>9</v>
      </c>
      <c r="X337" s="151">
        <v>41829</v>
      </c>
      <c r="Y337" s="134">
        <f t="shared" si="5"/>
        <v>3.4808400000000002</v>
      </c>
      <c r="AC337" s="134">
        <v>25.56</v>
      </c>
      <c r="AD337" s="151">
        <v>41838</v>
      </c>
      <c r="AE337" s="134">
        <v>26.37</v>
      </c>
      <c r="AF337" s="151">
        <v>41838</v>
      </c>
      <c r="AG337" s="197">
        <v>4.8</v>
      </c>
      <c r="AH337" s="151">
        <v>41843</v>
      </c>
      <c r="AI337" s="198">
        <v>5</v>
      </c>
      <c r="AJ337" s="151">
        <v>41778</v>
      </c>
      <c r="AK337" s="199">
        <v>4</v>
      </c>
      <c r="AL337" s="151">
        <v>41709</v>
      </c>
      <c r="BE337" s="200">
        <v>4</v>
      </c>
      <c r="BF337" s="201">
        <v>41555</v>
      </c>
      <c r="BG337" s="203">
        <v>-0.9</v>
      </c>
      <c r="BH337" s="151">
        <v>41842</v>
      </c>
      <c r="BM337" s="204">
        <v>68.2</v>
      </c>
      <c r="BN337" s="151">
        <v>41842</v>
      </c>
      <c r="BQ337" s="205">
        <v>10.3</v>
      </c>
      <c r="BR337" s="151">
        <v>41842</v>
      </c>
      <c r="BS337" s="206">
        <v>47.5</v>
      </c>
      <c r="BT337" s="151">
        <v>41842</v>
      </c>
      <c r="BU337" s="207">
        <v>13.2</v>
      </c>
      <c r="BV337" s="151">
        <v>41842</v>
      </c>
      <c r="BW337" s="206">
        <v>19.100000000000001</v>
      </c>
      <c r="BX337" s="151">
        <v>41842</v>
      </c>
      <c r="BY337" s="210">
        <v>7.48</v>
      </c>
      <c r="BZ337" s="151">
        <v>41842</v>
      </c>
      <c r="CA337" s="206">
        <v>30.5</v>
      </c>
      <c r="CB337" s="151">
        <v>41842</v>
      </c>
      <c r="CC337" s="208">
        <v>6.1</v>
      </c>
      <c r="CD337" s="151">
        <v>41838</v>
      </c>
      <c r="CL337" s="209">
        <v>3</v>
      </c>
      <c r="CM337" s="201">
        <v>41810</v>
      </c>
    </row>
    <row r="338" spans="1:91" ht="15">
      <c r="A338" s="152" t="s">
        <v>7946</v>
      </c>
      <c r="B338" s="110" t="s">
        <v>235</v>
      </c>
      <c r="C338" s="110" t="s">
        <v>8082</v>
      </c>
      <c r="D338" s="110">
        <v>11466</v>
      </c>
      <c r="E338" s="111">
        <v>2</v>
      </c>
      <c r="F338" s="111">
        <v>761</v>
      </c>
      <c r="K338" s="134">
        <v>5</v>
      </c>
      <c r="L338" s="151">
        <v>41701</v>
      </c>
      <c r="M338" s="169">
        <v>4.7</v>
      </c>
      <c r="N338" s="151">
        <v>41838</v>
      </c>
      <c r="Q338" s="497"/>
      <c r="S338" s="134">
        <v>16.100000000000001</v>
      </c>
      <c r="T338" s="151">
        <v>41842</v>
      </c>
      <c r="U338" s="134">
        <v>13.5</v>
      </c>
      <c r="V338" s="151">
        <v>41838</v>
      </c>
      <c r="W338" s="196">
        <v>9</v>
      </c>
      <c r="X338" s="151">
        <v>41829</v>
      </c>
      <c r="Y338" s="134">
        <f t="shared" si="5"/>
        <v>5.3310000000000004</v>
      </c>
      <c r="AC338" s="134">
        <v>34.81</v>
      </c>
      <c r="AD338" s="151">
        <v>41838</v>
      </c>
      <c r="AE338" s="134">
        <v>35.54</v>
      </c>
      <c r="AF338" s="151">
        <v>41838</v>
      </c>
      <c r="AG338" s="197">
        <v>4.2</v>
      </c>
      <c r="AH338" s="151">
        <v>41843</v>
      </c>
      <c r="AI338" s="198">
        <v>5</v>
      </c>
      <c r="AJ338" s="151">
        <v>41778</v>
      </c>
      <c r="AK338" s="199">
        <v>4</v>
      </c>
      <c r="AL338" s="151">
        <v>41709</v>
      </c>
      <c r="BE338" s="200">
        <v>4</v>
      </c>
      <c r="BF338" s="201">
        <v>41555</v>
      </c>
      <c r="BG338" s="203">
        <v>-3.1</v>
      </c>
      <c r="BH338" s="151">
        <v>41842</v>
      </c>
      <c r="BM338" s="204">
        <v>64.2</v>
      </c>
      <c r="BN338" s="151">
        <v>41842</v>
      </c>
      <c r="BQ338" s="205">
        <v>11.3</v>
      </c>
      <c r="BR338" s="151">
        <v>41842</v>
      </c>
      <c r="BS338" s="206">
        <v>45.3</v>
      </c>
      <c r="BT338" s="151">
        <v>41842</v>
      </c>
      <c r="BU338" s="207">
        <v>15</v>
      </c>
      <c r="BV338" s="151">
        <v>41842</v>
      </c>
      <c r="BW338" s="206">
        <v>15.2</v>
      </c>
      <c r="BX338" s="151">
        <v>41842</v>
      </c>
      <c r="BY338" s="210">
        <v>7.66</v>
      </c>
      <c r="BZ338" s="151">
        <v>41842</v>
      </c>
      <c r="CA338" s="206">
        <v>32.700000000000003</v>
      </c>
      <c r="CB338" s="151">
        <v>41842</v>
      </c>
      <c r="CC338" s="208">
        <v>7.1</v>
      </c>
      <c r="CD338" s="151">
        <v>41838</v>
      </c>
      <c r="CL338" s="209">
        <v>3</v>
      </c>
      <c r="CM338" s="201">
        <v>41810</v>
      </c>
    </row>
    <row r="339" spans="1:91" ht="15">
      <c r="A339" s="152" t="s">
        <v>7946</v>
      </c>
      <c r="B339" s="110" t="s">
        <v>233</v>
      </c>
      <c r="C339" s="110" t="s">
        <v>381</v>
      </c>
      <c r="D339" s="110">
        <v>11052</v>
      </c>
      <c r="E339" s="111">
        <v>3</v>
      </c>
      <c r="F339" s="111">
        <v>541</v>
      </c>
      <c r="K339" s="194">
        <v>7</v>
      </c>
      <c r="L339" s="151">
        <v>41701</v>
      </c>
      <c r="M339" s="169">
        <v>3.85</v>
      </c>
      <c r="N339" s="151">
        <v>41838</v>
      </c>
      <c r="Q339" s="497"/>
      <c r="S339" s="134">
        <v>13.73</v>
      </c>
      <c r="T339" s="151">
        <v>41842</v>
      </c>
      <c r="U339" s="134">
        <v>13.5</v>
      </c>
      <c r="V339" s="151">
        <v>41838</v>
      </c>
      <c r="W339" s="196">
        <v>9</v>
      </c>
      <c r="X339" s="151">
        <v>41829</v>
      </c>
      <c r="Y339" s="134">
        <f t="shared" si="5"/>
        <v>4.1032800000000007</v>
      </c>
      <c r="AC339" s="134">
        <v>28.52</v>
      </c>
      <c r="AD339" s="151">
        <v>41838</v>
      </c>
      <c r="AE339" s="134">
        <v>29.52</v>
      </c>
      <c r="AF339" s="151">
        <v>41838</v>
      </c>
      <c r="AG339" s="197">
        <v>4.5</v>
      </c>
      <c r="AH339" s="151">
        <v>41843</v>
      </c>
      <c r="AI339" s="198">
        <v>5</v>
      </c>
      <c r="AJ339" s="151">
        <v>41778</v>
      </c>
      <c r="AK339" s="199">
        <v>5</v>
      </c>
      <c r="AL339" s="151">
        <v>41709</v>
      </c>
      <c r="BE339" s="200">
        <v>5</v>
      </c>
      <c r="BF339" s="201">
        <v>41555</v>
      </c>
      <c r="BG339" s="203">
        <v>-3.9</v>
      </c>
      <c r="BH339" s="151">
        <v>41842</v>
      </c>
      <c r="BM339" s="204">
        <v>65</v>
      </c>
      <c r="BN339" s="151">
        <v>41842</v>
      </c>
      <c r="BQ339" s="205">
        <v>10.5</v>
      </c>
      <c r="BR339" s="151">
        <v>41842</v>
      </c>
      <c r="BS339" s="206">
        <v>46.5</v>
      </c>
      <c r="BT339" s="151">
        <v>41842</v>
      </c>
      <c r="BU339" s="207">
        <v>13.9</v>
      </c>
      <c r="BV339" s="151">
        <v>41842</v>
      </c>
      <c r="BW339" s="206">
        <v>17.100000000000001</v>
      </c>
      <c r="BX339" s="151">
        <v>41842</v>
      </c>
      <c r="BY339" s="210">
        <v>7.02</v>
      </c>
      <c r="BZ339" s="151">
        <v>41842</v>
      </c>
      <c r="CA339" s="206">
        <v>31.1</v>
      </c>
      <c r="CB339" s="151">
        <v>41842</v>
      </c>
      <c r="CC339" s="208">
        <v>5.8</v>
      </c>
      <c r="CD339" s="151">
        <v>41838</v>
      </c>
      <c r="CL339" s="209">
        <v>3</v>
      </c>
      <c r="CM339" s="201">
        <v>41810</v>
      </c>
    </row>
    <row r="340" spans="1:91" ht="15">
      <c r="A340" s="152" t="s">
        <v>7946</v>
      </c>
      <c r="B340" s="110" t="s">
        <v>233</v>
      </c>
      <c r="C340" s="110" t="s">
        <v>8083</v>
      </c>
      <c r="D340" s="110">
        <v>11688</v>
      </c>
      <c r="E340" s="111">
        <v>9</v>
      </c>
      <c r="F340" s="111">
        <v>641</v>
      </c>
      <c r="K340" s="134">
        <v>5</v>
      </c>
      <c r="L340" s="151">
        <v>41701</v>
      </c>
      <c r="M340" s="169">
        <v>4.1500000000000004</v>
      </c>
      <c r="N340" s="151">
        <v>41838</v>
      </c>
      <c r="Q340" s="497"/>
      <c r="S340" s="134">
        <v>15.04</v>
      </c>
      <c r="T340" s="151">
        <v>41842</v>
      </c>
      <c r="U340" s="134">
        <v>13.5</v>
      </c>
      <c r="V340" s="151">
        <v>41838</v>
      </c>
      <c r="W340" s="196">
        <v>9</v>
      </c>
      <c r="X340" s="151">
        <v>41829</v>
      </c>
      <c r="Y340" s="134">
        <f t="shared" si="5"/>
        <v>4.2413700000000008</v>
      </c>
      <c r="AC340" s="134">
        <v>30.74</v>
      </c>
      <c r="AD340" s="151">
        <v>41838</v>
      </c>
      <c r="AE340" s="134">
        <v>31.89</v>
      </c>
      <c r="AF340" s="151">
        <v>41838</v>
      </c>
      <c r="AG340" s="197">
        <v>4.8</v>
      </c>
      <c r="AH340" s="151">
        <v>41843</v>
      </c>
      <c r="AI340" s="198">
        <v>3</v>
      </c>
      <c r="AJ340" s="151">
        <v>41778</v>
      </c>
      <c r="AK340" s="199">
        <v>5</v>
      </c>
      <c r="AL340" s="151">
        <v>41709</v>
      </c>
      <c r="BE340" s="200">
        <v>5</v>
      </c>
      <c r="BF340" s="201">
        <v>41555</v>
      </c>
      <c r="BG340" s="203">
        <v>-5.4</v>
      </c>
      <c r="BH340" s="151">
        <v>41842</v>
      </c>
      <c r="BM340" s="204">
        <v>65.099999999999994</v>
      </c>
      <c r="BN340" s="151">
        <v>41842</v>
      </c>
      <c r="BQ340" s="205">
        <v>10.199999999999999</v>
      </c>
      <c r="BR340" s="151">
        <v>41842</v>
      </c>
      <c r="BS340" s="206">
        <v>47.2</v>
      </c>
      <c r="BT340" s="151">
        <v>41842</v>
      </c>
      <c r="BU340" s="207">
        <v>13.3</v>
      </c>
      <c r="BV340" s="151">
        <v>41842</v>
      </c>
      <c r="BW340" s="206">
        <v>17.3</v>
      </c>
      <c r="BX340" s="151">
        <v>41842</v>
      </c>
      <c r="BY340" s="210">
        <v>6.98</v>
      </c>
      <c r="BZ340" s="151">
        <v>41842</v>
      </c>
      <c r="CA340" s="206">
        <v>30.3</v>
      </c>
      <c r="CB340" s="151">
        <v>41842</v>
      </c>
      <c r="CC340" s="208">
        <v>5.6</v>
      </c>
      <c r="CD340" s="151">
        <v>41838</v>
      </c>
      <c r="CL340" s="209">
        <v>3</v>
      </c>
      <c r="CM340" s="201">
        <v>41810</v>
      </c>
    </row>
    <row r="341" spans="1:91" ht="15">
      <c r="A341" s="152" t="s">
        <v>7946</v>
      </c>
      <c r="B341" s="110" t="s">
        <v>235</v>
      </c>
      <c r="C341" s="110" t="s">
        <v>8081</v>
      </c>
      <c r="D341" s="110">
        <v>11320</v>
      </c>
      <c r="E341" s="111">
        <v>10</v>
      </c>
      <c r="F341" s="111">
        <v>605</v>
      </c>
      <c r="K341" s="134">
        <v>5</v>
      </c>
      <c r="L341" s="151">
        <v>41701</v>
      </c>
      <c r="M341" s="169">
        <v>4.8499999999999996</v>
      </c>
      <c r="N341" s="151">
        <v>41838</v>
      </c>
      <c r="Q341" s="497"/>
      <c r="S341" s="134">
        <v>17.34</v>
      </c>
      <c r="T341" s="151">
        <v>41842</v>
      </c>
      <c r="U341" s="134">
        <v>13.5</v>
      </c>
      <c r="V341" s="151">
        <v>41838</v>
      </c>
      <c r="W341" s="196">
        <v>9</v>
      </c>
      <c r="X341" s="151">
        <v>41829</v>
      </c>
      <c r="Y341" s="134">
        <f t="shared" si="5"/>
        <v>5.2268699999999999</v>
      </c>
      <c r="AC341" s="134">
        <v>35.93</v>
      </c>
      <c r="AD341" s="151">
        <v>41838</v>
      </c>
      <c r="AE341" s="134">
        <v>37.07</v>
      </c>
      <c r="AF341" s="151">
        <v>41838</v>
      </c>
      <c r="AG341" s="197">
        <v>4.4000000000000004</v>
      </c>
      <c r="AH341" s="151">
        <v>41843</v>
      </c>
      <c r="AI341" s="198">
        <v>5</v>
      </c>
      <c r="AJ341" s="151">
        <v>41778</v>
      </c>
      <c r="AK341" s="199">
        <v>5</v>
      </c>
      <c r="AL341" s="151">
        <v>41709</v>
      </c>
      <c r="BE341" s="200">
        <v>5</v>
      </c>
      <c r="BF341" s="201">
        <v>41555</v>
      </c>
      <c r="BG341" s="203">
        <v>-5.5</v>
      </c>
      <c r="BH341" s="151">
        <v>41842</v>
      </c>
      <c r="BM341" s="204">
        <v>65.599999999999994</v>
      </c>
      <c r="BN341" s="151">
        <v>41842</v>
      </c>
      <c r="BQ341" s="205">
        <v>10.5</v>
      </c>
      <c r="BR341" s="151">
        <v>41842</v>
      </c>
      <c r="BS341" s="206">
        <v>46.8</v>
      </c>
      <c r="BT341" s="151">
        <v>41842</v>
      </c>
      <c r="BU341" s="207">
        <v>14.1</v>
      </c>
      <c r="BV341" s="151">
        <v>41842</v>
      </c>
      <c r="BW341" s="206">
        <v>15</v>
      </c>
      <c r="BX341" s="151">
        <v>41842</v>
      </c>
      <c r="BY341" s="210">
        <v>7.19</v>
      </c>
      <c r="BZ341" s="151">
        <v>41842</v>
      </c>
      <c r="CA341" s="206">
        <v>31.8</v>
      </c>
      <c r="CB341" s="151">
        <v>41842</v>
      </c>
      <c r="CC341" s="208">
        <v>6.1</v>
      </c>
      <c r="CD341" s="151">
        <v>41838</v>
      </c>
      <c r="CL341" s="209">
        <v>3</v>
      </c>
      <c r="CM341" s="201">
        <v>41810</v>
      </c>
    </row>
    <row r="342" spans="1:91" ht="15">
      <c r="A342" s="152" t="s">
        <v>7947</v>
      </c>
      <c r="B342" s="110" t="s">
        <v>233</v>
      </c>
      <c r="C342" s="110" t="s">
        <v>381</v>
      </c>
      <c r="D342" s="110">
        <v>10987</v>
      </c>
      <c r="E342" s="111">
        <v>1</v>
      </c>
      <c r="F342" s="111">
        <v>569</v>
      </c>
      <c r="I342" s="373"/>
      <c r="K342" s="194">
        <v>5</v>
      </c>
      <c r="L342" s="151">
        <v>41701</v>
      </c>
      <c r="M342" s="169">
        <v>4.6500000000000004</v>
      </c>
      <c r="N342" s="151">
        <v>41838</v>
      </c>
      <c r="Q342" s="497"/>
      <c r="S342" s="134">
        <v>16.260000000000002</v>
      </c>
      <c r="T342" s="151">
        <v>41842</v>
      </c>
      <c r="U342" s="194">
        <v>13.5</v>
      </c>
      <c r="V342" s="151">
        <v>41838</v>
      </c>
      <c r="W342" s="196">
        <v>9</v>
      </c>
      <c r="X342" s="151">
        <v>41829</v>
      </c>
      <c r="Y342" s="134">
        <f t="shared" si="5"/>
        <v>5.3959999999999999</v>
      </c>
      <c r="AA342" s="194"/>
      <c r="AC342" s="194">
        <v>34.44</v>
      </c>
      <c r="AD342" s="151">
        <v>41838</v>
      </c>
      <c r="AE342" s="137">
        <v>35.5</v>
      </c>
      <c r="AF342" s="151">
        <v>41838</v>
      </c>
      <c r="AG342" s="197">
        <v>5.3</v>
      </c>
      <c r="AH342" s="151">
        <v>41843</v>
      </c>
      <c r="AI342" s="198">
        <v>5</v>
      </c>
      <c r="AJ342" s="151">
        <v>41778</v>
      </c>
      <c r="AK342" s="199">
        <v>5</v>
      </c>
      <c r="AL342" s="151">
        <v>41709</v>
      </c>
      <c r="AM342" s="194"/>
      <c r="BE342" s="200">
        <v>5</v>
      </c>
      <c r="BF342" s="201">
        <v>41555</v>
      </c>
      <c r="BG342" s="203">
        <v>-2.7</v>
      </c>
      <c r="BH342" s="151">
        <v>41842</v>
      </c>
      <c r="BM342" s="204">
        <v>64.5</v>
      </c>
      <c r="BN342" s="151">
        <v>41842</v>
      </c>
      <c r="BQ342" s="205">
        <v>10.4</v>
      </c>
      <c r="BR342" s="151">
        <v>41842</v>
      </c>
      <c r="BS342" s="206">
        <v>45.8</v>
      </c>
      <c r="BT342" s="151">
        <v>41842</v>
      </c>
      <c r="BU342" s="207">
        <v>15.2</v>
      </c>
      <c r="BV342" s="151">
        <v>41842</v>
      </c>
      <c r="BW342" s="206">
        <v>13.5</v>
      </c>
      <c r="BX342" s="151">
        <v>41842</v>
      </c>
      <c r="BY342" s="210">
        <v>7.17</v>
      </c>
      <c r="BZ342" s="151">
        <v>41842</v>
      </c>
      <c r="CA342" s="206">
        <v>33.700000000000003</v>
      </c>
      <c r="CB342" s="151">
        <v>41842</v>
      </c>
      <c r="CC342" s="208">
        <v>6.2</v>
      </c>
      <c r="CD342" s="151">
        <v>41838</v>
      </c>
      <c r="CL342" s="209">
        <v>3</v>
      </c>
      <c r="CM342" s="201">
        <v>41810</v>
      </c>
    </row>
    <row r="343" spans="1:91" ht="15">
      <c r="A343" s="152" t="s">
        <v>7947</v>
      </c>
      <c r="B343" s="110" t="s">
        <v>235</v>
      </c>
      <c r="C343" s="110" t="s">
        <v>8082</v>
      </c>
      <c r="D343" s="110">
        <v>11446</v>
      </c>
      <c r="E343" s="111">
        <v>2</v>
      </c>
      <c r="F343" s="111">
        <v>681</v>
      </c>
      <c r="K343" s="134">
        <v>5</v>
      </c>
      <c r="L343" s="151">
        <v>41701</v>
      </c>
      <c r="M343" s="169">
        <v>5.2</v>
      </c>
      <c r="N343" s="151">
        <v>41838</v>
      </c>
      <c r="Q343" s="497"/>
      <c r="S343" s="134">
        <v>18.079999999999998</v>
      </c>
      <c r="T343" s="151">
        <v>41842</v>
      </c>
      <c r="U343" s="134">
        <v>13.5</v>
      </c>
      <c r="V343" s="151">
        <v>41838</v>
      </c>
      <c r="W343" s="196">
        <v>9</v>
      </c>
      <c r="X343" s="151">
        <v>41829</v>
      </c>
      <c r="Y343" s="134">
        <f t="shared" si="5"/>
        <v>5.8756000000000004</v>
      </c>
      <c r="AC343" s="134">
        <v>38.520000000000003</v>
      </c>
      <c r="AD343" s="151">
        <v>41838</v>
      </c>
      <c r="AE343" s="134">
        <v>39.700000000000003</v>
      </c>
      <c r="AF343" s="151">
        <v>41838</v>
      </c>
      <c r="AG343" s="197">
        <v>4.9000000000000004</v>
      </c>
      <c r="AH343" s="151">
        <v>41843</v>
      </c>
      <c r="AI343" s="198">
        <v>5</v>
      </c>
      <c r="AJ343" s="151">
        <v>41778</v>
      </c>
      <c r="AK343" s="199">
        <v>5</v>
      </c>
      <c r="AL343" s="151">
        <v>41709</v>
      </c>
      <c r="BE343" s="200">
        <v>5</v>
      </c>
      <c r="BF343" s="201">
        <v>41555</v>
      </c>
      <c r="BG343" s="203">
        <v>-3</v>
      </c>
      <c r="BH343" s="151">
        <v>41842</v>
      </c>
      <c r="BM343" s="204">
        <v>64.8</v>
      </c>
      <c r="BN343" s="151">
        <v>41842</v>
      </c>
      <c r="BQ343" s="205">
        <v>10.6</v>
      </c>
      <c r="BR343" s="151">
        <v>41842</v>
      </c>
      <c r="BS343" s="206">
        <v>45.5</v>
      </c>
      <c r="BT343" s="151">
        <v>41842</v>
      </c>
      <c r="BU343" s="207">
        <v>14.8</v>
      </c>
      <c r="BV343" s="151">
        <v>41842</v>
      </c>
      <c r="BW343" s="206">
        <v>12.3</v>
      </c>
      <c r="BX343" s="151">
        <v>41842</v>
      </c>
      <c r="BY343" s="210">
        <v>7.64</v>
      </c>
      <c r="BZ343" s="151">
        <v>41842</v>
      </c>
      <c r="CA343" s="206">
        <v>32.5</v>
      </c>
      <c r="CB343" s="151">
        <v>41842</v>
      </c>
      <c r="CC343" s="208">
        <v>6.2</v>
      </c>
      <c r="CD343" s="151">
        <v>41838</v>
      </c>
      <c r="CL343" s="209">
        <v>3</v>
      </c>
      <c r="CM343" s="201">
        <v>41810</v>
      </c>
    </row>
    <row r="344" spans="1:91" ht="15">
      <c r="A344" s="152" t="s">
        <v>7947</v>
      </c>
      <c r="B344" s="110" t="s">
        <v>233</v>
      </c>
      <c r="C344" s="110" t="s">
        <v>8083</v>
      </c>
      <c r="D344" s="110">
        <v>11718</v>
      </c>
      <c r="E344" s="111">
        <v>9</v>
      </c>
      <c r="F344" s="111">
        <v>761</v>
      </c>
      <c r="K344" s="134">
        <v>5</v>
      </c>
      <c r="L344" s="151">
        <v>41701</v>
      </c>
      <c r="M344" s="169">
        <v>2.8</v>
      </c>
      <c r="N344" s="151">
        <v>41838</v>
      </c>
      <c r="Q344" s="497"/>
      <c r="S344" s="134">
        <v>9.75</v>
      </c>
      <c r="T344" s="151">
        <v>41842</v>
      </c>
      <c r="U344" s="134">
        <v>13.5</v>
      </c>
      <c r="V344" s="151">
        <v>41838</v>
      </c>
      <c r="W344" s="196">
        <v>9</v>
      </c>
      <c r="X344" s="151">
        <v>41829</v>
      </c>
      <c r="Y344" s="134">
        <f t="shared" si="5"/>
        <v>3.2223999999999995</v>
      </c>
      <c r="AC344" s="134">
        <v>20.74</v>
      </c>
      <c r="AD344" s="151">
        <v>41838</v>
      </c>
      <c r="AE344" s="134">
        <v>21.2</v>
      </c>
      <c r="AF344" s="151">
        <v>41838</v>
      </c>
      <c r="AG344" s="197">
        <v>6</v>
      </c>
      <c r="AH344" s="151">
        <v>41843</v>
      </c>
      <c r="AI344" s="198">
        <v>5</v>
      </c>
      <c r="AJ344" s="151">
        <v>41778</v>
      </c>
      <c r="AK344" s="199">
        <v>7</v>
      </c>
      <c r="AL344" s="151">
        <v>41709</v>
      </c>
      <c r="BE344" s="200">
        <v>7</v>
      </c>
      <c r="BF344" s="201">
        <v>41555</v>
      </c>
      <c r="BG344" s="203">
        <v>-6.2</v>
      </c>
      <c r="BH344" s="151">
        <v>41842</v>
      </c>
      <c r="BM344" s="204">
        <v>65.3</v>
      </c>
      <c r="BN344" s="151">
        <v>41842</v>
      </c>
      <c r="BQ344" s="205">
        <v>10.8</v>
      </c>
      <c r="BR344" s="151">
        <v>41842</v>
      </c>
      <c r="BS344" s="206">
        <v>46</v>
      </c>
      <c r="BT344" s="151">
        <v>41842</v>
      </c>
      <c r="BU344" s="207">
        <v>15.2</v>
      </c>
      <c r="BV344" s="151">
        <v>41842</v>
      </c>
      <c r="BW344" s="206">
        <v>16</v>
      </c>
      <c r="BX344" s="151">
        <v>41842</v>
      </c>
      <c r="BY344" s="210">
        <v>7.13</v>
      </c>
      <c r="BZ344" s="151">
        <v>41842</v>
      </c>
      <c r="CA344" s="206">
        <v>33.700000000000003</v>
      </c>
      <c r="CB344" s="151">
        <v>41842</v>
      </c>
      <c r="CC344" s="208">
        <v>7</v>
      </c>
      <c r="CD344" s="151">
        <v>41838</v>
      </c>
      <c r="CL344" s="209">
        <v>3</v>
      </c>
      <c r="CM344" s="201">
        <v>41810</v>
      </c>
    </row>
    <row r="345" spans="1:91" ht="15">
      <c r="A345" s="152" t="s">
        <v>7947</v>
      </c>
      <c r="B345" s="110" t="s">
        <v>235</v>
      </c>
      <c r="C345" s="110" t="s">
        <v>8081</v>
      </c>
      <c r="D345" s="110">
        <v>11288</v>
      </c>
      <c r="E345" s="111">
        <v>10</v>
      </c>
      <c r="F345" s="111">
        <v>477</v>
      </c>
      <c r="K345" s="134">
        <v>5</v>
      </c>
      <c r="L345" s="151">
        <v>41701</v>
      </c>
      <c r="M345" s="169">
        <v>5.3</v>
      </c>
      <c r="N345" s="151">
        <v>41838</v>
      </c>
      <c r="Q345" s="497"/>
      <c r="S345" s="134">
        <v>18.54</v>
      </c>
      <c r="T345" s="151">
        <v>41842</v>
      </c>
      <c r="U345" s="134">
        <v>13.5</v>
      </c>
      <c r="V345" s="151">
        <v>41838</v>
      </c>
      <c r="W345" s="196">
        <v>9</v>
      </c>
      <c r="X345" s="151">
        <v>41829</v>
      </c>
      <c r="Y345" s="134">
        <f t="shared" si="5"/>
        <v>5.8917599999999997</v>
      </c>
      <c r="AC345" s="134">
        <v>39.26</v>
      </c>
      <c r="AD345" s="151">
        <v>41838</v>
      </c>
      <c r="AE345" s="134">
        <v>40.08</v>
      </c>
      <c r="AF345" s="151">
        <v>41838</v>
      </c>
      <c r="AG345" s="197">
        <v>5.2</v>
      </c>
      <c r="AH345" s="151">
        <v>41843</v>
      </c>
      <c r="AI345" s="198">
        <v>5</v>
      </c>
      <c r="AJ345" s="151">
        <v>41778</v>
      </c>
      <c r="AK345" s="199">
        <v>5</v>
      </c>
      <c r="AL345" s="151">
        <v>41709</v>
      </c>
      <c r="BE345" s="200">
        <v>5</v>
      </c>
      <c r="BF345" s="201">
        <v>41555</v>
      </c>
      <c r="BG345" s="203">
        <v>-0.5</v>
      </c>
      <c r="BH345" s="151">
        <v>41842</v>
      </c>
      <c r="BM345" s="204">
        <v>65</v>
      </c>
      <c r="BN345" s="151">
        <v>41842</v>
      </c>
      <c r="BQ345" s="205">
        <v>9.5</v>
      </c>
      <c r="BR345" s="151">
        <v>41842</v>
      </c>
      <c r="BS345" s="206">
        <v>46.3</v>
      </c>
      <c r="BT345" s="151">
        <v>41842</v>
      </c>
      <c r="BU345" s="207">
        <v>14.7</v>
      </c>
      <c r="BV345" s="151">
        <v>41842</v>
      </c>
      <c r="BW345" s="206">
        <v>13.7</v>
      </c>
      <c r="BX345" s="151">
        <v>41842</v>
      </c>
      <c r="BY345" s="210">
        <v>7.18</v>
      </c>
      <c r="BZ345" s="151">
        <v>41842</v>
      </c>
      <c r="CA345" s="206">
        <v>32.9</v>
      </c>
      <c r="CB345" s="151">
        <v>41842</v>
      </c>
      <c r="CC345" s="208">
        <v>7.1</v>
      </c>
      <c r="CD345" s="151">
        <v>41838</v>
      </c>
      <c r="CL345" s="209">
        <v>3</v>
      </c>
      <c r="CM345" s="201">
        <v>41810</v>
      </c>
    </row>
    <row r="346" spans="1:91" ht="15">
      <c r="A346" s="152" t="s">
        <v>7948</v>
      </c>
      <c r="B346" s="110" t="s">
        <v>235</v>
      </c>
      <c r="C346" s="110" t="s">
        <v>8082</v>
      </c>
      <c r="D346" s="110">
        <v>11535</v>
      </c>
      <c r="E346" s="111">
        <v>4</v>
      </c>
      <c r="F346" s="111">
        <v>749</v>
      </c>
      <c r="K346" s="194">
        <v>7</v>
      </c>
      <c r="L346" s="151">
        <v>41701</v>
      </c>
      <c r="M346" s="169">
        <v>4.8499999999999996</v>
      </c>
      <c r="N346" s="151">
        <v>41838</v>
      </c>
      <c r="Q346" s="497"/>
      <c r="S346" s="134">
        <v>17.25</v>
      </c>
      <c r="T346" s="151">
        <v>41842</v>
      </c>
      <c r="U346" s="134">
        <v>13.5</v>
      </c>
      <c r="V346" s="151">
        <v>41838</v>
      </c>
      <c r="W346" s="196">
        <v>9</v>
      </c>
      <c r="X346" s="151">
        <v>41829</v>
      </c>
      <c r="Y346" s="134">
        <f t="shared" si="5"/>
        <v>5.5305</v>
      </c>
      <c r="AC346" s="134">
        <v>35.93</v>
      </c>
      <c r="AD346" s="151">
        <v>41838</v>
      </c>
      <c r="AE346" s="134">
        <v>36.869999999999997</v>
      </c>
      <c r="AF346" s="151">
        <v>41838</v>
      </c>
      <c r="AG346" s="197">
        <v>5.5</v>
      </c>
      <c r="AH346" s="151">
        <v>41843</v>
      </c>
      <c r="AI346" s="198">
        <v>7</v>
      </c>
      <c r="AJ346" s="151">
        <v>41778</v>
      </c>
      <c r="AK346" s="199">
        <v>7</v>
      </c>
      <c r="AL346" s="151">
        <v>41709</v>
      </c>
      <c r="BE346" s="200">
        <v>7</v>
      </c>
      <c r="BF346" s="201">
        <v>41555</v>
      </c>
      <c r="BG346" s="203">
        <v>-5.4</v>
      </c>
      <c r="BH346" s="151">
        <v>41842</v>
      </c>
      <c r="BM346" s="204">
        <v>74.099999999999994</v>
      </c>
      <c r="BN346" s="151">
        <v>41842</v>
      </c>
      <c r="BQ346" s="205">
        <v>7.4</v>
      </c>
      <c r="BR346" s="151">
        <v>41842</v>
      </c>
      <c r="BS346" s="206">
        <v>46.8</v>
      </c>
      <c r="BT346" s="151">
        <v>41842</v>
      </c>
      <c r="BU346" s="207">
        <v>15</v>
      </c>
      <c r="BV346" s="151">
        <v>41842</v>
      </c>
      <c r="BW346" s="206">
        <v>20.7</v>
      </c>
      <c r="BX346" s="151">
        <v>41842</v>
      </c>
      <c r="BY346" s="210">
        <v>7.46</v>
      </c>
      <c r="BZ346" s="151">
        <v>41842</v>
      </c>
      <c r="CA346" s="206">
        <v>33.799999999999997</v>
      </c>
      <c r="CB346" s="151">
        <v>41842</v>
      </c>
      <c r="CC346" s="208">
        <v>6.6</v>
      </c>
      <c r="CD346" s="151">
        <v>41838</v>
      </c>
      <c r="CL346" s="209">
        <v>3</v>
      </c>
      <c r="CM346" s="201">
        <v>41810</v>
      </c>
    </row>
    <row r="347" spans="1:91" ht="15">
      <c r="A347" s="152" t="s">
        <v>7948</v>
      </c>
      <c r="B347" s="110" t="s">
        <v>233</v>
      </c>
      <c r="C347" s="110" t="s">
        <v>381</v>
      </c>
      <c r="D347" s="110">
        <v>11126</v>
      </c>
      <c r="E347" s="111">
        <v>5</v>
      </c>
      <c r="F347" s="111">
        <v>549</v>
      </c>
      <c r="K347" s="194">
        <v>7</v>
      </c>
      <c r="L347" s="151">
        <v>41701</v>
      </c>
      <c r="M347" s="169">
        <v>4.25</v>
      </c>
      <c r="N347" s="151">
        <v>41838</v>
      </c>
      <c r="Q347" s="497"/>
      <c r="S347" s="134">
        <v>15.39</v>
      </c>
      <c r="T347" s="151">
        <v>41842</v>
      </c>
      <c r="U347" s="134">
        <v>13.5</v>
      </c>
      <c r="V347" s="151">
        <v>41838</v>
      </c>
      <c r="W347" s="196">
        <v>9</v>
      </c>
      <c r="X347" s="151">
        <v>41829</v>
      </c>
      <c r="Y347" s="134">
        <f t="shared" si="5"/>
        <v>4.5951900000000006</v>
      </c>
      <c r="AC347" s="134">
        <v>31.48</v>
      </c>
      <c r="AD347" s="151">
        <v>41838</v>
      </c>
      <c r="AE347" s="134">
        <v>32.590000000000003</v>
      </c>
      <c r="AF347" s="151">
        <v>41838</v>
      </c>
      <c r="AG347" s="197">
        <v>4.8</v>
      </c>
      <c r="AH347" s="151">
        <v>41843</v>
      </c>
      <c r="AI347" s="198">
        <v>5</v>
      </c>
      <c r="AJ347" s="151">
        <v>41778</v>
      </c>
      <c r="AK347" s="199">
        <v>7</v>
      </c>
      <c r="AL347" s="151">
        <v>41709</v>
      </c>
      <c r="BE347" s="200">
        <v>7</v>
      </c>
      <c r="BF347" s="201">
        <v>41555</v>
      </c>
      <c r="BG347" s="203">
        <v>-3.7</v>
      </c>
      <c r="BH347" s="151">
        <v>41842</v>
      </c>
      <c r="BM347" s="204">
        <v>74.3</v>
      </c>
      <c r="BN347" s="151">
        <v>41842</v>
      </c>
      <c r="BQ347" s="205">
        <v>7.8</v>
      </c>
      <c r="BR347" s="151">
        <v>41842</v>
      </c>
      <c r="BS347" s="206">
        <v>47.2</v>
      </c>
      <c r="BT347" s="151">
        <v>41842</v>
      </c>
      <c r="BU347" s="207">
        <v>14.1</v>
      </c>
      <c r="BV347" s="151">
        <v>41842</v>
      </c>
      <c r="BW347" s="206">
        <v>21.1</v>
      </c>
      <c r="BX347" s="151">
        <v>41842</v>
      </c>
      <c r="BY347" s="210">
        <v>7.11</v>
      </c>
      <c r="BZ347" s="151">
        <v>41842</v>
      </c>
      <c r="CA347" s="206">
        <v>32.299999999999997</v>
      </c>
      <c r="CB347" s="151">
        <v>41842</v>
      </c>
      <c r="CC347" s="208">
        <v>5.8</v>
      </c>
      <c r="CD347" s="151">
        <v>41838</v>
      </c>
      <c r="CL347" s="209">
        <v>3</v>
      </c>
      <c r="CM347" s="201">
        <v>41810</v>
      </c>
    </row>
    <row r="348" spans="1:91" ht="15">
      <c r="A348" s="152" t="s">
        <v>7948</v>
      </c>
      <c r="B348" s="110" t="s">
        <v>235</v>
      </c>
      <c r="C348" s="110" t="s">
        <v>8081</v>
      </c>
      <c r="D348" s="110">
        <v>11304</v>
      </c>
      <c r="E348" s="111">
        <v>10</v>
      </c>
      <c r="F348" s="111">
        <v>541</v>
      </c>
      <c r="K348" s="134">
        <v>5</v>
      </c>
      <c r="L348" s="151">
        <v>41701</v>
      </c>
      <c r="M348" s="169">
        <v>4</v>
      </c>
      <c r="N348" s="151">
        <v>41838</v>
      </c>
      <c r="Q348" s="497"/>
      <c r="S348" s="134">
        <v>14.34</v>
      </c>
      <c r="T348" s="151">
        <v>41842</v>
      </c>
      <c r="U348" s="134">
        <v>13.5</v>
      </c>
      <c r="V348" s="151">
        <v>41838</v>
      </c>
      <c r="W348" s="196">
        <v>9</v>
      </c>
      <c r="X348" s="151">
        <v>41829</v>
      </c>
      <c r="Y348" s="134">
        <f t="shared" si="5"/>
        <v>4.5040799999999992</v>
      </c>
      <c r="AC348" s="134">
        <v>29.63</v>
      </c>
      <c r="AD348" s="151">
        <v>41838</v>
      </c>
      <c r="AE348" s="134">
        <v>30.64</v>
      </c>
      <c r="AF348" s="151">
        <v>41838</v>
      </c>
      <c r="AG348" s="197">
        <v>5</v>
      </c>
      <c r="AH348" s="151">
        <v>41843</v>
      </c>
      <c r="AI348" s="198">
        <v>5</v>
      </c>
      <c r="AJ348" s="151">
        <v>41778</v>
      </c>
      <c r="AK348" s="199">
        <v>5</v>
      </c>
      <c r="AL348" s="151">
        <v>41709</v>
      </c>
      <c r="BE348" s="200">
        <v>5</v>
      </c>
      <c r="BF348" s="201">
        <v>41555</v>
      </c>
      <c r="BG348" s="203">
        <v>-4.4000000000000004</v>
      </c>
      <c r="BH348" s="151">
        <v>41842</v>
      </c>
      <c r="BM348" s="204">
        <v>73.400000000000006</v>
      </c>
      <c r="BN348" s="151">
        <v>41842</v>
      </c>
      <c r="BQ348" s="205">
        <v>6.9</v>
      </c>
      <c r="BR348" s="151">
        <v>41842</v>
      </c>
      <c r="BS348" s="206">
        <v>46.8</v>
      </c>
      <c r="BT348" s="151">
        <v>41842</v>
      </c>
      <c r="BU348" s="207">
        <v>14.7</v>
      </c>
      <c r="BV348" s="151">
        <v>41842</v>
      </c>
      <c r="BW348" s="206">
        <v>16.7</v>
      </c>
      <c r="BX348" s="151">
        <v>41842</v>
      </c>
      <c r="BY348" s="210">
        <v>7.41</v>
      </c>
      <c r="BZ348" s="151">
        <v>41842</v>
      </c>
      <c r="CA348" s="206">
        <v>33.299999999999997</v>
      </c>
      <c r="CB348" s="151">
        <v>41842</v>
      </c>
      <c r="CC348" s="208">
        <v>5.9</v>
      </c>
      <c r="CD348" s="151">
        <v>41838</v>
      </c>
      <c r="CL348" s="209">
        <v>3</v>
      </c>
      <c r="CM348" s="201">
        <v>41810</v>
      </c>
    </row>
    <row r="349" spans="1:91" ht="15">
      <c r="A349" s="152" t="s">
        <v>7948</v>
      </c>
      <c r="B349" s="110" t="s">
        <v>233</v>
      </c>
      <c r="C349" s="110" t="s">
        <v>8083</v>
      </c>
      <c r="D349" s="110">
        <v>11806</v>
      </c>
      <c r="E349" s="111">
        <v>12</v>
      </c>
      <c r="F349" s="111">
        <v>681</v>
      </c>
      <c r="K349" s="134">
        <v>5</v>
      </c>
      <c r="L349" s="151">
        <v>41701</v>
      </c>
      <c r="M349" s="169">
        <v>3.15</v>
      </c>
      <c r="N349" s="151">
        <v>41838</v>
      </c>
      <c r="Q349" s="497"/>
      <c r="S349" s="134">
        <v>11.32</v>
      </c>
      <c r="T349" s="151">
        <v>41842</v>
      </c>
      <c r="U349" s="134">
        <v>13.5</v>
      </c>
      <c r="V349" s="151">
        <v>41838</v>
      </c>
      <c r="W349" s="196">
        <v>1</v>
      </c>
      <c r="X349" s="151">
        <v>41829</v>
      </c>
      <c r="Y349" s="134">
        <f t="shared" si="5"/>
        <v>3.5668000000000006</v>
      </c>
      <c r="AC349" s="134">
        <v>23.33</v>
      </c>
      <c r="AD349" s="151">
        <v>41838</v>
      </c>
      <c r="AE349" s="134">
        <v>24.1</v>
      </c>
      <c r="AF349" s="151">
        <v>41838</v>
      </c>
      <c r="AG349" s="197">
        <v>5.0999999999999996</v>
      </c>
      <c r="AH349" s="151">
        <v>41843</v>
      </c>
      <c r="AI349" s="198">
        <v>5</v>
      </c>
      <c r="AJ349" s="151">
        <v>41778</v>
      </c>
      <c r="AK349" s="199">
        <v>7</v>
      </c>
      <c r="AL349" s="151">
        <v>41709</v>
      </c>
      <c r="BE349" s="200">
        <v>7</v>
      </c>
      <c r="BF349" s="201">
        <v>41555</v>
      </c>
      <c r="BG349" s="203">
        <v>-3</v>
      </c>
      <c r="BH349" s="151">
        <v>41842</v>
      </c>
      <c r="BM349" s="204">
        <v>73.5</v>
      </c>
      <c r="BN349" s="151">
        <v>41842</v>
      </c>
      <c r="BQ349" s="205">
        <v>7.4</v>
      </c>
      <c r="BR349" s="151">
        <v>41842</v>
      </c>
      <c r="BS349" s="206">
        <v>47</v>
      </c>
      <c r="BT349" s="151">
        <v>41842</v>
      </c>
      <c r="BU349" s="207">
        <v>14.8</v>
      </c>
      <c r="BV349" s="151">
        <v>41842</v>
      </c>
      <c r="BW349" s="206">
        <v>17.8</v>
      </c>
      <c r="BX349" s="151">
        <v>41842</v>
      </c>
      <c r="BY349" s="210">
        <v>7.23</v>
      </c>
      <c r="BZ349" s="151">
        <v>41842</v>
      </c>
      <c r="CA349" s="206">
        <v>33.5</v>
      </c>
      <c r="CB349" s="151">
        <v>41842</v>
      </c>
      <c r="CC349" s="208">
        <v>6</v>
      </c>
      <c r="CD349" s="151">
        <v>41838</v>
      </c>
      <c r="CL349" s="209">
        <v>5</v>
      </c>
      <c r="CM349" s="201">
        <v>41810</v>
      </c>
    </row>
    <row r="350" spans="1:91" ht="15">
      <c r="A350" s="152" t="s">
        <v>7949</v>
      </c>
      <c r="B350" s="110" t="s">
        <v>235</v>
      </c>
      <c r="C350" s="110" t="s">
        <v>8082</v>
      </c>
      <c r="D350" s="110">
        <v>11438</v>
      </c>
      <c r="E350" s="111">
        <v>2</v>
      </c>
      <c r="F350" s="111">
        <v>649</v>
      </c>
      <c r="K350" s="134">
        <v>5</v>
      </c>
      <c r="L350" s="151">
        <v>41701</v>
      </c>
      <c r="M350" s="169"/>
      <c r="N350" s="151">
        <v>41838</v>
      </c>
      <c r="Q350" s="497"/>
      <c r="T350" s="151">
        <v>41842</v>
      </c>
      <c r="U350" s="134">
        <v>13.5</v>
      </c>
      <c r="V350" s="151">
        <v>41838</v>
      </c>
      <c r="W350" s="196">
        <v>9</v>
      </c>
      <c r="X350" s="151">
        <v>41829</v>
      </c>
      <c r="Y350" s="134">
        <f t="shared" si="5"/>
        <v>0</v>
      </c>
      <c r="AD350" s="151">
        <v>41838</v>
      </c>
      <c r="AF350" s="151">
        <v>41838</v>
      </c>
      <c r="AG350" s="197"/>
      <c r="AH350" s="151">
        <v>41843</v>
      </c>
      <c r="AI350" s="198">
        <v>7</v>
      </c>
      <c r="AJ350" s="151">
        <v>41778</v>
      </c>
      <c r="AK350" s="199">
        <v>5</v>
      </c>
      <c r="AL350" s="151">
        <v>41709</v>
      </c>
      <c r="BE350" s="200">
        <v>5</v>
      </c>
      <c r="BF350" s="201">
        <v>41555</v>
      </c>
      <c r="BG350" s="203"/>
      <c r="BH350" s="151">
        <v>41842</v>
      </c>
      <c r="BM350" s="204"/>
      <c r="BN350" s="151">
        <v>41842</v>
      </c>
      <c r="BQ350" s="205"/>
      <c r="BR350" s="151">
        <v>41842</v>
      </c>
      <c r="BS350" s="206"/>
      <c r="BT350" s="151">
        <v>41842</v>
      </c>
      <c r="BU350" s="207"/>
      <c r="BV350" s="151">
        <v>41842</v>
      </c>
      <c r="BW350" s="206"/>
      <c r="BX350" s="151">
        <v>41842</v>
      </c>
      <c r="BY350" s="210"/>
      <c r="BZ350" s="151">
        <v>41842</v>
      </c>
      <c r="CA350" s="206"/>
      <c r="CB350" s="151">
        <v>41842</v>
      </c>
      <c r="CC350" s="208"/>
      <c r="CD350" s="151">
        <v>41838</v>
      </c>
      <c r="CL350" s="209">
        <v>3</v>
      </c>
      <c r="CM350" s="201">
        <v>41810</v>
      </c>
    </row>
    <row r="351" spans="1:91" ht="15">
      <c r="A351" s="152" t="s">
        <v>7949</v>
      </c>
      <c r="B351" s="110" t="s">
        <v>233</v>
      </c>
      <c r="C351" s="110" t="s">
        <v>381</v>
      </c>
      <c r="D351" s="110">
        <v>11175</v>
      </c>
      <c r="E351" s="111">
        <v>6</v>
      </c>
      <c r="F351" s="111">
        <v>601</v>
      </c>
      <c r="K351" s="134">
        <v>5</v>
      </c>
      <c r="L351" s="151">
        <v>41701</v>
      </c>
      <c r="M351" s="169">
        <v>4.5</v>
      </c>
      <c r="N351" s="151">
        <v>41838</v>
      </c>
      <c r="Q351" s="497"/>
      <c r="S351" s="134">
        <v>16.809999999999999</v>
      </c>
      <c r="T351" s="151">
        <v>41842</v>
      </c>
      <c r="U351" s="134">
        <v>13.5</v>
      </c>
      <c r="V351" s="151">
        <v>41838</v>
      </c>
      <c r="W351" s="196">
        <v>9</v>
      </c>
      <c r="X351" s="151">
        <v>41829</v>
      </c>
      <c r="Y351" s="134">
        <f t="shared" si="5"/>
        <v>4.1279999999999992</v>
      </c>
      <c r="AC351" s="134">
        <v>33.33</v>
      </c>
      <c r="AD351" s="151">
        <v>41838</v>
      </c>
      <c r="AE351" s="134">
        <v>34.4</v>
      </c>
      <c r="AF351" s="151">
        <v>41838</v>
      </c>
      <c r="AG351" s="197">
        <v>4.5</v>
      </c>
      <c r="AH351" s="151">
        <v>41843</v>
      </c>
      <c r="AI351" s="198">
        <v>5</v>
      </c>
      <c r="AJ351" s="151">
        <v>41778</v>
      </c>
      <c r="AK351" s="199">
        <v>5</v>
      </c>
      <c r="AL351" s="151">
        <v>41709</v>
      </c>
      <c r="BE351" s="200">
        <v>5</v>
      </c>
      <c r="BF351" s="201">
        <v>41555</v>
      </c>
      <c r="BG351" s="203">
        <v>-3.6</v>
      </c>
      <c r="BH351" s="151">
        <v>41842</v>
      </c>
      <c r="BM351" s="204">
        <v>67</v>
      </c>
      <c r="BN351" s="151">
        <v>41842</v>
      </c>
      <c r="BQ351" s="205">
        <v>9.6999999999999993</v>
      </c>
      <c r="BR351" s="151">
        <v>41842</v>
      </c>
      <c r="BS351" s="206">
        <v>48.9</v>
      </c>
      <c r="BT351" s="151">
        <v>41842</v>
      </c>
      <c r="BU351" s="207">
        <v>12</v>
      </c>
      <c r="BV351" s="151">
        <v>41842</v>
      </c>
      <c r="BW351" s="206">
        <v>14</v>
      </c>
      <c r="BX351" s="151">
        <v>41842</v>
      </c>
      <c r="BY351" s="210">
        <v>7.1</v>
      </c>
      <c r="BZ351" s="151">
        <v>41842</v>
      </c>
      <c r="CA351" s="206">
        <v>28.6</v>
      </c>
      <c r="CB351" s="151">
        <v>41842</v>
      </c>
      <c r="CC351" s="208">
        <v>6.1</v>
      </c>
      <c r="CD351" s="151">
        <v>41838</v>
      </c>
      <c r="CL351" s="209">
        <v>3</v>
      </c>
      <c r="CM351" s="201">
        <v>41810</v>
      </c>
    </row>
    <row r="352" spans="1:91" ht="15">
      <c r="A352" s="152" t="s">
        <v>7949</v>
      </c>
      <c r="B352" s="110" t="s">
        <v>235</v>
      </c>
      <c r="C352" s="110" t="s">
        <v>8081</v>
      </c>
      <c r="D352" s="110">
        <v>11227</v>
      </c>
      <c r="E352" s="111">
        <v>8</v>
      </c>
      <c r="F352" s="111">
        <v>521</v>
      </c>
      <c r="K352" s="134">
        <v>5</v>
      </c>
      <c r="L352" s="151">
        <v>41701</v>
      </c>
      <c r="M352" s="169">
        <v>6.45</v>
      </c>
      <c r="N352" s="151">
        <v>41838</v>
      </c>
      <c r="Q352" s="497"/>
      <c r="S352" s="134">
        <v>23.28</v>
      </c>
      <c r="T352" s="151">
        <v>41842</v>
      </c>
      <c r="U352" s="134">
        <v>13.5</v>
      </c>
      <c r="V352" s="151">
        <v>41838</v>
      </c>
      <c r="W352" s="196">
        <v>9</v>
      </c>
      <c r="X352" s="151">
        <v>41829</v>
      </c>
      <c r="Y352" s="134">
        <f t="shared" si="5"/>
        <v>6.6343399999999999</v>
      </c>
      <c r="AC352" s="134">
        <v>47.78</v>
      </c>
      <c r="AD352" s="151">
        <v>41838</v>
      </c>
      <c r="AE352" s="134">
        <v>49.51</v>
      </c>
      <c r="AF352" s="151">
        <v>41838</v>
      </c>
      <c r="AG352" s="197">
        <v>3.8</v>
      </c>
      <c r="AH352" s="151">
        <v>41843</v>
      </c>
      <c r="AI352" s="198">
        <v>5</v>
      </c>
      <c r="AJ352" s="151">
        <v>41778</v>
      </c>
      <c r="AK352" s="199">
        <v>5</v>
      </c>
      <c r="AL352" s="151">
        <v>41709</v>
      </c>
      <c r="BE352" s="200">
        <v>5</v>
      </c>
      <c r="BF352" s="201">
        <v>41555</v>
      </c>
      <c r="BG352" s="203">
        <v>-2.1</v>
      </c>
      <c r="BH352" s="151">
        <v>41842</v>
      </c>
      <c r="BM352" s="204">
        <v>65.7</v>
      </c>
      <c r="BN352" s="151">
        <v>41842</v>
      </c>
      <c r="BQ352" s="205">
        <v>10</v>
      </c>
      <c r="BR352" s="151">
        <v>41842</v>
      </c>
      <c r="BS352" s="206">
        <v>47</v>
      </c>
      <c r="BT352" s="151">
        <v>41842</v>
      </c>
      <c r="BU352" s="207">
        <v>13.4</v>
      </c>
      <c r="BV352" s="151">
        <v>41842</v>
      </c>
      <c r="BW352" s="206">
        <v>13.7</v>
      </c>
      <c r="BX352" s="151">
        <v>41842</v>
      </c>
      <c r="BY352" s="210">
        <v>7.42</v>
      </c>
      <c r="BZ352" s="151">
        <v>41842</v>
      </c>
      <c r="CA352" s="206">
        <v>30.4</v>
      </c>
      <c r="CB352" s="151">
        <v>41842</v>
      </c>
      <c r="CC352" s="208">
        <v>5.7</v>
      </c>
      <c r="CD352" s="151">
        <v>41838</v>
      </c>
      <c r="CL352" s="209">
        <v>3</v>
      </c>
      <c r="CM352" s="201">
        <v>41810</v>
      </c>
    </row>
    <row r="353" spans="1:91" ht="15">
      <c r="A353" s="152" t="s">
        <v>7949</v>
      </c>
      <c r="B353" s="110" t="s">
        <v>233</v>
      </c>
      <c r="C353" s="110" t="s">
        <v>8083</v>
      </c>
      <c r="D353" s="110">
        <v>11701</v>
      </c>
      <c r="E353" s="111">
        <v>9</v>
      </c>
      <c r="F353" s="111">
        <v>693</v>
      </c>
      <c r="K353" s="134">
        <v>5</v>
      </c>
      <c r="L353" s="151">
        <v>41701</v>
      </c>
      <c r="M353" s="169">
        <v>4.2</v>
      </c>
      <c r="N353" s="151">
        <v>41838</v>
      </c>
      <c r="Q353" s="497"/>
      <c r="S353" s="134">
        <v>15.91</v>
      </c>
      <c r="T353" s="151">
        <v>41842</v>
      </c>
      <c r="U353" s="134">
        <v>13.5</v>
      </c>
      <c r="V353" s="151">
        <v>41838</v>
      </c>
      <c r="W353" s="196">
        <v>9</v>
      </c>
      <c r="X353" s="151">
        <v>41829</v>
      </c>
      <c r="Y353" s="134">
        <f t="shared" si="5"/>
        <v>3.8078600000000007</v>
      </c>
      <c r="AC353" s="134">
        <v>31.11</v>
      </c>
      <c r="AD353" s="151">
        <v>41838</v>
      </c>
      <c r="AE353" s="134">
        <v>32.270000000000003</v>
      </c>
      <c r="AF353" s="151">
        <v>41838</v>
      </c>
      <c r="AG353" s="197">
        <v>4.7</v>
      </c>
      <c r="AH353" s="151">
        <v>41843</v>
      </c>
      <c r="AI353" s="198">
        <v>3</v>
      </c>
      <c r="AJ353" s="151">
        <v>41778</v>
      </c>
      <c r="AK353" s="199">
        <v>5</v>
      </c>
      <c r="AL353" s="151">
        <v>41709</v>
      </c>
      <c r="BE353" s="200">
        <v>5</v>
      </c>
      <c r="BF353" s="201">
        <v>41555</v>
      </c>
      <c r="BG353" s="203">
        <v>-5.2</v>
      </c>
      <c r="BH353" s="151">
        <v>41842</v>
      </c>
      <c r="BM353" s="204">
        <v>68.3</v>
      </c>
      <c r="BN353" s="151">
        <v>41842</v>
      </c>
      <c r="BQ353" s="205">
        <v>9</v>
      </c>
      <c r="BR353" s="151">
        <v>41842</v>
      </c>
      <c r="BS353" s="206">
        <v>49.3</v>
      </c>
      <c r="BT353" s="151">
        <v>41842</v>
      </c>
      <c r="BU353" s="207">
        <v>11.8</v>
      </c>
      <c r="BV353" s="151">
        <v>41842</v>
      </c>
      <c r="BW353" s="206">
        <v>15.4</v>
      </c>
      <c r="BX353" s="151">
        <v>41842</v>
      </c>
      <c r="BY353" s="210">
        <v>7.15</v>
      </c>
      <c r="BZ353" s="151">
        <v>41842</v>
      </c>
      <c r="CA353" s="206">
        <v>28.4</v>
      </c>
      <c r="CB353" s="151">
        <v>41842</v>
      </c>
      <c r="CC353" s="208">
        <v>5.6</v>
      </c>
      <c r="CD353" s="151">
        <v>41838</v>
      </c>
      <c r="CL353" s="209">
        <v>3</v>
      </c>
      <c r="CM353" s="201">
        <v>41810</v>
      </c>
    </row>
    <row r="354" spans="1:91" ht="15">
      <c r="A354" s="152" t="s">
        <v>7950</v>
      </c>
      <c r="B354" s="110" t="s">
        <v>233</v>
      </c>
      <c r="C354" s="110" t="s">
        <v>381</v>
      </c>
      <c r="D354" s="110">
        <v>10965</v>
      </c>
      <c r="E354" s="111">
        <v>1</v>
      </c>
      <c r="F354" s="111">
        <v>481</v>
      </c>
      <c r="I354" s="185"/>
      <c r="J354" s="185"/>
      <c r="K354" s="191">
        <v>3</v>
      </c>
      <c r="L354" s="151">
        <v>41701</v>
      </c>
      <c r="M354" s="169">
        <v>3.55</v>
      </c>
      <c r="N354" s="151">
        <v>41838</v>
      </c>
      <c r="P354" s="191"/>
      <c r="Q354" s="497"/>
      <c r="R354" s="191"/>
      <c r="S354" s="134">
        <v>12.36</v>
      </c>
      <c r="T354" s="151">
        <v>41842</v>
      </c>
      <c r="U354" s="191">
        <v>13.5</v>
      </c>
      <c r="V354" s="151">
        <v>41838</v>
      </c>
      <c r="W354" s="196">
        <v>9</v>
      </c>
      <c r="X354" s="151">
        <v>41829</v>
      </c>
      <c r="Y354" s="134">
        <f t="shared" si="5"/>
        <v>3.8325799999999997</v>
      </c>
      <c r="Z354" s="191"/>
      <c r="AA354" s="191"/>
      <c r="AB354" s="191"/>
      <c r="AC354" s="191">
        <v>26.3</v>
      </c>
      <c r="AD354" s="151">
        <v>41838</v>
      </c>
      <c r="AE354" s="191">
        <v>26.99</v>
      </c>
      <c r="AF354" s="151">
        <v>41838</v>
      </c>
      <c r="AG354" s="197">
        <v>5.4</v>
      </c>
      <c r="AH354" s="151">
        <v>41843</v>
      </c>
      <c r="AI354" s="198">
        <v>3</v>
      </c>
      <c r="AJ354" s="151">
        <v>41778</v>
      </c>
      <c r="AK354" s="199">
        <v>3</v>
      </c>
      <c r="AL354" s="151">
        <v>41709</v>
      </c>
      <c r="AM354" s="194"/>
      <c r="BE354" s="200">
        <v>3</v>
      </c>
      <c r="BF354" s="201">
        <v>41555</v>
      </c>
      <c r="BG354" s="203">
        <v>-4.3</v>
      </c>
      <c r="BH354" s="151">
        <v>41842</v>
      </c>
      <c r="BM354" s="204">
        <v>66</v>
      </c>
      <c r="BN354" s="151">
        <v>41842</v>
      </c>
      <c r="BQ354" s="205">
        <v>10.9</v>
      </c>
      <c r="BR354" s="151">
        <v>41842</v>
      </c>
      <c r="BS354" s="206">
        <v>45.8</v>
      </c>
      <c r="BT354" s="151">
        <v>41842</v>
      </c>
      <c r="BU354" s="207">
        <v>14.2</v>
      </c>
      <c r="BV354" s="151">
        <v>41842</v>
      </c>
      <c r="BW354" s="206">
        <v>27.9</v>
      </c>
      <c r="BX354" s="151">
        <v>41842</v>
      </c>
      <c r="BY354" s="210">
        <v>7.2</v>
      </c>
      <c r="BZ354" s="151">
        <v>41842</v>
      </c>
      <c r="CA354" s="206">
        <v>31.4</v>
      </c>
      <c r="CB354" s="151">
        <v>41842</v>
      </c>
      <c r="CC354" s="208">
        <v>6.6</v>
      </c>
      <c r="CD354" s="151">
        <v>41838</v>
      </c>
      <c r="CL354" s="209">
        <v>3</v>
      </c>
      <c r="CM354" s="201">
        <v>41810</v>
      </c>
    </row>
    <row r="355" spans="1:91" ht="15">
      <c r="A355" s="152" t="s">
        <v>7950</v>
      </c>
      <c r="B355" s="110" t="s">
        <v>235</v>
      </c>
      <c r="C355" s="110" t="s">
        <v>8082</v>
      </c>
      <c r="D355" s="110">
        <v>11586</v>
      </c>
      <c r="E355" s="111">
        <v>6</v>
      </c>
      <c r="F355" s="111">
        <v>665</v>
      </c>
      <c r="K355" s="134">
        <v>5</v>
      </c>
      <c r="L355" s="151">
        <v>41701</v>
      </c>
      <c r="M355" s="169">
        <v>4.7</v>
      </c>
      <c r="N355" s="151">
        <v>41838</v>
      </c>
      <c r="Q355" s="497"/>
      <c r="S355" s="134">
        <v>16.190000000000001</v>
      </c>
      <c r="T355" s="151">
        <v>41842</v>
      </c>
      <c r="U355" s="134">
        <v>13.5</v>
      </c>
      <c r="V355" s="151">
        <v>41838</v>
      </c>
      <c r="W355" s="196">
        <v>9</v>
      </c>
      <c r="X355" s="151">
        <v>41829</v>
      </c>
      <c r="Y355" s="134">
        <f t="shared" si="5"/>
        <v>5.3639999999999999</v>
      </c>
      <c r="AC355" s="134">
        <v>34.81</v>
      </c>
      <c r="AD355" s="151">
        <v>41838</v>
      </c>
      <c r="AE355" s="134">
        <v>36</v>
      </c>
      <c r="AF355" s="151">
        <v>41838</v>
      </c>
      <c r="AG355" s="197">
        <v>5.0999999999999996</v>
      </c>
      <c r="AH355" s="151">
        <v>41843</v>
      </c>
      <c r="AI355" s="198">
        <v>5</v>
      </c>
      <c r="AJ355" s="151">
        <v>41778</v>
      </c>
      <c r="AK355" s="199">
        <v>4</v>
      </c>
      <c r="AL355" s="151">
        <v>41709</v>
      </c>
      <c r="BE355" s="200">
        <v>4</v>
      </c>
      <c r="BF355" s="201">
        <v>41555</v>
      </c>
      <c r="BG355" s="203">
        <v>-3.4</v>
      </c>
      <c r="BH355" s="151">
        <v>41842</v>
      </c>
      <c r="BM355" s="204">
        <v>62.6</v>
      </c>
      <c r="BN355" s="151">
        <v>41842</v>
      </c>
      <c r="BQ355" s="205">
        <v>11.3</v>
      </c>
      <c r="BR355" s="151">
        <v>41842</v>
      </c>
      <c r="BS355" s="206">
        <v>45</v>
      </c>
      <c r="BT355" s="151">
        <v>41842</v>
      </c>
      <c r="BU355" s="207">
        <v>14.9</v>
      </c>
      <c r="BV355" s="151">
        <v>41842</v>
      </c>
      <c r="BW355" s="206">
        <v>29.8</v>
      </c>
      <c r="BX355" s="151">
        <v>41842</v>
      </c>
      <c r="BY355" s="210">
        <v>7.89</v>
      </c>
      <c r="BZ355" s="151">
        <v>41842</v>
      </c>
      <c r="CA355" s="206">
        <v>32.299999999999997</v>
      </c>
      <c r="CB355" s="151">
        <v>41842</v>
      </c>
      <c r="CC355" s="208">
        <v>5.9</v>
      </c>
      <c r="CD355" s="151">
        <v>41838</v>
      </c>
      <c r="CL355" s="209">
        <v>3</v>
      </c>
      <c r="CM355" s="201">
        <v>41810</v>
      </c>
    </row>
    <row r="356" spans="1:91" ht="15">
      <c r="A356" s="152" t="s">
        <v>7950</v>
      </c>
      <c r="B356" s="110" t="s">
        <v>235</v>
      </c>
      <c r="C356" s="110" t="s">
        <v>8081</v>
      </c>
      <c r="D356" s="110">
        <v>11193</v>
      </c>
      <c r="E356" s="111">
        <v>7</v>
      </c>
      <c r="F356" s="111">
        <v>529</v>
      </c>
      <c r="K356" s="134">
        <v>5</v>
      </c>
      <c r="L356" s="151">
        <v>41701</v>
      </c>
      <c r="M356" s="169">
        <v>4.5</v>
      </c>
      <c r="N356" s="151">
        <v>41838</v>
      </c>
      <c r="Q356" s="497"/>
      <c r="S356" s="134">
        <v>15.57</v>
      </c>
      <c r="T356" s="151">
        <v>41842</v>
      </c>
      <c r="U356" s="134">
        <v>13.5</v>
      </c>
      <c r="V356" s="151">
        <v>41838</v>
      </c>
      <c r="W356" s="196">
        <v>9</v>
      </c>
      <c r="X356" s="151">
        <v>41829</v>
      </c>
      <c r="Y356" s="134">
        <f t="shared" si="5"/>
        <v>5.1704999999999997</v>
      </c>
      <c r="AC356" s="134">
        <v>33.33</v>
      </c>
      <c r="AD356" s="151">
        <v>41838</v>
      </c>
      <c r="AE356" s="134">
        <v>34.47</v>
      </c>
      <c r="AF356" s="151">
        <v>41838</v>
      </c>
      <c r="AG356" s="197">
        <v>5.0999999999999996</v>
      </c>
      <c r="AH356" s="151">
        <v>41843</v>
      </c>
      <c r="AI356" s="198">
        <v>3</v>
      </c>
      <c r="AJ356" s="151">
        <v>41778</v>
      </c>
      <c r="AK356" s="199">
        <v>4</v>
      </c>
      <c r="AL356" s="151">
        <v>41709</v>
      </c>
      <c r="BE356" s="200">
        <v>4</v>
      </c>
      <c r="BF356" s="201">
        <v>41555</v>
      </c>
      <c r="BG356" s="203">
        <v>0.7</v>
      </c>
      <c r="BH356" s="151">
        <v>41842</v>
      </c>
      <c r="BM356" s="204">
        <v>64.099999999999994</v>
      </c>
      <c r="BN356" s="151">
        <v>41842</v>
      </c>
      <c r="BQ356" s="205">
        <v>11</v>
      </c>
      <c r="BR356" s="151">
        <v>41842</v>
      </c>
      <c r="BS356" s="206">
        <v>45.2</v>
      </c>
      <c r="BT356" s="151">
        <v>41842</v>
      </c>
      <c r="BU356" s="207">
        <v>15</v>
      </c>
      <c r="BV356" s="151">
        <v>41842</v>
      </c>
      <c r="BW356" s="206">
        <v>29.1</v>
      </c>
      <c r="BX356" s="151">
        <v>41842</v>
      </c>
      <c r="BY356" s="210">
        <v>7.47</v>
      </c>
      <c r="BZ356" s="151">
        <v>41842</v>
      </c>
      <c r="CA356" s="206">
        <v>32.700000000000003</v>
      </c>
      <c r="CB356" s="151">
        <v>41842</v>
      </c>
      <c r="CC356" s="208">
        <v>5.9</v>
      </c>
      <c r="CD356" s="151">
        <v>41838</v>
      </c>
      <c r="CL356" s="209">
        <v>5</v>
      </c>
      <c r="CM356" s="201">
        <v>41810</v>
      </c>
    </row>
    <row r="357" spans="1:91" ht="15">
      <c r="A357" s="152" t="s">
        <v>7950</v>
      </c>
      <c r="B357" s="110" t="s">
        <v>233</v>
      </c>
      <c r="C357" s="110" t="s">
        <v>8083</v>
      </c>
      <c r="D357" s="110">
        <v>11776</v>
      </c>
      <c r="E357" s="111">
        <v>11</v>
      </c>
      <c r="F357" s="111">
        <v>705</v>
      </c>
      <c r="K357" s="134">
        <v>5</v>
      </c>
      <c r="L357" s="151">
        <v>41701</v>
      </c>
      <c r="M357" s="169">
        <v>4.3</v>
      </c>
      <c r="N357" s="151">
        <v>41838</v>
      </c>
      <c r="Q357" s="497"/>
      <c r="S357" s="134">
        <v>15.36</v>
      </c>
      <c r="T357" s="151">
        <v>41842</v>
      </c>
      <c r="U357" s="134">
        <v>13.5</v>
      </c>
      <c r="V357" s="151">
        <v>41838</v>
      </c>
      <c r="W357" s="196">
        <v>9</v>
      </c>
      <c r="X357" s="151">
        <v>41829</v>
      </c>
      <c r="Y357" s="134">
        <f t="shared" si="5"/>
        <v>4.4509499999999997</v>
      </c>
      <c r="AC357" s="134">
        <v>31.85</v>
      </c>
      <c r="AD357" s="151">
        <v>41838</v>
      </c>
      <c r="AE357" s="134">
        <v>32.97</v>
      </c>
      <c r="AF357" s="151">
        <v>41838</v>
      </c>
      <c r="AG357" s="197">
        <v>5.3</v>
      </c>
      <c r="AH357" s="151">
        <v>41843</v>
      </c>
      <c r="AI357" s="198">
        <v>5</v>
      </c>
      <c r="AJ357" s="151">
        <v>41778</v>
      </c>
      <c r="AK357" s="199">
        <v>5</v>
      </c>
      <c r="AL357" s="151">
        <v>41709</v>
      </c>
      <c r="BE357" s="200">
        <v>5</v>
      </c>
      <c r="BF357" s="201">
        <v>41555</v>
      </c>
      <c r="BG357" s="203">
        <v>-4.0999999999999996</v>
      </c>
      <c r="BH357" s="151">
        <v>41842</v>
      </c>
      <c r="BM357" s="204">
        <v>64.7</v>
      </c>
      <c r="BN357" s="151">
        <v>41842</v>
      </c>
      <c r="BQ357" s="205">
        <v>10.4</v>
      </c>
      <c r="BR357" s="151">
        <v>41842</v>
      </c>
      <c r="BS357" s="206">
        <v>46.6</v>
      </c>
      <c r="BT357" s="151">
        <v>41842</v>
      </c>
      <c r="BU357" s="207">
        <v>13.5</v>
      </c>
      <c r="BV357" s="151">
        <v>41842</v>
      </c>
      <c r="BW357" s="206">
        <v>24.2</v>
      </c>
      <c r="BX357" s="151">
        <v>41842</v>
      </c>
      <c r="BY357" s="210">
        <v>7.57</v>
      </c>
      <c r="BZ357" s="151">
        <v>41842</v>
      </c>
      <c r="CA357" s="206">
        <v>30.3</v>
      </c>
      <c r="CB357" s="151">
        <v>41842</v>
      </c>
      <c r="CC357" s="208">
        <v>5.8</v>
      </c>
      <c r="CD357" s="151">
        <v>41838</v>
      </c>
      <c r="CL357" s="209">
        <v>3</v>
      </c>
      <c r="CM357" s="201">
        <v>41810</v>
      </c>
    </row>
    <row r="358" spans="1:91" ht="15">
      <c r="A358" s="152" t="s">
        <v>7951</v>
      </c>
      <c r="B358" s="110" t="s">
        <v>235</v>
      </c>
      <c r="C358" s="110" t="s">
        <v>8082</v>
      </c>
      <c r="D358" s="110">
        <v>11452</v>
      </c>
      <c r="E358" s="111">
        <v>2</v>
      </c>
      <c r="F358" s="111">
        <v>705</v>
      </c>
      <c r="K358" s="134">
        <v>5</v>
      </c>
      <c r="L358" s="151">
        <v>41701</v>
      </c>
      <c r="M358" s="169">
        <v>5.55</v>
      </c>
      <c r="N358" s="151">
        <v>41838</v>
      </c>
      <c r="Q358" s="497"/>
      <c r="S358" s="134">
        <v>20.69</v>
      </c>
      <c r="T358" s="151">
        <v>41842</v>
      </c>
      <c r="U358" s="134">
        <v>13.5</v>
      </c>
      <c r="V358" s="151">
        <v>41838</v>
      </c>
      <c r="W358" s="196">
        <v>1</v>
      </c>
      <c r="X358" s="151">
        <v>41829</v>
      </c>
      <c r="Y358" s="134">
        <f t="shared" si="5"/>
        <v>5.5923899999999991</v>
      </c>
      <c r="AC358" s="134">
        <v>41.11</v>
      </c>
      <c r="AD358" s="151">
        <v>41838</v>
      </c>
      <c r="AE358" s="134">
        <v>42.69</v>
      </c>
      <c r="AF358" s="151">
        <v>41838</v>
      </c>
      <c r="AG358" s="197">
        <v>5</v>
      </c>
      <c r="AH358" s="151">
        <v>41843</v>
      </c>
      <c r="AI358" s="198">
        <v>7</v>
      </c>
      <c r="AJ358" s="151">
        <v>41778</v>
      </c>
      <c r="AK358" s="199">
        <v>5</v>
      </c>
      <c r="AL358" s="151">
        <v>41709</v>
      </c>
      <c r="BE358" s="200">
        <v>5</v>
      </c>
      <c r="BF358" s="201">
        <v>41555</v>
      </c>
      <c r="BG358" s="203">
        <v>-8.1</v>
      </c>
      <c r="BH358" s="151">
        <v>41842</v>
      </c>
      <c r="BM358" s="204">
        <v>63.7</v>
      </c>
      <c r="BN358" s="151">
        <v>41842</v>
      </c>
      <c r="BQ358" s="205">
        <v>11</v>
      </c>
      <c r="BR358" s="151">
        <v>41842</v>
      </c>
      <c r="BS358" s="206">
        <v>48.5</v>
      </c>
      <c r="BT358" s="151">
        <v>41842</v>
      </c>
      <c r="BU358" s="207">
        <v>13.1</v>
      </c>
      <c r="BV358" s="151">
        <v>41842</v>
      </c>
      <c r="BW358" s="206">
        <v>11.9</v>
      </c>
      <c r="BX358" s="151">
        <v>41842</v>
      </c>
      <c r="BY358" s="210">
        <v>7.06</v>
      </c>
      <c r="BZ358" s="151">
        <v>41842</v>
      </c>
      <c r="CA358" s="206">
        <v>30.7</v>
      </c>
      <c r="CB358" s="151">
        <v>41842</v>
      </c>
      <c r="CC358" s="208">
        <v>5.5</v>
      </c>
      <c r="CD358" s="151">
        <v>41838</v>
      </c>
      <c r="CL358" s="209">
        <v>3</v>
      </c>
      <c r="CM358" s="201">
        <v>41810</v>
      </c>
    </row>
    <row r="359" spans="1:91" ht="15">
      <c r="A359" s="152" t="s">
        <v>7951</v>
      </c>
      <c r="B359" s="110" t="s">
        <v>233</v>
      </c>
      <c r="C359" s="110" t="s">
        <v>381</v>
      </c>
      <c r="D359" s="110">
        <v>11098</v>
      </c>
      <c r="E359" s="111">
        <v>4</v>
      </c>
      <c r="F359" s="111">
        <v>581</v>
      </c>
      <c r="K359" s="134">
        <v>5</v>
      </c>
      <c r="L359" s="151">
        <v>41701</v>
      </c>
      <c r="M359" s="169">
        <v>4.25</v>
      </c>
      <c r="N359" s="151">
        <v>41838</v>
      </c>
      <c r="Q359" s="497"/>
      <c r="S359" s="134">
        <v>16.12</v>
      </c>
      <c r="T359" s="151">
        <v>41842</v>
      </c>
      <c r="U359" s="134">
        <v>13.5</v>
      </c>
      <c r="V359" s="151">
        <v>41838</v>
      </c>
      <c r="W359" s="196">
        <v>1</v>
      </c>
      <c r="X359" s="151">
        <v>41829</v>
      </c>
      <c r="Y359" s="134">
        <f t="shared" si="5"/>
        <v>4.1189399999999994</v>
      </c>
      <c r="AC359" s="134">
        <v>31.48</v>
      </c>
      <c r="AD359" s="151">
        <v>41838</v>
      </c>
      <c r="AE359" s="134">
        <v>32.69</v>
      </c>
      <c r="AF359" s="151">
        <v>41838</v>
      </c>
      <c r="AG359" s="197">
        <v>4.4000000000000004</v>
      </c>
      <c r="AH359" s="151">
        <v>41843</v>
      </c>
      <c r="AI359" s="198">
        <v>5</v>
      </c>
      <c r="AJ359" s="151">
        <v>41778</v>
      </c>
      <c r="AK359" s="199">
        <v>7</v>
      </c>
      <c r="AL359" s="151">
        <v>41709</v>
      </c>
      <c r="BE359" s="200">
        <v>7</v>
      </c>
      <c r="BF359" s="201">
        <v>41555</v>
      </c>
      <c r="BG359" s="203">
        <v>-4.8</v>
      </c>
      <c r="BH359" s="151">
        <v>41842</v>
      </c>
      <c r="BM359" s="204">
        <v>64.400000000000006</v>
      </c>
      <c r="BN359" s="151">
        <v>41842</v>
      </c>
      <c r="BQ359" s="205">
        <v>11.2</v>
      </c>
      <c r="BR359" s="151">
        <v>41842</v>
      </c>
      <c r="BS359" s="206">
        <v>49.3</v>
      </c>
      <c r="BT359" s="151">
        <v>41842</v>
      </c>
      <c r="BU359" s="207">
        <v>12.6</v>
      </c>
      <c r="BV359" s="151">
        <v>41842</v>
      </c>
      <c r="BW359" s="206">
        <v>13.1</v>
      </c>
      <c r="BX359" s="151">
        <v>41842</v>
      </c>
      <c r="BY359" s="210">
        <v>6.7</v>
      </c>
      <c r="BZ359" s="151">
        <v>41842</v>
      </c>
      <c r="CA359" s="206">
        <v>30.1</v>
      </c>
      <c r="CB359" s="151">
        <v>41842</v>
      </c>
      <c r="CC359" s="208">
        <v>5.5</v>
      </c>
      <c r="CD359" s="151">
        <v>41838</v>
      </c>
      <c r="CL359" s="209">
        <v>5</v>
      </c>
      <c r="CM359" s="201">
        <v>41810</v>
      </c>
    </row>
    <row r="360" spans="1:91" ht="15">
      <c r="A360" s="152" t="s">
        <v>7951</v>
      </c>
      <c r="B360" s="110" t="s">
        <v>233</v>
      </c>
      <c r="C360" s="110" t="s">
        <v>8083</v>
      </c>
      <c r="D360" s="110">
        <v>11690</v>
      </c>
      <c r="E360" s="111">
        <v>9</v>
      </c>
      <c r="F360" s="111">
        <v>649</v>
      </c>
      <c r="K360" s="134">
        <v>5</v>
      </c>
      <c r="L360" s="151">
        <v>41701</v>
      </c>
      <c r="M360" s="169">
        <v>3.95</v>
      </c>
      <c r="N360" s="151">
        <v>41838</v>
      </c>
      <c r="Q360" s="497"/>
      <c r="S360" s="134">
        <v>14.9</v>
      </c>
      <c r="T360" s="151">
        <v>41842</v>
      </c>
      <c r="U360" s="134">
        <v>13.5</v>
      </c>
      <c r="V360" s="151">
        <v>41838</v>
      </c>
      <c r="W360" s="196">
        <v>9</v>
      </c>
      <c r="X360" s="151">
        <v>41829</v>
      </c>
      <c r="Y360" s="134">
        <f t="shared" si="5"/>
        <v>3.7720800000000003</v>
      </c>
      <c r="AC360" s="134">
        <v>29.26</v>
      </c>
      <c r="AD360" s="151">
        <v>41838</v>
      </c>
      <c r="AE360" s="134">
        <v>30.42</v>
      </c>
      <c r="AF360" s="151">
        <v>41838</v>
      </c>
      <c r="AG360" s="197">
        <v>4.8</v>
      </c>
      <c r="AH360" s="151">
        <v>41843</v>
      </c>
      <c r="AI360" s="198">
        <v>5</v>
      </c>
      <c r="AJ360" s="151">
        <v>41778</v>
      </c>
      <c r="AK360" s="199">
        <v>5</v>
      </c>
      <c r="AL360" s="151">
        <v>41709</v>
      </c>
      <c r="BE360" s="200">
        <v>5</v>
      </c>
      <c r="BF360" s="201">
        <v>41555</v>
      </c>
      <c r="BG360" s="203">
        <v>-7.7</v>
      </c>
      <c r="BH360" s="151">
        <v>41842</v>
      </c>
      <c r="BM360" s="204">
        <v>64.8</v>
      </c>
      <c r="BN360" s="151">
        <v>41842</v>
      </c>
      <c r="BQ360" s="205">
        <v>10.5</v>
      </c>
      <c r="BR360" s="151">
        <v>41842</v>
      </c>
      <c r="BS360" s="206">
        <v>49</v>
      </c>
      <c r="BT360" s="151">
        <v>41842</v>
      </c>
      <c r="BU360" s="207">
        <v>12.4</v>
      </c>
      <c r="BV360" s="151">
        <v>41842</v>
      </c>
      <c r="BW360" s="206">
        <v>13.6</v>
      </c>
      <c r="BX360" s="151">
        <v>41842</v>
      </c>
      <c r="BY360" s="210">
        <v>6.84</v>
      </c>
      <c r="BZ360" s="151">
        <v>41842</v>
      </c>
      <c r="CA360" s="206">
        <v>29.5</v>
      </c>
      <c r="CB360" s="151">
        <v>41842</v>
      </c>
      <c r="CC360" s="208">
        <v>5.4</v>
      </c>
      <c r="CD360" s="151">
        <v>41838</v>
      </c>
      <c r="CL360" s="209">
        <v>5</v>
      </c>
      <c r="CM360" s="201">
        <v>41810</v>
      </c>
    </row>
    <row r="361" spans="1:91" ht="15">
      <c r="A361" s="152" t="s">
        <v>7951</v>
      </c>
      <c r="B361" s="110" t="s">
        <v>235</v>
      </c>
      <c r="C361" s="110" t="s">
        <v>8081</v>
      </c>
      <c r="D361" s="110">
        <v>11291</v>
      </c>
      <c r="E361" s="111">
        <v>10</v>
      </c>
      <c r="F361" s="111">
        <v>489</v>
      </c>
      <c r="K361" s="134">
        <v>5</v>
      </c>
      <c r="L361" s="151">
        <v>41701</v>
      </c>
      <c r="M361" s="169">
        <v>5.55</v>
      </c>
      <c r="N361" s="151">
        <v>41838</v>
      </c>
      <c r="Q361" s="497"/>
      <c r="S361" s="134">
        <v>20.43</v>
      </c>
      <c r="T361" s="151">
        <v>41842</v>
      </c>
      <c r="U361" s="134">
        <v>13.5</v>
      </c>
      <c r="V361" s="151">
        <v>41838</v>
      </c>
      <c r="W361" s="196">
        <v>9</v>
      </c>
      <c r="X361" s="151">
        <v>41829</v>
      </c>
      <c r="Y361" s="134">
        <f t="shared" si="5"/>
        <v>5.9457999999999993</v>
      </c>
      <c r="AC361" s="134">
        <v>41.11</v>
      </c>
      <c r="AD361" s="151">
        <v>41838</v>
      </c>
      <c r="AE361" s="134">
        <v>42.47</v>
      </c>
      <c r="AF361" s="151">
        <v>41838</v>
      </c>
      <c r="AG361" s="197">
        <v>4.7</v>
      </c>
      <c r="AH361" s="151">
        <v>41843</v>
      </c>
      <c r="AI361" s="198">
        <v>5</v>
      </c>
      <c r="AJ361" s="151">
        <v>41778</v>
      </c>
      <c r="AK361" s="199">
        <v>5</v>
      </c>
      <c r="AL361" s="151">
        <v>41709</v>
      </c>
      <c r="BE361" s="200">
        <v>5</v>
      </c>
      <c r="BF361" s="201">
        <v>41555</v>
      </c>
      <c r="BG361" s="203">
        <v>-2.4</v>
      </c>
      <c r="BH361" s="151">
        <v>41842</v>
      </c>
      <c r="BM361" s="204">
        <v>62.2</v>
      </c>
      <c r="BN361" s="151">
        <v>41842</v>
      </c>
      <c r="BQ361" s="205">
        <v>11.1</v>
      </c>
      <c r="BR361" s="151">
        <v>41842</v>
      </c>
      <c r="BS361" s="206">
        <v>48.1</v>
      </c>
      <c r="BT361" s="151">
        <v>41842</v>
      </c>
      <c r="BU361" s="207">
        <v>14</v>
      </c>
      <c r="BV361" s="151">
        <v>41842</v>
      </c>
      <c r="BW361" s="206">
        <v>16.3</v>
      </c>
      <c r="BX361" s="151">
        <v>41842</v>
      </c>
      <c r="BY361" s="210">
        <v>6.94</v>
      </c>
      <c r="BZ361" s="151">
        <v>41842</v>
      </c>
      <c r="CA361" s="206">
        <v>32.5</v>
      </c>
      <c r="CB361" s="151">
        <v>41842</v>
      </c>
      <c r="CC361" s="208">
        <v>6</v>
      </c>
      <c r="CD361" s="151">
        <v>41838</v>
      </c>
      <c r="CL361" s="209">
        <v>5</v>
      </c>
      <c r="CM361" s="201">
        <v>41810</v>
      </c>
    </row>
    <row r="362" spans="1:91" ht="15">
      <c r="A362" s="152" t="s">
        <v>7952</v>
      </c>
      <c r="B362" s="110" t="s">
        <v>235</v>
      </c>
      <c r="C362" s="110" t="s">
        <v>8082</v>
      </c>
      <c r="D362" s="110">
        <v>11467</v>
      </c>
      <c r="E362" s="111">
        <v>2</v>
      </c>
      <c r="F362" s="111">
        <v>765</v>
      </c>
      <c r="K362" s="134">
        <v>5</v>
      </c>
      <c r="L362" s="151">
        <v>41701</v>
      </c>
      <c r="M362" s="169">
        <v>5.7</v>
      </c>
      <c r="N362" s="151">
        <v>41838</v>
      </c>
      <c r="Q362" s="497"/>
      <c r="S362" s="134">
        <v>20.34</v>
      </c>
      <c r="T362" s="151">
        <v>41842</v>
      </c>
      <c r="U362" s="134">
        <v>13.5</v>
      </c>
      <c r="V362" s="151">
        <v>41838</v>
      </c>
      <c r="W362" s="196">
        <v>9</v>
      </c>
      <c r="X362" s="151">
        <v>41829</v>
      </c>
      <c r="Y362" s="134">
        <f t="shared" si="5"/>
        <v>5.7446400000000004</v>
      </c>
      <c r="AC362" s="134">
        <v>42.22</v>
      </c>
      <c r="AD362" s="151">
        <v>41838</v>
      </c>
      <c r="AE362" s="134">
        <v>43.52</v>
      </c>
      <c r="AF362" s="151">
        <v>41838</v>
      </c>
      <c r="AG362" s="197">
        <v>4</v>
      </c>
      <c r="AH362" s="151">
        <v>41843</v>
      </c>
      <c r="AI362" s="198">
        <v>5</v>
      </c>
      <c r="AJ362" s="151">
        <v>41778</v>
      </c>
      <c r="AK362" s="199">
        <v>7</v>
      </c>
      <c r="AL362" s="151">
        <v>41709</v>
      </c>
      <c r="BE362" s="200">
        <v>7</v>
      </c>
      <c r="BF362" s="201">
        <v>41555</v>
      </c>
      <c r="BG362" s="203">
        <v>-4.5999999999999996</v>
      </c>
      <c r="BH362" s="151">
        <v>41842</v>
      </c>
      <c r="BM362" s="204">
        <v>63.3</v>
      </c>
      <c r="BN362" s="151">
        <v>41842</v>
      </c>
      <c r="BQ362" s="205">
        <v>10.6</v>
      </c>
      <c r="BR362" s="151">
        <v>41842</v>
      </c>
      <c r="BS362" s="206">
        <v>46.7</v>
      </c>
      <c r="BT362" s="151">
        <v>41842</v>
      </c>
      <c r="BU362" s="207">
        <v>13.2</v>
      </c>
      <c r="BV362" s="151">
        <v>41842</v>
      </c>
      <c r="BW362" s="206">
        <v>12.2</v>
      </c>
      <c r="BX362" s="151">
        <v>41842</v>
      </c>
      <c r="BY362" s="210">
        <v>7.06</v>
      </c>
      <c r="BZ362" s="151">
        <v>41842</v>
      </c>
      <c r="CA362" s="206">
        <v>29.9</v>
      </c>
      <c r="CB362" s="151">
        <v>41842</v>
      </c>
      <c r="CC362" s="208">
        <v>6.2</v>
      </c>
      <c r="CD362" s="151">
        <v>41838</v>
      </c>
      <c r="CL362" s="209">
        <v>3</v>
      </c>
      <c r="CM362" s="201">
        <v>41810</v>
      </c>
    </row>
    <row r="363" spans="1:91" ht="15">
      <c r="A363" s="152" t="s">
        <v>7952</v>
      </c>
      <c r="B363" s="110" t="s">
        <v>233</v>
      </c>
      <c r="C363" s="110" t="s">
        <v>381</v>
      </c>
      <c r="D363" s="110">
        <v>11179</v>
      </c>
      <c r="E363" s="111">
        <v>6</v>
      </c>
      <c r="F363" s="111">
        <v>617</v>
      </c>
      <c r="K363" s="134">
        <v>5</v>
      </c>
      <c r="L363" s="151">
        <v>41701</v>
      </c>
      <c r="M363" s="169">
        <v>3.75</v>
      </c>
      <c r="N363" s="151">
        <v>41838</v>
      </c>
      <c r="Q363" s="497"/>
      <c r="S363" s="134">
        <v>13.72</v>
      </c>
      <c r="T363" s="151">
        <v>41842</v>
      </c>
      <c r="U363" s="134">
        <v>13.5</v>
      </c>
      <c r="V363" s="151">
        <v>41838</v>
      </c>
      <c r="W363" s="196">
        <v>9</v>
      </c>
      <c r="X363" s="151">
        <v>41829</v>
      </c>
      <c r="Y363" s="134">
        <f t="shared" si="5"/>
        <v>3.6723200000000005</v>
      </c>
      <c r="AC363" s="134">
        <v>27.78</v>
      </c>
      <c r="AD363" s="151">
        <v>41838</v>
      </c>
      <c r="AE363" s="134">
        <v>28.69</v>
      </c>
      <c r="AF363" s="151">
        <v>41838</v>
      </c>
      <c r="AG363" s="197">
        <v>4.2</v>
      </c>
      <c r="AH363" s="151">
        <v>41843</v>
      </c>
      <c r="AI363" s="198">
        <v>3</v>
      </c>
      <c r="AJ363" s="151">
        <v>41778</v>
      </c>
      <c r="AK363" s="199">
        <v>5</v>
      </c>
      <c r="AL363" s="151">
        <v>41709</v>
      </c>
      <c r="BE363" s="200">
        <v>5</v>
      </c>
      <c r="BF363" s="201">
        <v>41555</v>
      </c>
      <c r="BG363" s="203">
        <v>-2.2000000000000002</v>
      </c>
      <c r="BH363" s="151">
        <v>41842</v>
      </c>
      <c r="BM363" s="204">
        <v>64.900000000000006</v>
      </c>
      <c r="BN363" s="151">
        <v>41842</v>
      </c>
      <c r="BQ363" s="205">
        <v>10.5</v>
      </c>
      <c r="BR363" s="151">
        <v>41842</v>
      </c>
      <c r="BS363" s="206">
        <v>47.8</v>
      </c>
      <c r="BT363" s="151">
        <v>41842</v>
      </c>
      <c r="BU363" s="207">
        <v>12.8</v>
      </c>
      <c r="BV363" s="151">
        <v>41842</v>
      </c>
      <c r="BW363" s="206">
        <v>12.4</v>
      </c>
      <c r="BX363" s="151">
        <v>41842</v>
      </c>
      <c r="BY363" s="210">
        <v>7.22</v>
      </c>
      <c r="BZ363" s="151">
        <v>41842</v>
      </c>
      <c r="CA363" s="206">
        <v>29.7</v>
      </c>
      <c r="CB363" s="151">
        <v>41842</v>
      </c>
      <c r="CC363" s="208">
        <v>6</v>
      </c>
      <c r="CD363" s="151">
        <v>41838</v>
      </c>
      <c r="CL363" s="209">
        <v>3</v>
      </c>
      <c r="CM363" s="201">
        <v>41810</v>
      </c>
    </row>
    <row r="364" spans="1:91" ht="15">
      <c r="A364" s="152" t="s">
        <v>7952</v>
      </c>
      <c r="B364" s="110" t="s">
        <v>235</v>
      </c>
      <c r="C364" s="110" t="s">
        <v>8081</v>
      </c>
      <c r="D364" s="110">
        <v>11344</v>
      </c>
      <c r="E364" s="111">
        <v>11</v>
      </c>
      <c r="F364" s="111">
        <v>557</v>
      </c>
      <c r="K364" s="134">
        <v>5</v>
      </c>
      <c r="L364" s="151">
        <v>41701</v>
      </c>
      <c r="M364" s="169">
        <v>5.45</v>
      </c>
      <c r="N364" s="151">
        <v>41838</v>
      </c>
      <c r="Q364" s="497"/>
      <c r="S364" s="134">
        <v>19.72</v>
      </c>
      <c r="T364" s="151">
        <v>41842</v>
      </c>
      <c r="U364" s="134">
        <v>13.5</v>
      </c>
      <c r="V364" s="151">
        <v>41838</v>
      </c>
      <c r="W364" s="196">
        <v>9</v>
      </c>
      <c r="X364" s="151">
        <v>41829</v>
      </c>
      <c r="Y364" s="134">
        <f t="shared" si="5"/>
        <v>5.4141300000000001</v>
      </c>
      <c r="AC364" s="134">
        <v>40.369999999999997</v>
      </c>
      <c r="AD364" s="151">
        <v>41838</v>
      </c>
      <c r="AE364" s="134">
        <v>41.97</v>
      </c>
      <c r="AF364" s="151">
        <v>41838</v>
      </c>
      <c r="AG364" s="197">
        <v>3.9</v>
      </c>
      <c r="AH364" s="151">
        <v>41843</v>
      </c>
      <c r="AI364" s="198">
        <v>5</v>
      </c>
      <c r="AJ364" s="151">
        <v>41778</v>
      </c>
      <c r="AK364" s="199">
        <v>7</v>
      </c>
      <c r="AL364" s="151">
        <v>41709</v>
      </c>
      <c r="BE364" s="200">
        <v>7</v>
      </c>
      <c r="BF364" s="201">
        <v>41555</v>
      </c>
      <c r="BG364" s="203">
        <v>-4.5999999999999996</v>
      </c>
      <c r="BH364" s="151">
        <v>41842</v>
      </c>
      <c r="BM364" s="204">
        <v>63.4</v>
      </c>
      <c r="BN364" s="151">
        <v>41842</v>
      </c>
      <c r="BQ364" s="205">
        <v>10.4</v>
      </c>
      <c r="BR364" s="151">
        <v>41842</v>
      </c>
      <c r="BS364" s="206">
        <v>47</v>
      </c>
      <c r="BT364" s="151">
        <v>41842</v>
      </c>
      <c r="BU364" s="207">
        <v>12.9</v>
      </c>
      <c r="BV364" s="151">
        <v>41842</v>
      </c>
      <c r="BW364" s="206">
        <v>10.9</v>
      </c>
      <c r="BX364" s="151">
        <v>41842</v>
      </c>
      <c r="BY364" s="210">
        <v>7.35</v>
      </c>
      <c r="BZ364" s="151">
        <v>41842</v>
      </c>
      <c r="CA364" s="206">
        <v>29.3</v>
      </c>
      <c r="CB364" s="151">
        <v>41842</v>
      </c>
      <c r="CC364" s="208">
        <v>5.4</v>
      </c>
      <c r="CD364" s="151">
        <v>41838</v>
      </c>
      <c r="CL364" s="209">
        <v>3</v>
      </c>
      <c r="CM364" s="201">
        <v>41810</v>
      </c>
    </row>
    <row r="365" spans="1:91" ht="15">
      <c r="A365" s="152" t="s">
        <v>7952</v>
      </c>
      <c r="B365" s="110" t="s">
        <v>233</v>
      </c>
      <c r="C365" s="110" t="s">
        <v>8083</v>
      </c>
      <c r="D365" s="110">
        <v>11771</v>
      </c>
      <c r="E365" s="111">
        <v>11</v>
      </c>
      <c r="F365" s="111">
        <v>685</v>
      </c>
      <c r="K365" s="134">
        <v>5</v>
      </c>
      <c r="L365" s="151">
        <v>41701</v>
      </c>
      <c r="M365" s="169">
        <v>3.7</v>
      </c>
      <c r="N365" s="151">
        <v>41838</v>
      </c>
      <c r="Q365" s="497"/>
      <c r="S365" s="134">
        <v>13.55</v>
      </c>
      <c r="T365" s="151">
        <v>41842</v>
      </c>
      <c r="U365" s="134">
        <v>13.5</v>
      </c>
      <c r="V365" s="151">
        <v>41838</v>
      </c>
      <c r="W365" s="196">
        <v>9</v>
      </c>
      <c r="X365" s="151">
        <v>41829</v>
      </c>
      <c r="Y365" s="134">
        <f t="shared" si="5"/>
        <v>3.58596</v>
      </c>
      <c r="AC365" s="134">
        <v>27.41</v>
      </c>
      <c r="AD365" s="151">
        <v>41838</v>
      </c>
      <c r="AE365" s="134">
        <v>28.46</v>
      </c>
      <c r="AF365" s="151">
        <v>41838</v>
      </c>
      <c r="AG365" s="197">
        <v>4.2</v>
      </c>
      <c r="AH365" s="151">
        <v>41843</v>
      </c>
      <c r="AI365" s="198">
        <v>5</v>
      </c>
      <c r="AJ365" s="151">
        <v>41778</v>
      </c>
      <c r="AK365" s="199">
        <v>7</v>
      </c>
      <c r="AL365" s="151">
        <v>41709</v>
      </c>
      <c r="BE365" s="200">
        <v>7</v>
      </c>
      <c r="BF365" s="201">
        <v>41555</v>
      </c>
      <c r="BG365" s="203">
        <v>-5.6</v>
      </c>
      <c r="BH365" s="151">
        <v>41842</v>
      </c>
      <c r="BM365" s="204">
        <v>64.099999999999994</v>
      </c>
      <c r="BN365" s="151">
        <v>41842</v>
      </c>
      <c r="BQ365" s="205">
        <v>10.199999999999999</v>
      </c>
      <c r="BR365" s="151">
        <v>41842</v>
      </c>
      <c r="BS365" s="206">
        <v>47.6</v>
      </c>
      <c r="BT365" s="151">
        <v>41842</v>
      </c>
      <c r="BU365" s="207">
        <v>12.6</v>
      </c>
      <c r="BV365" s="151">
        <v>41842</v>
      </c>
      <c r="BW365" s="206">
        <v>14.5</v>
      </c>
      <c r="BX365" s="151">
        <v>41842</v>
      </c>
      <c r="BY365" s="210">
        <v>7.2</v>
      </c>
      <c r="BZ365" s="151">
        <v>41842</v>
      </c>
      <c r="CA365" s="206">
        <v>28.9</v>
      </c>
      <c r="CB365" s="151">
        <v>41842</v>
      </c>
      <c r="CC365" s="208">
        <v>5.5</v>
      </c>
      <c r="CD365" s="151">
        <v>41838</v>
      </c>
      <c r="CL365" s="209">
        <v>5</v>
      </c>
      <c r="CM365" s="201">
        <v>41810</v>
      </c>
    </row>
    <row r="366" spans="1:91" ht="15">
      <c r="A366" s="152" t="s">
        <v>7953</v>
      </c>
      <c r="B366" s="110" t="s">
        <v>235</v>
      </c>
      <c r="C366" s="110" t="s">
        <v>8082</v>
      </c>
      <c r="D366" s="110">
        <v>11474</v>
      </c>
      <c r="E366" s="111">
        <v>3</v>
      </c>
      <c r="F366" s="111">
        <v>649</v>
      </c>
      <c r="K366" s="134">
        <v>5</v>
      </c>
      <c r="L366" s="151">
        <v>41701</v>
      </c>
      <c r="M366" s="169"/>
      <c r="N366" s="151">
        <v>41838</v>
      </c>
      <c r="Q366" s="497"/>
      <c r="T366" s="151">
        <v>41842</v>
      </c>
      <c r="U366" s="134">
        <v>13.5</v>
      </c>
      <c r="V366" s="151">
        <v>41838</v>
      </c>
      <c r="W366" s="196">
        <v>9</v>
      </c>
      <c r="X366" s="151">
        <v>41829</v>
      </c>
      <c r="Y366" s="134">
        <f t="shared" si="5"/>
        <v>0</v>
      </c>
      <c r="AD366" s="151">
        <v>41838</v>
      </c>
      <c r="AF366" s="151">
        <v>41838</v>
      </c>
      <c r="AG366" s="197"/>
      <c r="AH366" s="151">
        <v>41843</v>
      </c>
      <c r="AI366" s="198">
        <v>7</v>
      </c>
      <c r="AJ366" s="151">
        <v>41778</v>
      </c>
      <c r="AK366" s="199">
        <v>4</v>
      </c>
      <c r="AL366" s="151">
        <v>41709</v>
      </c>
      <c r="BE366" s="200">
        <v>4</v>
      </c>
      <c r="BF366" s="201">
        <v>41555</v>
      </c>
      <c r="BG366" s="203"/>
      <c r="BH366" s="151">
        <v>41842</v>
      </c>
      <c r="BM366" s="204"/>
      <c r="BN366" s="151">
        <v>41842</v>
      </c>
      <c r="BQ366" s="205"/>
      <c r="BR366" s="151">
        <v>41842</v>
      </c>
      <c r="BS366" s="206"/>
      <c r="BT366" s="151">
        <v>41842</v>
      </c>
      <c r="BU366" s="207"/>
      <c r="BV366" s="151">
        <v>41842</v>
      </c>
      <c r="BW366" s="206"/>
      <c r="BX366" s="151">
        <v>41842</v>
      </c>
      <c r="BY366" s="210"/>
      <c r="BZ366" s="151">
        <v>41842</v>
      </c>
      <c r="CA366" s="206"/>
      <c r="CB366" s="151">
        <v>41842</v>
      </c>
      <c r="CC366" s="208"/>
      <c r="CD366" s="151">
        <v>41838</v>
      </c>
      <c r="CL366" s="209">
        <v>5</v>
      </c>
      <c r="CM366" s="201">
        <v>41810</v>
      </c>
    </row>
    <row r="367" spans="1:91" ht="15">
      <c r="A367" s="152" t="s">
        <v>7953</v>
      </c>
      <c r="B367" s="110" t="s">
        <v>233</v>
      </c>
      <c r="C367" s="110" t="s">
        <v>381</v>
      </c>
      <c r="D367" s="110">
        <v>11145</v>
      </c>
      <c r="E367" s="111">
        <v>6</v>
      </c>
      <c r="F367" s="111">
        <v>481</v>
      </c>
      <c r="K367" s="134">
        <v>5</v>
      </c>
      <c r="L367" s="151">
        <v>41701</v>
      </c>
      <c r="M367" s="169">
        <v>3.4</v>
      </c>
      <c r="N367" s="151">
        <v>41838</v>
      </c>
      <c r="Q367" s="497"/>
      <c r="S367" s="134">
        <v>12.45</v>
      </c>
      <c r="T367" s="151">
        <v>41842</v>
      </c>
      <c r="U367" s="134">
        <v>13.5</v>
      </c>
      <c r="V367" s="151">
        <v>41838</v>
      </c>
      <c r="W367" s="196">
        <v>1</v>
      </c>
      <c r="X367" s="151">
        <v>41829</v>
      </c>
      <c r="Y367" s="134">
        <f t="shared" si="5"/>
        <v>3.5346399999999996</v>
      </c>
      <c r="AC367" s="134">
        <v>25.19</v>
      </c>
      <c r="AD367" s="151">
        <v>41838</v>
      </c>
      <c r="AE367" s="134">
        <v>25.99</v>
      </c>
      <c r="AF367" s="151">
        <v>41838</v>
      </c>
      <c r="AG367" s="197">
        <v>5.3</v>
      </c>
      <c r="AH367" s="151">
        <v>41843</v>
      </c>
      <c r="AI367" s="198">
        <v>5</v>
      </c>
      <c r="AJ367" s="151">
        <v>41778</v>
      </c>
      <c r="AK367" s="199">
        <v>5</v>
      </c>
      <c r="AL367" s="151">
        <v>41709</v>
      </c>
      <c r="BE367" s="200">
        <v>5</v>
      </c>
      <c r="BF367" s="201">
        <v>41555</v>
      </c>
      <c r="BG367" s="203">
        <v>-2.6</v>
      </c>
      <c r="BH367" s="151">
        <v>41842</v>
      </c>
      <c r="BM367" s="204">
        <v>65.099999999999994</v>
      </c>
      <c r="BN367" s="151">
        <v>41842</v>
      </c>
      <c r="BQ367" s="205">
        <v>11.8</v>
      </c>
      <c r="BR367" s="151">
        <v>41842</v>
      </c>
      <c r="BS367" s="206">
        <v>47.9</v>
      </c>
      <c r="BT367" s="151">
        <v>41842</v>
      </c>
      <c r="BU367" s="207">
        <v>13.6</v>
      </c>
      <c r="BV367" s="151">
        <v>41842</v>
      </c>
      <c r="BW367" s="206">
        <v>14</v>
      </c>
      <c r="BX367" s="151">
        <v>41842</v>
      </c>
      <c r="BY367" s="210">
        <v>7.1</v>
      </c>
      <c r="BZ367" s="151">
        <v>41842</v>
      </c>
      <c r="CA367" s="206">
        <v>31.4</v>
      </c>
      <c r="CB367" s="151">
        <v>41842</v>
      </c>
      <c r="CC367" s="208">
        <v>6.1</v>
      </c>
      <c r="CD367" s="151">
        <v>41838</v>
      </c>
      <c r="CL367" s="209">
        <v>3</v>
      </c>
      <c r="CM367" s="201">
        <v>41810</v>
      </c>
    </row>
    <row r="368" spans="1:91" ht="15">
      <c r="A368" s="152" t="s">
        <v>7953</v>
      </c>
      <c r="B368" s="110" t="s">
        <v>235</v>
      </c>
      <c r="C368" s="110" t="s">
        <v>8081</v>
      </c>
      <c r="D368" s="110">
        <v>11342</v>
      </c>
      <c r="E368" s="111">
        <v>11</v>
      </c>
      <c r="F368" s="111">
        <v>549</v>
      </c>
      <c r="K368" s="134">
        <v>5</v>
      </c>
      <c r="L368" s="151">
        <v>41701</v>
      </c>
      <c r="M368" s="169">
        <v>4.45</v>
      </c>
      <c r="N368" s="151">
        <v>41838</v>
      </c>
      <c r="Q368" s="497"/>
      <c r="S368" s="134">
        <v>16.27</v>
      </c>
      <c r="T368" s="151">
        <v>41842</v>
      </c>
      <c r="U368" s="134">
        <v>13.5</v>
      </c>
      <c r="V368" s="151">
        <v>41838</v>
      </c>
      <c r="W368" s="196">
        <v>1</v>
      </c>
      <c r="X368" s="151">
        <v>41829</v>
      </c>
      <c r="Y368" s="134">
        <f t="shared" si="5"/>
        <v>4.6799199999999992</v>
      </c>
      <c r="AC368" s="134">
        <v>32.96</v>
      </c>
      <c r="AD368" s="151">
        <v>41838</v>
      </c>
      <c r="AE368" s="134">
        <v>34.159999999999997</v>
      </c>
      <c r="AF368" s="151">
        <v>41838</v>
      </c>
      <c r="AG368" s="197">
        <v>5.2</v>
      </c>
      <c r="AH368" s="151">
        <v>41843</v>
      </c>
      <c r="AI368" s="198">
        <v>7</v>
      </c>
      <c r="AJ368" s="151">
        <v>41778</v>
      </c>
      <c r="AK368" s="199">
        <v>4</v>
      </c>
      <c r="AL368" s="151">
        <v>41709</v>
      </c>
      <c r="BE368" s="200">
        <v>4</v>
      </c>
      <c r="BF368" s="201">
        <v>41555</v>
      </c>
      <c r="BG368" s="203">
        <v>-4.9000000000000004</v>
      </c>
      <c r="BH368" s="151">
        <v>41842</v>
      </c>
      <c r="BM368" s="204">
        <v>64.400000000000006</v>
      </c>
      <c r="BN368" s="151">
        <v>41842</v>
      </c>
      <c r="BQ368" s="205">
        <v>11.7</v>
      </c>
      <c r="BR368" s="151">
        <v>41842</v>
      </c>
      <c r="BS368" s="206">
        <v>47.6</v>
      </c>
      <c r="BT368" s="151">
        <v>41842</v>
      </c>
      <c r="BU368" s="207">
        <v>13.7</v>
      </c>
      <c r="BV368" s="151">
        <v>41842</v>
      </c>
      <c r="BW368" s="206">
        <v>14.1</v>
      </c>
      <c r="BX368" s="151">
        <v>41842</v>
      </c>
      <c r="BY368" s="210">
        <v>6.94</v>
      </c>
      <c r="BZ368" s="151">
        <v>41842</v>
      </c>
      <c r="CA368" s="206">
        <v>31.5</v>
      </c>
      <c r="CB368" s="151">
        <v>41842</v>
      </c>
      <c r="CC368" s="208">
        <v>5.7</v>
      </c>
      <c r="CD368" s="151">
        <v>41838</v>
      </c>
      <c r="CL368" s="209">
        <v>5</v>
      </c>
      <c r="CM368" s="201">
        <v>41810</v>
      </c>
    </row>
    <row r="369" spans="1:91" ht="15">
      <c r="A369" s="152" t="s">
        <v>7953</v>
      </c>
      <c r="B369" s="110" t="s">
        <v>233</v>
      </c>
      <c r="C369" s="110" t="s">
        <v>8083</v>
      </c>
      <c r="D369" s="110">
        <v>11779</v>
      </c>
      <c r="E369" s="111">
        <v>11</v>
      </c>
      <c r="F369" s="111">
        <v>717</v>
      </c>
      <c r="K369" s="134">
        <v>5</v>
      </c>
      <c r="L369" s="151">
        <v>41701</v>
      </c>
      <c r="M369" s="169">
        <v>3.65</v>
      </c>
      <c r="N369" s="151">
        <v>41838</v>
      </c>
      <c r="Q369" s="497"/>
      <c r="S369" s="134">
        <v>13.4</v>
      </c>
      <c r="T369" s="151">
        <v>41842</v>
      </c>
      <c r="U369" s="134">
        <v>13.5</v>
      </c>
      <c r="V369" s="151">
        <v>41838</v>
      </c>
      <c r="W369" s="196">
        <v>9</v>
      </c>
      <c r="X369" s="151">
        <v>41829</v>
      </c>
      <c r="Y369" s="134">
        <f t="shared" si="5"/>
        <v>3.5952300000000004</v>
      </c>
      <c r="AC369" s="134">
        <v>27.04</v>
      </c>
      <c r="AD369" s="151">
        <v>41838</v>
      </c>
      <c r="AE369" s="134">
        <v>27.87</v>
      </c>
      <c r="AF369" s="151">
        <v>41838</v>
      </c>
      <c r="AG369" s="197">
        <v>5.4</v>
      </c>
      <c r="AH369" s="151">
        <v>41843</v>
      </c>
      <c r="AI369" s="198">
        <v>5</v>
      </c>
      <c r="AJ369" s="151">
        <v>41778</v>
      </c>
      <c r="AK369" s="199">
        <v>5</v>
      </c>
      <c r="AL369" s="151">
        <v>41709</v>
      </c>
      <c r="BE369" s="200">
        <v>5</v>
      </c>
      <c r="BF369" s="201">
        <v>41555</v>
      </c>
      <c r="BG369" s="203">
        <v>-6</v>
      </c>
      <c r="BH369" s="151">
        <v>41842</v>
      </c>
      <c r="BM369" s="204">
        <v>64.7</v>
      </c>
      <c r="BN369" s="151">
        <v>41842</v>
      </c>
      <c r="BQ369" s="205">
        <v>11.6</v>
      </c>
      <c r="BR369" s="151">
        <v>41842</v>
      </c>
      <c r="BS369" s="206">
        <v>48.1</v>
      </c>
      <c r="BT369" s="151">
        <v>41842</v>
      </c>
      <c r="BU369" s="207">
        <v>12.9</v>
      </c>
      <c r="BV369" s="151">
        <v>41842</v>
      </c>
      <c r="BW369" s="206">
        <v>14.7</v>
      </c>
      <c r="BX369" s="151">
        <v>41842</v>
      </c>
      <c r="BY369" s="210">
        <v>7.08</v>
      </c>
      <c r="BZ369" s="151">
        <v>41842</v>
      </c>
      <c r="CA369" s="206">
        <v>30</v>
      </c>
      <c r="CB369" s="151">
        <v>41842</v>
      </c>
      <c r="CC369" s="208">
        <v>6.2</v>
      </c>
      <c r="CD369" s="151">
        <v>41838</v>
      </c>
      <c r="CL369" s="209">
        <v>3</v>
      </c>
      <c r="CM369" s="201">
        <v>41810</v>
      </c>
    </row>
    <row r="370" spans="1:91" ht="15">
      <c r="A370" s="152" t="s">
        <v>7954</v>
      </c>
      <c r="B370" s="110" t="s">
        <v>235</v>
      </c>
      <c r="C370" s="110" t="s">
        <v>8082</v>
      </c>
      <c r="D370" s="110">
        <v>11464</v>
      </c>
      <c r="E370" s="111">
        <v>2</v>
      </c>
      <c r="F370" s="111">
        <v>753</v>
      </c>
      <c r="K370" s="134">
        <v>5</v>
      </c>
      <c r="L370" s="151">
        <v>41701</v>
      </c>
      <c r="M370" s="169">
        <v>6.15</v>
      </c>
      <c r="N370" s="151">
        <v>41838</v>
      </c>
      <c r="Q370" s="497"/>
      <c r="S370" s="134">
        <v>21.49</v>
      </c>
      <c r="T370" s="151">
        <v>41842</v>
      </c>
      <c r="U370" s="134">
        <v>13.5</v>
      </c>
      <c r="V370" s="151">
        <v>41838</v>
      </c>
      <c r="W370" s="196">
        <v>9</v>
      </c>
      <c r="X370" s="151">
        <v>41829</v>
      </c>
      <c r="Y370" s="134">
        <f t="shared" si="5"/>
        <v>6.5324</v>
      </c>
      <c r="AC370" s="134">
        <v>45.56</v>
      </c>
      <c r="AD370" s="151">
        <v>41838</v>
      </c>
      <c r="AE370" s="134">
        <v>46.66</v>
      </c>
      <c r="AF370" s="151">
        <v>41838</v>
      </c>
      <c r="AG370" s="197">
        <v>5</v>
      </c>
      <c r="AH370" s="151">
        <v>41843</v>
      </c>
      <c r="AI370" s="198">
        <v>3</v>
      </c>
      <c r="AJ370" s="151">
        <v>41778</v>
      </c>
      <c r="AK370" s="199">
        <v>5</v>
      </c>
      <c r="AL370" s="151">
        <v>41709</v>
      </c>
      <c r="BE370" s="200">
        <v>5</v>
      </c>
      <c r="BF370" s="201">
        <v>41555</v>
      </c>
      <c r="BG370" s="203">
        <v>-1.6</v>
      </c>
      <c r="BH370" s="151">
        <v>41842</v>
      </c>
      <c r="BM370" s="204">
        <v>63.4</v>
      </c>
      <c r="BN370" s="151">
        <v>41842</v>
      </c>
      <c r="BQ370" s="205">
        <v>11.6</v>
      </c>
      <c r="BR370" s="151">
        <v>41842</v>
      </c>
      <c r="BS370" s="206">
        <v>46.1</v>
      </c>
      <c r="BT370" s="151">
        <v>41842</v>
      </c>
      <c r="BU370" s="207">
        <v>14</v>
      </c>
      <c r="BV370" s="151">
        <v>41842</v>
      </c>
      <c r="BW370" s="206">
        <v>12.1</v>
      </c>
      <c r="BX370" s="151">
        <v>41842</v>
      </c>
      <c r="BY370" s="210">
        <v>7.22</v>
      </c>
      <c r="BZ370" s="151">
        <v>41842</v>
      </c>
      <c r="CA370" s="206">
        <v>31.1</v>
      </c>
      <c r="CB370" s="151">
        <v>41842</v>
      </c>
      <c r="CC370" s="208">
        <v>6.8</v>
      </c>
      <c r="CD370" s="151">
        <v>41838</v>
      </c>
      <c r="CL370" s="209">
        <v>3</v>
      </c>
      <c r="CM370" s="201">
        <v>41810</v>
      </c>
    </row>
    <row r="371" spans="1:91" ht="15">
      <c r="A371" s="152" t="s">
        <v>7954</v>
      </c>
      <c r="B371" s="110" t="s">
        <v>233</v>
      </c>
      <c r="C371" s="110" t="s">
        <v>381</v>
      </c>
      <c r="D371" s="110">
        <v>11059</v>
      </c>
      <c r="E371" s="111">
        <v>3</v>
      </c>
      <c r="F371" s="111">
        <v>569</v>
      </c>
      <c r="K371" s="134">
        <v>5</v>
      </c>
      <c r="L371" s="151">
        <v>41701</v>
      </c>
      <c r="M371" s="169">
        <v>5.35</v>
      </c>
      <c r="N371" s="151">
        <v>41838</v>
      </c>
      <c r="Q371" s="497"/>
      <c r="S371" s="134">
        <v>19.059999999999999</v>
      </c>
      <c r="T371" s="151">
        <v>41842</v>
      </c>
      <c r="U371" s="134">
        <v>13.5</v>
      </c>
      <c r="V371" s="151">
        <v>41838</v>
      </c>
      <c r="W371" s="196">
        <v>9</v>
      </c>
      <c r="X371" s="151">
        <v>41829</v>
      </c>
      <c r="Y371" s="134">
        <f t="shared" si="5"/>
        <v>5.7017800000000012</v>
      </c>
      <c r="AC371" s="134">
        <v>39.630000000000003</v>
      </c>
      <c r="AD371" s="151">
        <v>41838</v>
      </c>
      <c r="AE371" s="134">
        <v>41.02</v>
      </c>
      <c r="AF371" s="151">
        <v>41838</v>
      </c>
      <c r="AG371" s="197">
        <v>5.4</v>
      </c>
      <c r="AH371" s="151">
        <v>41843</v>
      </c>
      <c r="AI371" s="198">
        <v>5</v>
      </c>
      <c r="AJ371" s="151">
        <v>41778</v>
      </c>
      <c r="AK371" s="199">
        <v>5</v>
      </c>
      <c r="AL371" s="151">
        <v>41709</v>
      </c>
      <c r="BE371" s="200">
        <v>5</v>
      </c>
      <c r="BF371" s="201">
        <v>41555</v>
      </c>
      <c r="BG371" s="203">
        <v>-1</v>
      </c>
      <c r="BH371" s="151">
        <v>41842</v>
      </c>
      <c r="BM371" s="204">
        <v>64.400000000000006</v>
      </c>
      <c r="BN371" s="151">
        <v>41842</v>
      </c>
      <c r="BQ371" s="205">
        <v>11.9</v>
      </c>
      <c r="BR371" s="151">
        <v>41842</v>
      </c>
      <c r="BS371" s="206">
        <v>46.5</v>
      </c>
      <c r="BT371" s="151">
        <v>41842</v>
      </c>
      <c r="BU371" s="207">
        <v>13.9</v>
      </c>
      <c r="BV371" s="151">
        <v>41842</v>
      </c>
      <c r="BW371" s="206">
        <v>11.9</v>
      </c>
      <c r="BX371" s="151">
        <v>41842</v>
      </c>
      <c r="BY371" s="210">
        <v>7.17</v>
      </c>
      <c r="BZ371" s="151">
        <v>41842</v>
      </c>
      <c r="CA371" s="206">
        <v>31.2</v>
      </c>
      <c r="CB371" s="151">
        <v>41842</v>
      </c>
      <c r="CC371" s="208">
        <v>5.8</v>
      </c>
      <c r="CD371" s="151">
        <v>41838</v>
      </c>
      <c r="CL371" s="209">
        <v>3</v>
      </c>
      <c r="CM371" s="201">
        <v>41810</v>
      </c>
    </row>
    <row r="372" spans="1:91" ht="15">
      <c r="A372" s="152" t="s">
        <v>7954</v>
      </c>
      <c r="B372" s="110" t="s">
        <v>235</v>
      </c>
      <c r="C372" s="110" t="s">
        <v>8081</v>
      </c>
      <c r="D372" s="110">
        <v>11247</v>
      </c>
      <c r="E372" s="111">
        <v>8</v>
      </c>
      <c r="F372" s="111">
        <v>601</v>
      </c>
      <c r="K372" s="194">
        <v>7</v>
      </c>
      <c r="L372" s="151">
        <v>41701</v>
      </c>
      <c r="M372" s="169">
        <v>5.75</v>
      </c>
      <c r="N372" s="151">
        <v>41838</v>
      </c>
      <c r="Q372" s="497"/>
      <c r="S372" s="134">
        <v>20.239999999999998</v>
      </c>
      <c r="T372" s="151">
        <v>41842</v>
      </c>
      <c r="U372" s="134">
        <v>13.5</v>
      </c>
      <c r="V372" s="151">
        <v>41838</v>
      </c>
      <c r="W372" s="196">
        <v>9</v>
      </c>
      <c r="X372" s="151">
        <v>41829</v>
      </c>
      <c r="Y372" s="134">
        <f t="shared" si="5"/>
        <v>6.3216000000000001</v>
      </c>
      <c r="AC372" s="134">
        <v>42.59</v>
      </c>
      <c r="AD372" s="151">
        <v>41838</v>
      </c>
      <c r="AE372" s="134">
        <v>43.9</v>
      </c>
      <c r="AF372" s="151">
        <v>41838</v>
      </c>
      <c r="AG372" s="197">
        <v>4.9000000000000004</v>
      </c>
      <c r="AH372" s="151">
        <v>41843</v>
      </c>
      <c r="AI372" s="198">
        <v>7</v>
      </c>
      <c r="AJ372" s="151">
        <v>41778</v>
      </c>
      <c r="AK372" s="199">
        <v>5</v>
      </c>
      <c r="AL372" s="151">
        <v>41709</v>
      </c>
      <c r="BE372" s="200">
        <v>5</v>
      </c>
      <c r="BF372" s="201">
        <v>41555</v>
      </c>
      <c r="BG372" s="203">
        <v>-0.2</v>
      </c>
      <c r="BH372" s="151">
        <v>41842</v>
      </c>
      <c r="BM372" s="204">
        <v>64.5</v>
      </c>
      <c r="BN372" s="151">
        <v>41842</v>
      </c>
      <c r="BQ372" s="205">
        <v>10.9</v>
      </c>
      <c r="BR372" s="151">
        <v>41842</v>
      </c>
      <c r="BS372" s="206">
        <v>46.1</v>
      </c>
      <c r="BT372" s="151">
        <v>41842</v>
      </c>
      <c r="BU372" s="207">
        <v>14.4</v>
      </c>
      <c r="BV372" s="151">
        <v>41842</v>
      </c>
      <c r="BW372" s="206">
        <v>11.4</v>
      </c>
      <c r="BX372" s="151">
        <v>41842</v>
      </c>
      <c r="BY372" s="210">
        <v>7.16</v>
      </c>
      <c r="BZ372" s="151">
        <v>41842</v>
      </c>
      <c r="CA372" s="206">
        <v>32</v>
      </c>
      <c r="CB372" s="151">
        <v>41842</v>
      </c>
      <c r="CC372" s="208">
        <v>6.2</v>
      </c>
      <c r="CD372" s="151">
        <v>41838</v>
      </c>
      <c r="CL372" s="209">
        <v>3</v>
      </c>
      <c r="CM372" s="201">
        <v>41810</v>
      </c>
    </row>
    <row r="373" spans="1:91" ht="15">
      <c r="A373" s="152" t="s">
        <v>7954</v>
      </c>
      <c r="B373" s="110" t="s">
        <v>233</v>
      </c>
      <c r="C373" s="110" t="s">
        <v>8083</v>
      </c>
      <c r="D373" s="110">
        <v>11657</v>
      </c>
      <c r="E373" s="111">
        <v>8</v>
      </c>
      <c r="F373" s="111">
        <v>661</v>
      </c>
      <c r="K373" s="134">
        <v>5</v>
      </c>
      <c r="L373" s="151">
        <v>41701</v>
      </c>
      <c r="M373" s="169">
        <v>4.05</v>
      </c>
      <c r="N373" s="151">
        <v>41838</v>
      </c>
      <c r="Q373" s="497"/>
      <c r="S373" s="134">
        <v>14.64</v>
      </c>
      <c r="T373" s="151">
        <v>41842</v>
      </c>
      <c r="U373" s="134">
        <v>13.5</v>
      </c>
      <c r="V373" s="151">
        <v>41838</v>
      </c>
      <c r="W373" s="196">
        <v>9</v>
      </c>
      <c r="X373" s="151">
        <v>41829</v>
      </c>
      <c r="Y373" s="134">
        <f t="shared" si="5"/>
        <v>4.0675499999999998</v>
      </c>
      <c r="AC373" s="134">
        <v>30</v>
      </c>
      <c r="AD373" s="151">
        <v>41838</v>
      </c>
      <c r="AE373" s="134">
        <v>31.05</v>
      </c>
      <c r="AF373" s="151">
        <v>41838</v>
      </c>
      <c r="AG373" s="197">
        <v>5.3</v>
      </c>
      <c r="AH373" s="151">
        <v>41843</v>
      </c>
      <c r="AI373" s="198">
        <v>5</v>
      </c>
      <c r="AJ373" s="151">
        <v>41778</v>
      </c>
      <c r="AK373" s="199">
        <v>4</v>
      </c>
      <c r="AL373" s="151">
        <v>41709</v>
      </c>
      <c r="BE373" s="200">
        <v>4</v>
      </c>
      <c r="BF373" s="201">
        <v>41555</v>
      </c>
      <c r="BG373" s="203">
        <v>-4.2</v>
      </c>
      <c r="BH373" s="151">
        <v>41842</v>
      </c>
      <c r="BM373" s="204">
        <v>63.8</v>
      </c>
      <c r="BN373" s="151">
        <v>41842</v>
      </c>
      <c r="BQ373" s="205">
        <v>11.6</v>
      </c>
      <c r="BR373" s="151">
        <v>41842</v>
      </c>
      <c r="BS373" s="206">
        <v>47.1</v>
      </c>
      <c r="BT373" s="151">
        <v>41842</v>
      </c>
      <c r="BU373" s="207">
        <v>13.1</v>
      </c>
      <c r="BV373" s="151">
        <v>41842</v>
      </c>
      <c r="BW373" s="206">
        <v>12.4</v>
      </c>
      <c r="BX373" s="151">
        <v>41842</v>
      </c>
      <c r="BY373" s="210">
        <v>7.26</v>
      </c>
      <c r="BZ373" s="151">
        <v>41842</v>
      </c>
      <c r="CA373" s="206">
        <v>29.9</v>
      </c>
      <c r="CB373" s="151">
        <v>41842</v>
      </c>
      <c r="CC373" s="208">
        <v>5.8</v>
      </c>
      <c r="CD373" s="151">
        <v>41838</v>
      </c>
      <c r="CL373" s="209">
        <v>3</v>
      </c>
      <c r="CM373" s="201">
        <v>41810</v>
      </c>
    </row>
    <row r="374" spans="1:91" ht="15">
      <c r="A374" s="152" t="s">
        <v>7955</v>
      </c>
      <c r="B374" s="110" t="s">
        <v>235</v>
      </c>
      <c r="C374" s="110" t="s">
        <v>8082</v>
      </c>
      <c r="D374" s="110">
        <v>11402</v>
      </c>
      <c r="E374" s="111">
        <v>1</v>
      </c>
      <c r="F374" s="111">
        <v>649</v>
      </c>
      <c r="I374" s="373"/>
      <c r="K374" s="194">
        <v>5</v>
      </c>
      <c r="L374" s="151">
        <v>41701</v>
      </c>
      <c r="M374" s="169">
        <v>6.9</v>
      </c>
      <c r="N374" s="151">
        <v>41838</v>
      </c>
      <c r="Q374" s="497"/>
      <c r="S374" s="134">
        <v>23.95</v>
      </c>
      <c r="T374" s="151">
        <v>41842</v>
      </c>
      <c r="U374" s="194">
        <v>13.5</v>
      </c>
      <c r="V374" s="151">
        <v>41838</v>
      </c>
      <c r="W374" s="196">
        <v>1</v>
      </c>
      <c r="X374" s="151">
        <v>41829</v>
      </c>
      <c r="Y374" s="134">
        <f t="shared" si="5"/>
        <v>8.1028800000000007</v>
      </c>
      <c r="AA374" s="194"/>
      <c r="AC374" s="194">
        <v>51.11</v>
      </c>
      <c r="AD374" s="151">
        <v>41838</v>
      </c>
      <c r="AE374" s="137">
        <v>52.96</v>
      </c>
      <c r="AF374" s="151">
        <v>41838</v>
      </c>
      <c r="AG374" s="197">
        <v>4.4000000000000004</v>
      </c>
      <c r="AH374" s="151">
        <v>41843</v>
      </c>
      <c r="AI374" s="198">
        <v>5</v>
      </c>
      <c r="AJ374" s="151">
        <v>41778</v>
      </c>
      <c r="AK374" s="199">
        <v>4</v>
      </c>
      <c r="AL374" s="151">
        <v>41709</v>
      </c>
      <c r="AM374" s="194"/>
      <c r="BE374" s="200">
        <v>4</v>
      </c>
      <c r="BF374" s="201">
        <v>41555</v>
      </c>
      <c r="BG374" s="203">
        <v>-0.8</v>
      </c>
      <c r="BH374" s="151">
        <v>41842</v>
      </c>
      <c r="BM374" s="204">
        <v>64</v>
      </c>
      <c r="BN374" s="151">
        <v>41842</v>
      </c>
      <c r="BQ374" s="205">
        <v>10.7</v>
      </c>
      <c r="BR374" s="151">
        <v>41842</v>
      </c>
      <c r="BS374" s="206">
        <v>45.2</v>
      </c>
      <c r="BT374" s="151">
        <v>41842</v>
      </c>
      <c r="BU374" s="207">
        <v>15.3</v>
      </c>
      <c r="BV374" s="151">
        <v>41842</v>
      </c>
      <c r="BW374" s="206">
        <v>19.3</v>
      </c>
      <c r="BX374" s="151">
        <v>41842</v>
      </c>
      <c r="BY374" s="210">
        <v>7.64</v>
      </c>
      <c r="BZ374" s="151">
        <v>41842</v>
      </c>
      <c r="CA374" s="206">
        <v>33.4</v>
      </c>
      <c r="CB374" s="151">
        <v>41842</v>
      </c>
      <c r="CC374" s="208">
        <v>5.7</v>
      </c>
      <c r="CD374" s="151">
        <v>41838</v>
      </c>
      <c r="CL374" s="209">
        <v>5</v>
      </c>
      <c r="CM374" s="201">
        <v>41810</v>
      </c>
    </row>
    <row r="375" spans="1:91" ht="15">
      <c r="A375" s="152" t="s">
        <v>7955</v>
      </c>
      <c r="B375" s="110" t="s">
        <v>233</v>
      </c>
      <c r="C375" s="110" t="s">
        <v>381</v>
      </c>
      <c r="D375" s="110">
        <v>11102</v>
      </c>
      <c r="E375" s="111">
        <v>4</v>
      </c>
      <c r="F375" s="111">
        <v>597</v>
      </c>
      <c r="K375" s="134">
        <v>5</v>
      </c>
      <c r="L375" s="151">
        <v>41701</v>
      </c>
      <c r="M375" s="169">
        <v>4.25</v>
      </c>
      <c r="N375" s="151">
        <v>41838</v>
      </c>
      <c r="Q375" s="497"/>
      <c r="S375" s="134">
        <v>14.6</v>
      </c>
      <c r="T375" s="151">
        <v>41842</v>
      </c>
      <c r="U375" s="134">
        <v>13.5</v>
      </c>
      <c r="V375" s="151">
        <v>41838</v>
      </c>
      <c r="W375" s="196">
        <v>1</v>
      </c>
      <c r="X375" s="151">
        <v>41829</v>
      </c>
      <c r="Y375" s="134">
        <f t="shared" si="5"/>
        <v>4.6871999999999998</v>
      </c>
      <c r="AC375" s="134">
        <v>31.48</v>
      </c>
      <c r="AD375" s="151">
        <v>41838</v>
      </c>
      <c r="AE375" s="134">
        <v>32.549999999999997</v>
      </c>
      <c r="AF375" s="151">
        <v>41838</v>
      </c>
      <c r="AG375" s="197">
        <v>4.9000000000000004</v>
      </c>
      <c r="AH375" s="151">
        <v>41843</v>
      </c>
      <c r="AI375" s="198">
        <v>3</v>
      </c>
      <c r="AJ375" s="151">
        <v>41778</v>
      </c>
      <c r="AK375" s="199">
        <v>5</v>
      </c>
      <c r="AL375" s="151">
        <v>41709</v>
      </c>
      <c r="BE375" s="200">
        <v>5</v>
      </c>
      <c r="BF375" s="201">
        <v>41555</v>
      </c>
      <c r="BG375" s="203">
        <v>-2.4</v>
      </c>
      <c r="BH375" s="151">
        <v>41842</v>
      </c>
      <c r="BM375" s="204">
        <v>65.2</v>
      </c>
      <c r="BN375" s="151">
        <v>41842</v>
      </c>
      <c r="BQ375" s="205">
        <v>10.7</v>
      </c>
      <c r="BR375" s="151">
        <v>41842</v>
      </c>
      <c r="BS375" s="206">
        <v>44.9</v>
      </c>
      <c r="BT375" s="151">
        <v>41842</v>
      </c>
      <c r="BU375" s="207">
        <v>14.4</v>
      </c>
      <c r="BV375" s="151">
        <v>41842</v>
      </c>
      <c r="BW375" s="206">
        <v>18.399999999999999</v>
      </c>
      <c r="BX375" s="151">
        <v>41842</v>
      </c>
      <c r="BY375" s="210">
        <v>7.58</v>
      </c>
      <c r="BZ375" s="151">
        <v>41842</v>
      </c>
      <c r="CA375" s="206">
        <v>31.3</v>
      </c>
      <c r="CB375" s="151">
        <v>41842</v>
      </c>
      <c r="CC375" s="208">
        <v>5.9</v>
      </c>
      <c r="CD375" s="151">
        <v>41838</v>
      </c>
      <c r="CL375" s="209">
        <v>3</v>
      </c>
      <c r="CM375" s="201">
        <v>41810</v>
      </c>
    </row>
    <row r="376" spans="1:91" ht="15">
      <c r="A376" s="152" t="s">
        <v>7955</v>
      </c>
      <c r="B376" s="110" t="s">
        <v>235</v>
      </c>
      <c r="C376" s="110" t="s">
        <v>8081</v>
      </c>
      <c r="D376" s="110">
        <v>11231</v>
      </c>
      <c r="E376" s="111">
        <v>8</v>
      </c>
      <c r="F376" s="111">
        <v>537</v>
      </c>
      <c r="K376" s="134">
        <v>5</v>
      </c>
      <c r="L376" s="151">
        <v>41701</v>
      </c>
      <c r="M376" s="169">
        <v>5.3</v>
      </c>
      <c r="N376" s="151">
        <v>41838</v>
      </c>
      <c r="Q376" s="497"/>
      <c r="S376" s="134">
        <v>18.190000000000001</v>
      </c>
      <c r="T376" s="151">
        <v>41842</v>
      </c>
      <c r="U376" s="134">
        <v>13.5</v>
      </c>
      <c r="V376" s="151">
        <v>41838</v>
      </c>
      <c r="W376" s="196">
        <v>9</v>
      </c>
      <c r="X376" s="151">
        <v>41829</v>
      </c>
      <c r="Y376" s="134">
        <f t="shared" si="5"/>
        <v>6.1909599999999987</v>
      </c>
      <c r="AC376" s="134">
        <v>39.26</v>
      </c>
      <c r="AD376" s="151">
        <v>41838</v>
      </c>
      <c r="AE376" s="134">
        <v>40.729999999999997</v>
      </c>
      <c r="AF376" s="151">
        <v>41838</v>
      </c>
      <c r="AG376" s="197">
        <v>4.7</v>
      </c>
      <c r="AH376" s="151">
        <v>41843</v>
      </c>
      <c r="AI376" s="198">
        <v>5</v>
      </c>
      <c r="AJ376" s="151">
        <v>41778</v>
      </c>
      <c r="AK376" s="199">
        <v>5</v>
      </c>
      <c r="AL376" s="151">
        <v>41709</v>
      </c>
      <c r="BE376" s="200">
        <v>5</v>
      </c>
      <c r="BF376" s="201">
        <v>41555</v>
      </c>
      <c r="BG376" s="203">
        <v>-0.3</v>
      </c>
      <c r="BH376" s="151">
        <v>41842</v>
      </c>
      <c r="BM376" s="204">
        <v>65</v>
      </c>
      <c r="BN376" s="151">
        <v>41842</v>
      </c>
      <c r="BQ376" s="205">
        <v>10.7</v>
      </c>
      <c r="BR376" s="151">
        <v>41842</v>
      </c>
      <c r="BS376" s="206">
        <v>44.7</v>
      </c>
      <c r="BT376" s="151">
        <v>41842</v>
      </c>
      <c r="BU376" s="207">
        <v>15.2</v>
      </c>
      <c r="BV376" s="151">
        <v>41842</v>
      </c>
      <c r="BW376" s="206">
        <v>18.7</v>
      </c>
      <c r="BX376" s="151">
        <v>41842</v>
      </c>
      <c r="BY376" s="210">
        <v>7.6</v>
      </c>
      <c r="BZ376" s="151">
        <v>41842</v>
      </c>
      <c r="CA376" s="206">
        <v>32.700000000000003</v>
      </c>
      <c r="CB376" s="151">
        <v>41842</v>
      </c>
      <c r="CC376" s="208">
        <v>5.6</v>
      </c>
      <c r="CD376" s="151">
        <v>41838</v>
      </c>
      <c r="CL376" s="209">
        <v>3</v>
      </c>
      <c r="CM376" s="201">
        <v>41810</v>
      </c>
    </row>
    <row r="377" spans="1:91" ht="15">
      <c r="A377" s="152" t="s">
        <v>7955</v>
      </c>
      <c r="B377" s="110" t="s">
        <v>233</v>
      </c>
      <c r="C377" s="110" t="s">
        <v>8083</v>
      </c>
      <c r="D377" s="110">
        <v>11662</v>
      </c>
      <c r="E377" s="111">
        <v>8</v>
      </c>
      <c r="F377" s="111">
        <v>681</v>
      </c>
      <c r="K377" s="134">
        <v>5</v>
      </c>
      <c r="L377" s="151">
        <v>41701</v>
      </c>
      <c r="M377" s="169">
        <v>4.1500000000000004</v>
      </c>
      <c r="N377" s="151">
        <v>41838</v>
      </c>
      <c r="Q377" s="497"/>
      <c r="S377" s="134">
        <v>14.77</v>
      </c>
      <c r="T377" s="151">
        <v>41842</v>
      </c>
      <c r="U377" s="134">
        <v>13.5</v>
      </c>
      <c r="V377" s="151">
        <v>41838</v>
      </c>
      <c r="W377" s="196">
        <v>9</v>
      </c>
      <c r="X377" s="151">
        <v>41829</v>
      </c>
      <c r="Y377" s="134">
        <f t="shared" si="5"/>
        <v>4.4548000000000005</v>
      </c>
      <c r="AC377" s="134">
        <v>30.74</v>
      </c>
      <c r="AD377" s="151">
        <v>41838</v>
      </c>
      <c r="AE377" s="134">
        <v>31.82</v>
      </c>
      <c r="AF377" s="151">
        <v>41838</v>
      </c>
      <c r="AG377" s="197">
        <v>4.9000000000000004</v>
      </c>
      <c r="AH377" s="151">
        <v>41843</v>
      </c>
      <c r="AI377" s="198">
        <v>5</v>
      </c>
      <c r="AJ377" s="151">
        <v>41778</v>
      </c>
      <c r="AK377" s="199">
        <v>5</v>
      </c>
      <c r="AL377" s="151">
        <v>41709</v>
      </c>
      <c r="BE377" s="200">
        <v>5</v>
      </c>
      <c r="BF377" s="201">
        <v>41555</v>
      </c>
      <c r="BG377" s="203">
        <v>-2.2999999999999998</v>
      </c>
      <c r="BH377" s="151">
        <v>41842</v>
      </c>
      <c r="BM377" s="204">
        <v>65.900000000000006</v>
      </c>
      <c r="BN377" s="151">
        <v>41842</v>
      </c>
      <c r="BQ377" s="205">
        <v>10</v>
      </c>
      <c r="BR377" s="151">
        <v>41842</v>
      </c>
      <c r="BS377" s="206">
        <v>46.4</v>
      </c>
      <c r="BT377" s="151">
        <v>41842</v>
      </c>
      <c r="BU377" s="207">
        <v>14</v>
      </c>
      <c r="BV377" s="151">
        <v>41842</v>
      </c>
      <c r="BW377" s="206">
        <v>18.399999999999999</v>
      </c>
      <c r="BX377" s="151">
        <v>41842</v>
      </c>
      <c r="BY377" s="210">
        <v>7.5</v>
      </c>
      <c r="BZ377" s="151">
        <v>41842</v>
      </c>
      <c r="CA377" s="206">
        <v>31.5</v>
      </c>
      <c r="CB377" s="151">
        <v>41842</v>
      </c>
      <c r="CC377" s="208">
        <v>5.8</v>
      </c>
      <c r="CD377" s="151">
        <v>41838</v>
      </c>
      <c r="CL377" s="209">
        <v>3</v>
      </c>
      <c r="CM377" s="201">
        <v>41810</v>
      </c>
    </row>
    <row r="378" spans="1:91" ht="15">
      <c r="A378" s="152" t="s">
        <v>7956</v>
      </c>
      <c r="B378" s="110" t="s">
        <v>233</v>
      </c>
      <c r="C378" s="110" t="s">
        <v>381</v>
      </c>
      <c r="D378" s="110">
        <v>11121</v>
      </c>
      <c r="E378" s="111">
        <v>5</v>
      </c>
      <c r="F378" s="111">
        <v>529</v>
      </c>
      <c r="K378" s="134">
        <v>5</v>
      </c>
      <c r="L378" s="151">
        <v>41701</v>
      </c>
      <c r="M378" s="169">
        <v>3.95</v>
      </c>
      <c r="N378" s="151">
        <v>41838</v>
      </c>
      <c r="Q378" s="497"/>
      <c r="S378" s="134">
        <v>14.6</v>
      </c>
      <c r="T378" s="151">
        <v>41842</v>
      </c>
      <c r="U378" s="134">
        <v>13.5</v>
      </c>
      <c r="V378" s="151">
        <v>41838</v>
      </c>
      <c r="W378" s="196">
        <v>9</v>
      </c>
      <c r="X378" s="151">
        <v>41829</v>
      </c>
      <c r="Y378" s="134">
        <f t="shared" si="5"/>
        <v>3.9035400000000005</v>
      </c>
      <c r="AC378" s="134">
        <v>29.26</v>
      </c>
      <c r="AD378" s="151">
        <v>41838</v>
      </c>
      <c r="AE378" s="134">
        <v>30.26</v>
      </c>
      <c r="AF378" s="151">
        <v>41838</v>
      </c>
      <c r="AG378" s="197">
        <v>4.3</v>
      </c>
      <c r="AH378" s="151">
        <v>41843</v>
      </c>
      <c r="AI378" s="198">
        <v>3</v>
      </c>
      <c r="AJ378" s="151">
        <v>41778</v>
      </c>
      <c r="AK378" s="199">
        <v>5</v>
      </c>
      <c r="AL378" s="151">
        <v>41709</v>
      </c>
      <c r="BE378" s="200">
        <v>5</v>
      </c>
      <c r="BF378" s="201">
        <v>41555</v>
      </c>
      <c r="BG378" s="203">
        <v>-0.5</v>
      </c>
      <c r="BH378" s="151">
        <v>41842</v>
      </c>
      <c r="BM378" s="204">
        <v>67.7</v>
      </c>
      <c r="BN378" s="151">
        <v>41842</v>
      </c>
      <c r="BQ378" s="205">
        <v>9.4</v>
      </c>
      <c r="BR378" s="151">
        <v>41842</v>
      </c>
      <c r="BS378" s="206">
        <v>48.3</v>
      </c>
      <c r="BT378" s="151">
        <v>41842</v>
      </c>
      <c r="BU378" s="207">
        <v>12.9</v>
      </c>
      <c r="BV378" s="151">
        <v>41842</v>
      </c>
      <c r="BW378" s="206">
        <v>13.9</v>
      </c>
      <c r="BX378" s="151">
        <v>41842</v>
      </c>
      <c r="BY378" s="210">
        <v>7.15</v>
      </c>
      <c r="BZ378" s="151">
        <v>41842</v>
      </c>
      <c r="CA378" s="206">
        <v>30.1</v>
      </c>
      <c r="CB378" s="151">
        <v>41842</v>
      </c>
      <c r="CC378" s="208">
        <v>5.9</v>
      </c>
      <c r="CD378" s="151">
        <v>41838</v>
      </c>
      <c r="CL378" s="209">
        <v>3</v>
      </c>
      <c r="CM378" s="201">
        <v>41810</v>
      </c>
    </row>
    <row r="379" spans="1:91" ht="15">
      <c r="A379" s="152" t="s">
        <v>7956</v>
      </c>
      <c r="B379" s="110" t="s">
        <v>235</v>
      </c>
      <c r="C379" s="110" t="s">
        <v>8082</v>
      </c>
      <c r="D379" s="110">
        <v>11611</v>
      </c>
      <c r="E379" s="111">
        <v>6</v>
      </c>
      <c r="F379" s="111">
        <v>765</v>
      </c>
      <c r="K379" s="194">
        <v>7</v>
      </c>
      <c r="L379" s="151">
        <v>41701</v>
      </c>
      <c r="M379" s="169">
        <v>4.95</v>
      </c>
      <c r="N379" s="151">
        <v>41838</v>
      </c>
      <c r="Q379" s="497"/>
      <c r="S379" s="134">
        <v>17.670000000000002</v>
      </c>
      <c r="T379" s="151">
        <v>41842</v>
      </c>
      <c r="U379" s="134">
        <v>13.5</v>
      </c>
      <c r="V379" s="151">
        <v>41838</v>
      </c>
      <c r="W379" s="196">
        <v>9</v>
      </c>
      <c r="X379" s="151">
        <v>41829</v>
      </c>
      <c r="Y379" s="134">
        <f t="shared" si="5"/>
        <v>5.4039700000000002</v>
      </c>
      <c r="AC379" s="134">
        <v>36.67</v>
      </c>
      <c r="AD379" s="151">
        <v>41838</v>
      </c>
      <c r="AE379" s="134">
        <v>37.79</v>
      </c>
      <c r="AF379" s="151">
        <v>41838</v>
      </c>
      <c r="AG379" s="197">
        <v>4.0999999999999996</v>
      </c>
      <c r="AH379" s="151">
        <v>41843</v>
      </c>
      <c r="AI379" s="198">
        <v>3</v>
      </c>
      <c r="AJ379" s="151">
        <v>41778</v>
      </c>
      <c r="AK379" s="199">
        <v>5</v>
      </c>
      <c r="AL379" s="151">
        <v>41709</v>
      </c>
      <c r="BE379" s="200">
        <v>5</v>
      </c>
      <c r="BF379" s="201">
        <v>41555</v>
      </c>
      <c r="BG379" s="203">
        <v>-2</v>
      </c>
      <c r="BH379" s="151">
        <v>41842</v>
      </c>
      <c r="BM379" s="204">
        <v>65.3</v>
      </c>
      <c r="BN379" s="151">
        <v>41842</v>
      </c>
      <c r="BQ379" s="205">
        <v>10.3</v>
      </c>
      <c r="BR379" s="151">
        <v>41842</v>
      </c>
      <c r="BS379" s="206">
        <v>46.7</v>
      </c>
      <c r="BT379" s="151">
        <v>41842</v>
      </c>
      <c r="BU379" s="207">
        <v>14.3</v>
      </c>
      <c r="BV379" s="151">
        <v>41842</v>
      </c>
      <c r="BW379" s="206">
        <v>13.7</v>
      </c>
      <c r="BX379" s="151">
        <v>41842</v>
      </c>
      <c r="BY379" s="210">
        <v>7.24</v>
      </c>
      <c r="BZ379" s="151">
        <v>41842</v>
      </c>
      <c r="CA379" s="206">
        <v>32.299999999999997</v>
      </c>
      <c r="CB379" s="151">
        <v>41842</v>
      </c>
      <c r="CC379" s="208">
        <v>6.2</v>
      </c>
      <c r="CD379" s="151">
        <v>41838</v>
      </c>
      <c r="CL379" s="209">
        <v>3</v>
      </c>
      <c r="CM379" s="201">
        <v>41810</v>
      </c>
    </row>
    <row r="380" spans="1:91" ht="15">
      <c r="A380" s="152" t="s">
        <v>7956</v>
      </c>
      <c r="B380" s="110" t="s">
        <v>235</v>
      </c>
      <c r="C380" s="110" t="s">
        <v>8081</v>
      </c>
      <c r="D380" s="110">
        <v>11220</v>
      </c>
      <c r="E380" s="111">
        <v>8</v>
      </c>
      <c r="F380" s="111">
        <v>493</v>
      </c>
      <c r="K380" s="194">
        <v>7</v>
      </c>
      <c r="L380" s="151">
        <v>41701</v>
      </c>
      <c r="M380" s="169">
        <v>5.3</v>
      </c>
      <c r="N380" s="151">
        <v>41838</v>
      </c>
      <c r="Q380" s="497"/>
      <c r="S380" s="134">
        <v>18.920000000000002</v>
      </c>
      <c r="T380" s="151">
        <v>41842</v>
      </c>
      <c r="U380" s="134">
        <v>13.5</v>
      </c>
      <c r="V380" s="151">
        <v>41838</v>
      </c>
      <c r="W380" s="196">
        <v>9</v>
      </c>
      <c r="X380" s="151">
        <v>41829</v>
      </c>
      <c r="Y380" s="134">
        <f t="shared" si="5"/>
        <v>5.9954799999999997</v>
      </c>
      <c r="AC380" s="134">
        <v>39.26</v>
      </c>
      <c r="AD380" s="151">
        <v>41838</v>
      </c>
      <c r="AE380" s="134">
        <v>40.51</v>
      </c>
      <c r="AF380" s="151">
        <v>41838</v>
      </c>
      <c r="AG380" s="197">
        <v>4.0999999999999996</v>
      </c>
      <c r="AH380" s="151">
        <v>41843</v>
      </c>
      <c r="AI380" s="198">
        <v>5</v>
      </c>
      <c r="AJ380" s="151">
        <v>41778</v>
      </c>
      <c r="AK380" s="199">
        <v>5</v>
      </c>
      <c r="AL380" s="151">
        <v>41709</v>
      </c>
      <c r="BE380" s="200">
        <v>5</v>
      </c>
      <c r="BF380" s="201">
        <v>41555</v>
      </c>
      <c r="BG380" s="203">
        <v>-0.2</v>
      </c>
      <c r="BH380" s="151">
        <v>41842</v>
      </c>
      <c r="BM380" s="204">
        <v>66.099999999999994</v>
      </c>
      <c r="BN380" s="151">
        <v>41842</v>
      </c>
      <c r="BQ380" s="205">
        <v>10.6</v>
      </c>
      <c r="BR380" s="151">
        <v>41842</v>
      </c>
      <c r="BS380" s="206">
        <v>46.7</v>
      </c>
      <c r="BT380" s="151">
        <v>41842</v>
      </c>
      <c r="BU380" s="207">
        <v>14.8</v>
      </c>
      <c r="BV380" s="151">
        <v>41842</v>
      </c>
      <c r="BW380" s="206">
        <v>14.1</v>
      </c>
      <c r="BX380" s="151">
        <v>41842</v>
      </c>
      <c r="BY380" s="210">
        <v>7.39</v>
      </c>
      <c r="BZ380" s="151">
        <v>41842</v>
      </c>
      <c r="CA380" s="206">
        <v>33.4</v>
      </c>
      <c r="CB380" s="151">
        <v>41842</v>
      </c>
      <c r="CC380" s="208">
        <v>6.1</v>
      </c>
      <c r="CD380" s="151">
        <v>41838</v>
      </c>
      <c r="CL380" s="209">
        <v>3</v>
      </c>
      <c r="CM380" s="201">
        <v>41810</v>
      </c>
    </row>
    <row r="381" spans="1:91" ht="15">
      <c r="A381" s="152" t="s">
        <v>7956</v>
      </c>
      <c r="B381" s="110" t="s">
        <v>233</v>
      </c>
      <c r="C381" s="110" t="s">
        <v>8083</v>
      </c>
      <c r="D381" s="110">
        <v>11656</v>
      </c>
      <c r="E381" s="111">
        <v>8</v>
      </c>
      <c r="F381" s="111">
        <v>657</v>
      </c>
      <c r="K381" s="134">
        <v>5</v>
      </c>
      <c r="L381" s="151">
        <v>41701</v>
      </c>
      <c r="M381" s="169">
        <v>3.65</v>
      </c>
      <c r="N381" s="151">
        <v>41838</v>
      </c>
      <c r="Q381" s="497"/>
      <c r="S381" s="134">
        <v>13.56</v>
      </c>
      <c r="T381" s="151">
        <v>41842</v>
      </c>
      <c r="U381" s="134">
        <v>13.5</v>
      </c>
      <c r="V381" s="151">
        <v>41838</v>
      </c>
      <c r="W381" s="196">
        <v>9</v>
      </c>
      <c r="X381" s="151">
        <v>41829</v>
      </c>
      <c r="Y381" s="134">
        <f t="shared" si="5"/>
        <v>3.5827200000000001</v>
      </c>
      <c r="AC381" s="134">
        <v>27.04</v>
      </c>
      <c r="AD381" s="151">
        <v>41838</v>
      </c>
      <c r="AE381" s="134">
        <v>27.99</v>
      </c>
      <c r="AF381" s="151">
        <v>41838</v>
      </c>
      <c r="AG381" s="197">
        <v>4.3</v>
      </c>
      <c r="AH381" s="151">
        <v>41843</v>
      </c>
      <c r="AI381" s="198">
        <v>3</v>
      </c>
      <c r="AJ381" s="151">
        <v>41778</v>
      </c>
      <c r="AK381" s="199">
        <v>4</v>
      </c>
      <c r="AL381" s="151">
        <v>41709</v>
      </c>
      <c r="BE381" s="200">
        <v>4</v>
      </c>
      <c r="BF381" s="201">
        <v>41555</v>
      </c>
      <c r="BG381" s="203">
        <v>-2.6</v>
      </c>
      <c r="BH381" s="151">
        <v>41842</v>
      </c>
      <c r="BM381" s="204">
        <v>67.3</v>
      </c>
      <c r="BN381" s="151">
        <v>41842</v>
      </c>
      <c r="BQ381" s="205">
        <v>9.1999999999999993</v>
      </c>
      <c r="BR381" s="151">
        <v>41842</v>
      </c>
      <c r="BS381" s="206">
        <v>48.5</v>
      </c>
      <c r="BT381" s="151">
        <v>41842</v>
      </c>
      <c r="BU381" s="207">
        <v>12.8</v>
      </c>
      <c r="BV381" s="151">
        <v>41842</v>
      </c>
      <c r="BW381" s="206">
        <v>16.2</v>
      </c>
      <c r="BX381" s="151">
        <v>41842</v>
      </c>
      <c r="BY381" s="210">
        <v>7.29</v>
      </c>
      <c r="BZ381" s="151">
        <v>41842</v>
      </c>
      <c r="CA381" s="206">
        <v>30.1</v>
      </c>
      <c r="CB381" s="151">
        <v>41842</v>
      </c>
      <c r="CC381" s="208">
        <v>5.8</v>
      </c>
      <c r="CD381" s="151">
        <v>41838</v>
      </c>
      <c r="CL381" s="209">
        <v>3</v>
      </c>
      <c r="CM381" s="201">
        <v>41810</v>
      </c>
    </row>
    <row r="382" spans="1:91" ht="15">
      <c r="A382" s="152" t="s">
        <v>7957</v>
      </c>
      <c r="B382" s="110" t="s">
        <v>233</v>
      </c>
      <c r="C382" s="110" t="s">
        <v>381</v>
      </c>
      <c r="D382" s="110">
        <v>11006</v>
      </c>
      <c r="E382" s="111">
        <v>2</v>
      </c>
      <c r="F382" s="111">
        <v>501</v>
      </c>
      <c r="I382" s="373"/>
      <c r="K382" s="194">
        <v>5</v>
      </c>
      <c r="L382" s="151">
        <v>41701</v>
      </c>
      <c r="M382" s="169">
        <v>3.9</v>
      </c>
      <c r="N382" s="151">
        <v>41838</v>
      </c>
      <c r="Q382" s="497"/>
      <c r="S382" s="134">
        <v>13.84</v>
      </c>
      <c r="T382" s="151">
        <v>41842</v>
      </c>
      <c r="U382" s="194">
        <v>13.5</v>
      </c>
      <c r="V382" s="151">
        <v>41838</v>
      </c>
      <c r="W382" s="196">
        <v>1</v>
      </c>
      <c r="X382" s="151">
        <v>41829</v>
      </c>
      <c r="Y382" s="134">
        <f t="shared" si="5"/>
        <v>4.1255199999999999</v>
      </c>
      <c r="AA382" s="194"/>
      <c r="AC382" s="194">
        <v>28.89</v>
      </c>
      <c r="AD382" s="151">
        <v>41838</v>
      </c>
      <c r="AE382" s="137">
        <v>29.68</v>
      </c>
      <c r="AF382" s="151">
        <v>41838</v>
      </c>
      <c r="AG382" s="197">
        <v>4.5999999999999996</v>
      </c>
      <c r="AH382" s="151">
        <v>41843</v>
      </c>
      <c r="AI382" s="198">
        <v>3</v>
      </c>
      <c r="AJ382" s="151">
        <v>41778</v>
      </c>
      <c r="AK382" s="199">
        <v>7</v>
      </c>
      <c r="AL382" s="151">
        <v>41709</v>
      </c>
      <c r="AM382" s="194"/>
      <c r="BE382" s="200">
        <v>7</v>
      </c>
      <c r="BF382" s="201">
        <v>41555</v>
      </c>
      <c r="BG382" s="203">
        <v>1.8</v>
      </c>
      <c r="BH382" s="151">
        <v>41842</v>
      </c>
      <c r="BM382" s="204">
        <v>66.099999999999994</v>
      </c>
      <c r="BN382" s="151">
        <v>41842</v>
      </c>
      <c r="BQ382" s="205">
        <v>9.4</v>
      </c>
      <c r="BR382" s="151">
        <v>41842</v>
      </c>
      <c r="BS382" s="206">
        <v>46.6</v>
      </c>
      <c r="BT382" s="151">
        <v>41842</v>
      </c>
      <c r="BU382" s="207">
        <v>13.9</v>
      </c>
      <c r="BV382" s="151">
        <v>41842</v>
      </c>
      <c r="BW382" s="206">
        <v>27.6</v>
      </c>
      <c r="BX382" s="151">
        <v>41842</v>
      </c>
      <c r="BY382" s="210">
        <v>7.52</v>
      </c>
      <c r="BZ382" s="151">
        <v>41842</v>
      </c>
      <c r="CA382" s="206">
        <v>31.3</v>
      </c>
      <c r="CB382" s="151">
        <v>41842</v>
      </c>
      <c r="CC382" s="208">
        <v>6.5</v>
      </c>
      <c r="CD382" s="151">
        <v>41838</v>
      </c>
      <c r="CL382" s="209">
        <v>3</v>
      </c>
      <c r="CM382" s="201">
        <v>41810</v>
      </c>
    </row>
    <row r="383" spans="1:91" ht="15">
      <c r="A383" s="152" t="s">
        <v>7957</v>
      </c>
      <c r="B383" s="110" t="s">
        <v>235</v>
      </c>
      <c r="C383" s="110" t="s">
        <v>8082</v>
      </c>
      <c r="D383" s="110">
        <v>11498</v>
      </c>
      <c r="E383" s="111">
        <v>3</v>
      </c>
      <c r="F383" s="111">
        <v>745</v>
      </c>
      <c r="K383" s="134">
        <v>5</v>
      </c>
      <c r="L383" s="151">
        <v>41701</v>
      </c>
      <c r="M383" s="169">
        <v>4.4000000000000004</v>
      </c>
      <c r="N383" s="151">
        <v>41838</v>
      </c>
      <c r="Q383" s="497"/>
      <c r="S383" s="134">
        <v>14.72</v>
      </c>
      <c r="T383" s="151">
        <v>41842</v>
      </c>
      <c r="U383" s="134">
        <v>13.5</v>
      </c>
      <c r="V383" s="151">
        <v>41838</v>
      </c>
      <c r="W383" s="196">
        <v>1</v>
      </c>
      <c r="X383" s="151">
        <v>41829</v>
      </c>
      <c r="Y383" s="134">
        <f t="shared" si="5"/>
        <v>5.1522000000000006</v>
      </c>
      <c r="AC383" s="134">
        <v>32.590000000000003</v>
      </c>
      <c r="AD383" s="151">
        <v>41838</v>
      </c>
      <c r="AE383" s="134">
        <v>33.24</v>
      </c>
      <c r="AF383" s="151">
        <v>41838</v>
      </c>
      <c r="AG383" s="197">
        <v>4.5</v>
      </c>
      <c r="AH383" s="151">
        <v>41843</v>
      </c>
      <c r="AI383" s="198">
        <v>3</v>
      </c>
      <c r="AJ383" s="151">
        <v>41778</v>
      </c>
      <c r="AK383" s="199">
        <v>5</v>
      </c>
      <c r="AL383" s="151">
        <v>41709</v>
      </c>
      <c r="BE383" s="200">
        <v>5</v>
      </c>
      <c r="BF383" s="201">
        <v>41555</v>
      </c>
      <c r="BG383" s="203">
        <v>-3.7</v>
      </c>
      <c r="BH383" s="151">
        <v>41842</v>
      </c>
      <c r="BM383" s="204">
        <v>62.7</v>
      </c>
      <c r="BN383" s="151">
        <v>41842</v>
      </c>
      <c r="BQ383" s="205">
        <v>11.1</v>
      </c>
      <c r="BR383" s="151">
        <v>41842</v>
      </c>
      <c r="BS383" s="206">
        <v>44.3</v>
      </c>
      <c r="BT383" s="151">
        <v>41842</v>
      </c>
      <c r="BU383" s="207">
        <v>15.5</v>
      </c>
      <c r="BV383" s="151">
        <v>41842</v>
      </c>
      <c r="BW383" s="206">
        <v>18.899999999999999</v>
      </c>
      <c r="BX383" s="151">
        <v>41842</v>
      </c>
      <c r="BY383" s="210">
        <v>7.5</v>
      </c>
      <c r="BZ383" s="151">
        <v>41842</v>
      </c>
      <c r="CA383" s="206">
        <v>33.200000000000003</v>
      </c>
      <c r="CB383" s="151">
        <v>41842</v>
      </c>
      <c r="CC383" s="208">
        <v>7.2</v>
      </c>
      <c r="CD383" s="151">
        <v>41838</v>
      </c>
      <c r="CL383" s="209">
        <v>3</v>
      </c>
      <c r="CM383" s="201">
        <v>41810</v>
      </c>
    </row>
    <row r="384" spans="1:91" ht="15">
      <c r="A384" s="152" t="s">
        <v>7957</v>
      </c>
      <c r="B384" s="110" t="s">
        <v>233</v>
      </c>
      <c r="C384" s="110" t="s">
        <v>8083</v>
      </c>
      <c r="D384" s="110">
        <v>11637</v>
      </c>
      <c r="E384" s="111">
        <v>7</v>
      </c>
      <c r="F384" s="111">
        <v>725</v>
      </c>
      <c r="K384" s="134">
        <v>5</v>
      </c>
      <c r="L384" s="151">
        <v>41701</v>
      </c>
      <c r="M384" s="169">
        <v>3.5</v>
      </c>
      <c r="N384" s="151">
        <v>41838</v>
      </c>
      <c r="Q384" s="497"/>
      <c r="S384" s="134">
        <v>12.57</v>
      </c>
      <c r="T384" s="151">
        <v>41842</v>
      </c>
      <c r="U384" s="134">
        <v>13.5</v>
      </c>
      <c r="V384" s="151">
        <v>41838</v>
      </c>
      <c r="W384" s="196">
        <v>9</v>
      </c>
      <c r="X384" s="151">
        <v>41829</v>
      </c>
      <c r="Y384" s="134">
        <f t="shared" si="5"/>
        <v>3.4553999999999996</v>
      </c>
      <c r="AC384" s="134">
        <v>25.93</v>
      </c>
      <c r="AD384" s="151">
        <v>41838</v>
      </c>
      <c r="AE384" s="134">
        <v>26.58</v>
      </c>
      <c r="AF384" s="151">
        <v>41838</v>
      </c>
      <c r="AG384" s="197">
        <v>4.7</v>
      </c>
      <c r="AH384" s="151">
        <v>41843</v>
      </c>
      <c r="AI384" s="198">
        <v>3</v>
      </c>
      <c r="AJ384" s="151">
        <v>41778</v>
      </c>
      <c r="AK384" s="199">
        <v>5</v>
      </c>
      <c r="AL384" s="151">
        <v>41709</v>
      </c>
      <c r="BE384" s="200">
        <v>5</v>
      </c>
      <c r="BF384" s="201">
        <v>41555</v>
      </c>
      <c r="BG384" s="203">
        <v>-7.7</v>
      </c>
      <c r="BH384" s="151">
        <v>41842</v>
      </c>
      <c r="BM384" s="204">
        <v>64.8</v>
      </c>
      <c r="BN384" s="151">
        <v>41842</v>
      </c>
      <c r="BQ384" s="205">
        <v>9.8000000000000007</v>
      </c>
      <c r="BR384" s="151">
        <v>41842</v>
      </c>
      <c r="BS384" s="206">
        <v>47.3</v>
      </c>
      <c r="BT384" s="151">
        <v>41842</v>
      </c>
      <c r="BU384" s="207">
        <v>13</v>
      </c>
      <c r="BV384" s="151">
        <v>41842</v>
      </c>
      <c r="BW384" s="206">
        <v>15</v>
      </c>
      <c r="BX384" s="151">
        <v>41842</v>
      </c>
      <c r="BY384" s="210">
        <v>7.25</v>
      </c>
      <c r="BZ384" s="151">
        <v>41842</v>
      </c>
      <c r="CA384" s="206">
        <v>29.7</v>
      </c>
      <c r="CB384" s="151">
        <v>41842</v>
      </c>
      <c r="CC384" s="208">
        <v>6.7</v>
      </c>
      <c r="CD384" s="151">
        <v>41838</v>
      </c>
      <c r="CL384" s="209">
        <v>3</v>
      </c>
      <c r="CM384" s="201">
        <v>41810</v>
      </c>
    </row>
    <row r="385" spans="1:91" ht="15">
      <c r="A385" s="152" t="s">
        <v>7957</v>
      </c>
      <c r="B385" s="110" t="s">
        <v>235</v>
      </c>
      <c r="C385" s="110" t="s">
        <v>8081</v>
      </c>
      <c r="D385" s="110">
        <v>11228</v>
      </c>
      <c r="E385" s="111">
        <v>8</v>
      </c>
      <c r="F385" s="111">
        <v>525</v>
      </c>
      <c r="K385" s="194">
        <v>7</v>
      </c>
      <c r="L385" s="151">
        <v>41701</v>
      </c>
      <c r="M385" s="169">
        <v>5.0999999999999996</v>
      </c>
      <c r="N385" s="151">
        <v>41838</v>
      </c>
      <c r="Q385" s="497"/>
      <c r="S385" s="134">
        <v>17.920000000000002</v>
      </c>
      <c r="T385" s="151">
        <v>41842</v>
      </c>
      <c r="U385" s="134">
        <v>13.5</v>
      </c>
      <c r="V385" s="151">
        <v>41838</v>
      </c>
      <c r="W385" s="196">
        <v>9</v>
      </c>
      <c r="X385" s="151">
        <v>41829</v>
      </c>
      <c r="Y385" s="134">
        <f t="shared" si="5"/>
        <v>5.6188800000000008</v>
      </c>
      <c r="AC385" s="134">
        <v>37.78</v>
      </c>
      <c r="AD385" s="151">
        <v>41838</v>
      </c>
      <c r="AE385" s="134">
        <v>39.020000000000003</v>
      </c>
      <c r="AF385" s="151">
        <v>41838</v>
      </c>
      <c r="AG385" s="197">
        <v>4.3</v>
      </c>
      <c r="AH385" s="151">
        <v>41843</v>
      </c>
      <c r="AI385" s="198">
        <v>5</v>
      </c>
      <c r="AJ385" s="151">
        <v>41778</v>
      </c>
      <c r="AK385" s="199">
        <v>7</v>
      </c>
      <c r="AL385" s="151">
        <v>41709</v>
      </c>
      <c r="BE385" s="200">
        <v>7</v>
      </c>
      <c r="BF385" s="201">
        <v>41555</v>
      </c>
      <c r="BG385" s="203">
        <v>-4.5</v>
      </c>
      <c r="BH385" s="151">
        <v>41842</v>
      </c>
      <c r="BM385" s="204">
        <v>64.3</v>
      </c>
      <c r="BN385" s="151">
        <v>41842</v>
      </c>
      <c r="BQ385" s="205">
        <v>10.4</v>
      </c>
      <c r="BR385" s="151">
        <v>41842</v>
      </c>
      <c r="BS385" s="206">
        <v>45.9</v>
      </c>
      <c r="BT385" s="151">
        <v>41842</v>
      </c>
      <c r="BU385" s="207">
        <v>14.4</v>
      </c>
      <c r="BV385" s="151">
        <v>41842</v>
      </c>
      <c r="BW385" s="206">
        <v>18</v>
      </c>
      <c r="BX385" s="151">
        <v>41842</v>
      </c>
      <c r="BY385" s="210">
        <v>7.41</v>
      </c>
      <c r="BZ385" s="151">
        <v>41842</v>
      </c>
      <c r="CA385" s="206">
        <v>31.9</v>
      </c>
      <c r="CB385" s="151">
        <v>41842</v>
      </c>
      <c r="CC385" s="208">
        <v>6</v>
      </c>
      <c r="CD385" s="151">
        <v>41838</v>
      </c>
      <c r="CL385" s="209">
        <v>3</v>
      </c>
      <c r="CM385" s="201">
        <v>41810</v>
      </c>
    </row>
    <row r="386" spans="1:91" ht="15">
      <c r="A386" s="152" t="s">
        <v>7958</v>
      </c>
      <c r="B386" s="110" t="s">
        <v>235</v>
      </c>
      <c r="C386" s="110" t="s">
        <v>8082</v>
      </c>
      <c r="D386" s="110">
        <v>11482</v>
      </c>
      <c r="E386" s="111">
        <v>3</v>
      </c>
      <c r="F386" s="111">
        <v>681</v>
      </c>
      <c r="K386" s="134">
        <v>5</v>
      </c>
      <c r="L386" s="151">
        <v>41701</v>
      </c>
      <c r="M386" s="169">
        <v>4.55</v>
      </c>
      <c r="N386" s="151">
        <v>41838</v>
      </c>
      <c r="Q386" s="497"/>
      <c r="S386" s="134">
        <v>16.399999999999999</v>
      </c>
      <c r="T386" s="151">
        <v>41842</v>
      </c>
      <c r="U386" s="134">
        <v>13.5</v>
      </c>
      <c r="V386" s="151">
        <v>41838</v>
      </c>
      <c r="W386" s="196">
        <v>9</v>
      </c>
      <c r="X386" s="151">
        <v>41829</v>
      </c>
      <c r="Y386" s="134">
        <f t="shared" si="5"/>
        <v>4.7744499999999999</v>
      </c>
      <c r="AC386" s="134">
        <v>33.700000000000003</v>
      </c>
      <c r="AD386" s="151">
        <v>41838</v>
      </c>
      <c r="AE386" s="134">
        <v>34.85</v>
      </c>
      <c r="AF386" s="151">
        <v>41838</v>
      </c>
      <c r="AG386" s="197">
        <v>4.7</v>
      </c>
      <c r="AH386" s="151">
        <v>41843</v>
      </c>
      <c r="AI386" s="198">
        <v>7</v>
      </c>
      <c r="AJ386" s="151">
        <v>41778</v>
      </c>
      <c r="AK386" s="199">
        <v>5</v>
      </c>
      <c r="AL386" s="151">
        <v>41709</v>
      </c>
      <c r="BE386" s="200">
        <v>5</v>
      </c>
      <c r="BF386" s="201">
        <v>41555</v>
      </c>
      <c r="BG386" s="203">
        <v>-0.6</v>
      </c>
      <c r="BH386" s="151">
        <v>41842</v>
      </c>
      <c r="BM386" s="204">
        <v>65.2</v>
      </c>
      <c r="BN386" s="151">
        <v>41842</v>
      </c>
      <c r="BQ386" s="205">
        <v>9.6999999999999993</v>
      </c>
      <c r="BR386" s="151">
        <v>41842</v>
      </c>
      <c r="BS386" s="206">
        <v>47.1</v>
      </c>
      <c r="BT386" s="151">
        <v>41842</v>
      </c>
      <c r="BU386" s="207">
        <v>13.7</v>
      </c>
      <c r="BV386" s="151">
        <v>41842</v>
      </c>
      <c r="BW386" s="206">
        <v>19.899999999999999</v>
      </c>
      <c r="BX386" s="151">
        <v>41842</v>
      </c>
      <c r="BY386" s="210">
        <v>6.89</v>
      </c>
      <c r="BZ386" s="151">
        <v>41842</v>
      </c>
      <c r="CA386" s="206">
        <v>31.1</v>
      </c>
      <c r="CB386" s="151">
        <v>41842</v>
      </c>
      <c r="CC386" s="208">
        <v>5.9</v>
      </c>
      <c r="CD386" s="151">
        <v>41838</v>
      </c>
      <c r="CL386" s="209">
        <v>3</v>
      </c>
      <c r="CM386" s="201">
        <v>41810</v>
      </c>
    </row>
    <row r="387" spans="1:91" ht="15">
      <c r="A387" s="152" t="s">
        <v>7958</v>
      </c>
      <c r="B387" s="110" t="s">
        <v>233</v>
      </c>
      <c r="C387" s="110" t="s">
        <v>381</v>
      </c>
      <c r="D387" s="110">
        <v>11101</v>
      </c>
      <c r="E387" s="111">
        <v>4</v>
      </c>
      <c r="F387" s="111">
        <v>593</v>
      </c>
      <c r="K387" s="134">
        <v>5</v>
      </c>
      <c r="L387" s="151">
        <v>41701</v>
      </c>
      <c r="M387" s="169">
        <v>3.9</v>
      </c>
      <c r="N387" s="151">
        <v>41838</v>
      </c>
      <c r="Q387" s="497"/>
      <c r="S387" s="134">
        <v>13.8</v>
      </c>
      <c r="T387" s="151">
        <v>41842</v>
      </c>
      <c r="U387" s="134">
        <v>13.5</v>
      </c>
      <c r="V387" s="151">
        <v>41838</v>
      </c>
      <c r="W387" s="196">
        <v>9</v>
      </c>
      <c r="X387" s="151">
        <v>41829</v>
      </c>
      <c r="Y387" s="134">
        <f t="shared" ref="Y387:Y450" si="6">(AE387*BU387)/100</f>
        <v>4.2330199999999998</v>
      </c>
      <c r="AC387" s="134">
        <v>28.89</v>
      </c>
      <c r="AD387" s="151">
        <v>41838</v>
      </c>
      <c r="AE387" s="134">
        <v>29.81</v>
      </c>
      <c r="AF387" s="151">
        <v>41838</v>
      </c>
      <c r="AG387" s="197">
        <v>4.5999999999999996</v>
      </c>
      <c r="AH387" s="151">
        <v>41843</v>
      </c>
      <c r="AI387" s="198">
        <v>5</v>
      </c>
      <c r="AJ387" s="151">
        <v>41778</v>
      </c>
      <c r="AK387" s="199">
        <v>4</v>
      </c>
      <c r="AL387" s="151">
        <v>41709</v>
      </c>
      <c r="BE387" s="200">
        <v>4</v>
      </c>
      <c r="BF387" s="201">
        <v>41555</v>
      </c>
      <c r="BG387" s="203">
        <v>-4.5</v>
      </c>
      <c r="BH387" s="151">
        <v>41842</v>
      </c>
      <c r="BM387" s="204">
        <v>65.2</v>
      </c>
      <c r="BN387" s="151">
        <v>41842</v>
      </c>
      <c r="BQ387" s="205">
        <v>10</v>
      </c>
      <c r="BR387" s="151">
        <v>41842</v>
      </c>
      <c r="BS387" s="206">
        <v>46.3</v>
      </c>
      <c r="BT387" s="151">
        <v>41842</v>
      </c>
      <c r="BU387" s="207">
        <v>14.2</v>
      </c>
      <c r="BV387" s="151">
        <v>41842</v>
      </c>
      <c r="BW387" s="206">
        <v>19</v>
      </c>
      <c r="BX387" s="151">
        <v>41842</v>
      </c>
      <c r="BY387" s="210">
        <v>7.06</v>
      </c>
      <c r="BZ387" s="151">
        <v>41842</v>
      </c>
      <c r="CA387" s="206">
        <v>31.7</v>
      </c>
      <c r="CB387" s="151">
        <v>41842</v>
      </c>
      <c r="CC387" s="208">
        <v>6.1</v>
      </c>
      <c r="CD387" s="151">
        <v>41838</v>
      </c>
      <c r="CL387" s="209">
        <v>3</v>
      </c>
      <c r="CM387" s="201">
        <v>41810</v>
      </c>
    </row>
    <row r="388" spans="1:91" ht="15">
      <c r="A388" s="152" t="s">
        <v>7958</v>
      </c>
      <c r="B388" s="110" t="s">
        <v>233</v>
      </c>
      <c r="C388" s="110" t="s">
        <v>8083</v>
      </c>
      <c r="D388" s="110">
        <v>11653</v>
      </c>
      <c r="E388" s="111">
        <v>8</v>
      </c>
      <c r="F388" s="111">
        <v>645</v>
      </c>
      <c r="K388" s="134">
        <v>5</v>
      </c>
      <c r="L388" s="151">
        <v>41701</v>
      </c>
      <c r="M388" s="169">
        <v>3.55</v>
      </c>
      <c r="N388" s="151">
        <v>41838</v>
      </c>
      <c r="Q388" s="497"/>
      <c r="S388" s="134">
        <v>12.75</v>
      </c>
      <c r="T388" s="151">
        <v>41842</v>
      </c>
      <c r="U388" s="134">
        <v>13.5</v>
      </c>
      <c r="V388" s="151">
        <v>41838</v>
      </c>
      <c r="W388" s="196">
        <v>9</v>
      </c>
      <c r="X388" s="151">
        <v>41829</v>
      </c>
      <c r="Y388" s="134">
        <f t="shared" si="6"/>
        <v>3.62026</v>
      </c>
      <c r="AC388" s="134">
        <v>26.3</v>
      </c>
      <c r="AD388" s="151">
        <v>41838</v>
      </c>
      <c r="AE388" s="134">
        <v>27.22</v>
      </c>
      <c r="AF388" s="151">
        <v>41838</v>
      </c>
      <c r="AG388" s="197">
        <v>4.8</v>
      </c>
      <c r="AH388" s="151">
        <v>41843</v>
      </c>
      <c r="AI388" s="198">
        <v>5</v>
      </c>
      <c r="AJ388" s="151">
        <v>41778</v>
      </c>
      <c r="AK388" s="199">
        <v>5</v>
      </c>
      <c r="AL388" s="151">
        <v>41709</v>
      </c>
      <c r="BE388" s="200">
        <v>5</v>
      </c>
      <c r="BF388" s="201">
        <v>41555</v>
      </c>
      <c r="BG388" s="203">
        <v>-5.5</v>
      </c>
      <c r="BH388" s="151">
        <v>41842</v>
      </c>
      <c r="BM388" s="204">
        <v>64</v>
      </c>
      <c r="BN388" s="151">
        <v>41842</v>
      </c>
      <c r="BQ388" s="205">
        <v>10.5</v>
      </c>
      <c r="BR388" s="151">
        <v>41842</v>
      </c>
      <c r="BS388" s="206">
        <v>46.9</v>
      </c>
      <c r="BT388" s="151">
        <v>41842</v>
      </c>
      <c r="BU388" s="207">
        <v>13.3</v>
      </c>
      <c r="BV388" s="151">
        <v>41842</v>
      </c>
      <c r="BW388" s="206">
        <v>18.899999999999999</v>
      </c>
      <c r="BX388" s="151">
        <v>41842</v>
      </c>
      <c r="BY388" s="210">
        <v>6.83</v>
      </c>
      <c r="BZ388" s="151">
        <v>41842</v>
      </c>
      <c r="CA388" s="206">
        <v>30.2</v>
      </c>
      <c r="CB388" s="151">
        <v>41842</v>
      </c>
      <c r="CC388" s="208">
        <v>5.8</v>
      </c>
      <c r="CD388" s="151">
        <v>41838</v>
      </c>
      <c r="CL388" s="209">
        <v>3</v>
      </c>
      <c r="CM388" s="201">
        <v>41810</v>
      </c>
    </row>
    <row r="389" spans="1:91" ht="15">
      <c r="A389" s="152" t="s">
        <v>7958</v>
      </c>
      <c r="B389" s="110" t="s">
        <v>235</v>
      </c>
      <c r="C389" s="110" t="s">
        <v>8081</v>
      </c>
      <c r="D389" s="110">
        <v>11350</v>
      </c>
      <c r="E389" s="111">
        <v>11</v>
      </c>
      <c r="F389" s="111">
        <v>581</v>
      </c>
      <c r="K389" s="134">
        <v>5</v>
      </c>
      <c r="L389" s="151">
        <v>41701</v>
      </c>
      <c r="M389" s="169">
        <v>4.3499999999999996</v>
      </c>
      <c r="N389" s="151">
        <v>41838</v>
      </c>
      <c r="Q389" s="497"/>
      <c r="S389" s="134">
        <v>15.51</v>
      </c>
      <c r="T389" s="151">
        <v>41842</v>
      </c>
      <c r="U389" s="134">
        <v>13.5</v>
      </c>
      <c r="V389" s="151">
        <v>41838</v>
      </c>
      <c r="W389" s="196">
        <v>9</v>
      </c>
      <c r="X389" s="151">
        <v>41829</v>
      </c>
      <c r="Y389" s="134">
        <f t="shared" si="6"/>
        <v>4.6370399999999998</v>
      </c>
      <c r="AC389" s="134">
        <v>32.22</v>
      </c>
      <c r="AD389" s="151">
        <v>41838</v>
      </c>
      <c r="AE389" s="134">
        <v>33.36</v>
      </c>
      <c r="AF389" s="151">
        <v>41838</v>
      </c>
      <c r="AG389" s="197">
        <v>4.3</v>
      </c>
      <c r="AH389" s="151">
        <v>41843</v>
      </c>
      <c r="AI389" s="198">
        <v>7</v>
      </c>
      <c r="AJ389" s="151">
        <v>41778</v>
      </c>
      <c r="AK389" s="199">
        <v>5</v>
      </c>
      <c r="AL389" s="151">
        <v>41709</v>
      </c>
      <c r="BE389" s="200">
        <v>5</v>
      </c>
      <c r="BF389" s="201">
        <v>41555</v>
      </c>
      <c r="BG389" s="203">
        <v>0.6</v>
      </c>
      <c r="BH389" s="151">
        <v>41842</v>
      </c>
      <c r="BM389" s="204">
        <v>65.599999999999994</v>
      </c>
      <c r="BN389" s="151">
        <v>41842</v>
      </c>
      <c r="BQ389" s="205">
        <v>10.199999999999999</v>
      </c>
      <c r="BR389" s="151">
        <v>41842</v>
      </c>
      <c r="BS389" s="206">
        <v>46.5</v>
      </c>
      <c r="BT389" s="151">
        <v>41842</v>
      </c>
      <c r="BU389" s="207">
        <v>13.9</v>
      </c>
      <c r="BV389" s="151">
        <v>41842</v>
      </c>
      <c r="BW389" s="206">
        <v>17.399999999999999</v>
      </c>
      <c r="BX389" s="151">
        <v>41842</v>
      </c>
      <c r="BY389" s="210">
        <v>6.91</v>
      </c>
      <c r="BZ389" s="151">
        <v>41842</v>
      </c>
      <c r="CA389" s="206">
        <v>31.2</v>
      </c>
      <c r="CB389" s="151">
        <v>41842</v>
      </c>
      <c r="CC389" s="208">
        <v>5.8</v>
      </c>
      <c r="CD389" s="151">
        <v>41838</v>
      </c>
      <c r="CL389" s="209">
        <v>3</v>
      </c>
      <c r="CM389" s="201">
        <v>41810</v>
      </c>
    </row>
    <row r="390" spans="1:91" ht="15">
      <c r="A390" s="152" t="s">
        <v>7959</v>
      </c>
      <c r="B390" s="110" t="s">
        <v>233</v>
      </c>
      <c r="C390" s="110" t="s">
        <v>381</v>
      </c>
      <c r="D390" s="110">
        <v>11105</v>
      </c>
      <c r="E390" s="111">
        <v>4</v>
      </c>
      <c r="F390" s="111">
        <v>609</v>
      </c>
      <c r="K390" s="134">
        <v>5</v>
      </c>
      <c r="L390" s="151">
        <v>41701</v>
      </c>
      <c r="M390" s="169">
        <v>4.0999999999999996</v>
      </c>
      <c r="N390" s="151">
        <v>41838</v>
      </c>
      <c r="Q390" s="497"/>
      <c r="S390" s="134">
        <v>14.59</v>
      </c>
      <c r="T390" s="151">
        <v>41842</v>
      </c>
      <c r="U390" s="134">
        <v>13.5</v>
      </c>
      <c r="V390" s="151">
        <v>41838</v>
      </c>
      <c r="W390" s="196">
        <v>9</v>
      </c>
      <c r="X390" s="151">
        <v>41829</v>
      </c>
      <c r="Y390" s="134">
        <f t="shared" si="6"/>
        <v>4.29732</v>
      </c>
      <c r="AC390" s="134">
        <v>30.37</v>
      </c>
      <c r="AD390" s="151">
        <v>41838</v>
      </c>
      <c r="AE390" s="134">
        <v>31.14</v>
      </c>
      <c r="AF390" s="151">
        <v>41838</v>
      </c>
      <c r="AG390" s="197">
        <v>4.8</v>
      </c>
      <c r="AH390" s="151">
        <v>41843</v>
      </c>
      <c r="AI390" s="198">
        <v>3</v>
      </c>
      <c r="AJ390" s="151">
        <v>41778</v>
      </c>
      <c r="AK390" s="199">
        <v>4</v>
      </c>
      <c r="AL390" s="151">
        <v>41709</v>
      </c>
      <c r="BE390" s="200">
        <v>4</v>
      </c>
      <c r="BF390" s="201">
        <v>41555</v>
      </c>
      <c r="BG390" s="203">
        <v>0.5</v>
      </c>
      <c r="BH390" s="151">
        <v>41842</v>
      </c>
      <c r="BM390" s="204">
        <v>63.9</v>
      </c>
      <c r="BN390" s="151">
        <v>41842</v>
      </c>
      <c r="BQ390" s="205">
        <v>10.3</v>
      </c>
      <c r="BR390" s="151">
        <v>41842</v>
      </c>
      <c r="BS390" s="206">
        <v>46.8</v>
      </c>
      <c r="BT390" s="151">
        <v>41842</v>
      </c>
      <c r="BU390" s="207">
        <v>13.8</v>
      </c>
      <c r="BV390" s="151">
        <v>41842</v>
      </c>
      <c r="BW390" s="206">
        <v>20.9</v>
      </c>
      <c r="BX390" s="151">
        <v>41842</v>
      </c>
      <c r="BY390" s="210">
        <v>7.09</v>
      </c>
      <c r="BZ390" s="151">
        <v>41842</v>
      </c>
      <c r="CA390" s="206">
        <v>31.3</v>
      </c>
      <c r="CB390" s="151">
        <v>41842</v>
      </c>
      <c r="CC390" s="208">
        <v>6.7</v>
      </c>
      <c r="CD390" s="151">
        <v>41838</v>
      </c>
      <c r="CL390" s="209">
        <v>3</v>
      </c>
      <c r="CM390" s="201">
        <v>41810</v>
      </c>
    </row>
    <row r="391" spans="1:91" ht="15">
      <c r="A391" s="152" t="s">
        <v>7959</v>
      </c>
      <c r="B391" s="110" t="s">
        <v>235</v>
      </c>
      <c r="C391" s="110" t="s">
        <v>8082</v>
      </c>
      <c r="D391" s="110">
        <v>11532</v>
      </c>
      <c r="E391" s="111">
        <v>4</v>
      </c>
      <c r="F391" s="111">
        <v>737</v>
      </c>
      <c r="K391" s="134">
        <v>5</v>
      </c>
      <c r="L391" s="151">
        <v>41701</v>
      </c>
      <c r="M391" s="169">
        <v>4.8499999999999996</v>
      </c>
      <c r="N391" s="151">
        <v>41838</v>
      </c>
      <c r="Q391" s="497"/>
      <c r="S391" s="134">
        <v>16.010000000000002</v>
      </c>
      <c r="T391" s="151">
        <v>41842</v>
      </c>
      <c r="U391" s="134">
        <v>13.5</v>
      </c>
      <c r="V391" s="151">
        <v>41838</v>
      </c>
      <c r="W391" s="196">
        <v>9</v>
      </c>
      <c r="X391" s="151">
        <v>41829</v>
      </c>
      <c r="Y391" s="134">
        <f t="shared" si="6"/>
        <v>6.1137800000000002</v>
      </c>
      <c r="AC391" s="134">
        <v>35.93</v>
      </c>
      <c r="AD391" s="151">
        <v>41838</v>
      </c>
      <c r="AE391" s="134">
        <v>36.83</v>
      </c>
      <c r="AF391" s="151">
        <v>41838</v>
      </c>
      <c r="AG391" s="197">
        <v>4.5</v>
      </c>
      <c r="AH391" s="151">
        <v>41843</v>
      </c>
      <c r="AI391" s="198">
        <v>7</v>
      </c>
      <c r="AJ391" s="151">
        <v>41778</v>
      </c>
      <c r="AK391" s="199">
        <v>5</v>
      </c>
      <c r="AL391" s="151">
        <v>41709</v>
      </c>
      <c r="BE391" s="200">
        <v>5</v>
      </c>
      <c r="BF391" s="201">
        <v>41555</v>
      </c>
      <c r="BG391" s="203">
        <v>-2.9</v>
      </c>
      <c r="BH391" s="151">
        <v>41842</v>
      </c>
      <c r="BM391" s="204">
        <v>60.8</v>
      </c>
      <c r="BN391" s="151">
        <v>41842</v>
      </c>
      <c r="BQ391" s="205">
        <v>11.3</v>
      </c>
      <c r="BR391" s="151">
        <v>41842</v>
      </c>
      <c r="BS391" s="206">
        <v>43.5</v>
      </c>
      <c r="BT391" s="151">
        <v>41842</v>
      </c>
      <c r="BU391" s="207">
        <v>16.600000000000001</v>
      </c>
      <c r="BV391" s="151">
        <v>41842</v>
      </c>
      <c r="BW391" s="206">
        <v>18.899999999999999</v>
      </c>
      <c r="BX391" s="151">
        <v>41842</v>
      </c>
      <c r="BY391" s="210">
        <v>7.52</v>
      </c>
      <c r="BZ391" s="151">
        <v>41842</v>
      </c>
      <c r="CA391" s="206">
        <v>35</v>
      </c>
      <c r="CB391" s="151">
        <v>41842</v>
      </c>
      <c r="CC391" s="208">
        <v>6.7</v>
      </c>
      <c r="CD391" s="151">
        <v>41838</v>
      </c>
      <c r="CL391" s="209">
        <v>3</v>
      </c>
      <c r="CM391" s="201">
        <v>41810</v>
      </c>
    </row>
    <row r="392" spans="1:91" ht="15">
      <c r="A392" s="152" t="s">
        <v>7959</v>
      </c>
      <c r="B392" s="110" t="s">
        <v>233</v>
      </c>
      <c r="C392" s="110" t="s">
        <v>8083</v>
      </c>
      <c r="D392" s="110">
        <v>11632</v>
      </c>
      <c r="E392" s="111">
        <v>7</v>
      </c>
      <c r="F392" s="111">
        <v>705</v>
      </c>
      <c r="K392" s="134">
        <v>5</v>
      </c>
      <c r="L392" s="151">
        <v>41701</v>
      </c>
      <c r="M392" s="169">
        <v>3.6</v>
      </c>
      <c r="N392" s="151">
        <v>41838</v>
      </c>
      <c r="Q392" s="497"/>
      <c r="S392" s="134">
        <v>13.03</v>
      </c>
      <c r="T392" s="151">
        <v>41842</v>
      </c>
      <c r="U392" s="134">
        <v>13.5</v>
      </c>
      <c r="V392" s="151">
        <v>41838</v>
      </c>
      <c r="W392" s="196">
        <v>9</v>
      </c>
      <c r="X392" s="151">
        <v>41829</v>
      </c>
      <c r="Y392" s="134">
        <f t="shared" si="6"/>
        <v>3.5880000000000001</v>
      </c>
      <c r="AC392" s="134">
        <v>26.67</v>
      </c>
      <c r="AD392" s="151">
        <v>41838</v>
      </c>
      <c r="AE392" s="134">
        <v>27.6</v>
      </c>
      <c r="AF392" s="151">
        <v>41838</v>
      </c>
      <c r="AG392" s="197">
        <v>5</v>
      </c>
      <c r="AH392" s="151">
        <v>41843</v>
      </c>
      <c r="AI392" s="198">
        <v>3</v>
      </c>
      <c r="AJ392" s="151">
        <v>41778</v>
      </c>
      <c r="AK392" s="199">
        <v>4</v>
      </c>
      <c r="AL392" s="151">
        <v>41709</v>
      </c>
      <c r="BE392" s="200">
        <v>4</v>
      </c>
      <c r="BF392" s="201">
        <v>41555</v>
      </c>
      <c r="BG392" s="203">
        <v>-5.2</v>
      </c>
      <c r="BH392" s="151">
        <v>41842</v>
      </c>
      <c r="BM392" s="204">
        <v>64.2</v>
      </c>
      <c r="BN392" s="151">
        <v>41842</v>
      </c>
      <c r="BQ392" s="205">
        <v>10.6</v>
      </c>
      <c r="BR392" s="151">
        <v>41842</v>
      </c>
      <c r="BS392" s="206">
        <v>47.2</v>
      </c>
      <c r="BT392" s="151">
        <v>41842</v>
      </c>
      <c r="BU392" s="207">
        <v>13</v>
      </c>
      <c r="BV392" s="151">
        <v>41842</v>
      </c>
      <c r="BW392" s="206">
        <v>13.9</v>
      </c>
      <c r="BX392" s="151">
        <v>41842</v>
      </c>
      <c r="BY392" s="210">
        <v>7.01</v>
      </c>
      <c r="BZ392" s="151">
        <v>41842</v>
      </c>
      <c r="CA392" s="206">
        <v>29.7</v>
      </c>
      <c r="CB392" s="151">
        <v>41842</v>
      </c>
      <c r="CC392" s="208">
        <v>5.8</v>
      </c>
      <c r="CD392" s="151">
        <v>41838</v>
      </c>
      <c r="CL392" s="209">
        <v>3</v>
      </c>
      <c r="CM392" s="201">
        <v>41810</v>
      </c>
    </row>
    <row r="393" spans="1:91" ht="15">
      <c r="A393" s="152" t="s">
        <v>7959</v>
      </c>
      <c r="B393" s="110" t="s">
        <v>235</v>
      </c>
      <c r="C393" s="110" t="s">
        <v>8081</v>
      </c>
      <c r="D393" s="110">
        <v>11384</v>
      </c>
      <c r="E393" s="111">
        <v>12</v>
      </c>
      <c r="F393" s="111">
        <v>573</v>
      </c>
      <c r="K393" s="134">
        <v>5</v>
      </c>
      <c r="L393" s="151">
        <v>41701</v>
      </c>
      <c r="M393" s="169">
        <v>4.7</v>
      </c>
      <c r="N393" s="151">
        <v>41838</v>
      </c>
      <c r="Q393" s="497"/>
      <c r="S393" s="134">
        <v>16.600000000000001</v>
      </c>
      <c r="T393" s="151">
        <v>41842</v>
      </c>
      <c r="U393" s="134">
        <v>13.5</v>
      </c>
      <c r="V393" s="151">
        <v>41838</v>
      </c>
      <c r="W393" s="196">
        <v>1</v>
      </c>
      <c r="X393" s="151">
        <v>41829</v>
      </c>
      <c r="Y393" s="134">
        <f t="shared" si="6"/>
        <v>4.9319999999999995</v>
      </c>
      <c r="AC393" s="134">
        <v>34.81</v>
      </c>
      <c r="AD393" s="151">
        <v>41838</v>
      </c>
      <c r="AE393" s="134">
        <v>36</v>
      </c>
      <c r="AF393" s="151">
        <v>41838</v>
      </c>
      <c r="AG393" s="197">
        <v>4.2</v>
      </c>
      <c r="AH393" s="151">
        <v>41843</v>
      </c>
      <c r="AI393" s="198">
        <v>5</v>
      </c>
      <c r="AJ393" s="151">
        <v>41778</v>
      </c>
      <c r="AK393" s="199">
        <v>4</v>
      </c>
      <c r="AL393" s="151">
        <v>41709</v>
      </c>
      <c r="BE393" s="200">
        <v>4</v>
      </c>
      <c r="BF393" s="201">
        <v>41555</v>
      </c>
      <c r="BG393" s="203">
        <v>-5</v>
      </c>
      <c r="BH393" s="151">
        <v>41842</v>
      </c>
      <c r="BM393" s="204">
        <v>64.900000000000006</v>
      </c>
      <c r="BN393" s="151">
        <v>41842</v>
      </c>
      <c r="BQ393" s="205">
        <v>10.6</v>
      </c>
      <c r="BR393" s="151">
        <v>41842</v>
      </c>
      <c r="BS393" s="206">
        <v>46.1</v>
      </c>
      <c r="BT393" s="151">
        <v>41842</v>
      </c>
      <c r="BU393" s="207">
        <v>13.7</v>
      </c>
      <c r="BV393" s="151">
        <v>41842</v>
      </c>
      <c r="BW393" s="206">
        <v>14.9</v>
      </c>
      <c r="BX393" s="151">
        <v>41842</v>
      </c>
      <c r="BY393" s="210">
        <v>7.15</v>
      </c>
      <c r="BZ393" s="151">
        <v>41842</v>
      </c>
      <c r="CA393" s="206">
        <v>30.6</v>
      </c>
      <c r="CB393" s="151">
        <v>41842</v>
      </c>
      <c r="CC393" s="208">
        <v>5.9</v>
      </c>
      <c r="CD393" s="151">
        <v>41838</v>
      </c>
      <c r="CL393" s="209">
        <v>3</v>
      </c>
      <c r="CM393" s="201">
        <v>41810</v>
      </c>
    </row>
    <row r="394" spans="1:91" ht="15">
      <c r="A394" s="152" t="s">
        <v>7960</v>
      </c>
      <c r="B394" s="110" t="s">
        <v>233</v>
      </c>
      <c r="C394" s="110" t="s">
        <v>381</v>
      </c>
      <c r="D394" s="110">
        <v>11056</v>
      </c>
      <c r="E394" s="111">
        <v>3</v>
      </c>
      <c r="F394" s="111">
        <v>557</v>
      </c>
      <c r="K394" s="134">
        <v>5</v>
      </c>
      <c r="L394" s="151">
        <v>41701</v>
      </c>
      <c r="M394" s="169">
        <v>4.25</v>
      </c>
      <c r="N394" s="151">
        <v>41838</v>
      </c>
      <c r="Q394" s="497"/>
      <c r="S394" s="134">
        <v>15.58</v>
      </c>
      <c r="T394" s="151">
        <v>41842</v>
      </c>
      <c r="U394" s="134">
        <v>13.5</v>
      </c>
      <c r="V394" s="151">
        <v>41838</v>
      </c>
      <c r="W394" s="196">
        <v>9</v>
      </c>
      <c r="X394" s="151">
        <v>41829</v>
      </c>
      <c r="Y394" s="134">
        <f t="shared" si="6"/>
        <v>4.2170099999999993</v>
      </c>
      <c r="AC394" s="134">
        <v>31.48</v>
      </c>
      <c r="AD394" s="151">
        <v>41838</v>
      </c>
      <c r="AE394" s="134">
        <v>32.69</v>
      </c>
      <c r="AF394" s="151">
        <v>41838</v>
      </c>
      <c r="AG394" s="197">
        <v>4.5</v>
      </c>
      <c r="AH394" s="151">
        <v>41843</v>
      </c>
      <c r="AI394" s="198">
        <v>5</v>
      </c>
      <c r="AJ394" s="151">
        <v>41778</v>
      </c>
      <c r="AK394" s="199">
        <v>4</v>
      </c>
      <c r="AL394" s="151">
        <v>41709</v>
      </c>
      <c r="BE394" s="200">
        <v>4</v>
      </c>
      <c r="BF394" s="201">
        <v>41555</v>
      </c>
      <c r="BG394" s="203">
        <v>-3.4</v>
      </c>
      <c r="BH394" s="151">
        <v>41842</v>
      </c>
      <c r="BM394" s="204">
        <v>65.7</v>
      </c>
      <c r="BN394" s="151">
        <v>41842</v>
      </c>
      <c r="BQ394" s="205">
        <v>10.7</v>
      </c>
      <c r="BR394" s="151">
        <v>41842</v>
      </c>
      <c r="BS394" s="206">
        <v>47.7</v>
      </c>
      <c r="BT394" s="151">
        <v>41842</v>
      </c>
      <c r="BU394" s="207">
        <v>12.9</v>
      </c>
      <c r="BV394" s="151">
        <v>41842</v>
      </c>
      <c r="BW394" s="206">
        <v>13.8</v>
      </c>
      <c r="BX394" s="151">
        <v>41842</v>
      </c>
      <c r="BY394" s="210">
        <v>7.06</v>
      </c>
      <c r="BZ394" s="151">
        <v>41842</v>
      </c>
      <c r="CA394" s="206">
        <v>29.7</v>
      </c>
      <c r="CB394" s="151">
        <v>41842</v>
      </c>
      <c r="CC394" s="208">
        <v>5.5</v>
      </c>
      <c r="CD394" s="151">
        <v>41838</v>
      </c>
      <c r="CL394" s="209">
        <v>3</v>
      </c>
      <c r="CM394" s="201">
        <v>41810</v>
      </c>
    </row>
    <row r="395" spans="1:91" ht="15">
      <c r="A395" s="152" t="s">
        <v>7960</v>
      </c>
      <c r="B395" s="110" t="s">
        <v>235</v>
      </c>
      <c r="C395" s="110" t="s">
        <v>8082</v>
      </c>
      <c r="D395" s="110">
        <v>11557</v>
      </c>
      <c r="E395" s="111">
        <v>5</v>
      </c>
      <c r="F395" s="111">
        <v>693</v>
      </c>
      <c r="K395" s="134">
        <v>5</v>
      </c>
      <c r="L395" s="151">
        <v>41701</v>
      </c>
      <c r="M395" s="169">
        <v>4.5</v>
      </c>
      <c r="N395" s="151">
        <v>41838</v>
      </c>
      <c r="Q395" s="497"/>
      <c r="S395" s="134">
        <v>16.41</v>
      </c>
      <c r="T395" s="151">
        <v>41842</v>
      </c>
      <c r="U395" s="134">
        <v>13.5</v>
      </c>
      <c r="V395" s="151">
        <v>41838</v>
      </c>
      <c r="W395" s="196">
        <v>1</v>
      </c>
      <c r="X395" s="151">
        <v>41829</v>
      </c>
      <c r="Y395" s="134">
        <f t="shared" si="6"/>
        <v>4.6777499999999996</v>
      </c>
      <c r="AC395" s="134">
        <v>33.33</v>
      </c>
      <c r="AD395" s="151">
        <v>41838</v>
      </c>
      <c r="AE395" s="134">
        <v>34.65</v>
      </c>
      <c r="AF395" s="151">
        <v>41838</v>
      </c>
      <c r="AG395" s="197">
        <v>4.3</v>
      </c>
      <c r="AH395" s="151">
        <v>41843</v>
      </c>
      <c r="AI395" s="198">
        <v>3</v>
      </c>
      <c r="AJ395" s="151">
        <v>41778</v>
      </c>
      <c r="AK395" s="199">
        <v>4</v>
      </c>
      <c r="AL395" s="151">
        <v>41709</v>
      </c>
      <c r="BE395" s="200">
        <v>4</v>
      </c>
      <c r="BF395" s="201">
        <v>41555</v>
      </c>
      <c r="BG395" s="203">
        <v>-1.7</v>
      </c>
      <c r="BH395" s="151">
        <v>41842</v>
      </c>
      <c r="BM395" s="204">
        <v>65.400000000000006</v>
      </c>
      <c r="BN395" s="151">
        <v>41842</v>
      </c>
      <c r="BQ395" s="205">
        <v>10.3</v>
      </c>
      <c r="BR395" s="151">
        <v>41842</v>
      </c>
      <c r="BS395" s="206">
        <v>47.4</v>
      </c>
      <c r="BT395" s="151">
        <v>41842</v>
      </c>
      <c r="BU395" s="207">
        <v>13.5</v>
      </c>
      <c r="BV395" s="151">
        <v>41842</v>
      </c>
      <c r="BW395" s="206">
        <v>12.9</v>
      </c>
      <c r="BX395" s="151">
        <v>41842</v>
      </c>
      <c r="BY395" s="210">
        <v>7.18</v>
      </c>
      <c r="BZ395" s="151">
        <v>41842</v>
      </c>
      <c r="CA395" s="206">
        <v>30.9</v>
      </c>
      <c r="CB395" s="151">
        <v>41842</v>
      </c>
      <c r="CC395" s="208">
        <v>5.4</v>
      </c>
      <c r="CD395" s="151">
        <v>41838</v>
      </c>
      <c r="CL395" s="209">
        <v>3</v>
      </c>
      <c r="CM395" s="201">
        <v>41810</v>
      </c>
    </row>
    <row r="396" spans="1:91" ht="15">
      <c r="A396" s="152" t="s">
        <v>7960</v>
      </c>
      <c r="B396" s="110" t="s">
        <v>235</v>
      </c>
      <c r="C396" s="110" t="s">
        <v>8081</v>
      </c>
      <c r="D396" s="110">
        <v>11219</v>
      </c>
      <c r="E396" s="111">
        <v>8</v>
      </c>
      <c r="F396" s="111">
        <v>489</v>
      </c>
      <c r="K396" s="134">
        <v>5</v>
      </c>
      <c r="L396" s="151">
        <v>41701</v>
      </c>
      <c r="M396" s="169">
        <v>5.3</v>
      </c>
      <c r="N396" s="151">
        <v>41838</v>
      </c>
      <c r="Q396" s="497"/>
      <c r="S396" s="134">
        <v>19.21</v>
      </c>
      <c r="T396" s="151">
        <v>41842</v>
      </c>
      <c r="U396" s="134">
        <v>13.5</v>
      </c>
      <c r="V396" s="151">
        <v>41838</v>
      </c>
      <c r="W396" s="196">
        <v>9</v>
      </c>
      <c r="X396" s="151">
        <v>41829</v>
      </c>
      <c r="Y396" s="134">
        <f t="shared" si="6"/>
        <v>5.4404000000000003</v>
      </c>
      <c r="AC396" s="134">
        <v>39.26</v>
      </c>
      <c r="AD396" s="151">
        <v>41838</v>
      </c>
      <c r="AE396" s="134">
        <v>40.6</v>
      </c>
      <c r="AF396" s="151">
        <v>41838</v>
      </c>
      <c r="AG396" s="197">
        <v>4.2</v>
      </c>
      <c r="AH396" s="151">
        <v>41843</v>
      </c>
      <c r="AI396" s="198">
        <v>5</v>
      </c>
      <c r="AJ396" s="151">
        <v>41778</v>
      </c>
      <c r="AK396" s="199">
        <v>5</v>
      </c>
      <c r="AL396" s="151">
        <v>41709</v>
      </c>
      <c r="BE396" s="200">
        <v>5</v>
      </c>
      <c r="BF396" s="201">
        <v>41555</v>
      </c>
      <c r="BG396" s="203">
        <v>-1.8</v>
      </c>
      <c r="BH396" s="151">
        <v>41842</v>
      </c>
      <c r="BM396" s="204">
        <v>65.5</v>
      </c>
      <c r="BN396" s="151">
        <v>41842</v>
      </c>
      <c r="BQ396" s="205">
        <v>10.6</v>
      </c>
      <c r="BR396" s="151">
        <v>41842</v>
      </c>
      <c r="BS396" s="206">
        <v>47.3</v>
      </c>
      <c r="BT396" s="151">
        <v>41842</v>
      </c>
      <c r="BU396" s="207">
        <v>13.4</v>
      </c>
      <c r="BV396" s="151">
        <v>41842</v>
      </c>
      <c r="BW396" s="206">
        <v>11.7</v>
      </c>
      <c r="BX396" s="151">
        <v>41842</v>
      </c>
      <c r="BY396" s="210">
        <v>7.16</v>
      </c>
      <c r="BZ396" s="151">
        <v>41842</v>
      </c>
      <c r="CA396" s="206">
        <v>30.6</v>
      </c>
      <c r="CB396" s="151">
        <v>41842</v>
      </c>
      <c r="CC396" s="208">
        <v>5.9</v>
      </c>
      <c r="CD396" s="151">
        <v>41838</v>
      </c>
      <c r="CL396" s="209">
        <v>3</v>
      </c>
      <c r="CM396" s="201">
        <v>41810</v>
      </c>
    </row>
    <row r="397" spans="1:91" ht="15">
      <c r="A397" s="152" t="s">
        <v>7960</v>
      </c>
      <c r="B397" s="110" t="s">
        <v>233</v>
      </c>
      <c r="C397" s="110" t="s">
        <v>8083</v>
      </c>
      <c r="D397" s="110">
        <v>11648</v>
      </c>
      <c r="E397" s="111">
        <v>8</v>
      </c>
      <c r="F397" s="111">
        <v>625</v>
      </c>
      <c r="K397" s="134">
        <v>5</v>
      </c>
      <c r="L397" s="151">
        <v>41701</v>
      </c>
      <c r="M397" s="169">
        <v>5.6</v>
      </c>
      <c r="N397" s="151">
        <v>41838</v>
      </c>
      <c r="Q397" s="497"/>
      <c r="S397" s="134">
        <v>19.989999999999998</v>
      </c>
      <c r="T397" s="151">
        <v>41842</v>
      </c>
      <c r="U397" s="134">
        <v>13.5</v>
      </c>
      <c r="V397" s="151">
        <v>41838</v>
      </c>
      <c r="W397" s="196">
        <v>9</v>
      </c>
      <c r="X397" s="151">
        <v>41829</v>
      </c>
      <c r="Y397" s="134">
        <f t="shared" si="6"/>
        <v>5.9074399999999994</v>
      </c>
      <c r="AC397" s="134">
        <v>41.48</v>
      </c>
      <c r="AD397" s="151">
        <v>41838</v>
      </c>
      <c r="AE397" s="134">
        <v>43.12</v>
      </c>
      <c r="AF397" s="151">
        <v>41838</v>
      </c>
      <c r="AG397" s="197">
        <v>4.4000000000000004</v>
      </c>
      <c r="AH397" s="151">
        <v>41843</v>
      </c>
      <c r="AI397" s="198">
        <v>5</v>
      </c>
      <c r="AJ397" s="151">
        <v>41778</v>
      </c>
      <c r="AK397" s="199">
        <v>4</v>
      </c>
      <c r="AL397" s="151">
        <v>41709</v>
      </c>
      <c r="BE397" s="200">
        <v>4</v>
      </c>
      <c r="BF397" s="201">
        <v>41555</v>
      </c>
      <c r="BG397" s="203">
        <v>-1.9</v>
      </c>
      <c r="BH397" s="151">
        <v>41842</v>
      </c>
      <c r="BM397" s="204">
        <v>64.900000000000006</v>
      </c>
      <c r="BN397" s="151">
        <v>41842</v>
      </c>
      <c r="BQ397" s="205">
        <v>11.2</v>
      </c>
      <c r="BR397" s="151">
        <v>41842</v>
      </c>
      <c r="BS397" s="206">
        <v>46.4</v>
      </c>
      <c r="BT397" s="151">
        <v>41842</v>
      </c>
      <c r="BU397" s="207">
        <v>13.7</v>
      </c>
      <c r="BV397" s="151">
        <v>41842</v>
      </c>
      <c r="BW397" s="206">
        <v>16.899999999999999</v>
      </c>
      <c r="BX397" s="151">
        <v>41842</v>
      </c>
      <c r="BY397" s="210">
        <v>7.04</v>
      </c>
      <c r="BZ397" s="151">
        <v>41842</v>
      </c>
      <c r="CA397" s="206">
        <v>30.7</v>
      </c>
      <c r="CB397" s="151">
        <v>41842</v>
      </c>
      <c r="CC397" s="208">
        <v>5.4</v>
      </c>
      <c r="CD397" s="151">
        <v>41838</v>
      </c>
      <c r="CL397" s="209">
        <v>3</v>
      </c>
      <c r="CM397" s="201">
        <v>41810</v>
      </c>
    </row>
    <row r="398" spans="1:91" ht="15">
      <c r="A398" s="152" t="s">
        <v>7961</v>
      </c>
      <c r="B398" s="110" t="s">
        <v>235</v>
      </c>
      <c r="C398" s="110" t="s">
        <v>8082</v>
      </c>
      <c r="D398" s="110">
        <v>11537</v>
      </c>
      <c r="E398" s="111">
        <v>4</v>
      </c>
      <c r="F398" s="111">
        <v>757</v>
      </c>
      <c r="K398" s="134">
        <v>5</v>
      </c>
      <c r="L398" s="151">
        <v>41701</v>
      </c>
      <c r="M398" s="169">
        <v>4.6500000000000004</v>
      </c>
      <c r="N398" s="151">
        <v>41838</v>
      </c>
      <c r="Q398" s="497"/>
      <c r="S398" s="134">
        <v>17.68</v>
      </c>
      <c r="T398" s="151">
        <v>41842</v>
      </c>
      <c r="U398" s="134">
        <v>13.5</v>
      </c>
      <c r="V398" s="151">
        <v>41838</v>
      </c>
      <c r="W398" s="196">
        <v>9</v>
      </c>
      <c r="X398" s="151">
        <v>41829</v>
      </c>
      <c r="Y398" s="134">
        <f t="shared" si="6"/>
        <v>4.7628000000000004</v>
      </c>
      <c r="AC398" s="134">
        <v>34.44</v>
      </c>
      <c r="AD398" s="151">
        <v>41838</v>
      </c>
      <c r="AE398" s="134">
        <v>35.28</v>
      </c>
      <c r="AF398" s="151">
        <v>41838</v>
      </c>
      <c r="AG398" s="197">
        <v>4.5999999999999996</v>
      </c>
      <c r="AH398" s="151">
        <v>41843</v>
      </c>
      <c r="AI398" s="198">
        <v>7</v>
      </c>
      <c r="AJ398" s="151">
        <v>41778</v>
      </c>
      <c r="AK398" s="199">
        <v>4</v>
      </c>
      <c r="AL398" s="151">
        <v>41709</v>
      </c>
      <c r="BE398" s="200">
        <v>4</v>
      </c>
      <c r="BF398" s="201">
        <v>41555</v>
      </c>
      <c r="BG398" s="203">
        <v>23.4</v>
      </c>
      <c r="BH398" s="151">
        <v>41842</v>
      </c>
      <c r="BM398" s="204">
        <v>71.900000000000006</v>
      </c>
      <c r="BN398" s="151">
        <v>41842</v>
      </c>
      <c r="BQ398" s="205">
        <v>5.7</v>
      </c>
      <c r="BR398" s="151">
        <v>41842</v>
      </c>
      <c r="BS398" s="206">
        <v>50.1</v>
      </c>
      <c r="BT398" s="151">
        <v>41842</v>
      </c>
      <c r="BU398" s="207">
        <v>13.5</v>
      </c>
      <c r="BV398" s="151">
        <v>41842</v>
      </c>
      <c r="BW398" s="206">
        <v>15.2</v>
      </c>
      <c r="BX398" s="151">
        <v>41842</v>
      </c>
      <c r="BY398" s="210">
        <v>6.52</v>
      </c>
      <c r="BZ398" s="151">
        <v>41842</v>
      </c>
      <c r="CA398" s="206">
        <v>33.1</v>
      </c>
      <c r="CB398" s="151">
        <v>41842</v>
      </c>
      <c r="CC398" s="208">
        <v>6.8</v>
      </c>
      <c r="CD398" s="151">
        <v>41838</v>
      </c>
      <c r="CL398" s="209">
        <v>3</v>
      </c>
      <c r="CM398" s="201">
        <v>41810</v>
      </c>
    </row>
    <row r="399" spans="1:91" ht="15">
      <c r="A399" s="152" t="s">
        <v>7961</v>
      </c>
      <c r="B399" s="110" t="s">
        <v>233</v>
      </c>
      <c r="C399" s="110" t="s">
        <v>381</v>
      </c>
      <c r="D399" s="110">
        <v>11165</v>
      </c>
      <c r="E399" s="111">
        <v>6</v>
      </c>
      <c r="F399" s="111">
        <v>561</v>
      </c>
      <c r="K399" s="134">
        <v>5</v>
      </c>
      <c r="L399" s="151">
        <v>41701</v>
      </c>
      <c r="M399" s="169">
        <v>3.45</v>
      </c>
      <c r="N399" s="151">
        <v>41838</v>
      </c>
      <c r="Q399" s="497"/>
      <c r="S399" s="134">
        <v>13.24</v>
      </c>
      <c r="T399" s="151">
        <v>41842</v>
      </c>
      <c r="U399" s="134">
        <v>13.5</v>
      </c>
      <c r="V399" s="151">
        <v>41838</v>
      </c>
      <c r="W399" s="196">
        <v>9</v>
      </c>
      <c r="X399" s="151">
        <v>41829</v>
      </c>
      <c r="Y399" s="134">
        <f t="shared" si="6"/>
        <v>3.5944799999999999</v>
      </c>
      <c r="AC399" s="134">
        <v>25.56</v>
      </c>
      <c r="AD399" s="151">
        <v>41838</v>
      </c>
      <c r="AE399" s="134">
        <v>26.43</v>
      </c>
      <c r="AF399" s="151">
        <v>41838</v>
      </c>
      <c r="AG399" s="197">
        <v>4.5</v>
      </c>
      <c r="AH399" s="151">
        <v>41843</v>
      </c>
      <c r="AI399" s="198">
        <v>5</v>
      </c>
      <c r="AJ399" s="151">
        <v>41778</v>
      </c>
      <c r="AK399" s="199">
        <v>4</v>
      </c>
      <c r="AL399" s="151">
        <v>41709</v>
      </c>
      <c r="BE399" s="200">
        <v>4</v>
      </c>
      <c r="BF399" s="201">
        <v>41555</v>
      </c>
      <c r="BG399" s="203">
        <v>22.5</v>
      </c>
      <c r="BH399" s="151">
        <v>41842</v>
      </c>
      <c r="BM399" s="204">
        <v>71.400000000000006</v>
      </c>
      <c r="BN399" s="151">
        <v>41842</v>
      </c>
      <c r="BQ399" s="205">
        <v>6</v>
      </c>
      <c r="BR399" s="151">
        <v>41842</v>
      </c>
      <c r="BS399" s="206">
        <v>50.1</v>
      </c>
      <c r="BT399" s="151">
        <v>41842</v>
      </c>
      <c r="BU399" s="207">
        <v>13.6</v>
      </c>
      <c r="BV399" s="151">
        <v>41842</v>
      </c>
      <c r="BW399" s="206">
        <v>12.4</v>
      </c>
      <c r="BX399" s="151">
        <v>41842</v>
      </c>
      <c r="BY399" s="210">
        <v>6.32</v>
      </c>
      <c r="BZ399" s="151">
        <v>41842</v>
      </c>
      <c r="CA399" s="206">
        <v>33.1</v>
      </c>
      <c r="CB399" s="151">
        <v>41842</v>
      </c>
      <c r="CC399" s="208">
        <v>5.9</v>
      </c>
      <c r="CD399" s="151">
        <v>41838</v>
      </c>
      <c r="CL399" s="209">
        <v>3</v>
      </c>
      <c r="CM399" s="201">
        <v>41810</v>
      </c>
    </row>
    <row r="400" spans="1:91" ht="15">
      <c r="A400" s="152" t="s">
        <v>7961</v>
      </c>
      <c r="B400" s="110" t="s">
        <v>235</v>
      </c>
      <c r="C400" s="110" t="s">
        <v>8081</v>
      </c>
      <c r="D400" s="110">
        <v>11289</v>
      </c>
      <c r="E400" s="111">
        <v>10</v>
      </c>
      <c r="F400" s="111">
        <v>481</v>
      </c>
      <c r="K400" s="134">
        <v>5</v>
      </c>
      <c r="L400" s="151">
        <v>41701</v>
      </c>
      <c r="M400" s="169">
        <v>5.65</v>
      </c>
      <c r="N400" s="151">
        <v>41838</v>
      </c>
      <c r="Q400" s="497"/>
      <c r="S400" s="134">
        <v>21.5</v>
      </c>
      <c r="T400" s="151">
        <v>41842</v>
      </c>
      <c r="U400" s="134">
        <v>13.5</v>
      </c>
      <c r="V400" s="151">
        <v>41838</v>
      </c>
      <c r="W400" s="196">
        <v>9</v>
      </c>
      <c r="X400" s="151">
        <v>41829</v>
      </c>
      <c r="Y400" s="134">
        <f t="shared" si="6"/>
        <v>5.8049999999999997</v>
      </c>
      <c r="AC400" s="134">
        <v>41.85</v>
      </c>
      <c r="AD400" s="151">
        <v>41838</v>
      </c>
      <c r="AE400" s="134">
        <v>43</v>
      </c>
      <c r="AF400" s="151">
        <v>41838</v>
      </c>
      <c r="AG400" s="197">
        <v>4.4000000000000004</v>
      </c>
      <c r="AH400" s="151">
        <v>41843</v>
      </c>
      <c r="AI400" s="198">
        <v>7</v>
      </c>
      <c r="AJ400" s="151">
        <v>41778</v>
      </c>
      <c r="AK400" s="199">
        <v>4</v>
      </c>
      <c r="AL400" s="151">
        <v>41709</v>
      </c>
      <c r="BE400" s="200">
        <v>4</v>
      </c>
      <c r="BF400" s="201">
        <v>41555</v>
      </c>
      <c r="BG400" s="203">
        <v>22.9</v>
      </c>
      <c r="BH400" s="151">
        <v>41842</v>
      </c>
      <c r="BM400" s="204">
        <v>72.2</v>
      </c>
      <c r="BN400" s="151">
        <v>41842</v>
      </c>
      <c r="BQ400" s="205">
        <v>4.5</v>
      </c>
      <c r="BR400" s="151">
        <v>41842</v>
      </c>
      <c r="BS400" s="206">
        <v>50</v>
      </c>
      <c r="BT400" s="151">
        <v>41842</v>
      </c>
      <c r="BU400" s="207">
        <v>13.5</v>
      </c>
      <c r="BV400" s="151">
        <v>41842</v>
      </c>
      <c r="BW400" s="206">
        <v>12.3</v>
      </c>
      <c r="BX400" s="151">
        <v>41842</v>
      </c>
      <c r="BY400" s="210">
        <v>6.66</v>
      </c>
      <c r="BZ400" s="151">
        <v>41842</v>
      </c>
      <c r="CA400" s="206">
        <v>33</v>
      </c>
      <c r="CB400" s="151">
        <v>41842</v>
      </c>
      <c r="CC400" s="208">
        <v>6.5</v>
      </c>
      <c r="CD400" s="151">
        <v>41838</v>
      </c>
      <c r="CL400" s="209">
        <v>3</v>
      </c>
      <c r="CM400" s="201">
        <v>41810</v>
      </c>
    </row>
    <row r="401" spans="1:91" ht="15">
      <c r="A401" s="152" t="s">
        <v>7961</v>
      </c>
      <c r="B401" s="110" t="s">
        <v>233</v>
      </c>
      <c r="C401" s="110" t="s">
        <v>8083</v>
      </c>
      <c r="D401" s="110">
        <v>11725</v>
      </c>
      <c r="E401" s="111">
        <v>10</v>
      </c>
      <c r="F401" s="111">
        <v>645</v>
      </c>
      <c r="K401" s="134">
        <v>5</v>
      </c>
      <c r="L401" s="151">
        <v>41701</v>
      </c>
      <c r="M401" s="169">
        <v>3.35</v>
      </c>
      <c r="N401" s="151">
        <v>41838</v>
      </c>
      <c r="Q401" s="497"/>
      <c r="S401" s="134">
        <v>12.96</v>
      </c>
      <c r="T401" s="151">
        <v>41842</v>
      </c>
      <c r="U401" s="134">
        <v>13.5</v>
      </c>
      <c r="V401" s="151">
        <v>41838</v>
      </c>
      <c r="W401" s="196">
        <v>9</v>
      </c>
      <c r="X401" s="151">
        <v>41829</v>
      </c>
      <c r="Y401" s="134">
        <f t="shared" si="6"/>
        <v>3.3101400000000001</v>
      </c>
      <c r="AC401" s="134">
        <v>24.81</v>
      </c>
      <c r="AD401" s="151">
        <v>41838</v>
      </c>
      <c r="AE401" s="134">
        <v>25.66</v>
      </c>
      <c r="AF401" s="151">
        <v>41838</v>
      </c>
      <c r="AG401" s="197">
        <v>4.5999999999999996</v>
      </c>
      <c r="AH401" s="151">
        <v>41843</v>
      </c>
      <c r="AI401" s="198">
        <v>7</v>
      </c>
      <c r="AJ401" s="151">
        <v>41778</v>
      </c>
      <c r="AK401" s="199">
        <v>4</v>
      </c>
      <c r="AL401" s="151">
        <v>41709</v>
      </c>
      <c r="BE401" s="200">
        <v>4</v>
      </c>
      <c r="BF401" s="201">
        <v>41555</v>
      </c>
      <c r="BG401" s="203">
        <v>19.899999999999999</v>
      </c>
      <c r="BH401" s="151">
        <v>41842</v>
      </c>
      <c r="BM401" s="204">
        <v>71.599999999999994</v>
      </c>
      <c r="BN401" s="151">
        <v>41842</v>
      </c>
      <c r="BQ401" s="205">
        <v>5.3</v>
      </c>
      <c r="BR401" s="151">
        <v>41842</v>
      </c>
      <c r="BS401" s="206">
        <v>50.5</v>
      </c>
      <c r="BT401" s="151">
        <v>41842</v>
      </c>
      <c r="BU401" s="207">
        <v>12.9</v>
      </c>
      <c r="BV401" s="151">
        <v>41842</v>
      </c>
      <c r="BW401" s="206">
        <v>16.8</v>
      </c>
      <c r="BX401" s="151">
        <v>41842</v>
      </c>
      <c r="BY401" s="210">
        <v>6.37</v>
      </c>
      <c r="BZ401" s="151">
        <v>41842</v>
      </c>
      <c r="CA401" s="206">
        <v>31.9</v>
      </c>
      <c r="CB401" s="151">
        <v>41842</v>
      </c>
      <c r="CC401" s="208">
        <v>5.9</v>
      </c>
      <c r="CD401" s="151">
        <v>41838</v>
      </c>
      <c r="CL401" s="209">
        <v>3</v>
      </c>
      <c r="CM401" s="201">
        <v>41810</v>
      </c>
    </row>
    <row r="402" spans="1:91" ht="15">
      <c r="A402" s="152" t="s">
        <v>7962</v>
      </c>
      <c r="B402" s="110" t="s">
        <v>235</v>
      </c>
      <c r="C402" s="110" t="s">
        <v>8082</v>
      </c>
      <c r="D402" s="110">
        <v>11405</v>
      </c>
      <c r="E402" s="111">
        <v>1</v>
      </c>
      <c r="F402" s="111">
        <v>661</v>
      </c>
      <c r="I402" s="373"/>
      <c r="K402" s="194">
        <v>5</v>
      </c>
      <c r="L402" s="151">
        <v>41701</v>
      </c>
      <c r="M402" s="169">
        <v>4.45</v>
      </c>
      <c r="N402" s="151">
        <v>41838</v>
      </c>
      <c r="Q402" s="497"/>
      <c r="S402" s="134">
        <v>15.87</v>
      </c>
      <c r="T402" s="151">
        <v>41842</v>
      </c>
      <c r="U402" s="194">
        <v>13.5</v>
      </c>
      <c r="V402" s="151">
        <v>41838</v>
      </c>
      <c r="W402" s="196">
        <v>1</v>
      </c>
      <c r="X402" s="151">
        <v>41829</v>
      </c>
      <c r="Y402" s="134">
        <f t="shared" si="6"/>
        <v>4.5533200000000003</v>
      </c>
      <c r="AA402" s="194"/>
      <c r="AC402" s="194">
        <v>32.96</v>
      </c>
      <c r="AD402" s="151">
        <v>41838</v>
      </c>
      <c r="AE402" s="137">
        <v>33.979999999999997</v>
      </c>
      <c r="AF402" s="151">
        <v>41838</v>
      </c>
      <c r="AG402" s="197">
        <v>5.3</v>
      </c>
      <c r="AH402" s="151">
        <v>41843</v>
      </c>
      <c r="AI402" s="198">
        <v>5</v>
      </c>
      <c r="AJ402" s="151">
        <v>41778</v>
      </c>
      <c r="AK402" s="199">
        <v>4</v>
      </c>
      <c r="AL402" s="151">
        <v>41709</v>
      </c>
      <c r="AM402" s="194"/>
      <c r="BE402" s="200">
        <v>4</v>
      </c>
      <c r="BF402" s="201">
        <v>41555</v>
      </c>
      <c r="BG402" s="203">
        <v>-1.7</v>
      </c>
      <c r="BH402" s="151">
        <v>41842</v>
      </c>
      <c r="BM402" s="204">
        <v>66.2</v>
      </c>
      <c r="BN402" s="151">
        <v>41842</v>
      </c>
      <c r="BQ402" s="205">
        <v>9.8000000000000007</v>
      </c>
      <c r="BR402" s="151">
        <v>41842</v>
      </c>
      <c r="BS402" s="206">
        <v>46.7</v>
      </c>
      <c r="BT402" s="151">
        <v>41842</v>
      </c>
      <c r="BU402" s="207">
        <v>13.4</v>
      </c>
      <c r="BV402" s="151">
        <v>41842</v>
      </c>
      <c r="BW402" s="206">
        <v>14.1</v>
      </c>
      <c r="BX402" s="151">
        <v>41842</v>
      </c>
      <c r="BY402" s="210">
        <v>7.17</v>
      </c>
      <c r="BZ402" s="151">
        <v>41842</v>
      </c>
      <c r="CA402" s="206">
        <v>30.2</v>
      </c>
      <c r="CB402" s="151">
        <v>41842</v>
      </c>
      <c r="CC402" s="208">
        <v>6.2</v>
      </c>
      <c r="CD402" s="151">
        <v>41838</v>
      </c>
      <c r="CL402" s="209">
        <v>3</v>
      </c>
      <c r="CM402" s="201">
        <v>41810</v>
      </c>
    </row>
    <row r="403" spans="1:91" ht="15">
      <c r="A403" s="152" t="s">
        <v>7962</v>
      </c>
      <c r="B403" s="110" t="s">
        <v>233</v>
      </c>
      <c r="C403" s="110" t="s">
        <v>381</v>
      </c>
      <c r="D403" s="110">
        <v>11117</v>
      </c>
      <c r="E403" s="111">
        <v>5</v>
      </c>
      <c r="F403" s="111">
        <v>513</v>
      </c>
      <c r="K403" s="134">
        <v>5</v>
      </c>
      <c r="L403" s="151">
        <v>41701</v>
      </c>
      <c r="M403" s="169">
        <v>4.4000000000000004</v>
      </c>
      <c r="N403" s="151">
        <v>41838</v>
      </c>
      <c r="Q403" s="497"/>
      <c r="S403" s="134">
        <v>15.61</v>
      </c>
      <c r="T403" s="151">
        <v>41842</v>
      </c>
      <c r="U403" s="134">
        <v>13.5</v>
      </c>
      <c r="V403" s="151">
        <v>41838</v>
      </c>
      <c r="W403" s="196">
        <v>9</v>
      </c>
      <c r="X403" s="151">
        <v>41829</v>
      </c>
      <c r="Y403" s="134">
        <f t="shared" si="6"/>
        <v>4.5360000000000005</v>
      </c>
      <c r="AC403" s="134">
        <v>32.590000000000003</v>
      </c>
      <c r="AD403" s="151">
        <v>41838</v>
      </c>
      <c r="AE403" s="134">
        <v>33.6</v>
      </c>
      <c r="AF403" s="151">
        <v>41838</v>
      </c>
      <c r="AG403" s="197">
        <v>5.3</v>
      </c>
      <c r="AH403" s="151">
        <v>41843</v>
      </c>
      <c r="AI403" s="198">
        <v>5</v>
      </c>
      <c r="AJ403" s="151">
        <v>41778</v>
      </c>
      <c r="AK403" s="199">
        <v>5</v>
      </c>
      <c r="AL403" s="151">
        <v>41709</v>
      </c>
      <c r="BE403" s="200">
        <v>5</v>
      </c>
      <c r="BF403" s="201">
        <v>41555</v>
      </c>
      <c r="BG403" s="203">
        <v>-4.3</v>
      </c>
      <c r="BH403" s="151">
        <v>41842</v>
      </c>
      <c r="BM403" s="204">
        <v>65.400000000000006</v>
      </c>
      <c r="BN403" s="151">
        <v>41842</v>
      </c>
      <c r="BQ403" s="205">
        <v>10.3</v>
      </c>
      <c r="BR403" s="151">
        <v>41842</v>
      </c>
      <c r="BS403" s="206">
        <v>46.5</v>
      </c>
      <c r="BT403" s="151">
        <v>41842</v>
      </c>
      <c r="BU403" s="207">
        <v>13.5</v>
      </c>
      <c r="BV403" s="151">
        <v>41842</v>
      </c>
      <c r="BW403" s="206">
        <v>12.3</v>
      </c>
      <c r="BX403" s="151">
        <v>41842</v>
      </c>
      <c r="BY403" s="210">
        <v>7</v>
      </c>
      <c r="BZ403" s="151">
        <v>41842</v>
      </c>
      <c r="CA403" s="206">
        <v>30.4</v>
      </c>
      <c r="CB403" s="151">
        <v>41842</v>
      </c>
      <c r="CC403" s="208">
        <v>6.2</v>
      </c>
      <c r="CD403" s="151">
        <v>41838</v>
      </c>
      <c r="CL403" s="209">
        <v>3</v>
      </c>
      <c r="CM403" s="201">
        <v>41810</v>
      </c>
    </row>
    <row r="404" spans="1:91" ht="15">
      <c r="A404" s="152" t="s">
        <v>7962</v>
      </c>
      <c r="B404" s="110" t="s">
        <v>233</v>
      </c>
      <c r="C404" s="110" t="s">
        <v>8083</v>
      </c>
      <c r="D404" s="110">
        <v>11634</v>
      </c>
      <c r="E404" s="111">
        <v>7</v>
      </c>
      <c r="F404" s="111">
        <v>713</v>
      </c>
      <c r="K404" s="134">
        <v>5</v>
      </c>
      <c r="L404" s="151">
        <v>41701</v>
      </c>
      <c r="M404" s="169">
        <v>3.35</v>
      </c>
      <c r="N404" s="151">
        <v>41838</v>
      </c>
      <c r="Q404" s="497"/>
      <c r="S404" s="134">
        <v>11.99</v>
      </c>
      <c r="T404" s="151">
        <v>41842</v>
      </c>
      <c r="U404" s="134">
        <v>13.5</v>
      </c>
      <c r="V404" s="151">
        <v>41838</v>
      </c>
      <c r="W404" s="196">
        <v>9</v>
      </c>
      <c r="X404" s="151">
        <v>41829</v>
      </c>
      <c r="Y404" s="134">
        <f t="shared" si="6"/>
        <v>3.3937200000000001</v>
      </c>
      <c r="AC404" s="134">
        <v>24.81</v>
      </c>
      <c r="AD404" s="151">
        <v>41838</v>
      </c>
      <c r="AE404" s="134">
        <v>25.71</v>
      </c>
      <c r="AF404" s="151">
        <v>41838</v>
      </c>
      <c r="AG404" s="197">
        <v>5.3</v>
      </c>
      <c r="AH404" s="151">
        <v>41843</v>
      </c>
      <c r="AI404" s="198">
        <v>3</v>
      </c>
      <c r="AJ404" s="151">
        <v>41778</v>
      </c>
      <c r="AK404" s="199">
        <v>4</v>
      </c>
      <c r="AL404" s="151">
        <v>41709</v>
      </c>
      <c r="BE404" s="200">
        <v>4</v>
      </c>
      <c r="BF404" s="201">
        <v>41555</v>
      </c>
      <c r="BG404" s="203">
        <v>-4.5</v>
      </c>
      <c r="BH404" s="151">
        <v>41842</v>
      </c>
      <c r="BM404" s="204">
        <v>64.400000000000006</v>
      </c>
      <c r="BN404" s="151">
        <v>41842</v>
      </c>
      <c r="BQ404" s="205">
        <v>10</v>
      </c>
      <c r="BR404" s="151">
        <v>41842</v>
      </c>
      <c r="BS404" s="206">
        <v>46.6</v>
      </c>
      <c r="BT404" s="151">
        <v>41842</v>
      </c>
      <c r="BU404" s="207">
        <v>13.2</v>
      </c>
      <c r="BV404" s="151">
        <v>41842</v>
      </c>
      <c r="BW404" s="206">
        <v>13.2</v>
      </c>
      <c r="BX404" s="151">
        <v>41842</v>
      </c>
      <c r="BY404" s="210">
        <v>7.09</v>
      </c>
      <c r="BZ404" s="151">
        <v>41842</v>
      </c>
      <c r="CA404" s="206">
        <v>29.8</v>
      </c>
      <c r="CB404" s="151">
        <v>41842</v>
      </c>
      <c r="CC404" s="208">
        <v>5.7</v>
      </c>
      <c r="CD404" s="151">
        <v>41838</v>
      </c>
      <c r="CL404" s="209">
        <v>3</v>
      </c>
      <c r="CM404" s="201">
        <v>41810</v>
      </c>
    </row>
    <row r="405" spans="1:91" ht="15">
      <c r="A405" s="152" t="s">
        <v>7962</v>
      </c>
      <c r="B405" s="110" t="s">
        <v>235</v>
      </c>
      <c r="C405" s="110" t="s">
        <v>8081</v>
      </c>
      <c r="D405" s="110">
        <v>11357</v>
      </c>
      <c r="E405" s="111">
        <v>11</v>
      </c>
      <c r="F405" s="111">
        <v>609</v>
      </c>
      <c r="K405" s="134">
        <v>5</v>
      </c>
      <c r="L405" s="151">
        <v>41701</v>
      </c>
      <c r="M405" s="169">
        <v>5.05</v>
      </c>
      <c r="N405" s="151">
        <v>41838</v>
      </c>
      <c r="Q405" s="497"/>
      <c r="S405" s="134">
        <v>17.829999999999998</v>
      </c>
      <c r="T405" s="151">
        <v>41842</v>
      </c>
      <c r="U405" s="134">
        <v>13.5</v>
      </c>
      <c r="V405" s="151">
        <v>41838</v>
      </c>
      <c r="W405" s="196">
        <v>9</v>
      </c>
      <c r="X405" s="151">
        <v>41829</v>
      </c>
      <c r="Y405" s="134">
        <f t="shared" si="6"/>
        <v>5.1772499999999999</v>
      </c>
      <c r="AC405" s="134">
        <v>37.409999999999997</v>
      </c>
      <c r="AD405" s="151">
        <v>41838</v>
      </c>
      <c r="AE405" s="134">
        <v>38.35</v>
      </c>
      <c r="AF405" s="151">
        <v>41838</v>
      </c>
      <c r="AG405" s="197">
        <v>5.0999999999999996</v>
      </c>
      <c r="AH405" s="151">
        <v>41843</v>
      </c>
      <c r="AI405" s="198">
        <v>5</v>
      </c>
      <c r="AJ405" s="151">
        <v>41778</v>
      </c>
      <c r="AK405" s="199">
        <v>5</v>
      </c>
      <c r="AL405" s="151">
        <v>41709</v>
      </c>
      <c r="BE405" s="200">
        <v>5</v>
      </c>
      <c r="BF405" s="201">
        <v>41555</v>
      </c>
      <c r="BG405" s="203">
        <v>-3.4</v>
      </c>
      <c r="BH405" s="151">
        <v>41842</v>
      </c>
      <c r="BM405" s="204">
        <v>65.3</v>
      </c>
      <c r="BN405" s="151">
        <v>41842</v>
      </c>
      <c r="BQ405" s="205">
        <v>9.5</v>
      </c>
      <c r="BR405" s="151">
        <v>41842</v>
      </c>
      <c r="BS405" s="206">
        <v>46.5</v>
      </c>
      <c r="BT405" s="151">
        <v>41842</v>
      </c>
      <c r="BU405" s="207">
        <v>13.5</v>
      </c>
      <c r="BV405" s="151">
        <v>41842</v>
      </c>
      <c r="BW405" s="206">
        <v>13</v>
      </c>
      <c r="BX405" s="151">
        <v>41842</v>
      </c>
      <c r="BY405" s="210">
        <v>7.1</v>
      </c>
      <c r="BZ405" s="151">
        <v>41842</v>
      </c>
      <c r="CA405" s="206">
        <v>30.3</v>
      </c>
      <c r="CB405" s="151">
        <v>41842</v>
      </c>
      <c r="CC405" s="208">
        <v>6.7</v>
      </c>
      <c r="CD405" s="151">
        <v>41838</v>
      </c>
      <c r="CL405" s="209">
        <v>3</v>
      </c>
      <c r="CM405" s="201">
        <v>41810</v>
      </c>
    </row>
    <row r="406" spans="1:91" ht="15">
      <c r="A406" s="152" t="s">
        <v>7963</v>
      </c>
      <c r="B406" s="110" t="s">
        <v>233</v>
      </c>
      <c r="C406" s="110" t="s">
        <v>381</v>
      </c>
      <c r="D406" s="110">
        <v>10990</v>
      </c>
      <c r="E406" s="111">
        <v>1</v>
      </c>
      <c r="F406" s="111">
        <v>581</v>
      </c>
      <c r="I406" s="373"/>
      <c r="K406" s="194">
        <v>5</v>
      </c>
      <c r="L406" s="151">
        <v>41701</v>
      </c>
      <c r="M406" s="169">
        <v>4.3</v>
      </c>
      <c r="N406" s="151">
        <v>41838</v>
      </c>
      <c r="Q406" s="497"/>
      <c r="S406" s="134">
        <v>15.62</v>
      </c>
      <c r="T406" s="151">
        <v>41842</v>
      </c>
      <c r="U406" s="194">
        <v>13.5</v>
      </c>
      <c r="V406" s="151">
        <v>41838</v>
      </c>
      <c r="W406" s="196">
        <v>9</v>
      </c>
      <c r="X406" s="151">
        <v>41829</v>
      </c>
      <c r="Y406" s="134">
        <f t="shared" si="6"/>
        <v>4.4414999999999996</v>
      </c>
      <c r="AA406" s="194"/>
      <c r="AC406" s="194">
        <v>31.85</v>
      </c>
      <c r="AD406" s="151">
        <v>41838</v>
      </c>
      <c r="AE406" s="137">
        <v>32.9</v>
      </c>
      <c r="AF406" s="151">
        <v>41838</v>
      </c>
      <c r="AG406" s="197">
        <v>4.7</v>
      </c>
      <c r="AH406" s="151">
        <v>41843</v>
      </c>
      <c r="AI406" s="198">
        <v>5</v>
      </c>
      <c r="AJ406" s="151">
        <v>41778</v>
      </c>
      <c r="AK406" s="199">
        <v>4</v>
      </c>
      <c r="AL406" s="151">
        <v>41709</v>
      </c>
      <c r="AM406" s="194"/>
      <c r="BE406" s="200">
        <v>4</v>
      </c>
      <c r="BF406" s="201">
        <v>41555</v>
      </c>
      <c r="BG406" s="203">
        <v>-0.4</v>
      </c>
      <c r="BH406" s="151">
        <v>41842</v>
      </c>
      <c r="BM406" s="204">
        <v>63</v>
      </c>
      <c r="BN406" s="151">
        <v>41842</v>
      </c>
      <c r="BQ406" s="205">
        <v>11.7</v>
      </c>
      <c r="BR406" s="151">
        <v>41842</v>
      </c>
      <c r="BS406" s="206">
        <v>47.5</v>
      </c>
      <c r="BT406" s="151">
        <v>41842</v>
      </c>
      <c r="BU406" s="207">
        <v>13.5</v>
      </c>
      <c r="BV406" s="151">
        <v>41842</v>
      </c>
      <c r="BW406" s="206">
        <v>11.4</v>
      </c>
      <c r="BX406" s="151">
        <v>41842</v>
      </c>
      <c r="BY406" s="210">
        <v>7.36</v>
      </c>
      <c r="BZ406" s="151">
        <v>41842</v>
      </c>
      <c r="CA406" s="206">
        <v>30.9</v>
      </c>
      <c r="CB406" s="151">
        <v>41842</v>
      </c>
      <c r="CC406" s="208">
        <v>6</v>
      </c>
      <c r="CD406" s="151">
        <v>41838</v>
      </c>
      <c r="CL406" s="209">
        <v>3</v>
      </c>
      <c r="CM406" s="201">
        <v>41810</v>
      </c>
    </row>
    <row r="407" spans="1:91" ht="15">
      <c r="A407" s="152" t="s">
        <v>7963</v>
      </c>
      <c r="B407" s="110" t="s">
        <v>235</v>
      </c>
      <c r="C407" s="110" t="s">
        <v>8082</v>
      </c>
      <c r="D407" s="110">
        <v>11581</v>
      </c>
      <c r="E407" s="111">
        <v>6</v>
      </c>
      <c r="F407" s="111">
        <v>645</v>
      </c>
      <c r="K407" s="134">
        <v>5</v>
      </c>
      <c r="L407" s="151">
        <v>41701</v>
      </c>
      <c r="M407" s="169">
        <v>3.7</v>
      </c>
      <c r="N407" s="151">
        <v>41838</v>
      </c>
      <c r="Q407" s="497"/>
      <c r="S407" s="134">
        <v>13.11</v>
      </c>
      <c r="T407" s="151">
        <v>41842</v>
      </c>
      <c r="U407" s="134">
        <v>13.5</v>
      </c>
      <c r="V407" s="151">
        <v>41838</v>
      </c>
      <c r="W407" s="196">
        <v>9</v>
      </c>
      <c r="X407" s="151">
        <v>41829</v>
      </c>
      <c r="Y407" s="134">
        <f t="shared" si="6"/>
        <v>4.2555000000000005</v>
      </c>
      <c r="AC407" s="134">
        <v>27.41</v>
      </c>
      <c r="AD407" s="151">
        <v>41838</v>
      </c>
      <c r="AE407" s="134">
        <v>28.37</v>
      </c>
      <c r="AF407" s="151">
        <v>41838</v>
      </c>
      <c r="AG407" s="197">
        <v>4.5999999999999996</v>
      </c>
      <c r="AH407" s="151">
        <v>41843</v>
      </c>
      <c r="AI407" s="198">
        <v>3</v>
      </c>
      <c r="AJ407" s="151">
        <v>41778</v>
      </c>
      <c r="AK407" s="199">
        <v>4</v>
      </c>
      <c r="AL407" s="151">
        <v>41709</v>
      </c>
      <c r="BE407" s="200">
        <v>4</v>
      </c>
      <c r="BF407" s="201">
        <v>41555</v>
      </c>
      <c r="BG407" s="203">
        <v>-0.7</v>
      </c>
      <c r="BH407" s="151">
        <v>41842</v>
      </c>
      <c r="BM407" s="204">
        <v>61.7</v>
      </c>
      <c r="BN407" s="151">
        <v>41842</v>
      </c>
      <c r="BQ407" s="205">
        <v>11.7</v>
      </c>
      <c r="BR407" s="151">
        <v>41842</v>
      </c>
      <c r="BS407" s="206">
        <v>46.2</v>
      </c>
      <c r="BT407" s="151">
        <v>41842</v>
      </c>
      <c r="BU407" s="207">
        <v>15</v>
      </c>
      <c r="BV407" s="151">
        <v>41842</v>
      </c>
      <c r="BW407" s="206">
        <v>11.5</v>
      </c>
      <c r="BX407" s="151">
        <v>41842</v>
      </c>
      <c r="BY407" s="210">
        <v>7.48</v>
      </c>
      <c r="BZ407" s="151">
        <v>41842</v>
      </c>
      <c r="CA407" s="206">
        <v>33.4</v>
      </c>
      <c r="CB407" s="151">
        <v>41842</v>
      </c>
      <c r="CC407" s="208">
        <v>5.8</v>
      </c>
      <c r="CD407" s="151">
        <v>41838</v>
      </c>
      <c r="CL407" s="209">
        <v>3</v>
      </c>
      <c r="CM407" s="201">
        <v>41810</v>
      </c>
    </row>
    <row r="408" spans="1:91" ht="15">
      <c r="A408" s="152" t="s">
        <v>7963</v>
      </c>
      <c r="B408" s="110" t="s">
        <v>235</v>
      </c>
      <c r="C408" s="110" t="s">
        <v>8081</v>
      </c>
      <c r="D408" s="110">
        <v>11262</v>
      </c>
      <c r="E408" s="111">
        <v>9</v>
      </c>
      <c r="F408" s="111">
        <v>517</v>
      </c>
      <c r="K408" s="134">
        <v>5</v>
      </c>
      <c r="L408" s="151">
        <v>41701</v>
      </c>
      <c r="M408" s="169">
        <v>4.9000000000000004</v>
      </c>
      <c r="N408" s="151">
        <v>41838</v>
      </c>
      <c r="Q408" s="497"/>
      <c r="S408" s="134">
        <v>16.89</v>
      </c>
      <c r="T408" s="151">
        <v>41842</v>
      </c>
      <c r="U408" s="134">
        <v>13.5</v>
      </c>
      <c r="V408" s="151">
        <v>41838</v>
      </c>
      <c r="W408" s="196">
        <v>9</v>
      </c>
      <c r="X408" s="151">
        <v>41829</v>
      </c>
      <c r="Y408" s="134">
        <f t="shared" si="6"/>
        <v>6.07986</v>
      </c>
      <c r="AC408" s="134">
        <v>36.299999999999997</v>
      </c>
      <c r="AD408" s="151">
        <v>41838</v>
      </c>
      <c r="AE408" s="134">
        <v>37.53</v>
      </c>
      <c r="AF408" s="151">
        <v>41838</v>
      </c>
      <c r="AG408" s="197">
        <v>4.5</v>
      </c>
      <c r="AH408" s="151">
        <v>41843</v>
      </c>
      <c r="AI408" s="198">
        <v>3</v>
      </c>
      <c r="AJ408" s="151">
        <v>41778</v>
      </c>
      <c r="AK408" s="199">
        <v>4</v>
      </c>
      <c r="AL408" s="151">
        <v>41709</v>
      </c>
      <c r="BE408" s="200">
        <v>4</v>
      </c>
      <c r="BF408" s="201">
        <v>41555</v>
      </c>
      <c r="BG408" s="203">
        <v>0.5</v>
      </c>
      <c r="BH408" s="151">
        <v>41842</v>
      </c>
      <c r="BM408" s="204">
        <v>61.6</v>
      </c>
      <c r="BN408" s="151">
        <v>41842</v>
      </c>
      <c r="BQ408" s="205">
        <v>12.3</v>
      </c>
      <c r="BR408" s="151">
        <v>41842</v>
      </c>
      <c r="BS408" s="206">
        <v>45</v>
      </c>
      <c r="BT408" s="151">
        <v>41842</v>
      </c>
      <c r="BU408" s="207">
        <v>16.2</v>
      </c>
      <c r="BV408" s="151">
        <v>41842</v>
      </c>
      <c r="BW408" s="206">
        <v>13.2</v>
      </c>
      <c r="BX408" s="151">
        <v>41842</v>
      </c>
      <c r="BY408" s="210">
        <v>7.65</v>
      </c>
      <c r="BZ408" s="151">
        <v>41842</v>
      </c>
      <c r="CA408" s="206">
        <v>35.299999999999997</v>
      </c>
      <c r="CB408" s="151">
        <v>41842</v>
      </c>
      <c r="CC408" s="208">
        <v>5.9</v>
      </c>
      <c r="CD408" s="151">
        <v>41838</v>
      </c>
      <c r="CL408" s="209">
        <v>3</v>
      </c>
      <c r="CM408" s="201">
        <v>41810</v>
      </c>
    </row>
    <row r="409" spans="1:91" ht="15">
      <c r="A409" s="152" t="s">
        <v>7963</v>
      </c>
      <c r="B409" s="110" t="s">
        <v>233</v>
      </c>
      <c r="C409" s="110" t="s">
        <v>8083</v>
      </c>
      <c r="D409" s="110">
        <v>11777</v>
      </c>
      <c r="E409" s="111">
        <v>11</v>
      </c>
      <c r="F409" s="111">
        <v>709</v>
      </c>
      <c r="K409" s="134">
        <v>5</v>
      </c>
      <c r="L409" s="151">
        <v>41701</v>
      </c>
      <c r="M409" s="169">
        <v>3.85</v>
      </c>
      <c r="N409" s="151">
        <v>41838</v>
      </c>
      <c r="Q409" s="497"/>
      <c r="S409" s="134">
        <v>14.03</v>
      </c>
      <c r="T409" s="151">
        <v>41842</v>
      </c>
      <c r="U409" s="134">
        <v>13.5</v>
      </c>
      <c r="V409" s="151">
        <v>41838</v>
      </c>
      <c r="W409" s="196">
        <v>9</v>
      </c>
      <c r="X409" s="151">
        <v>41829</v>
      </c>
      <c r="Y409" s="134">
        <f t="shared" si="6"/>
        <v>4.05246</v>
      </c>
      <c r="AC409" s="134">
        <v>28.52</v>
      </c>
      <c r="AD409" s="151">
        <v>41838</v>
      </c>
      <c r="AE409" s="134">
        <v>29.58</v>
      </c>
      <c r="AF409" s="151">
        <v>41838</v>
      </c>
      <c r="AG409" s="197">
        <v>4.7</v>
      </c>
      <c r="AH409" s="151">
        <v>41843</v>
      </c>
      <c r="AI409" s="198">
        <v>3</v>
      </c>
      <c r="AJ409" s="151">
        <v>41778</v>
      </c>
      <c r="AK409" s="199">
        <v>5</v>
      </c>
      <c r="AL409" s="151">
        <v>41709</v>
      </c>
      <c r="BE409" s="200">
        <v>5</v>
      </c>
      <c r="BF409" s="201">
        <v>41555</v>
      </c>
      <c r="BG409" s="203">
        <v>-3.2</v>
      </c>
      <c r="BH409" s="151">
        <v>41842</v>
      </c>
      <c r="BM409" s="204">
        <v>63.4</v>
      </c>
      <c r="BN409" s="151">
        <v>41842</v>
      </c>
      <c r="BQ409" s="205">
        <v>11.5</v>
      </c>
      <c r="BR409" s="151">
        <v>41842</v>
      </c>
      <c r="BS409" s="206">
        <v>47.4</v>
      </c>
      <c r="BT409" s="151">
        <v>41842</v>
      </c>
      <c r="BU409" s="207">
        <v>13.7</v>
      </c>
      <c r="BV409" s="151">
        <v>41842</v>
      </c>
      <c r="BW409" s="206">
        <v>10.9</v>
      </c>
      <c r="BX409" s="151">
        <v>41842</v>
      </c>
      <c r="BY409" s="210">
        <v>7.3</v>
      </c>
      <c r="BZ409" s="151">
        <v>41842</v>
      </c>
      <c r="CA409" s="206">
        <v>31.4</v>
      </c>
      <c r="CB409" s="151">
        <v>41842</v>
      </c>
      <c r="CC409" s="208">
        <v>5.6</v>
      </c>
      <c r="CD409" s="151">
        <v>41838</v>
      </c>
      <c r="CL409" s="209">
        <v>3</v>
      </c>
      <c r="CM409" s="201">
        <v>41810</v>
      </c>
    </row>
    <row r="410" spans="1:91" ht="15">
      <c r="A410" s="152" t="s">
        <v>7964</v>
      </c>
      <c r="B410" s="110" t="s">
        <v>235</v>
      </c>
      <c r="C410" s="110" t="s">
        <v>8082</v>
      </c>
      <c r="D410" s="110">
        <v>11423</v>
      </c>
      <c r="E410" s="111">
        <v>1</v>
      </c>
      <c r="F410" s="111">
        <v>733</v>
      </c>
      <c r="I410" s="373"/>
      <c r="K410" s="194">
        <v>5</v>
      </c>
      <c r="L410" s="151">
        <v>41701</v>
      </c>
      <c r="M410" s="169">
        <v>5.25</v>
      </c>
      <c r="N410" s="151">
        <v>41838</v>
      </c>
      <c r="Q410" s="497"/>
      <c r="S410" s="134">
        <v>17.62</v>
      </c>
      <c r="T410" s="151">
        <v>41842</v>
      </c>
      <c r="U410" s="194">
        <v>13.5</v>
      </c>
      <c r="V410" s="151">
        <v>41838</v>
      </c>
      <c r="W410" s="196">
        <v>1</v>
      </c>
      <c r="X410" s="151">
        <v>41829</v>
      </c>
      <c r="Y410" s="134">
        <f t="shared" si="6"/>
        <v>6.2470299999999996</v>
      </c>
      <c r="AA410" s="194"/>
      <c r="AC410" s="194">
        <v>38.89</v>
      </c>
      <c r="AD410" s="151">
        <v>41838</v>
      </c>
      <c r="AE410" s="137">
        <v>39.79</v>
      </c>
      <c r="AF410" s="151">
        <v>41838</v>
      </c>
      <c r="AG410" s="197">
        <v>4.8</v>
      </c>
      <c r="AH410" s="151">
        <v>41843</v>
      </c>
      <c r="AI410" s="198">
        <v>5</v>
      </c>
      <c r="AJ410" s="151">
        <v>41778</v>
      </c>
      <c r="AK410" s="199">
        <v>4</v>
      </c>
      <c r="AL410" s="151">
        <v>41709</v>
      </c>
      <c r="AM410" s="194"/>
      <c r="BE410" s="200">
        <v>4</v>
      </c>
      <c r="BF410" s="201">
        <v>41555</v>
      </c>
      <c r="BG410" s="203">
        <v>-1</v>
      </c>
      <c r="BH410" s="151">
        <v>41842</v>
      </c>
      <c r="BM410" s="204">
        <v>66.2</v>
      </c>
      <c r="BN410" s="151">
        <v>41842</v>
      </c>
      <c r="BQ410" s="205">
        <v>10.3</v>
      </c>
      <c r="BR410" s="151">
        <v>41842</v>
      </c>
      <c r="BS410" s="206">
        <v>44.3</v>
      </c>
      <c r="BT410" s="151">
        <v>41842</v>
      </c>
      <c r="BU410" s="207">
        <v>15.7</v>
      </c>
      <c r="BV410" s="151">
        <v>41842</v>
      </c>
      <c r="BW410" s="206">
        <v>19.7</v>
      </c>
      <c r="BX410" s="151">
        <v>41842</v>
      </c>
      <c r="BY410" s="210">
        <v>7.59</v>
      </c>
      <c r="BZ410" s="151">
        <v>41842</v>
      </c>
      <c r="CA410" s="206">
        <v>33.6</v>
      </c>
      <c r="CB410" s="151">
        <v>41842</v>
      </c>
      <c r="CC410" s="208">
        <v>6.9</v>
      </c>
      <c r="CD410" s="151">
        <v>41838</v>
      </c>
      <c r="CL410" s="209">
        <v>3</v>
      </c>
      <c r="CM410" s="201">
        <v>41810</v>
      </c>
    </row>
    <row r="411" spans="1:91" ht="15">
      <c r="A411" s="152" t="s">
        <v>7964</v>
      </c>
      <c r="B411" s="110" t="s">
        <v>233</v>
      </c>
      <c r="C411" s="110" t="s">
        <v>381</v>
      </c>
      <c r="D411" s="110">
        <v>11046</v>
      </c>
      <c r="E411" s="111">
        <v>3</v>
      </c>
      <c r="F411" s="111">
        <v>517</v>
      </c>
      <c r="K411" s="134">
        <v>5</v>
      </c>
      <c r="L411" s="151">
        <v>41701</v>
      </c>
      <c r="M411" s="169">
        <v>3.5</v>
      </c>
      <c r="N411" s="151">
        <v>41838</v>
      </c>
      <c r="Q411" s="497"/>
      <c r="S411" s="134">
        <v>12.21</v>
      </c>
      <c r="T411" s="151">
        <v>41842</v>
      </c>
      <c r="U411" s="134">
        <v>13.5</v>
      </c>
      <c r="V411" s="151">
        <v>41838</v>
      </c>
      <c r="W411" s="196">
        <v>9</v>
      </c>
      <c r="X411" s="151">
        <v>41829</v>
      </c>
      <c r="Y411" s="134">
        <f t="shared" si="6"/>
        <v>3.8519999999999999</v>
      </c>
      <c r="AC411" s="134">
        <v>25.93</v>
      </c>
      <c r="AD411" s="151">
        <v>41838</v>
      </c>
      <c r="AE411" s="134">
        <v>26.75</v>
      </c>
      <c r="AF411" s="151">
        <v>41838</v>
      </c>
      <c r="AG411" s="197">
        <v>5</v>
      </c>
      <c r="AH411" s="151">
        <v>41843</v>
      </c>
      <c r="AI411" s="198">
        <v>5</v>
      </c>
      <c r="AJ411" s="151">
        <v>41778</v>
      </c>
      <c r="AK411" s="199">
        <v>4</v>
      </c>
      <c r="AL411" s="151">
        <v>41709</v>
      </c>
      <c r="BE411" s="200">
        <v>4</v>
      </c>
      <c r="BF411" s="201">
        <v>41555</v>
      </c>
      <c r="BG411" s="203">
        <v>-2.2999999999999998</v>
      </c>
      <c r="BH411" s="151">
        <v>41842</v>
      </c>
      <c r="BM411" s="204">
        <v>66.400000000000006</v>
      </c>
      <c r="BN411" s="151">
        <v>41842</v>
      </c>
      <c r="BQ411" s="205">
        <v>10.1</v>
      </c>
      <c r="BR411" s="151">
        <v>41842</v>
      </c>
      <c r="BS411" s="206">
        <v>45.6</v>
      </c>
      <c r="BT411" s="151">
        <v>41842</v>
      </c>
      <c r="BU411" s="207">
        <v>14.4</v>
      </c>
      <c r="BV411" s="151">
        <v>41842</v>
      </c>
      <c r="BW411" s="206">
        <v>19.600000000000001</v>
      </c>
      <c r="BX411" s="151">
        <v>41842</v>
      </c>
      <c r="BY411" s="210">
        <v>7.27</v>
      </c>
      <c r="BZ411" s="151">
        <v>41842</v>
      </c>
      <c r="CA411" s="206">
        <v>31.7</v>
      </c>
      <c r="CB411" s="151">
        <v>41842</v>
      </c>
      <c r="CC411" s="208">
        <v>6.1</v>
      </c>
      <c r="CD411" s="151">
        <v>41838</v>
      </c>
      <c r="CL411" s="209">
        <v>3</v>
      </c>
      <c r="CM411" s="201">
        <v>41810</v>
      </c>
    </row>
    <row r="412" spans="1:91" ht="15">
      <c r="A412" s="152" t="s">
        <v>7964</v>
      </c>
      <c r="B412" s="110" t="s">
        <v>235</v>
      </c>
      <c r="C412" s="110" t="s">
        <v>8081</v>
      </c>
      <c r="D412" s="110">
        <v>11215</v>
      </c>
      <c r="E412" s="111">
        <v>7</v>
      </c>
      <c r="F412" s="111">
        <v>617</v>
      </c>
      <c r="K412" s="134">
        <v>5</v>
      </c>
      <c r="L412" s="151">
        <v>41701</v>
      </c>
      <c r="M412" s="169">
        <v>5.15</v>
      </c>
      <c r="N412" s="151">
        <v>41838</v>
      </c>
      <c r="Q412" s="497"/>
      <c r="S412" s="134">
        <v>17.649999999999999</v>
      </c>
      <c r="T412" s="151">
        <v>41842</v>
      </c>
      <c r="U412" s="134">
        <v>13.5</v>
      </c>
      <c r="V412" s="151">
        <v>41838</v>
      </c>
      <c r="W412" s="196">
        <v>9</v>
      </c>
      <c r="X412" s="151">
        <v>41829</v>
      </c>
      <c r="Y412" s="134">
        <f t="shared" si="6"/>
        <v>5.6840000000000011</v>
      </c>
      <c r="AC412" s="134">
        <v>38.15</v>
      </c>
      <c r="AD412" s="151">
        <v>41838</v>
      </c>
      <c r="AE412" s="134">
        <v>39.200000000000003</v>
      </c>
      <c r="AF412" s="151">
        <v>41838</v>
      </c>
      <c r="AG412" s="197">
        <v>5</v>
      </c>
      <c r="AH412" s="151">
        <v>41843</v>
      </c>
      <c r="AI412" s="198">
        <v>5</v>
      </c>
      <c r="AJ412" s="151">
        <v>41778</v>
      </c>
      <c r="AK412" s="199">
        <v>4</v>
      </c>
      <c r="AL412" s="151">
        <v>41709</v>
      </c>
      <c r="BE412" s="200">
        <v>4</v>
      </c>
      <c r="BF412" s="201">
        <v>41555</v>
      </c>
      <c r="BG412" s="203">
        <v>-2.8</v>
      </c>
      <c r="BH412" s="151">
        <v>41842</v>
      </c>
      <c r="BM412" s="204">
        <v>66.5</v>
      </c>
      <c r="BN412" s="151">
        <v>41842</v>
      </c>
      <c r="BQ412" s="205">
        <v>9.8000000000000007</v>
      </c>
      <c r="BR412" s="151">
        <v>41842</v>
      </c>
      <c r="BS412" s="206">
        <v>45</v>
      </c>
      <c r="BT412" s="151">
        <v>41842</v>
      </c>
      <c r="BU412" s="207">
        <v>14.5</v>
      </c>
      <c r="BV412" s="151">
        <v>41842</v>
      </c>
      <c r="BW412" s="206">
        <v>22.3</v>
      </c>
      <c r="BX412" s="151">
        <v>41842</v>
      </c>
      <c r="BY412" s="210">
        <v>7.43</v>
      </c>
      <c r="BZ412" s="151">
        <v>41842</v>
      </c>
      <c r="CA412" s="206">
        <v>31.6</v>
      </c>
      <c r="CB412" s="151">
        <v>41842</v>
      </c>
      <c r="CC412" s="208">
        <v>6.5</v>
      </c>
      <c r="CD412" s="151">
        <v>41838</v>
      </c>
      <c r="CL412" s="209">
        <v>3</v>
      </c>
      <c r="CM412" s="201">
        <v>41810</v>
      </c>
    </row>
    <row r="413" spans="1:91" ht="15">
      <c r="A413" s="152" t="s">
        <v>7964</v>
      </c>
      <c r="B413" s="110" t="s">
        <v>233</v>
      </c>
      <c r="C413" s="110" t="s">
        <v>8083</v>
      </c>
      <c r="D413" s="110">
        <v>11816</v>
      </c>
      <c r="E413" s="111">
        <v>12</v>
      </c>
      <c r="F413" s="111">
        <v>721</v>
      </c>
      <c r="K413" s="191">
        <v>3</v>
      </c>
      <c r="L413" s="151">
        <v>41701</v>
      </c>
      <c r="M413" s="169">
        <v>4.0999999999999996</v>
      </c>
      <c r="N413" s="151">
        <v>41838</v>
      </c>
      <c r="Q413" s="497"/>
      <c r="S413" s="134">
        <v>14.19</v>
      </c>
      <c r="T413" s="151">
        <v>41842</v>
      </c>
      <c r="U413" s="134">
        <v>13.5</v>
      </c>
      <c r="V413" s="151">
        <v>41838</v>
      </c>
      <c r="W413" s="196">
        <v>9</v>
      </c>
      <c r="X413" s="151">
        <v>41829</v>
      </c>
      <c r="Y413" s="134">
        <f t="shared" si="6"/>
        <v>4.5697999999999999</v>
      </c>
      <c r="AC413" s="134">
        <v>30.37</v>
      </c>
      <c r="AD413" s="151">
        <v>41838</v>
      </c>
      <c r="AE413" s="134">
        <v>31.3</v>
      </c>
      <c r="AF413" s="151">
        <v>41838</v>
      </c>
      <c r="AG413" s="197">
        <v>5.4</v>
      </c>
      <c r="AH413" s="151">
        <v>41843</v>
      </c>
      <c r="AI413" s="198">
        <v>5</v>
      </c>
      <c r="AJ413" s="151">
        <v>41778</v>
      </c>
      <c r="AK413" s="199">
        <v>4</v>
      </c>
      <c r="AL413" s="151">
        <v>41709</v>
      </c>
      <c r="BE413" s="200">
        <v>4</v>
      </c>
      <c r="BF413" s="201">
        <v>41555</v>
      </c>
      <c r="BG413" s="203">
        <v>-4.7</v>
      </c>
      <c r="BH413" s="151">
        <v>41842</v>
      </c>
      <c r="BM413" s="204">
        <v>66.400000000000006</v>
      </c>
      <c r="BN413" s="151">
        <v>41842</v>
      </c>
      <c r="BQ413" s="205">
        <v>10.1</v>
      </c>
      <c r="BR413" s="151">
        <v>41842</v>
      </c>
      <c r="BS413" s="206">
        <v>45.3</v>
      </c>
      <c r="BT413" s="151">
        <v>41842</v>
      </c>
      <c r="BU413" s="207">
        <v>14.6</v>
      </c>
      <c r="BV413" s="151">
        <v>41842</v>
      </c>
      <c r="BW413" s="206">
        <v>20.7</v>
      </c>
      <c r="BX413" s="151">
        <v>41842</v>
      </c>
      <c r="BY413" s="210">
        <v>7.24</v>
      </c>
      <c r="BZ413" s="151">
        <v>41842</v>
      </c>
      <c r="CA413" s="206">
        <v>32</v>
      </c>
      <c r="CB413" s="151">
        <v>41842</v>
      </c>
      <c r="CC413" s="208">
        <v>6.2</v>
      </c>
      <c r="CD413" s="151">
        <v>41838</v>
      </c>
      <c r="CL413" s="209">
        <v>3</v>
      </c>
      <c r="CM413" s="201">
        <v>41810</v>
      </c>
    </row>
    <row r="414" spans="1:91" ht="15">
      <c r="A414" s="152" t="s">
        <v>7965</v>
      </c>
      <c r="B414" s="110" t="s">
        <v>233</v>
      </c>
      <c r="C414" s="110" t="s">
        <v>381</v>
      </c>
      <c r="D414" s="110">
        <v>11130</v>
      </c>
      <c r="E414" s="111">
        <v>5</v>
      </c>
      <c r="F414" s="111">
        <v>565</v>
      </c>
      <c r="K414" s="134">
        <v>5</v>
      </c>
      <c r="L414" s="151">
        <v>41701</v>
      </c>
      <c r="M414" s="169">
        <v>4.3499999999999996</v>
      </c>
      <c r="N414" s="151">
        <v>41838</v>
      </c>
      <c r="Q414" s="497"/>
      <c r="S414" s="134">
        <v>16.309999999999999</v>
      </c>
      <c r="T414" s="151">
        <v>41842</v>
      </c>
      <c r="U414" s="134">
        <v>13.5</v>
      </c>
      <c r="V414" s="151">
        <v>41838</v>
      </c>
      <c r="W414" s="196">
        <v>9</v>
      </c>
      <c r="X414" s="151">
        <v>41829</v>
      </c>
      <c r="Y414" s="134">
        <f t="shared" si="6"/>
        <v>4.17</v>
      </c>
      <c r="AC414" s="134">
        <v>32.22</v>
      </c>
      <c r="AD414" s="151">
        <v>41838</v>
      </c>
      <c r="AE414" s="134">
        <v>33.36</v>
      </c>
      <c r="AF414" s="151">
        <v>41838</v>
      </c>
      <c r="AG414" s="197">
        <v>4.7</v>
      </c>
      <c r="AH414" s="151">
        <v>41843</v>
      </c>
      <c r="AI414" s="198">
        <v>5</v>
      </c>
      <c r="AJ414" s="151">
        <v>41778</v>
      </c>
      <c r="AK414" s="199">
        <v>4</v>
      </c>
      <c r="AL414" s="151">
        <v>41709</v>
      </c>
      <c r="BE414" s="200">
        <v>4</v>
      </c>
      <c r="BF414" s="201">
        <v>41555</v>
      </c>
      <c r="BG414" s="203">
        <v>-4.5</v>
      </c>
      <c r="BH414" s="151">
        <v>41842</v>
      </c>
      <c r="BM414" s="204">
        <v>64.7</v>
      </c>
      <c r="BN414" s="151">
        <v>41842</v>
      </c>
      <c r="BQ414" s="205">
        <v>10.199999999999999</v>
      </c>
      <c r="BR414" s="151">
        <v>41842</v>
      </c>
      <c r="BS414" s="206">
        <v>48.9</v>
      </c>
      <c r="BT414" s="151">
        <v>41842</v>
      </c>
      <c r="BU414" s="207">
        <v>12.5</v>
      </c>
      <c r="BV414" s="151">
        <v>41842</v>
      </c>
      <c r="BW414" s="206">
        <v>10.9</v>
      </c>
      <c r="BX414" s="151">
        <v>41842</v>
      </c>
      <c r="BY414" s="210">
        <v>7.26</v>
      </c>
      <c r="BZ414" s="151">
        <v>41842</v>
      </c>
      <c r="CA414" s="206">
        <v>29.8</v>
      </c>
      <c r="CB414" s="151">
        <v>41842</v>
      </c>
      <c r="CC414" s="208">
        <v>5.8</v>
      </c>
      <c r="CD414" s="151">
        <v>41838</v>
      </c>
      <c r="CL414" s="209">
        <v>3</v>
      </c>
      <c r="CM414" s="201">
        <v>41810</v>
      </c>
    </row>
    <row r="415" spans="1:91" ht="15">
      <c r="A415" s="152" t="s">
        <v>7965</v>
      </c>
      <c r="B415" s="110" t="s">
        <v>235</v>
      </c>
      <c r="C415" s="110" t="s">
        <v>8082</v>
      </c>
      <c r="D415" s="110">
        <v>11587</v>
      </c>
      <c r="E415" s="111">
        <v>6</v>
      </c>
      <c r="F415" s="111">
        <v>669</v>
      </c>
      <c r="K415" s="134">
        <v>5</v>
      </c>
      <c r="L415" s="151">
        <v>41701</v>
      </c>
      <c r="M415" s="169">
        <v>5.7</v>
      </c>
      <c r="N415" s="151">
        <v>41838</v>
      </c>
      <c r="Q415" s="497"/>
      <c r="S415" s="134">
        <v>20.74</v>
      </c>
      <c r="T415" s="151">
        <v>41842</v>
      </c>
      <c r="U415" s="134">
        <v>13.5</v>
      </c>
      <c r="V415" s="151">
        <v>41838</v>
      </c>
      <c r="W415" s="196">
        <v>9</v>
      </c>
      <c r="X415" s="151">
        <v>41829</v>
      </c>
      <c r="Y415" s="134">
        <f t="shared" si="6"/>
        <v>5.9690899999999996</v>
      </c>
      <c r="AC415" s="134">
        <v>42.22</v>
      </c>
      <c r="AD415" s="151">
        <v>41838</v>
      </c>
      <c r="AE415" s="134">
        <v>43.57</v>
      </c>
      <c r="AF415" s="151">
        <v>41838</v>
      </c>
      <c r="AG415" s="197">
        <v>4.7</v>
      </c>
      <c r="AH415" s="151">
        <v>41843</v>
      </c>
      <c r="AI415" s="198">
        <v>5</v>
      </c>
      <c r="AJ415" s="151">
        <v>41778</v>
      </c>
      <c r="AK415" s="199">
        <v>4</v>
      </c>
      <c r="AL415" s="151">
        <v>41709</v>
      </c>
      <c r="BE415" s="200">
        <v>4</v>
      </c>
      <c r="BF415" s="201">
        <v>41555</v>
      </c>
      <c r="BG415" s="203">
        <v>-3.7</v>
      </c>
      <c r="BH415" s="151">
        <v>41842</v>
      </c>
      <c r="BM415" s="204">
        <v>64</v>
      </c>
      <c r="BN415" s="151">
        <v>41842</v>
      </c>
      <c r="BQ415" s="205">
        <v>10.5</v>
      </c>
      <c r="BR415" s="151">
        <v>41842</v>
      </c>
      <c r="BS415" s="206">
        <v>47.6</v>
      </c>
      <c r="BT415" s="151">
        <v>41842</v>
      </c>
      <c r="BU415" s="207">
        <v>13.7</v>
      </c>
      <c r="BV415" s="151">
        <v>41842</v>
      </c>
      <c r="BW415" s="206">
        <v>12.7</v>
      </c>
      <c r="BX415" s="151">
        <v>41842</v>
      </c>
      <c r="BY415" s="210">
        <v>7.12</v>
      </c>
      <c r="BZ415" s="151">
        <v>41842</v>
      </c>
      <c r="CA415" s="206">
        <v>31.5</v>
      </c>
      <c r="CB415" s="151">
        <v>41842</v>
      </c>
      <c r="CC415" s="208">
        <v>6.1</v>
      </c>
      <c r="CD415" s="151">
        <v>41838</v>
      </c>
      <c r="CL415" s="209">
        <v>3</v>
      </c>
      <c r="CM415" s="201">
        <v>41810</v>
      </c>
    </row>
    <row r="416" spans="1:91" ht="15">
      <c r="A416" s="152" t="s">
        <v>7965</v>
      </c>
      <c r="B416" s="110" t="s">
        <v>233</v>
      </c>
      <c r="C416" s="110" t="s">
        <v>8083</v>
      </c>
      <c r="D416" s="110">
        <v>11742</v>
      </c>
      <c r="E416" s="111">
        <v>10</v>
      </c>
      <c r="F416" s="111">
        <v>713</v>
      </c>
      <c r="K416" s="134">
        <v>5</v>
      </c>
      <c r="L416" s="151">
        <v>41701</v>
      </c>
      <c r="M416" s="169">
        <v>3.95</v>
      </c>
      <c r="N416" s="151">
        <v>41838</v>
      </c>
      <c r="Q416" s="497"/>
      <c r="S416" s="134">
        <v>14.84</v>
      </c>
      <c r="T416" s="151">
        <v>41842</v>
      </c>
      <c r="U416" s="134">
        <v>13.5</v>
      </c>
      <c r="V416" s="151">
        <v>41838</v>
      </c>
      <c r="W416" s="196">
        <v>9</v>
      </c>
      <c r="X416" s="151">
        <v>41829</v>
      </c>
      <c r="Y416" s="134">
        <f t="shared" si="6"/>
        <v>3.8771199999999997</v>
      </c>
      <c r="AC416" s="134">
        <v>29.26</v>
      </c>
      <c r="AD416" s="151">
        <v>41838</v>
      </c>
      <c r="AE416" s="134">
        <v>30.29</v>
      </c>
      <c r="AF416" s="151">
        <v>41838</v>
      </c>
      <c r="AG416" s="197">
        <v>4.9000000000000004</v>
      </c>
      <c r="AH416" s="151">
        <v>41843</v>
      </c>
      <c r="AI416" s="198">
        <v>5</v>
      </c>
      <c r="AJ416" s="151">
        <v>41778</v>
      </c>
      <c r="AK416" s="199">
        <v>5</v>
      </c>
      <c r="AL416" s="151">
        <v>41709</v>
      </c>
      <c r="BE416" s="200">
        <v>5</v>
      </c>
      <c r="BF416" s="201">
        <v>41555</v>
      </c>
      <c r="BG416" s="203">
        <v>-4.0999999999999996</v>
      </c>
      <c r="BH416" s="151">
        <v>41842</v>
      </c>
      <c r="BM416" s="204">
        <v>65.2</v>
      </c>
      <c r="BN416" s="151">
        <v>41842</v>
      </c>
      <c r="BQ416" s="205">
        <v>10.199999999999999</v>
      </c>
      <c r="BR416" s="151">
        <v>41842</v>
      </c>
      <c r="BS416" s="206">
        <v>49</v>
      </c>
      <c r="BT416" s="151">
        <v>41842</v>
      </c>
      <c r="BU416" s="207">
        <v>12.8</v>
      </c>
      <c r="BV416" s="151">
        <v>41842</v>
      </c>
      <c r="BW416" s="206">
        <v>12.2</v>
      </c>
      <c r="BX416" s="151">
        <v>41842</v>
      </c>
      <c r="BY416" s="210">
        <v>7.17</v>
      </c>
      <c r="BZ416" s="151">
        <v>41842</v>
      </c>
      <c r="CA416" s="206">
        <v>30.5</v>
      </c>
      <c r="CB416" s="151">
        <v>41842</v>
      </c>
      <c r="CC416" s="208">
        <v>5.8</v>
      </c>
      <c r="CD416" s="151">
        <v>41838</v>
      </c>
      <c r="CL416" s="209">
        <v>3</v>
      </c>
      <c r="CM416" s="201">
        <v>41810</v>
      </c>
    </row>
    <row r="417" spans="1:91" ht="15">
      <c r="A417" s="152" t="s">
        <v>7965</v>
      </c>
      <c r="B417" s="110" t="s">
        <v>235</v>
      </c>
      <c r="C417" s="110" t="s">
        <v>8081</v>
      </c>
      <c r="D417" s="110">
        <v>11374</v>
      </c>
      <c r="E417" s="111">
        <v>12</v>
      </c>
      <c r="F417" s="111">
        <v>533</v>
      </c>
      <c r="K417" s="134">
        <v>5</v>
      </c>
      <c r="L417" s="151">
        <v>41701</v>
      </c>
      <c r="M417" s="169">
        <v>5.8</v>
      </c>
      <c r="N417" s="151">
        <v>41838</v>
      </c>
      <c r="Q417" s="497"/>
      <c r="S417" s="134">
        <v>21.27</v>
      </c>
      <c r="T417" s="151">
        <v>41842</v>
      </c>
      <c r="U417" s="134">
        <v>13.5</v>
      </c>
      <c r="V417" s="151">
        <v>41838</v>
      </c>
      <c r="W417" s="196">
        <v>9</v>
      </c>
      <c r="X417" s="151">
        <v>41829</v>
      </c>
      <c r="Y417" s="134">
        <f t="shared" si="6"/>
        <v>5.8700399999999995</v>
      </c>
      <c r="AC417" s="134">
        <v>42.96</v>
      </c>
      <c r="AD417" s="151">
        <v>41838</v>
      </c>
      <c r="AE417" s="134">
        <v>44.47</v>
      </c>
      <c r="AF417" s="151">
        <v>41838</v>
      </c>
      <c r="AG417" s="197">
        <v>4.8</v>
      </c>
      <c r="AH417" s="151">
        <v>41843</v>
      </c>
      <c r="AI417" s="198">
        <v>5</v>
      </c>
      <c r="AJ417" s="151">
        <v>41778</v>
      </c>
      <c r="AK417" s="199">
        <v>5</v>
      </c>
      <c r="AL417" s="151">
        <v>41709</v>
      </c>
      <c r="BE417" s="200">
        <v>5</v>
      </c>
      <c r="BF417" s="201">
        <v>41555</v>
      </c>
      <c r="BG417" s="203">
        <v>-3.8</v>
      </c>
      <c r="BH417" s="151">
        <v>41842</v>
      </c>
      <c r="BM417" s="204">
        <v>64.599999999999994</v>
      </c>
      <c r="BN417" s="151">
        <v>41842</v>
      </c>
      <c r="BQ417" s="205">
        <v>10.3</v>
      </c>
      <c r="BR417" s="151">
        <v>41842</v>
      </c>
      <c r="BS417" s="206">
        <v>47.8</v>
      </c>
      <c r="BT417" s="151">
        <v>41842</v>
      </c>
      <c r="BU417" s="207">
        <v>13.2</v>
      </c>
      <c r="BV417" s="151">
        <v>41842</v>
      </c>
      <c r="BW417" s="206">
        <v>11.6</v>
      </c>
      <c r="BX417" s="151">
        <v>41842</v>
      </c>
      <c r="BY417" s="210">
        <v>7.23</v>
      </c>
      <c r="BZ417" s="151">
        <v>41842</v>
      </c>
      <c r="CA417" s="206">
        <v>30.5</v>
      </c>
      <c r="CB417" s="151">
        <v>41842</v>
      </c>
      <c r="CC417" s="208">
        <v>5.8</v>
      </c>
      <c r="CD417" s="151">
        <v>41838</v>
      </c>
      <c r="CL417" s="209">
        <v>3</v>
      </c>
      <c r="CM417" s="201">
        <v>41810</v>
      </c>
    </row>
    <row r="418" spans="1:91" ht="15">
      <c r="A418" s="152" t="s">
        <v>7966</v>
      </c>
      <c r="B418" s="110" t="s">
        <v>235</v>
      </c>
      <c r="C418" s="110" t="s">
        <v>8082</v>
      </c>
      <c r="D418" s="110">
        <v>11492</v>
      </c>
      <c r="E418" s="111">
        <v>3</v>
      </c>
      <c r="F418" s="111">
        <v>721</v>
      </c>
      <c r="K418" s="134">
        <v>5</v>
      </c>
      <c r="L418" s="151">
        <v>41701</v>
      </c>
      <c r="M418" s="169">
        <v>6.2</v>
      </c>
      <c r="N418" s="151">
        <v>41838</v>
      </c>
      <c r="Q418" s="497"/>
      <c r="S418" s="134">
        <v>21.13</v>
      </c>
      <c r="T418" s="151">
        <v>41842</v>
      </c>
      <c r="U418" s="134">
        <v>13.5</v>
      </c>
      <c r="V418" s="151">
        <v>41838</v>
      </c>
      <c r="W418" s="196">
        <v>9</v>
      </c>
      <c r="X418" s="151">
        <v>41829</v>
      </c>
      <c r="Y418" s="134">
        <f t="shared" si="6"/>
        <v>6.3569599999999999</v>
      </c>
      <c r="AC418" s="134">
        <v>45.93</v>
      </c>
      <c r="AD418" s="151">
        <v>41838</v>
      </c>
      <c r="AE418" s="134">
        <v>47.44</v>
      </c>
      <c r="AF418" s="151">
        <v>41838</v>
      </c>
      <c r="AG418" s="197">
        <v>5.0999999999999996</v>
      </c>
      <c r="AH418" s="151">
        <v>41843</v>
      </c>
      <c r="AI418" s="198">
        <v>5</v>
      </c>
      <c r="AJ418" s="151">
        <v>41778</v>
      </c>
      <c r="AK418" s="199">
        <v>7</v>
      </c>
      <c r="AL418" s="151">
        <v>41709</v>
      </c>
      <c r="BE418" s="200">
        <v>7</v>
      </c>
      <c r="BF418" s="201">
        <v>41555</v>
      </c>
      <c r="BG418" s="203">
        <v>-0.2</v>
      </c>
      <c r="BH418" s="151">
        <v>41842</v>
      </c>
      <c r="BM418" s="204">
        <v>63.6</v>
      </c>
      <c r="BN418" s="151">
        <v>41842</v>
      </c>
      <c r="BQ418" s="205">
        <v>10.9</v>
      </c>
      <c r="BR418" s="151">
        <v>41842</v>
      </c>
      <c r="BS418" s="206">
        <v>44.5</v>
      </c>
      <c r="BT418" s="151">
        <v>41842</v>
      </c>
      <c r="BU418" s="207">
        <v>13.4</v>
      </c>
      <c r="BV418" s="151">
        <v>41842</v>
      </c>
      <c r="BW418" s="206">
        <v>19.600000000000001</v>
      </c>
      <c r="BX418" s="151">
        <v>41842</v>
      </c>
      <c r="BY418" s="210">
        <v>7.8</v>
      </c>
      <c r="BZ418" s="151">
        <v>41842</v>
      </c>
      <c r="CA418" s="206">
        <v>28.8</v>
      </c>
      <c r="CB418" s="151">
        <v>41842</v>
      </c>
      <c r="CC418" s="208">
        <v>6</v>
      </c>
      <c r="CD418" s="151">
        <v>41838</v>
      </c>
      <c r="CL418" s="209">
        <v>3</v>
      </c>
      <c r="CM418" s="201">
        <v>41810</v>
      </c>
    </row>
    <row r="419" spans="1:91" ht="15">
      <c r="A419" s="152" t="s">
        <v>7966</v>
      </c>
      <c r="B419" s="110" t="s">
        <v>233</v>
      </c>
      <c r="C419" s="110" t="s">
        <v>381</v>
      </c>
      <c r="D419" s="110">
        <v>11142</v>
      </c>
      <c r="E419" s="111">
        <v>5</v>
      </c>
      <c r="F419" s="111">
        <v>613</v>
      </c>
      <c r="K419" s="134">
        <v>5</v>
      </c>
      <c r="L419" s="151">
        <v>41701</v>
      </c>
      <c r="M419" s="169">
        <v>4.4000000000000004</v>
      </c>
      <c r="N419" s="151">
        <v>41838</v>
      </c>
      <c r="Q419" s="497"/>
      <c r="S419" s="134">
        <v>14.79</v>
      </c>
      <c r="T419" s="151">
        <v>41842</v>
      </c>
      <c r="U419" s="134">
        <v>13.5</v>
      </c>
      <c r="V419" s="151">
        <v>41838</v>
      </c>
      <c r="W419" s="196">
        <v>1</v>
      </c>
      <c r="X419" s="151">
        <v>41829</v>
      </c>
      <c r="Y419" s="134">
        <f t="shared" si="6"/>
        <v>4.4206799999999999</v>
      </c>
      <c r="AC419" s="134">
        <v>32.590000000000003</v>
      </c>
      <c r="AD419" s="151">
        <v>41838</v>
      </c>
      <c r="AE419" s="134">
        <v>33.49</v>
      </c>
      <c r="AF419" s="151">
        <v>41838</v>
      </c>
      <c r="AG419" s="197">
        <v>4.9000000000000004</v>
      </c>
      <c r="AH419" s="151">
        <v>41843</v>
      </c>
      <c r="AI419" s="198">
        <v>3</v>
      </c>
      <c r="AJ419" s="151">
        <v>41778</v>
      </c>
      <c r="AK419" s="199">
        <v>7</v>
      </c>
      <c r="AL419" s="151">
        <v>41709</v>
      </c>
      <c r="BE419" s="200">
        <v>7</v>
      </c>
      <c r="BF419" s="201">
        <v>41555</v>
      </c>
      <c r="BG419" s="203">
        <v>-1.8</v>
      </c>
      <c r="BH419" s="151">
        <v>41842</v>
      </c>
      <c r="BM419" s="204">
        <v>64.2</v>
      </c>
      <c r="BN419" s="151">
        <v>41842</v>
      </c>
      <c r="BQ419" s="205">
        <v>11</v>
      </c>
      <c r="BR419" s="151">
        <v>41842</v>
      </c>
      <c r="BS419" s="206">
        <v>44.2</v>
      </c>
      <c r="BT419" s="151">
        <v>41842</v>
      </c>
      <c r="BU419" s="207">
        <v>13.2</v>
      </c>
      <c r="BV419" s="151">
        <v>41842</v>
      </c>
      <c r="BW419" s="206">
        <v>14.6</v>
      </c>
      <c r="BX419" s="151">
        <v>41842</v>
      </c>
      <c r="BY419" s="210">
        <v>8.0299999999999994</v>
      </c>
      <c r="BZ419" s="151">
        <v>41842</v>
      </c>
      <c r="CA419" s="206">
        <v>28.2</v>
      </c>
      <c r="CB419" s="151">
        <v>41842</v>
      </c>
      <c r="CC419" s="208">
        <v>6.5</v>
      </c>
      <c r="CD419" s="151">
        <v>41838</v>
      </c>
      <c r="CL419" s="209">
        <v>3</v>
      </c>
      <c r="CM419" s="201">
        <v>41810</v>
      </c>
    </row>
    <row r="420" spans="1:91" ht="15">
      <c r="A420" s="152" t="s">
        <v>7966</v>
      </c>
      <c r="B420" s="110" t="s">
        <v>233</v>
      </c>
      <c r="C420" s="110" t="s">
        <v>8083</v>
      </c>
      <c r="D420" s="110">
        <v>11726</v>
      </c>
      <c r="E420" s="111">
        <v>10</v>
      </c>
      <c r="F420" s="111">
        <v>649</v>
      </c>
      <c r="K420" s="134">
        <v>5</v>
      </c>
      <c r="L420" s="151">
        <v>41701</v>
      </c>
      <c r="M420" s="169">
        <v>4.3499999999999996</v>
      </c>
      <c r="N420" s="151">
        <v>41838</v>
      </c>
      <c r="Q420" s="497"/>
      <c r="S420" s="134">
        <v>15.14</v>
      </c>
      <c r="T420" s="151">
        <v>41842</v>
      </c>
      <c r="U420" s="134">
        <v>13.5</v>
      </c>
      <c r="V420" s="151">
        <v>41838</v>
      </c>
      <c r="W420" s="196">
        <v>9</v>
      </c>
      <c r="X420" s="151">
        <v>41829</v>
      </c>
      <c r="Y420" s="134">
        <f t="shared" si="6"/>
        <v>4.1453199999999999</v>
      </c>
      <c r="AC420" s="134">
        <v>32.22</v>
      </c>
      <c r="AD420" s="151">
        <v>41838</v>
      </c>
      <c r="AE420" s="134">
        <v>33.43</v>
      </c>
      <c r="AF420" s="151">
        <v>41838</v>
      </c>
      <c r="AG420" s="197">
        <v>4.9000000000000004</v>
      </c>
      <c r="AH420" s="151">
        <v>41843</v>
      </c>
      <c r="AI420" s="198">
        <v>3</v>
      </c>
      <c r="AJ420" s="151">
        <v>41778</v>
      </c>
      <c r="AK420" s="199">
        <v>7</v>
      </c>
      <c r="AL420" s="151">
        <v>41709</v>
      </c>
      <c r="BE420" s="200">
        <v>7</v>
      </c>
      <c r="BF420" s="201">
        <v>41555</v>
      </c>
      <c r="BG420" s="203">
        <v>-1.8</v>
      </c>
      <c r="BH420" s="151">
        <v>41842</v>
      </c>
      <c r="BM420" s="204">
        <v>64.2</v>
      </c>
      <c r="BN420" s="151">
        <v>41842</v>
      </c>
      <c r="BQ420" s="205">
        <v>10.6</v>
      </c>
      <c r="BR420" s="151">
        <v>41842</v>
      </c>
      <c r="BS420" s="206">
        <v>45.3</v>
      </c>
      <c r="BT420" s="151">
        <v>41842</v>
      </c>
      <c r="BU420" s="207">
        <v>12.4</v>
      </c>
      <c r="BV420" s="151">
        <v>41842</v>
      </c>
      <c r="BW420" s="206">
        <v>14.3</v>
      </c>
      <c r="BX420" s="151">
        <v>41842</v>
      </c>
      <c r="BY420" s="210">
        <v>7.93</v>
      </c>
      <c r="BZ420" s="151">
        <v>41842</v>
      </c>
      <c r="CA420" s="206">
        <v>27.1</v>
      </c>
      <c r="CB420" s="151">
        <v>41842</v>
      </c>
      <c r="CC420" s="208">
        <v>5.6</v>
      </c>
      <c r="CD420" s="151">
        <v>41838</v>
      </c>
      <c r="CL420" s="209">
        <v>3</v>
      </c>
      <c r="CM420" s="201">
        <v>41810</v>
      </c>
    </row>
    <row r="421" spans="1:91" ht="15">
      <c r="A421" s="152" t="s">
        <v>7966</v>
      </c>
      <c r="B421" s="110" t="s">
        <v>235</v>
      </c>
      <c r="C421" s="110" t="s">
        <v>8081</v>
      </c>
      <c r="D421" s="110">
        <v>11363</v>
      </c>
      <c r="E421" s="111">
        <v>12</v>
      </c>
      <c r="F421" s="111">
        <v>489</v>
      </c>
      <c r="K421" s="134">
        <v>5</v>
      </c>
      <c r="L421" s="151">
        <v>41701</v>
      </c>
      <c r="M421" s="169">
        <v>6.1</v>
      </c>
      <c r="N421" s="151">
        <v>41838</v>
      </c>
      <c r="Q421" s="497"/>
      <c r="S421" s="134">
        <v>20.85</v>
      </c>
      <c r="T421" s="151">
        <v>41842</v>
      </c>
      <c r="U421" s="134">
        <v>13.5</v>
      </c>
      <c r="V421" s="151">
        <v>41838</v>
      </c>
      <c r="W421" s="196">
        <v>9</v>
      </c>
      <c r="X421" s="151">
        <v>41829</v>
      </c>
      <c r="Y421" s="134">
        <f t="shared" si="6"/>
        <v>6.1419600000000001</v>
      </c>
      <c r="AC421" s="134">
        <v>45.19</v>
      </c>
      <c r="AD421" s="151">
        <v>41838</v>
      </c>
      <c r="AE421" s="134">
        <v>46.53</v>
      </c>
      <c r="AF421" s="151">
        <v>41838</v>
      </c>
      <c r="AG421" s="197">
        <v>4.9000000000000004</v>
      </c>
      <c r="AH421" s="151">
        <v>41843</v>
      </c>
      <c r="AI421" s="198">
        <v>3</v>
      </c>
      <c r="AJ421" s="151">
        <v>41778</v>
      </c>
      <c r="AK421" s="199">
        <v>7</v>
      </c>
      <c r="AL421" s="151">
        <v>41709</v>
      </c>
      <c r="BE421" s="200">
        <v>7</v>
      </c>
      <c r="BF421" s="201">
        <v>41555</v>
      </c>
      <c r="BG421" s="203">
        <v>-2.1</v>
      </c>
      <c r="BH421" s="151">
        <v>41842</v>
      </c>
      <c r="BM421" s="204">
        <v>64.900000000000006</v>
      </c>
      <c r="BN421" s="151">
        <v>41842</v>
      </c>
      <c r="BQ421" s="205">
        <v>10.8</v>
      </c>
      <c r="BR421" s="151">
        <v>41842</v>
      </c>
      <c r="BS421" s="206">
        <v>44.8</v>
      </c>
      <c r="BT421" s="151">
        <v>41842</v>
      </c>
      <c r="BU421" s="207">
        <v>13.2</v>
      </c>
      <c r="BV421" s="151">
        <v>41842</v>
      </c>
      <c r="BW421" s="206">
        <v>15.9</v>
      </c>
      <c r="BX421" s="151">
        <v>41842</v>
      </c>
      <c r="BY421" s="210">
        <v>7.82</v>
      </c>
      <c r="BZ421" s="151">
        <v>41842</v>
      </c>
      <c r="CA421" s="206">
        <v>28.5</v>
      </c>
      <c r="CB421" s="151">
        <v>41842</v>
      </c>
      <c r="CC421" s="208">
        <v>6.3</v>
      </c>
      <c r="CD421" s="151">
        <v>41838</v>
      </c>
      <c r="CL421" s="209">
        <v>3</v>
      </c>
      <c r="CM421" s="201">
        <v>41810</v>
      </c>
    </row>
    <row r="422" spans="1:91" ht="15">
      <c r="A422" s="152" t="s">
        <v>7967</v>
      </c>
      <c r="B422" s="110" t="s">
        <v>235</v>
      </c>
      <c r="C422" s="110" t="s">
        <v>8082</v>
      </c>
      <c r="D422" s="110">
        <v>11513</v>
      </c>
      <c r="E422" s="111">
        <v>4</v>
      </c>
      <c r="F422" s="111">
        <v>661</v>
      </c>
      <c r="K422" s="134">
        <v>5</v>
      </c>
      <c r="L422" s="151">
        <v>41701</v>
      </c>
      <c r="M422" s="169">
        <v>4.5999999999999996</v>
      </c>
      <c r="N422" s="151">
        <v>41838</v>
      </c>
      <c r="Q422" s="497"/>
      <c r="S422" s="134">
        <v>16.37</v>
      </c>
      <c r="T422" s="151">
        <v>41842</v>
      </c>
      <c r="U422" s="134">
        <v>13.5</v>
      </c>
      <c r="V422" s="151">
        <v>41838</v>
      </c>
      <c r="W422" s="196">
        <v>1</v>
      </c>
      <c r="X422" s="151">
        <v>41829</v>
      </c>
      <c r="Y422" s="134">
        <f t="shared" si="6"/>
        <v>5.0026599999999988</v>
      </c>
      <c r="AC422" s="134">
        <v>34.07</v>
      </c>
      <c r="AD422" s="151">
        <v>41838</v>
      </c>
      <c r="AE422" s="134">
        <v>35.229999999999997</v>
      </c>
      <c r="AF422" s="151">
        <v>41838</v>
      </c>
      <c r="AG422" s="197">
        <v>4.5</v>
      </c>
      <c r="AH422" s="151">
        <v>41843</v>
      </c>
      <c r="AI422" s="198">
        <v>5</v>
      </c>
      <c r="AJ422" s="151">
        <v>41778</v>
      </c>
      <c r="AK422" s="199">
        <v>5</v>
      </c>
      <c r="AL422" s="151">
        <v>41709</v>
      </c>
      <c r="BE422" s="200">
        <v>5</v>
      </c>
      <c r="BF422" s="201">
        <v>41555</v>
      </c>
      <c r="BG422" s="203">
        <v>-2.2000000000000002</v>
      </c>
      <c r="BH422" s="151">
        <v>41842</v>
      </c>
      <c r="BM422" s="204">
        <v>64.599999999999994</v>
      </c>
      <c r="BN422" s="151">
        <v>41842</v>
      </c>
      <c r="BQ422" s="205">
        <v>10.5</v>
      </c>
      <c r="BR422" s="151">
        <v>41842</v>
      </c>
      <c r="BS422" s="206">
        <v>46.5</v>
      </c>
      <c r="BT422" s="151">
        <v>41842</v>
      </c>
      <c r="BU422" s="207">
        <v>14.2</v>
      </c>
      <c r="BV422" s="151">
        <v>41842</v>
      </c>
      <c r="BW422" s="206">
        <v>15.2</v>
      </c>
      <c r="BX422" s="151">
        <v>41842</v>
      </c>
      <c r="BY422" s="210">
        <v>7.34</v>
      </c>
      <c r="BZ422" s="151">
        <v>41842</v>
      </c>
      <c r="CA422" s="206">
        <v>31.8</v>
      </c>
      <c r="CB422" s="151">
        <v>41842</v>
      </c>
      <c r="CC422" s="208">
        <v>5.9</v>
      </c>
      <c r="CD422" s="151">
        <v>41838</v>
      </c>
      <c r="CL422" s="209">
        <v>3</v>
      </c>
      <c r="CM422" s="201">
        <v>41810</v>
      </c>
    </row>
    <row r="423" spans="1:91" ht="15">
      <c r="A423" s="152" t="s">
        <v>7967</v>
      </c>
      <c r="B423" s="110" t="s">
        <v>233</v>
      </c>
      <c r="C423" s="110" t="s">
        <v>381</v>
      </c>
      <c r="D423" s="110">
        <v>11134</v>
      </c>
      <c r="E423" s="111">
        <v>5</v>
      </c>
      <c r="F423" s="111">
        <v>581</v>
      </c>
      <c r="K423" s="134">
        <v>5</v>
      </c>
      <c r="L423" s="151">
        <v>41701</v>
      </c>
      <c r="M423" s="169">
        <v>3.6</v>
      </c>
      <c r="N423" s="151">
        <v>41838</v>
      </c>
      <c r="Q423" s="497"/>
      <c r="S423" s="134">
        <v>12.94</v>
      </c>
      <c r="T423" s="151">
        <v>41842</v>
      </c>
      <c r="U423" s="134">
        <v>13.5</v>
      </c>
      <c r="V423" s="151">
        <v>41838</v>
      </c>
      <c r="W423" s="196">
        <v>1</v>
      </c>
      <c r="X423" s="151">
        <v>41829</v>
      </c>
      <c r="Y423" s="134">
        <f t="shared" si="6"/>
        <v>3.9510899999999998</v>
      </c>
      <c r="AC423" s="134">
        <v>26.67</v>
      </c>
      <c r="AD423" s="151">
        <v>41838</v>
      </c>
      <c r="AE423" s="134">
        <v>27.63</v>
      </c>
      <c r="AF423" s="151">
        <v>41838</v>
      </c>
      <c r="AG423" s="197">
        <v>4.5</v>
      </c>
      <c r="AH423" s="151">
        <v>41843</v>
      </c>
      <c r="AI423" s="198">
        <v>5</v>
      </c>
      <c r="AJ423" s="151">
        <v>41778</v>
      </c>
      <c r="AK423" s="199">
        <v>5</v>
      </c>
      <c r="AL423" s="151">
        <v>41709</v>
      </c>
      <c r="BE423" s="200">
        <v>5</v>
      </c>
      <c r="BF423" s="201">
        <v>41555</v>
      </c>
      <c r="BG423" s="203">
        <v>-1.4</v>
      </c>
      <c r="BH423" s="151">
        <v>41842</v>
      </c>
      <c r="BM423" s="204">
        <v>65.400000000000006</v>
      </c>
      <c r="BN423" s="151">
        <v>41842</v>
      </c>
      <c r="BQ423" s="205">
        <v>9.9</v>
      </c>
      <c r="BR423" s="151">
        <v>41842</v>
      </c>
      <c r="BS423" s="206">
        <v>46.8</v>
      </c>
      <c r="BT423" s="151">
        <v>41842</v>
      </c>
      <c r="BU423" s="207">
        <v>14.3</v>
      </c>
      <c r="BV423" s="151">
        <v>41842</v>
      </c>
      <c r="BW423" s="206">
        <v>18.2</v>
      </c>
      <c r="BX423" s="151">
        <v>41842</v>
      </c>
      <c r="BY423" s="210">
        <v>7.29</v>
      </c>
      <c r="BZ423" s="151">
        <v>41842</v>
      </c>
      <c r="CA423" s="206">
        <v>32.299999999999997</v>
      </c>
      <c r="CB423" s="151">
        <v>41842</v>
      </c>
      <c r="CC423" s="208">
        <v>5.7</v>
      </c>
      <c r="CD423" s="151">
        <v>41838</v>
      </c>
      <c r="CL423" s="209">
        <v>3</v>
      </c>
      <c r="CM423" s="201">
        <v>41810</v>
      </c>
    </row>
    <row r="424" spans="1:91" ht="15">
      <c r="A424" s="152" t="s">
        <v>7967</v>
      </c>
      <c r="B424" s="110" t="s">
        <v>235</v>
      </c>
      <c r="C424" s="110" t="s">
        <v>8081</v>
      </c>
      <c r="D424" s="110">
        <v>11340</v>
      </c>
      <c r="E424" s="111">
        <v>11</v>
      </c>
      <c r="F424" s="111">
        <v>541</v>
      </c>
      <c r="K424" s="134">
        <v>5</v>
      </c>
      <c r="L424" s="151">
        <v>41701</v>
      </c>
      <c r="M424" s="169">
        <v>4.75</v>
      </c>
      <c r="N424" s="151">
        <v>41838</v>
      </c>
      <c r="Q424" s="497"/>
      <c r="S424" s="134">
        <v>16.79</v>
      </c>
      <c r="T424" s="151">
        <v>41842</v>
      </c>
      <c r="U424" s="134">
        <v>13.5</v>
      </c>
      <c r="V424" s="151">
        <v>41838</v>
      </c>
      <c r="W424" s="196">
        <v>9</v>
      </c>
      <c r="X424" s="151">
        <v>41829</v>
      </c>
      <c r="Y424" s="134">
        <f t="shared" si="6"/>
        <v>5.4994199999999998</v>
      </c>
      <c r="AC424" s="134">
        <v>35.19</v>
      </c>
      <c r="AD424" s="151">
        <v>41838</v>
      </c>
      <c r="AE424" s="134">
        <v>36.42</v>
      </c>
      <c r="AF424" s="151">
        <v>41838</v>
      </c>
      <c r="AG424" s="197">
        <v>4.4000000000000004</v>
      </c>
      <c r="AH424" s="151">
        <v>41843</v>
      </c>
      <c r="AI424" s="198">
        <v>5</v>
      </c>
      <c r="AJ424" s="151">
        <v>41778</v>
      </c>
      <c r="AK424" s="199">
        <v>5</v>
      </c>
      <c r="AL424" s="151">
        <v>41709</v>
      </c>
      <c r="BE424" s="200">
        <v>5</v>
      </c>
      <c r="BF424" s="201">
        <v>41555</v>
      </c>
      <c r="BG424" s="203">
        <v>-3.4</v>
      </c>
      <c r="BH424" s="151">
        <v>41842</v>
      </c>
      <c r="BM424" s="204">
        <v>64.3</v>
      </c>
      <c r="BN424" s="151">
        <v>41842</v>
      </c>
      <c r="BQ424" s="205">
        <v>10</v>
      </c>
      <c r="BR424" s="151">
        <v>41842</v>
      </c>
      <c r="BS424" s="206">
        <v>46.1</v>
      </c>
      <c r="BT424" s="151">
        <v>41842</v>
      </c>
      <c r="BU424" s="207">
        <v>15.1</v>
      </c>
      <c r="BV424" s="151">
        <v>41842</v>
      </c>
      <c r="BW424" s="206">
        <v>14.1</v>
      </c>
      <c r="BX424" s="151">
        <v>41842</v>
      </c>
      <c r="BY424" s="210">
        <v>7.46</v>
      </c>
      <c r="BZ424" s="151">
        <v>41842</v>
      </c>
      <c r="CA424" s="206">
        <v>33.700000000000003</v>
      </c>
      <c r="CB424" s="151">
        <v>41842</v>
      </c>
      <c r="CC424" s="208">
        <v>5.8</v>
      </c>
      <c r="CD424" s="151">
        <v>41838</v>
      </c>
      <c r="CL424" s="209">
        <v>5</v>
      </c>
      <c r="CM424" s="201">
        <v>41810</v>
      </c>
    </row>
    <row r="425" spans="1:91" ht="15">
      <c r="A425" s="152" t="s">
        <v>7967</v>
      </c>
      <c r="B425" s="110" t="s">
        <v>233</v>
      </c>
      <c r="C425" s="110" t="s">
        <v>8083</v>
      </c>
      <c r="D425" s="110">
        <v>11822</v>
      </c>
      <c r="E425" s="111">
        <v>12</v>
      </c>
      <c r="F425" s="111">
        <v>745</v>
      </c>
      <c r="K425" s="134">
        <v>5</v>
      </c>
      <c r="L425" s="151">
        <v>41701</v>
      </c>
      <c r="M425" s="169">
        <v>4.1500000000000004</v>
      </c>
      <c r="N425" s="151">
        <v>41838</v>
      </c>
      <c r="Q425" s="497"/>
      <c r="S425" s="134">
        <v>14.94</v>
      </c>
      <c r="T425" s="151">
        <v>41842</v>
      </c>
      <c r="U425" s="134">
        <v>13.5</v>
      </c>
      <c r="V425" s="151">
        <v>41838</v>
      </c>
      <c r="W425" s="196">
        <v>9</v>
      </c>
      <c r="X425" s="151">
        <v>41829</v>
      </c>
      <c r="Y425" s="134">
        <f t="shared" si="6"/>
        <v>4.4226000000000001</v>
      </c>
      <c r="AC425" s="134">
        <v>30.74</v>
      </c>
      <c r="AD425" s="151">
        <v>41838</v>
      </c>
      <c r="AE425" s="134">
        <v>31.59</v>
      </c>
      <c r="AF425" s="151">
        <v>41838</v>
      </c>
      <c r="AG425" s="197">
        <v>4.4000000000000004</v>
      </c>
      <c r="AH425" s="151">
        <v>41843</v>
      </c>
      <c r="AI425" s="198">
        <v>5</v>
      </c>
      <c r="AJ425" s="151">
        <v>41778</v>
      </c>
      <c r="AK425" s="199">
        <v>7</v>
      </c>
      <c r="AL425" s="151">
        <v>41709</v>
      </c>
      <c r="BE425" s="200">
        <v>7</v>
      </c>
      <c r="BF425" s="201">
        <v>41555</v>
      </c>
      <c r="BG425" s="203">
        <v>-6.3</v>
      </c>
      <c r="BH425" s="151">
        <v>41842</v>
      </c>
      <c r="BM425" s="204">
        <v>65.5</v>
      </c>
      <c r="BN425" s="151">
        <v>41842</v>
      </c>
      <c r="BQ425" s="205">
        <v>10.3</v>
      </c>
      <c r="BR425" s="151">
        <v>41842</v>
      </c>
      <c r="BS425" s="206">
        <v>47.3</v>
      </c>
      <c r="BT425" s="151">
        <v>41842</v>
      </c>
      <c r="BU425" s="207">
        <v>14</v>
      </c>
      <c r="BV425" s="151">
        <v>41842</v>
      </c>
      <c r="BW425" s="206">
        <v>15.5</v>
      </c>
      <c r="BX425" s="151">
        <v>41842</v>
      </c>
      <c r="BY425" s="210">
        <v>7.1</v>
      </c>
      <c r="BZ425" s="151">
        <v>41842</v>
      </c>
      <c r="CA425" s="206">
        <v>32</v>
      </c>
      <c r="CB425" s="151">
        <v>41842</v>
      </c>
      <c r="CC425" s="208">
        <v>6.5</v>
      </c>
      <c r="CD425" s="151">
        <v>41838</v>
      </c>
      <c r="CL425" s="209">
        <v>3</v>
      </c>
      <c r="CM425" s="201">
        <v>41810</v>
      </c>
    </row>
    <row r="426" spans="1:91" ht="15">
      <c r="A426" s="152" t="s">
        <v>7968</v>
      </c>
      <c r="B426" s="110" t="s">
        <v>233</v>
      </c>
      <c r="C426" s="110" t="s">
        <v>381</v>
      </c>
      <c r="D426" s="110">
        <v>11079</v>
      </c>
      <c r="E426" s="111">
        <v>4</v>
      </c>
      <c r="F426" s="111">
        <v>505</v>
      </c>
      <c r="K426" s="134">
        <v>5</v>
      </c>
      <c r="L426" s="151">
        <v>41701</v>
      </c>
      <c r="M426" s="169">
        <v>3.85</v>
      </c>
      <c r="N426" s="151">
        <v>41838</v>
      </c>
      <c r="Q426" s="497"/>
      <c r="S426" s="134">
        <v>13.79</v>
      </c>
      <c r="T426" s="151">
        <v>41842</v>
      </c>
      <c r="U426" s="134">
        <v>13.5</v>
      </c>
      <c r="V426" s="151">
        <v>41838</v>
      </c>
      <c r="W426" s="196">
        <v>1</v>
      </c>
      <c r="X426" s="151">
        <v>41829</v>
      </c>
      <c r="Y426" s="134">
        <f t="shared" si="6"/>
        <v>4.2673500000000004</v>
      </c>
      <c r="AC426" s="134">
        <v>28.52</v>
      </c>
      <c r="AD426" s="151">
        <v>41838</v>
      </c>
      <c r="AE426" s="134">
        <v>29.43</v>
      </c>
      <c r="AF426" s="151">
        <v>41838</v>
      </c>
      <c r="AG426" s="197">
        <v>4.4000000000000004</v>
      </c>
      <c r="AH426" s="151">
        <v>41843</v>
      </c>
      <c r="AI426" s="198">
        <v>5</v>
      </c>
      <c r="AJ426" s="151">
        <v>41778</v>
      </c>
      <c r="AK426" s="199">
        <v>4</v>
      </c>
      <c r="AL426" s="151">
        <v>41709</v>
      </c>
      <c r="BE426" s="200">
        <v>4</v>
      </c>
      <c r="BF426" s="201">
        <v>41555</v>
      </c>
      <c r="BG426" s="203">
        <v>-2.2999999999999998</v>
      </c>
      <c r="BH426" s="151">
        <v>41842</v>
      </c>
      <c r="BM426" s="204">
        <v>63.9</v>
      </c>
      <c r="BN426" s="151">
        <v>41842</v>
      </c>
      <c r="BQ426" s="205">
        <v>10.7</v>
      </c>
      <c r="BR426" s="151">
        <v>41842</v>
      </c>
      <c r="BS426" s="206">
        <v>46.9</v>
      </c>
      <c r="BT426" s="151">
        <v>41842</v>
      </c>
      <c r="BU426" s="207">
        <v>14.5</v>
      </c>
      <c r="BV426" s="151">
        <v>41842</v>
      </c>
      <c r="BW426" s="206">
        <v>15.9</v>
      </c>
      <c r="BX426" s="151">
        <v>41842</v>
      </c>
      <c r="BY426" s="210">
        <v>7.37</v>
      </c>
      <c r="BZ426" s="151">
        <v>41842</v>
      </c>
      <c r="CA426" s="206">
        <v>32.799999999999997</v>
      </c>
      <c r="CB426" s="151">
        <v>41842</v>
      </c>
      <c r="CC426" s="208">
        <v>6.1</v>
      </c>
      <c r="CD426" s="151">
        <v>41838</v>
      </c>
      <c r="CL426" s="209">
        <v>3</v>
      </c>
      <c r="CM426" s="201">
        <v>41810</v>
      </c>
    </row>
    <row r="427" spans="1:91" ht="15">
      <c r="A427" s="152" t="s">
        <v>7968</v>
      </c>
      <c r="B427" s="110" t="s">
        <v>235</v>
      </c>
      <c r="C427" s="110" t="s">
        <v>8082</v>
      </c>
      <c r="D427" s="110">
        <v>11523</v>
      </c>
      <c r="E427" s="111">
        <v>4</v>
      </c>
      <c r="F427" s="111">
        <v>701</v>
      </c>
      <c r="K427" s="134">
        <v>5</v>
      </c>
      <c r="L427" s="151">
        <v>41701</v>
      </c>
      <c r="M427" s="169">
        <v>4.05</v>
      </c>
      <c r="N427" s="151">
        <v>41838</v>
      </c>
      <c r="Q427" s="497"/>
      <c r="S427" s="134">
        <v>14.74</v>
      </c>
      <c r="T427" s="151">
        <v>41842</v>
      </c>
      <c r="U427" s="134">
        <v>13.5</v>
      </c>
      <c r="V427" s="151">
        <v>41838</v>
      </c>
      <c r="W427" s="196">
        <v>9</v>
      </c>
      <c r="X427" s="151">
        <v>41829</v>
      </c>
      <c r="Y427" s="134">
        <f t="shared" si="6"/>
        <v>4.3469999999999995</v>
      </c>
      <c r="AC427" s="134">
        <v>30</v>
      </c>
      <c r="AD427" s="151">
        <v>41838</v>
      </c>
      <c r="AE427" s="134">
        <v>31.05</v>
      </c>
      <c r="AF427" s="151">
        <v>41838</v>
      </c>
      <c r="AG427" s="197">
        <v>4.3</v>
      </c>
      <c r="AH427" s="151">
        <v>41843</v>
      </c>
      <c r="AI427" s="198">
        <v>5</v>
      </c>
      <c r="AJ427" s="151">
        <v>41778</v>
      </c>
      <c r="AK427" s="199">
        <v>5</v>
      </c>
      <c r="AL427" s="151">
        <v>41709</v>
      </c>
      <c r="BE427" s="200">
        <v>5</v>
      </c>
      <c r="BF427" s="201">
        <v>41555</v>
      </c>
      <c r="BG427" s="203">
        <v>-2.1</v>
      </c>
      <c r="BH427" s="151">
        <v>41842</v>
      </c>
      <c r="BM427" s="204">
        <v>63.9</v>
      </c>
      <c r="BN427" s="151">
        <v>41842</v>
      </c>
      <c r="BQ427" s="205">
        <v>10.4</v>
      </c>
      <c r="BR427" s="151">
        <v>41842</v>
      </c>
      <c r="BS427" s="206">
        <v>47.5</v>
      </c>
      <c r="BT427" s="151">
        <v>41842</v>
      </c>
      <c r="BU427" s="207">
        <v>14</v>
      </c>
      <c r="BV427" s="151">
        <v>41842</v>
      </c>
      <c r="BW427" s="206">
        <v>17.100000000000001</v>
      </c>
      <c r="BX427" s="151">
        <v>41842</v>
      </c>
      <c r="BY427" s="210">
        <v>7.35</v>
      </c>
      <c r="BZ427" s="151">
        <v>41842</v>
      </c>
      <c r="CA427" s="206">
        <v>32.200000000000003</v>
      </c>
      <c r="CB427" s="151">
        <v>41842</v>
      </c>
      <c r="CC427" s="208">
        <v>5.8</v>
      </c>
      <c r="CD427" s="151">
        <v>41838</v>
      </c>
      <c r="CL427" s="209">
        <v>3</v>
      </c>
      <c r="CM427" s="201">
        <v>41810</v>
      </c>
    </row>
    <row r="428" spans="1:91" ht="15">
      <c r="A428" s="152" t="s">
        <v>7968</v>
      </c>
      <c r="B428" s="110" t="s">
        <v>235</v>
      </c>
      <c r="C428" s="110" t="s">
        <v>8081</v>
      </c>
      <c r="D428" s="110">
        <v>11225</v>
      </c>
      <c r="E428" s="111">
        <v>8</v>
      </c>
      <c r="F428" s="111">
        <v>513</v>
      </c>
      <c r="K428" s="134">
        <v>5</v>
      </c>
      <c r="L428" s="151">
        <v>41701</v>
      </c>
      <c r="M428" s="169">
        <v>5.7</v>
      </c>
      <c r="N428" s="151">
        <v>41838</v>
      </c>
      <c r="Q428" s="497"/>
      <c r="S428" s="134">
        <v>19.87</v>
      </c>
      <c r="T428" s="151">
        <v>41842</v>
      </c>
      <c r="U428" s="134">
        <v>13.5</v>
      </c>
      <c r="V428" s="151">
        <v>41838</v>
      </c>
      <c r="W428" s="196">
        <v>9</v>
      </c>
      <c r="X428" s="151">
        <v>41829</v>
      </c>
      <c r="Y428" s="134">
        <f t="shared" si="6"/>
        <v>6.8546199999999988</v>
      </c>
      <c r="AC428" s="134">
        <v>42.22</v>
      </c>
      <c r="AD428" s="151">
        <v>41838</v>
      </c>
      <c r="AE428" s="134">
        <v>43.66</v>
      </c>
      <c r="AF428" s="151">
        <v>41838</v>
      </c>
      <c r="AG428" s="197">
        <v>4.2</v>
      </c>
      <c r="AH428" s="151">
        <v>41843</v>
      </c>
      <c r="AI428" s="198">
        <v>7</v>
      </c>
      <c r="AJ428" s="151">
        <v>41778</v>
      </c>
      <c r="AK428" s="199">
        <v>4</v>
      </c>
      <c r="AL428" s="151">
        <v>41709</v>
      </c>
      <c r="BE428" s="200">
        <v>4</v>
      </c>
      <c r="BF428" s="201">
        <v>41555</v>
      </c>
      <c r="BG428" s="203">
        <v>-4.0999999999999996</v>
      </c>
      <c r="BH428" s="151">
        <v>41842</v>
      </c>
      <c r="BM428" s="204">
        <v>61.8</v>
      </c>
      <c r="BN428" s="151">
        <v>41842</v>
      </c>
      <c r="BQ428" s="205">
        <v>11</v>
      </c>
      <c r="BR428" s="151">
        <v>41842</v>
      </c>
      <c r="BS428" s="206">
        <v>45.5</v>
      </c>
      <c r="BT428" s="151">
        <v>41842</v>
      </c>
      <c r="BU428" s="207">
        <v>15.7</v>
      </c>
      <c r="BV428" s="151">
        <v>41842</v>
      </c>
      <c r="BW428" s="206">
        <v>16.2</v>
      </c>
      <c r="BX428" s="151">
        <v>41842</v>
      </c>
      <c r="BY428" s="210">
        <v>7.5</v>
      </c>
      <c r="BZ428" s="151">
        <v>41842</v>
      </c>
      <c r="CA428" s="206">
        <v>34.4</v>
      </c>
      <c r="CB428" s="151">
        <v>41842</v>
      </c>
      <c r="CC428" s="208">
        <v>5.9</v>
      </c>
      <c r="CD428" s="151">
        <v>41838</v>
      </c>
      <c r="CL428" s="209">
        <v>3</v>
      </c>
      <c r="CM428" s="201">
        <v>41810</v>
      </c>
    </row>
    <row r="429" spans="1:91" ht="15">
      <c r="A429" s="152" t="s">
        <v>7968</v>
      </c>
      <c r="B429" s="110" t="s">
        <v>233</v>
      </c>
      <c r="C429" s="110" t="s">
        <v>8083</v>
      </c>
      <c r="D429" s="110">
        <v>11823</v>
      </c>
      <c r="E429" s="111">
        <v>12</v>
      </c>
      <c r="F429" s="111">
        <v>749</v>
      </c>
      <c r="K429" s="191">
        <v>3</v>
      </c>
      <c r="L429" s="151">
        <v>41701</v>
      </c>
      <c r="M429" s="169">
        <v>2.9</v>
      </c>
      <c r="N429" s="151">
        <v>41838</v>
      </c>
      <c r="Q429" s="497"/>
      <c r="S429" s="134">
        <v>10.17</v>
      </c>
      <c r="T429" s="151">
        <v>41842</v>
      </c>
      <c r="U429" s="134">
        <v>13.5</v>
      </c>
      <c r="V429" s="151">
        <v>41838</v>
      </c>
      <c r="W429" s="196">
        <v>9</v>
      </c>
      <c r="X429" s="151">
        <v>41829</v>
      </c>
      <c r="Y429" s="134">
        <f t="shared" si="6"/>
        <v>3.4255</v>
      </c>
      <c r="AC429" s="134">
        <v>21.48</v>
      </c>
      <c r="AD429" s="151">
        <v>41838</v>
      </c>
      <c r="AE429" s="134">
        <v>22.1</v>
      </c>
      <c r="AF429" s="151">
        <v>41838</v>
      </c>
      <c r="AG429" s="197">
        <v>4.5</v>
      </c>
      <c r="AH429" s="151">
        <v>41843</v>
      </c>
      <c r="AI429" s="198">
        <v>1</v>
      </c>
      <c r="AJ429" s="151">
        <v>41778</v>
      </c>
      <c r="AK429" s="199">
        <v>5</v>
      </c>
      <c r="AL429" s="151">
        <v>41709</v>
      </c>
      <c r="BE429" s="200">
        <v>5</v>
      </c>
      <c r="BF429" s="201">
        <v>41555</v>
      </c>
      <c r="BG429" s="203">
        <v>-2.2000000000000002</v>
      </c>
      <c r="BH429" s="151">
        <v>41842</v>
      </c>
      <c r="BM429" s="204">
        <v>63</v>
      </c>
      <c r="BN429" s="151">
        <v>41842</v>
      </c>
      <c r="BQ429" s="205">
        <v>10.9</v>
      </c>
      <c r="BR429" s="151">
        <v>41842</v>
      </c>
      <c r="BS429" s="206">
        <v>46</v>
      </c>
      <c r="BT429" s="151">
        <v>41842</v>
      </c>
      <c r="BU429" s="207">
        <v>15.5</v>
      </c>
      <c r="BV429" s="151">
        <v>41842</v>
      </c>
      <c r="BW429" s="206">
        <v>20.6</v>
      </c>
      <c r="BX429" s="151">
        <v>41842</v>
      </c>
      <c r="BY429" s="210">
        <v>7.47</v>
      </c>
      <c r="BZ429" s="151">
        <v>41842</v>
      </c>
      <c r="CA429" s="206">
        <v>34.4</v>
      </c>
      <c r="CB429" s="151">
        <v>41842</v>
      </c>
      <c r="CC429" s="208">
        <v>6.4</v>
      </c>
      <c r="CD429" s="151">
        <v>41838</v>
      </c>
      <c r="CL429" s="209">
        <v>3</v>
      </c>
      <c r="CM429" s="201">
        <v>41810</v>
      </c>
    </row>
    <row r="430" spans="1:91" ht="15">
      <c r="A430" s="152" t="s">
        <v>7969</v>
      </c>
      <c r="B430" s="110" t="s">
        <v>235</v>
      </c>
      <c r="C430" s="110" t="s">
        <v>8082</v>
      </c>
      <c r="D430" s="110">
        <v>11504</v>
      </c>
      <c r="E430" s="111">
        <v>4</v>
      </c>
      <c r="F430" s="111">
        <v>625</v>
      </c>
      <c r="K430" s="134">
        <v>5</v>
      </c>
      <c r="L430" s="151">
        <v>41701</v>
      </c>
      <c r="M430" s="169">
        <v>5.25</v>
      </c>
      <c r="N430" s="151">
        <v>41838</v>
      </c>
      <c r="Q430" s="497"/>
      <c r="S430" s="134">
        <v>19.649999999999999</v>
      </c>
      <c r="T430" s="151">
        <v>41842</v>
      </c>
      <c r="U430" s="134">
        <v>13.5</v>
      </c>
      <c r="V430" s="151">
        <v>41838</v>
      </c>
      <c r="W430" s="196">
        <v>9</v>
      </c>
      <c r="X430" s="151">
        <v>41829</v>
      </c>
      <c r="Y430" s="134">
        <f t="shared" si="6"/>
        <v>5.4984799999999998</v>
      </c>
      <c r="AC430" s="134">
        <v>38.89</v>
      </c>
      <c r="AD430" s="151">
        <v>41838</v>
      </c>
      <c r="AE430" s="134">
        <v>40.43</v>
      </c>
      <c r="AF430" s="151">
        <v>41838</v>
      </c>
      <c r="AG430" s="197">
        <v>4.5999999999999996</v>
      </c>
      <c r="AH430" s="151">
        <v>41843</v>
      </c>
      <c r="AI430" s="198">
        <v>5</v>
      </c>
      <c r="AJ430" s="151">
        <v>41778</v>
      </c>
      <c r="AK430" s="199">
        <v>5</v>
      </c>
      <c r="AL430" s="151">
        <v>41709</v>
      </c>
      <c r="BE430" s="200">
        <v>5</v>
      </c>
      <c r="BF430" s="201">
        <v>41555</v>
      </c>
      <c r="BG430" s="203">
        <v>-2.4</v>
      </c>
      <c r="BH430" s="151">
        <v>41842</v>
      </c>
      <c r="BM430" s="204">
        <v>66.400000000000006</v>
      </c>
      <c r="BN430" s="151">
        <v>41842</v>
      </c>
      <c r="BQ430" s="205">
        <v>10.7</v>
      </c>
      <c r="BR430" s="151">
        <v>41842</v>
      </c>
      <c r="BS430" s="206">
        <v>48.6</v>
      </c>
      <c r="BT430" s="151">
        <v>41842</v>
      </c>
      <c r="BU430" s="207">
        <v>13.6</v>
      </c>
      <c r="BV430" s="151">
        <v>41842</v>
      </c>
      <c r="BW430" s="206">
        <v>8.3000000000000007</v>
      </c>
      <c r="BX430" s="151">
        <v>41842</v>
      </c>
      <c r="BY430" s="210">
        <v>7.06</v>
      </c>
      <c r="BZ430" s="151">
        <v>41842</v>
      </c>
      <c r="CA430" s="206">
        <v>32.1</v>
      </c>
      <c r="CB430" s="151">
        <v>41842</v>
      </c>
      <c r="CC430" s="208">
        <v>5.4</v>
      </c>
      <c r="CD430" s="151">
        <v>41838</v>
      </c>
      <c r="CL430" s="209">
        <v>3</v>
      </c>
      <c r="CM430" s="201">
        <v>41810</v>
      </c>
    </row>
    <row r="431" spans="1:91" ht="15">
      <c r="A431" s="152" t="s">
        <v>7969</v>
      </c>
      <c r="B431" s="110" t="s">
        <v>233</v>
      </c>
      <c r="C431" s="110" t="s">
        <v>381</v>
      </c>
      <c r="D431" s="110">
        <v>11127</v>
      </c>
      <c r="E431" s="111">
        <v>5</v>
      </c>
      <c r="F431" s="111">
        <v>553</v>
      </c>
      <c r="K431" s="134">
        <v>5</v>
      </c>
      <c r="L431" s="151">
        <v>41701</v>
      </c>
      <c r="M431" s="169">
        <v>4.3499999999999996</v>
      </c>
      <c r="N431" s="151">
        <v>41838</v>
      </c>
      <c r="Q431" s="497"/>
      <c r="S431" s="134">
        <v>16.27</v>
      </c>
      <c r="T431" s="151">
        <v>41842</v>
      </c>
      <c r="U431" s="134">
        <v>13.5</v>
      </c>
      <c r="V431" s="151">
        <v>41838</v>
      </c>
      <c r="W431" s="196">
        <v>9</v>
      </c>
      <c r="X431" s="151">
        <v>41829</v>
      </c>
      <c r="Y431" s="134">
        <f t="shared" si="6"/>
        <v>4.4461900000000005</v>
      </c>
      <c r="AC431" s="134">
        <v>32.22</v>
      </c>
      <c r="AD431" s="151">
        <v>41838</v>
      </c>
      <c r="AE431" s="134">
        <v>33.43</v>
      </c>
      <c r="AF431" s="151">
        <v>41838</v>
      </c>
      <c r="AG431" s="197">
        <v>4.3</v>
      </c>
      <c r="AH431" s="151">
        <v>41843</v>
      </c>
      <c r="AI431" s="198">
        <v>5</v>
      </c>
      <c r="AJ431" s="151">
        <v>41778</v>
      </c>
      <c r="AK431" s="199">
        <v>7</v>
      </c>
      <c r="AL431" s="151">
        <v>41709</v>
      </c>
      <c r="BE431" s="200">
        <v>7</v>
      </c>
      <c r="BF431" s="201">
        <v>41555</v>
      </c>
      <c r="BG431" s="203">
        <v>-0.7</v>
      </c>
      <c r="BH431" s="151">
        <v>41842</v>
      </c>
      <c r="BM431" s="204">
        <v>66.099999999999994</v>
      </c>
      <c r="BN431" s="151">
        <v>41842</v>
      </c>
      <c r="BQ431" s="205">
        <v>11.1</v>
      </c>
      <c r="BR431" s="151">
        <v>41842</v>
      </c>
      <c r="BS431" s="206">
        <v>48.7</v>
      </c>
      <c r="BT431" s="151">
        <v>41842</v>
      </c>
      <c r="BU431" s="207">
        <v>13.3</v>
      </c>
      <c r="BV431" s="151">
        <v>41842</v>
      </c>
      <c r="BW431" s="206">
        <v>7.7</v>
      </c>
      <c r="BX431" s="151">
        <v>41842</v>
      </c>
      <c r="BY431" s="210">
        <v>7.16</v>
      </c>
      <c r="BZ431" s="151">
        <v>41842</v>
      </c>
      <c r="CA431" s="206">
        <v>31.3</v>
      </c>
      <c r="CB431" s="151">
        <v>41842</v>
      </c>
      <c r="CC431" s="208">
        <v>5.6</v>
      </c>
      <c r="CD431" s="151">
        <v>41838</v>
      </c>
      <c r="CL431" s="209">
        <v>3</v>
      </c>
      <c r="CM431" s="201">
        <v>41810</v>
      </c>
    </row>
    <row r="432" spans="1:91" ht="15">
      <c r="A432" s="152" t="s">
        <v>7969</v>
      </c>
      <c r="B432" s="110" t="s">
        <v>233</v>
      </c>
      <c r="C432" s="110" t="s">
        <v>8083</v>
      </c>
      <c r="D432" s="110">
        <v>11621</v>
      </c>
      <c r="E432" s="111">
        <v>7</v>
      </c>
      <c r="F432" s="111">
        <v>661</v>
      </c>
      <c r="K432" s="134">
        <v>5</v>
      </c>
      <c r="L432" s="151">
        <v>41701</v>
      </c>
      <c r="M432" s="169">
        <v>3.35</v>
      </c>
      <c r="N432" s="151">
        <v>41838</v>
      </c>
      <c r="Q432" s="497"/>
      <c r="S432" s="134">
        <v>12.76</v>
      </c>
      <c r="T432" s="151">
        <v>41842</v>
      </c>
      <c r="U432" s="134">
        <v>13.5</v>
      </c>
      <c r="V432" s="151">
        <v>41838</v>
      </c>
      <c r="W432" s="196">
        <v>9</v>
      </c>
      <c r="X432" s="151">
        <v>41829</v>
      </c>
      <c r="Y432" s="134">
        <f t="shared" si="6"/>
        <v>3.3423000000000003</v>
      </c>
      <c r="AC432" s="134">
        <v>24.81</v>
      </c>
      <c r="AD432" s="151">
        <v>41838</v>
      </c>
      <c r="AE432" s="134">
        <v>25.71</v>
      </c>
      <c r="AF432" s="151">
        <v>41838</v>
      </c>
      <c r="AG432" s="197">
        <v>4.4000000000000004</v>
      </c>
      <c r="AH432" s="151">
        <v>41843</v>
      </c>
      <c r="AI432" s="198">
        <v>3</v>
      </c>
      <c r="AJ432" s="151">
        <v>41778</v>
      </c>
      <c r="AK432" s="199">
        <v>5</v>
      </c>
      <c r="AL432" s="151">
        <v>41709</v>
      </c>
      <c r="BE432" s="200">
        <v>5</v>
      </c>
      <c r="BF432" s="201">
        <v>41555</v>
      </c>
      <c r="BG432" s="203">
        <v>-1.6</v>
      </c>
      <c r="BH432" s="151">
        <v>41842</v>
      </c>
      <c r="BM432" s="204">
        <v>66.7</v>
      </c>
      <c r="BN432" s="151">
        <v>41842</v>
      </c>
      <c r="BQ432" s="205">
        <v>10.199999999999999</v>
      </c>
      <c r="BR432" s="151">
        <v>41842</v>
      </c>
      <c r="BS432" s="206">
        <v>49.6</v>
      </c>
      <c r="BT432" s="151">
        <v>41842</v>
      </c>
      <c r="BU432" s="207">
        <v>13</v>
      </c>
      <c r="BV432" s="151">
        <v>41842</v>
      </c>
      <c r="BW432" s="206">
        <v>8.4</v>
      </c>
      <c r="BX432" s="151">
        <v>41842</v>
      </c>
      <c r="BY432" s="210">
        <v>7.17</v>
      </c>
      <c r="BZ432" s="151">
        <v>41842</v>
      </c>
      <c r="CA432" s="206">
        <v>31.4</v>
      </c>
      <c r="CB432" s="151">
        <v>41842</v>
      </c>
      <c r="CC432" s="208">
        <v>5.7</v>
      </c>
      <c r="CD432" s="151">
        <v>41838</v>
      </c>
      <c r="CL432" s="209">
        <v>3</v>
      </c>
      <c r="CM432" s="201">
        <v>41810</v>
      </c>
    </row>
    <row r="433" spans="1:91" ht="15">
      <c r="A433" s="152" t="s">
        <v>7969</v>
      </c>
      <c r="B433" s="110" t="s">
        <v>235</v>
      </c>
      <c r="C433" s="110" t="s">
        <v>8081</v>
      </c>
      <c r="D433" s="110">
        <v>11293</v>
      </c>
      <c r="E433" s="111">
        <v>10</v>
      </c>
      <c r="F433" s="111">
        <v>497</v>
      </c>
      <c r="K433" s="134">
        <v>5</v>
      </c>
      <c r="L433" s="151">
        <v>41701</v>
      </c>
      <c r="M433" s="169">
        <v>5.2</v>
      </c>
      <c r="N433" s="151">
        <v>41838</v>
      </c>
      <c r="Q433" s="497"/>
      <c r="S433" s="134">
        <v>19.41</v>
      </c>
      <c r="T433" s="151">
        <v>41842</v>
      </c>
      <c r="U433" s="134">
        <v>13.5</v>
      </c>
      <c r="V433" s="151">
        <v>41838</v>
      </c>
      <c r="W433" s="196">
        <v>9</v>
      </c>
      <c r="X433" s="151">
        <v>41829</v>
      </c>
      <c r="Y433" s="134">
        <f t="shared" si="6"/>
        <v>5.342579999999999</v>
      </c>
      <c r="AC433" s="134">
        <v>38.520000000000003</v>
      </c>
      <c r="AD433" s="151">
        <v>41838</v>
      </c>
      <c r="AE433" s="134">
        <v>39.869999999999997</v>
      </c>
      <c r="AF433" s="151">
        <v>41838</v>
      </c>
      <c r="AG433" s="197">
        <v>4.0999999999999996</v>
      </c>
      <c r="AH433" s="151">
        <v>41843</v>
      </c>
      <c r="AI433" s="198">
        <v>5</v>
      </c>
      <c r="AJ433" s="151">
        <v>41778</v>
      </c>
      <c r="AK433" s="199">
        <v>5</v>
      </c>
      <c r="AL433" s="151">
        <v>41709</v>
      </c>
      <c r="BE433" s="200">
        <v>5</v>
      </c>
      <c r="BF433" s="201">
        <v>41555</v>
      </c>
      <c r="BG433" s="203">
        <v>-1</v>
      </c>
      <c r="BH433" s="151">
        <v>41842</v>
      </c>
      <c r="BM433" s="204">
        <v>66</v>
      </c>
      <c r="BN433" s="151">
        <v>41842</v>
      </c>
      <c r="BQ433" s="205">
        <v>10.4</v>
      </c>
      <c r="BR433" s="151">
        <v>41842</v>
      </c>
      <c r="BS433" s="206">
        <v>48.7</v>
      </c>
      <c r="BT433" s="151">
        <v>41842</v>
      </c>
      <c r="BU433" s="207">
        <v>13.4</v>
      </c>
      <c r="BV433" s="151">
        <v>41842</v>
      </c>
      <c r="BW433" s="206">
        <v>7.5</v>
      </c>
      <c r="BX433" s="151">
        <v>41842</v>
      </c>
      <c r="BY433" s="210">
        <v>7.27</v>
      </c>
      <c r="BZ433" s="151">
        <v>41842</v>
      </c>
      <c r="CA433" s="206">
        <v>31.7</v>
      </c>
      <c r="CB433" s="151">
        <v>41842</v>
      </c>
      <c r="CC433" s="208">
        <v>5.8</v>
      </c>
      <c r="CD433" s="151">
        <v>41838</v>
      </c>
      <c r="CL433" s="209">
        <v>3</v>
      </c>
      <c r="CM433" s="201">
        <v>41810</v>
      </c>
    </row>
    <row r="434" spans="1:91" ht="15">
      <c r="A434" s="152" t="s">
        <v>7970</v>
      </c>
      <c r="B434" s="110" t="s">
        <v>235</v>
      </c>
      <c r="C434" s="110" t="s">
        <v>8082</v>
      </c>
      <c r="D434" s="110">
        <v>11470</v>
      </c>
      <c r="E434" s="111">
        <v>3</v>
      </c>
      <c r="F434" s="111">
        <v>633</v>
      </c>
      <c r="K434" s="134">
        <v>5</v>
      </c>
      <c r="L434" s="151">
        <v>41701</v>
      </c>
      <c r="M434" s="169">
        <v>5.45</v>
      </c>
      <c r="N434" s="151">
        <v>41838</v>
      </c>
      <c r="Q434" s="497"/>
      <c r="S434" s="134">
        <v>18.98</v>
      </c>
      <c r="T434" s="151">
        <v>41842</v>
      </c>
      <c r="U434" s="134">
        <v>13.5</v>
      </c>
      <c r="V434" s="151">
        <v>41838</v>
      </c>
      <c r="W434" s="196">
        <v>9</v>
      </c>
      <c r="X434" s="151">
        <v>41829</v>
      </c>
      <c r="Y434" s="134">
        <f t="shared" si="6"/>
        <v>6.3999899999999998</v>
      </c>
      <c r="AC434" s="134">
        <v>40.369999999999997</v>
      </c>
      <c r="AD434" s="151">
        <v>41838</v>
      </c>
      <c r="AE434" s="134">
        <v>41.83</v>
      </c>
      <c r="AF434" s="151">
        <v>41838</v>
      </c>
      <c r="AG434" s="197">
        <v>4.5999999999999996</v>
      </c>
      <c r="AH434" s="151">
        <v>41843</v>
      </c>
      <c r="AI434" s="198">
        <v>7</v>
      </c>
      <c r="AJ434" s="151">
        <v>41778</v>
      </c>
      <c r="AK434" s="199">
        <v>5</v>
      </c>
      <c r="AL434" s="151">
        <v>41709</v>
      </c>
      <c r="BE434" s="200">
        <v>5</v>
      </c>
      <c r="BF434" s="201">
        <v>41555</v>
      </c>
      <c r="BG434" s="203">
        <v>-1</v>
      </c>
      <c r="BH434" s="151">
        <v>41842</v>
      </c>
      <c r="BM434" s="204">
        <v>65.400000000000006</v>
      </c>
      <c r="BN434" s="151">
        <v>41842</v>
      </c>
      <c r="BQ434" s="205">
        <v>11</v>
      </c>
      <c r="BR434" s="151">
        <v>41842</v>
      </c>
      <c r="BS434" s="206">
        <v>45.4</v>
      </c>
      <c r="BT434" s="151">
        <v>41842</v>
      </c>
      <c r="BU434" s="207">
        <v>15.3</v>
      </c>
      <c r="BV434" s="151">
        <v>41842</v>
      </c>
      <c r="BW434" s="206">
        <v>15.1</v>
      </c>
      <c r="BX434" s="151">
        <v>41842</v>
      </c>
      <c r="BY434" s="210">
        <v>7.73</v>
      </c>
      <c r="BZ434" s="151">
        <v>41842</v>
      </c>
      <c r="CA434" s="206">
        <v>33.4</v>
      </c>
      <c r="CB434" s="151">
        <v>41842</v>
      </c>
      <c r="CC434" s="208">
        <v>5.7</v>
      </c>
      <c r="CD434" s="151">
        <v>41838</v>
      </c>
      <c r="CL434" s="209">
        <v>5</v>
      </c>
      <c r="CM434" s="201">
        <v>41810</v>
      </c>
    </row>
    <row r="435" spans="1:91" ht="15">
      <c r="A435" s="152" t="s">
        <v>7970</v>
      </c>
      <c r="B435" s="110" t="s">
        <v>233</v>
      </c>
      <c r="C435" s="110" t="s">
        <v>381</v>
      </c>
      <c r="D435" s="110">
        <v>11169</v>
      </c>
      <c r="E435" s="111">
        <v>6</v>
      </c>
      <c r="F435" s="111">
        <v>577</v>
      </c>
      <c r="K435" s="134">
        <v>5</v>
      </c>
      <c r="L435" s="151">
        <v>41701</v>
      </c>
      <c r="M435" s="169">
        <v>3.6</v>
      </c>
      <c r="N435" s="151">
        <v>41838</v>
      </c>
      <c r="Q435" s="497"/>
      <c r="S435" s="134">
        <v>12.8</v>
      </c>
      <c r="T435" s="151">
        <v>41842</v>
      </c>
      <c r="U435" s="134">
        <v>13.5</v>
      </c>
      <c r="V435" s="151">
        <v>41838</v>
      </c>
      <c r="W435" s="196">
        <v>9</v>
      </c>
      <c r="X435" s="151">
        <v>41829</v>
      </c>
      <c r="Y435" s="134">
        <f t="shared" si="6"/>
        <v>3.9468000000000005</v>
      </c>
      <c r="AC435" s="134">
        <v>26.67</v>
      </c>
      <c r="AD435" s="151">
        <v>41838</v>
      </c>
      <c r="AE435" s="134">
        <v>27.6</v>
      </c>
      <c r="AF435" s="151">
        <v>41838</v>
      </c>
      <c r="AG435" s="197">
        <v>4.7</v>
      </c>
      <c r="AH435" s="151">
        <v>41843</v>
      </c>
      <c r="AI435" s="198">
        <v>5</v>
      </c>
      <c r="AJ435" s="151">
        <v>41778</v>
      </c>
      <c r="AK435" s="199">
        <v>5</v>
      </c>
      <c r="AL435" s="151">
        <v>41709</v>
      </c>
      <c r="BE435" s="200">
        <v>5</v>
      </c>
      <c r="BF435" s="201">
        <v>41555</v>
      </c>
      <c r="BG435" s="203">
        <v>-0.1</v>
      </c>
      <c r="BH435" s="151">
        <v>41842</v>
      </c>
      <c r="BM435" s="204">
        <v>66.5</v>
      </c>
      <c r="BN435" s="151">
        <v>41842</v>
      </c>
      <c r="BQ435" s="205">
        <v>10.6</v>
      </c>
      <c r="BR435" s="151">
        <v>41842</v>
      </c>
      <c r="BS435" s="206">
        <v>46.4</v>
      </c>
      <c r="BT435" s="151">
        <v>41842</v>
      </c>
      <c r="BU435" s="207">
        <v>14.3</v>
      </c>
      <c r="BV435" s="151">
        <v>41842</v>
      </c>
      <c r="BW435" s="206">
        <v>15.1</v>
      </c>
      <c r="BX435" s="151">
        <v>41842</v>
      </c>
      <c r="BY435" s="210">
        <v>7.72</v>
      </c>
      <c r="BZ435" s="151">
        <v>41842</v>
      </c>
      <c r="CA435" s="206">
        <v>32.1</v>
      </c>
      <c r="CB435" s="151">
        <v>41842</v>
      </c>
      <c r="CC435" s="208">
        <v>5.8</v>
      </c>
      <c r="CD435" s="151">
        <v>41838</v>
      </c>
      <c r="CL435" s="209">
        <v>5</v>
      </c>
      <c r="CM435" s="201">
        <v>41810</v>
      </c>
    </row>
    <row r="436" spans="1:91" ht="15">
      <c r="A436" s="152" t="s">
        <v>7970</v>
      </c>
      <c r="B436" s="110" t="s">
        <v>233</v>
      </c>
      <c r="C436" s="110" t="s">
        <v>8083</v>
      </c>
      <c r="D436" s="110">
        <v>11668</v>
      </c>
      <c r="E436" s="111">
        <v>8</v>
      </c>
      <c r="F436" s="111">
        <v>705</v>
      </c>
      <c r="K436" s="134">
        <v>5</v>
      </c>
      <c r="L436" s="151">
        <v>41701</v>
      </c>
      <c r="M436" s="169">
        <v>3.4</v>
      </c>
      <c r="N436" s="151">
        <v>41838</v>
      </c>
      <c r="Q436" s="497"/>
      <c r="S436" s="134">
        <v>12.26</v>
      </c>
      <c r="T436" s="151">
        <v>41842</v>
      </c>
      <c r="U436" s="134">
        <v>13.5</v>
      </c>
      <c r="V436" s="151">
        <v>41838</v>
      </c>
      <c r="W436" s="196">
        <v>9</v>
      </c>
      <c r="X436" s="151">
        <v>41829</v>
      </c>
      <c r="Y436" s="134">
        <f t="shared" si="6"/>
        <v>3.6059399999999999</v>
      </c>
      <c r="AC436" s="134">
        <v>25.19</v>
      </c>
      <c r="AD436" s="151">
        <v>41838</v>
      </c>
      <c r="AE436" s="134">
        <v>26.13</v>
      </c>
      <c r="AF436" s="151">
        <v>41838</v>
      </c>
      <c r="AG436" s="197">
        <v>4.5</v>
      </c>
      <c r="AH436" s="151">
        <v>41843</v>
      </c>
      <c r="AI436" s="198">
        <v>5</v>
      </c>
      <c r="AJ436" s="151">
        <v>41778</v>
      </c>
      <c r="AK436" s="199">
        <v>4</v>
      </c>
      <c r="AL436" s="151">
        <v>41709</v>
      </c>
      <c r="BE436" s="200">
        <v>4</v>
      </c>
      <c r="BF436" s="201">
        <v>41555</v>
      </c>
      <c r="BG436" s="203">
        <v>0.2</v>
      </c>
      <c r="BH436" s="151">
        <v>41842</v>
      </c>
      <c r="BM436" s="204">
        <v>66.5</v>
      </c>
      <c r="BN436" s="151">
        <v>41842</v>
      </c>
      <c r="BQ436" s="205">
        <v>10.1</v>
      </c>
      <c r="BR436" s="151">
        <v>41842</v>
      </c>
      <c r="BS436" s="206">
        <v>46.9</v>
      </c>
      <c r="BT436" s="151">
        <v>41842</v>
      </c>
      <c r="BU436" s="207">
        <v>13.8</v>
      </c>
      <c r="BV436" s="151">
        <v>41842</v>
      </c>
      <c r="BW436" s="206">
        <v>15.1</v>
      </c>
      <c r="BX436" s="151">
        <v>41842</v>
      </c>
      <c r="BY436" s="210">
        <v>7.78</v>
      </c>
      <c r="BZ436" s="151">
        <v>41842</v>
      </c>
      <c r="CA436" s="206">
        <v>31.3</v>
      </c>
      <c r="CB436" s="151">
        <v>41842</v>
      </c>
      <c r="CC436" s="208">
        <v>5.6</v>
      </c>
      <c r="CD436" s="151">
        <v>41838</v>
      </c>
      <c r="CL436" s="209">
        <v>3</v>
      </c>
      <c r="CM436" s="201">
        <v>41810</v>
      </c>
    </row>
    <row r="437" spans="1:91" ht="15">
      <c r="A437" s="152" t="s">
        <v>7970</v>
      </c>
      <c r="B437" s="110" t="s">
        <v>235</v>
      </c>
      <c r="C437" s="110" t="s">
        <v>8081</v>
      </c>
      <c r="D437" s="110">
        <v>11292</v>
      </c>
      <c r="E437" s="111">
        <v>10</v>
      </c>
      <c r="F437" s="111">
        <v>493</v>
      </c>
      <c r="K437" s="194">
        <v>7</v>
      </c>
      <c r="L437" s="151">
        <v>41701</v>
      </c>
      <c r="M437" s="169">
        <v>5</v>
      </c>
      <c r="N437" s="151">
        <v>41838</v>
      </c>
      <c r="Q437" s="497"/>
      <c r="S437" s="134">
        <v>17.71</v>
      </c>
      <c r="T437" s="151">
        <v>41842</v>
      </c>
      <c r="U437" s="134">
        <v>13.5</v>
      </c>
      <c r="V437" s="151">
        <v>41838</v>
      </c>
      <c r="W437" s="196">
        <v>9</v>
      </c>
      <c r="X437" s="151">
        <v>41829</v>
      </c>
      <c r="Y437" s="134">
        <f t="shared" si="6"/>
        <v>5.4272399999999994</v>
      </c>
      <c r="AC437" s="134">
        <v>37.04</v>
      </c>
      <c r="AD437" s="151">
        <v>41838</v>
      </c>
      <c r="AE437" s="134">
        <v>38.22</v>
      </c>
      <c r="AF437" s="151">
        <v>41838</v>
      </c>
      <c r="AG437" s="197">
        <v>4.4000000000000004</v>
      </c>
      <c r="AH437" s="151">
        <v>41843</v>
      </c>
      <c r="AI437" s="198">
        <v>5</v>
      </c>
      <c r="AJ437" s="151">
        <v>41778</v>
      </c>
      <c r="AK437" s="199">
        <v>5</v>
      </c>
      <c r="AL437" s="151">
        <v>41709</v>
      </c>
      <c r="BE437" s="200">
        <v>5</v>
      </c>
      <c r="BF437" s="201">
        <v>41555</v>
      </c>
      <c r="BG437" s="203">
        <v>-0.5</v>
      </c>
      <c r="BH437" s="151">
        <v>41842</v>
      </c>
      <c r="BM437" s="204">
        <v>66.8</v>
      </c>
      <c r="BN437" s="151">
        <v>41842</v>
      </c>
      <c r="BQ437" s="205">
        <v>10.6</v>
      </c>
      <c r="BR437" s="151">
        <v>41842</v>
      </c>
      <c r="BS437" s="206">
        <v>46.4</v>
      </c>
      <c r="BT437" s="151">
        <v>41842</v>
      </c>
      <c r="BU437" s="207">
        <v>14.2</v>
      </c>
      <c r="BV437" s="151">
        <v>41842</v>
      </c>
      <c r="BW437" s="206">
        <v>11.6</v>
      </c>
      <c r="BX437" s="151">
        <v>41842</v>
      </c>
      <c r="BY437" s="210">
        <v>7.9</v>
      </c>
      <c r="BZ437" s="151">
        <v>41842</v>
      </c>
      <c r="CA437" s="206">
        <v>31.9</v>
      </c>
      <c r="CB437" s="151">
        <v>41842</v>
      </c>
      <c r="CC437" s="208">
        <v>6.1</v>
      </c>
      <c r="CD437" s="151">
        <v>41838</v>
      </c>
      <c r="CL437" s="209">
        <v>5</v>
      </c>
      <c r="CM437" s="201">
        <v>41810</v>
      </c>
    </row>
    <row r="438" spans="1:91" ht="15">
      <c r="A438" s="152" t="s">
        <v>7971</v>
      </c>
      <c r="B438" s="110" t="s">
        <v>233</v>
      </c>
      <c r="C438" s="110" t="s">
        <v>381</v>
      </c>
      <c r="D438" s="110">
        <v>10972</v>
      </c>
      <c r="E438" s="111">
        <v>1</v>
      </c>
      <c r="F438" s="111">
        <v>509</v>
      </c>
      <c r="I438" s="373"/>
      <c r="K438" s="191">
        <v>3</v>
      </c>
      <c r="L438" s="151">
        <v>41701</v>
      </c>
      <c r="M438" s="169">
        <v>3.4</v>
      </c>
      <c r="N438" s="151">
        <v>41838</v>
      </c>
      <c r="Q438" s="497"/>
      <c r="S438" s="134">
        <v>12.14</v>
      </c>
      <c r="T438" s="151">
        <v>41842</v>
      </c>
      <c r="U438" s="194">
        <v>13.5</v>
      </c>
      <c r="V438" s="151">
        <v>41838</v>
      </c>
      <c r="W438" s="196">
        <v>1</v>
      </c>
      <c r="X438" s="151">
        <v>41829</v>
      </c>
      <c r="Y438" s="134">
        <f t="shared" si="6"/>
        <v>3.5046000000000004</v>
      </c>
      <c r="AA438" s="194"/>
      <c r="AC438" s="194">
        <v>25.19</v>
      </c>
      <c r="AD438" s="151">
        <v>41838</v>
      </c>
      <c r="AE438" s="137">
        <v>25.96</v>
      </c>
      <c r="AF438" s="151">
        <v>41838</v>
      </c>
      <c r="AG438" s="197">
        <v>4.7</v>
      </c>
      <c r="AH438" s="151">
        <v>41843</v>
      </c>
      <c r="AI438" s="198">
        <v>5</v>
      </c>
      <c r="AJ438" s="151">
        <v>41778</v>
      </c>
      <c r="AK438" s="199">
        <v>4</v>
      </c>
      <c r="AL438" s="151">
        <v>41709</v>
      </c>
      <c r="AM438" s="194"/>
      <c r="BE438" s="200">
        <v>4</v>
      </c>
      <c r="BF438" s="201">
        <v>41555</v>
      </c>
      <c r="BG438" s="203">
        <v>-2.7</v>
      </c>
      <c r="BH438" s="151">
        <v>41842</v>
      </c>
      <c r="BM438" s="204">
        <v>67.2</v>
      </c>
      <c r="BN438" s="151">
        <v>41842</v>
      </c>
      <c r="BQ438" s="205">
        <v>10.4</v>
      </c>
      <c r="BR438" s="151">
        <v>41842</v>
      </c>
      <c r="BS438" s="206">
        <v>46.8</v>
      </c>
      <c r="BT438" s="151">
        <v>41842</v>
      </c>
      <c r="BU438" s="207">
        <v>13.5</v>
      </c>
      <c r="BV438" s="151">
        <v>41842</v>
      </c>
      <c r="BW438" s="206">
        <v>16.100000000000001</v>
      </c>
      <c r="BX438" s="151">
        <v>41842</v>
      </c>
      <c r="BY438" s="210">
        <v>7.33</v>
      </c>
      <c r="BZ438" s="151">
        <v>41842</v>
      </c>
      <c r="CA438" s="206">
        <v>30.6</v>
      </c>
      <c r="CB438" s="151">
        <v>41842</v>
      </c>
      <c r="CC438" s="208">
        <v>6.2</v>
      </c>
      <c r="CD438" s="151">
        <v>41838</v>
      </c>
      <c r="CL438" s="209">
        <v>3</v>
      </c>
      <c r="CM438" s="201">
        <v>41810</v>
      </c>
    </row>
    <row r="439" spans="1:91" ht="15">
      <c r="A439" s="152" t="s">
        <v>7971</v>
      </c>
      <c r="B439" s="110" t="s">
        <v>235</v>
      </c>
      <c r="C439" s="110" t="s">
        <v>8082</v>
      </c>
      <c r="D439" s="110">
        <v>11480</v>
      </c>
      <c r="E439" s="111">
        <v>3</v>
      </c>
      <c r="F439" s="111">
        <v>673</v>
      </c>
      <c r="K439" s="134">
        <v>5</v>
      </c>
      <c r="L439" s="151">
        <v>41701</v>
      </c>
      <c r="M439" s="169">
        <v>4.25</v>
      </c>
      <c r="N439" s="151">
        <v>41838</v>
      </c>
      <c r="Q439" s="497"/>
      <c r="S439" s="134">
        <v>15.09</v>
      </c>
      <c r="T439" s="151">
        <v>41842</v>
      </c>
      <c r="U439" s="134">
        <v>13.5</v>
      </c>
      <c r="V439" s="151">
        <v>41838</v>
      </c>
      <c r="W439" s="196">
        <v>1</v>
      </c>
      <c r="X439" s="151">
        <v>41829</v>
      </c>
      <c r="Y439" s="134">
        <f t="shared" si="6"/>
        <v>4.3523199999999997</v>
      </c>
      <c r="AC439" s="134">
        <v>31.48</v>
      </c>
      <c r="AD439" s="151">
        <v>41838</v>
      </c>
      <c r="AE439" s="134">
        <v>32.479999999999997</v>
      </c>
      <c r="AF439" s="151">
        <v>41838</v>
      </c>
      <c r="AG439" s="197">
        <v>4.5999999999999996</v>
      </c>
      <c r="AH439" s="151">
        <v>41843</v>
      </c>
      <c r="AI439" s="198">
        <v>5</v>
      </c>
      <c r="AJ439" s="151">
        <v>41778</v>
      </c>
      <c r="AK439" s="199">
        <v>4</v>
      </c>
      <c r="AL439" s="151">
        <v>41709</v>
      </c>
      <c r="BE439" s="200">
        <v>4</v>
      </c>
      <c r="BF439" s="201">
        <v>41555</v>
      </c>
      <c r="BG439" s="203">
        <v>-3.1</v>
      </c>
      <c r="BH439" s="151">
        <v>41842</v>
      </c>
      <c r="BM439" s="204">
        <v>66.8</v>
      </c>
      <c r="BN439" s="151">
        <v>41842</v>
      </c>
      <c r="BQ439" s="205">
        <v>10.5</v>
      </c>
      <c r="BR439" s="151">
        <v>41842</v>
      </c>
      <c r="BS439" s="206">
        <v>46.5</v>
      </c>
      <c r="BT439" s="151">
        <v>41842</v>
      </c>
      <c r="BU439" s="207">
        <v>13.4</v>
      </c>
      <c r="BV439" s="151">
        <v>41842</v>
      </c>
      <c r="BW439" s="206">
        <v>16</v>
      </c>
      <c r="BX439" s="151">
        <v>41842</v>
      </c>
      <c r="BY439" s="210">
        <v>7.21</v>
      </c>
      <c r="BZ439" s="151">
        <v>41842</v>
      </c>
      <c r="CA439" s="206">
        <v>30</v>
      </c>
      <c r="CB439" s="151">
        <v>41842</v>
      </c>
      <c r="CC439" s="208">
        <v>6.1</v>
      </c>
      <c r="CD439" s="151">
        <v>41838</v>
      </c>
      <c r="CL439" s="209">
        <v>3</v>
      </c>
      <c r="CM439" s="201">
        <v>41810</v>
      </c>
    </row>
    <row r="440" spans="1:91" ht="15">
      <c r="A440" s="152" t="s">
        <v>7971</v>
      </c>
      <c r="B440" s="110" t="s">
        <v>235</v>
      </c>
      <c r="C440" s="110" t="s">
        <v>8081</v>
      </c>
      <c r="D440" s="110">
        <v>11301</v>
      </c>
      <c r="E440" s="111">
        <v>10</v>
      </c>
      <c r="F440" s="111">
        <v>529</v>
      </c>
      <c r="K440" s="134">
        <v>5</v>
      </c>
      <c r="L440" s="151">
        <v>41701</v>
      </c>
      <c r="M440" s="169">
        <v>4.75</v>
      </c>
      <c r="N440" s="151">
        <v>41838</v>
      </c>
      <c r="Q440" s="497"/>
      <c r="S440" s="134">
        <v>17.190000000000001</v>
      </c>
      <c r="T440" s="151">
        <v>41842</v>
      </c>
      <c r="U440" s="134">
        <v>13.5</v>
      </c>
      <c r="V440" s="151">
        <v>41838</v>
      </c>
      <c r="W440" s="196">
        <v>9</v>
      </c>
      <c r="X440" s="151">
        <v>41829</v>
      </c>
      <c r="Y440" s="134">
        <f t="shared" si="6"/>
        <v>4.63042</v>
      </c>
      <c r="AC440" s="134">
        <v>35.19</v>
      </c>
      <c r="AD440" s="151">
        <v>41838</v>
      </c>
      <c r="AE440" s="134">
        <v>36.46</v>
      </c>
      <c r="AF440" s="151">
        <v>41838</v>
      </c>
      <c r="AG440" s="197">
        <v>4.4000000000000004</v>
      </c>
      <c r="AH440" s="151">
        <v>41843</v>
      </c>
      <c r="AI440" s="198">
        <v>5</v>
      </c>
      <c r="AJ440" s="151">
        <v>41778</v>
      </c>
      <c r="AK440" s="199">
        <v>5</v>
      </c>
      <c r="AL440" s="151">
        <v>41709</v>
      </c>
      <c r="BE440" s="200">
        <v>5</v>
      </c>
      <c r="BF440" s="201">
        <v>41555</v>
      </c>
      <c r="BG440" s="203">
        <v>-3.3</v>
      </c>
      <c r="BH440" s="151">
        <v>41842</v>
      </c>
      <c r="BM440" s="204">
        <v>68.2</v>
      </c>
      <c r="BN440" s="151">
        <v>41842</v>
      </c>
      <c r="BQ440" s="205">
        <v>9.8000000000000007</v>
      </c>
      <c r="BR440" s="151">
        <v>41842</v>
      </c>
      <c r="BS440" s="206">
        <v>47.2</v>
      </c>
      <c r="BT440" s="151">
        <v>41842</v>
      </c>
      <c r="BU440" s="207">
        <v>12.7</v>
      </c>
      <c r="BV440" s="151">
        <v>41842</v>
      </c>
      <c r="BW440" s="206">
        <v>13.4</v>
      </c>
      <c r="BX440" s="151">
        <v>41842</v>
      </c>
      <c r="BY440" s="210">
        <v>7.39</v>
      </c>
      <c r="BZ440" s="151">
        <v>41842</v>
      </c>
      <c r="CA440" s="206">
        <v>29</v>
      </c>
      <c r="CB440" s="151">
        <v>41842</v>
      </c>
      <c r="CC440" s="208">
        <v>5.7</v>
      </c>
      <c r="CD440" s="151">
        <v>41838</v>
      </c>
      <c r="CL440" s="209">
        <v>5</v>
      </c>
      <c r="CM440" s="201">
        <v>41810</v>
      </c>
    </row>
    <row r="441" spans="1:91" ht="15">
      <c r="A441" s="152" t="s">
        <v>7971</v>
      </c>
      <c r="B441" s="110" t="s">
        <v>233</v>
      </c>
      <c r="C441" s="110" t="s">
        <v>8083</v>
      </c>
      <c r="D441" s="110">
        <v>11820</v>
      </c>
      <c r="E441" s="111">
        <v>12</v>
      </c>
      <c r="F441" s="111">
        <v>737</v>
      </c>
      <c r="K441" s="191">
        <v>3</v>
      </c>
      <c r="L441" s="151">
        <v>41701</v>
      </c>
      <c r="M441" s="169">
        <v>3.7</v>
      </c>
      <c r="N441" s="151">
        <v>41838</v>
      </c>
      <c r="Q441" s="497"/>
      <c r="S441" s="134">
        <v>13.24</v>
      </c>
      <c r="T441" s="151">
        <v>41842</v>
      </c>
      <c r="U441" s="134">
        <v>13.5</v>
      </c>
      <c r="V441" s="151">
        <v>41838</v>
      </c>
      <c r="W441" s="196">
        <v>9</v>
      </c>
      <c r="X441" s="151">
        <v>41829</v>
      </c>
      <c r="Y441" s="134">
        <f t="shared" si="6"/>
        <v>3.6968199999999998</v>
      </c>
      <c r="AC441" s="134">
        <v>27.41</v>
      </c>
      <c r="AD441" s="151">
        <v>41838</v>
      </c>
      <c r="AE441" s="134">
        <v>28.22</v>
      </c>
      <c r="AF441" s="151">
        <v>41838</v>
      </c>
      <c r="AG441" s="197">
        <v>4.9000000000000004</v>
      </c>
      <c r="AH441" s="151">
        <v>41843</v>
      </c>
      <c r="AI441" s="198">
        <v>5</v>
      </c>
      <c r="AJ441" s="151">
        <v>41778</v>
      </c>
      <c r="AK441" s="199">
        <v>5</v>
      </c>
      <c r="AL441" s="151">
        <v>41709</v>
      </c>
      <c r="BE441" s="200">
        <v>5</v>
      </c>
      <c r="BF441" s="201">
        <v>41555</v>
      </c>
      <c r="BG441" s="203">
        <v>-5.7</v>
      </c>
      <c r="BH441" s="151">
        <v>41842</v>
      </c>
      <c r="BM441" s="204">
        <v>67.8</v>
      </c>
      <c r="BN441" s="151">
        <v>41842</v>
      </c>
      <c r="BQ441" s="205">
        <v>10.3</v>
      </c>
      <c r="BR441" s="151">
        <v>41842</v>
      </c>
      <c r="BS441" s="206">
        <v>46.9</v>
      </c>
      <c r="BT441" s="151">
        <v>41842</v>
      </c>
      <c r="BU441" s="207">
        <v>13.1</v>
      </c>
      <c r="BV441" s="151">
        <v>41842</v>
      </c>
      <c r="BW441" s="206">
        <v>14.1</v>
      </c>
      <c r="BX441" s="151">
        <v>41842</v>
      </c>
      <c r="BY441" s="210">
        <v>7.29</v>
      </c>
      <c r="BZ441" s="151">
        <v>41842</v>
      </c>
      <c r="CA441" s="206">
        <v>29.6</v>
      </c>
      <c r="CB441" s="151">
        <v>41842</v>
      </c>
      <c r="CC441" s="208">
        <v>6.3</v>
      </c>
      <c r="CD441" s="151">
        <v>41838</v>
      </c>
      <c r="CL441" s="209">
        <v>3</v>
      </c>
      <c r="CM441" s="201">
        <v>41810</v>
      </c>
    </row>
    <row r="442" spans="1:91" ht="15">
      <c r="A442" s="152" t="s">
        <v>7972</v>
      </c>
      <c r="B442" s="110" t="s">
        <v>233</v>
      </c>
      <c r="C442" s="110" t="s">
        <v>381</v>
      </c>
      <c r="D442" s="110">
        <v>11026</v>
      </c>
      <c r="E442" s="111">
        <v>2</v>
      </c>
      <c r="F442" s="111">
        <v>581</v>
      </c>
      <c r="K442" s="191">
        <v>3</v>
      </c>
      <c r="L442" s="151">
        <v>41701</v>
      </c>
      <c r="M442" s="169">
        <v>3.05</v>
      </c>
      <c r="N442" s="151">
        <v>41838</v>
      </c>
      <c r="Q442" s="497"/>
      <c r="S442" s="134">
        <v>10.8</v>
      </c>
      <c r="T442" s="151">
        <v>41842</v>
      </c>
      <c r="U442" s="134">
        <v>13.5</v>
      </c>
      <c r="V442" s="151">
        <v>41838</v>
      </c>
      <c r="W442" s="196">
        <v>9</v>
      </c>
      <c r="X442" s="151">
        <v>41829</v>
      </c>
      <c r="Y442" s="134">
        <f t="shared" si="6"/>
        <v>3.1342599999999998</v>
      </c>
      <c r="AC442" s="134">
        <v>22.59</v>
      </c>
      <c r="AD442" s="151">
        <v>41838</v>
      </c>
      <c r="AE442" s="134">
        <v>23.39</v>
      </c>
      <c r="AF442" s="151">
        <v>41838</v>
      </c>
      <c r="AG442" s="197">
        <v>4.5999999999999996</v>
      </c>
      <c r="AH442" s="151">
        <v>41843</v>
      </c>
      <c r="AI442" s="198">
        <v>3</v>
      </c>
      <c r="AJ442" s="151">
        <v>41778</v>
      </c>
      <c r="AK442" s="199">
        <v>4</v>
      </c>
      <c r="AL442" s="151">
        <v>41709</v>
      </c>
      <c r="BE442" s="200">
        <v>4</v>
      </c>
      <c r="BF442" s="201">
        <v>41555</v>
      </c>
      <c r="BG442" s="203">
        <v>-3.2</v>
      </c>
      <c r="BH442" s="151">
        <v>41842</v>
      </c>
      <c r="BM442" s="204">
        <v>66.2</v>
      </c>
      <c r="BN442" s="151">
        <v>41842</v>
      </c>
      <c r="BQ442" s="205">
        <v>10.7</v>
      </c>
      <c r="BR442" s="151">
        <v>41842</v>
      </c>
      <c r="BS442" s="206">
        <v>46.2</v>
      </c>
      <c r="BT442" s="151">
        <v>41842</v>
      </c>
      <c r="BU442" s="207">
        <v>13.4</v>
      </c>
      <c r="BV442" s="151">
        <v>41842</v>
      </c>
      <c r="BW442" s="206">
        <v>18.7</v>
      </c>
      <c r="BX442" s="151">
        <v>41842</v>
      </c>
      <c r="BY442" s="210">
        <v>6.94</v>
      </c>
      <c r="BZ442" s="151">
        <v>41842</v>
      </c>
      <c r="CA442" s="206">
        <v>29.9</v>
      </c>
      <c r="CB442" s="151">
        <v>41842</v>
      </c>
      <c r="CC442" s="208">
        <v>5.8</v>
      </c>
      <c r="CD442" s="151">
        <v>41838</v>
      </c>
      <c r="CL442" s="209">
        <v>5</v>
      </c>
      <c r="CM442" s="201">
        <v>41810</v>
      </c>
    </row>
    <row r="443" spans="1:91" ht="15">
      <c r="A443" s="152" t="s">
        <v>7972</v>
      </c>
      <c r="B443" s="110" t="s">
        <v>235</v>
      </c>
      <c r="C443" s="110" t="s">
        <v>8082</v>
      </c>
      <c r="D443" s="110">
        <v>11443</v>
      </c>
      <c r="E443" s="111">
        <v>2</v>
      </c>
      <c r="F443" s="111">
        <v>669</v>
      </c>
      <c r="K443" s="191">
        <v>3</v>
      </c>
      <c r="L443" s="151">
        <v>41701</v>
      </c>
      <c r="M443" s="169">
        <v>3.95</v>
      </c>
      <c r="N443" s="151">
        <v>41838</v>
      </c>
      <c r="Q443" s="497"/>
      <c r="S443" s="134">
        <v>13.69</v>
      </c>
      <c r="T443" s="151">
        <v>41842</v>
      </c>
      <c r="U443" s="134">
        <v>13.5</v>
      </c>
      <c r="V443" s="151">
        <v>41838</v>
      </c>
      <c r="W443" s="196">
        <v>9</v>
      </c>
      <c r="X443" s="151">
        <v>41829</v>
      </c>
      <c r="Y443" s="134">
        <f t="shared" si="6"/>
        <v>4.1360299999999999</v>
      </c>
      <c r="AC443" s="134">
        <v>29.26</v>
      </c>
      <c r="AD443" s="151">
        <v>41838</v>
      </c>
      <c r="AE443" s="134">
        <v>30.19</v>
      </c>
      <c r="AF443" s="151">
        <v>41838</v>
      </c>
      <c r="AG443" s="197">
        <v>4.5</v>
      </c>
      <c r="AH443" s="151">
        <v>41843</v>
      </c>
      <c r="AI443" s="198">
        <v>5</v>
      </c>
      <c r="AJ443" s="151">
        <v>41778</v>
      </c>
      <c r="AK443" s="199">
        <v>4</v>
      </c>
      <c r="AL443" s="151">
        <v>41709</v>
      </c>
      <c r="BE443" s="200">
        <v>4</v>
      </c>
      <c r="BF443" s="201">
        <v>41555</v>
      </c>
      <c r="BG443" s="203">
        <v>-5.3</v>
      </c>
      <c r="BH443" s="151">
        <v>41842</v>
      </c>
      <c r="BM443" s="204">
        <v>64.7</v>
      </c>
      <c r="BN443" s="151">
        <v>41842</v>
      </c>
      <c r="BQ443" s="205">
        <v>10</v>
      </c>
      <c r="BR443" s="151">
        <v>41842</v>
      </c>
      <c r="BS443" s="206">
        <v>45.4</v>
      </c>
      <c r="BT443" s="151">
        <v>41842</v>
      </c>
      <c r="BU443" s="207">
        <v>13.7</v>
      </c>
      <c r="BV443" s="151">
        <v>41842</v>
      </c>
      <c r="BW443" s="206">
        <v>16.7</v>
      </c>
      <c r="BX443" s="151">
        <v>41842</v>
      </c>
      <c r="BY443" s="210">
        <v>7.17</v>
      </c>
      <c r="BZ443" s="151">
        <v>41842</v>
      </c>
      <c r="CA443" s="206">
        <v>30.1</v>
      </c>
      <c r="CB443" s="151">
        <v>41842</v>
      </c>
      <c r="CC443" s="208">
        <v>6.1</v>
      </c>
      <c r="CD443" s="151">
        <v>41838</v>
      </c>
      <c r="CL443" s="209">
        <v>3</v>
      </c>
      <c r="CM443" s="201">
        <v>41810</v>
      </c>
    </row>
    <row r="444" spans="1:91" ht="15">
      <c r="A444" s="152" t="s">
        <v>7972</v>
      </c>
      <c r="B444" s="110" t="s">
        <v>233</v>
      </c>
      <c r="C444" s="110" t="s">
        <v>8083</v>
      </c>
      <c r="D444" s="110">
        <v>11787</v>
      </c>
      <c r="E444" s="111">
        <v>11</v>
      </c>
      <c r="F444" s="111">
        <v>749</v>
      </c>
      <c r="K444" s="134">
        <v>5</v>
      </c>
      <c r="L444" s="151">
        <v>41701</v>
      </c>
      <c r="M444" s="169">
        <v>3.35</v>
      </c>
      <c r="N444" s="151">
        <v>41838</v>
      </c>
      <c r="Q444" s="497"/>
      <c r="S444" s="134">
        <v>12.03</v>
      </c>
      <c r="T444" s="151">
        <v>41842</v>
      </c>
      <c r="U444" s="134">
        <v>13.5</v>
      </c>
      <c r="V444" s="151">
        <v>41838</v>
      </c>
      <c r="W444" s="196">
        <v>9</v>
      </c>
      <c r="X444" s="151">
        <v>41829</v>
      </c>
      <c r="Y444" s="134">
        <f t="shared" si="6"/>
        <v>3.13896</v>
      </c>
      <c r="AC444" s="134">
        <v>24.81</v>
      </c>
      <c r="AD444" s="151">
        <v>41838</v>
      </c>
      <c r="AE444" s="134">
        <v>25.52</v>
      </c>
      <c r="AF444" s="151">
        <v>41838</v>
      </c>
      <c r="AG444" s="197">
        <v>4.5999999999999996</v>
      </c>
      <c r="AH444" s="151">
        <v>41843</v>
      </c>
      <c r="AI444" s="198">
        <v>3</v>
      </c>
      <c r="AJ444" s="151">
        <v>41778</v>
      </c>
      <c r="AK444" s="199">
        <v>4</v>
      </c>
      <c r="AL444" s="151">
        <v>41709</v>
      </c>
      <c r="BE444" s="200">
        <v>4</v>
      </c>
      <c r="BF444" s="201">
        <v>41555</v>
      </c>
      <c r="BG444" s="203">
        <v>-6.1</v>
      </c>
      <c r="BH444" s="151">
        <v>41842</v>
      </c>
      <c r="BM444" s="204">
        <v>66.599999999999994</v>
      </c>
      <c r="BN444" s="151">
        <v>41842</v>
      </c>
      <c r="BQ444" s="205">
        <v>9.8000000000000007</v>
      </c>
      <c r="BR444" s="151">
        <v>41842</v>
      </c>
      <c r="BS444" s="206">
        <v>47.1</v>
      </c>
      <c r="BT444" s="151">
        <v>41842</v>
      </c>
      <c r="BU444" s="207">
        <v>12.3</v>
      </c>
      <c r="BV444" s="151">
        <v>41842</v>
      </c>
      <c r="BW444" s="206">
        <v>14.3</v>
      </c>
      <c r="BX444" s="151">
        <v>41842</v>
      </c>
      <c r="BY444" s="210">
        <v>7.06</v>
      </c>
      <c r="BZ444" s="151">
        <v>41842</v>
      </c>
      <c r="CA444" s="206">
        <v>28.1</v>
      </c>
      <c r="CB444" s="151">
        <v>41842</v>
      </c>
      <c r="CC444" s="208">
        <v>6.4</v>
      </c>
      <c r="CD444" s="151">
        <v>41838</v>
      </c>
      <c r="CL444" s="209">
        <v>3</v>
      </c>
      <c r="CM444" s="201">
        <v>41810</v>
      </c>
    </row>
    <row r="445" spans="1:91" ht="15">
      <c r="A445" s="152" t="s">
        <v>7972</v>
      </c>
      <c r="B445" s="110" t="s">
        <v>235</v>
      </c>
      <c r="C445" s="110" t="s">
        <v>8081</v>
      </c>
      <c r="D445" s="110">
        <v>11392</v>
      </c>
      <c r="E445" s="111">
        <v>12</v>
      </c>
      <c r="F445" s="111">
        <v>605</v>
      </c>
      <c r="K445" s="191">
        <v>3</v>
      </c>
      <c r="L445" s="151">
        <v>41701</v>
      </c>
      <c r="M445" s="169">
        <v>4.2</v>
      </c>
      <c r="N445" s="151">
        <v>41838</v>
      </c>
      <c r="Q445" s="497"/>
      <c r="S445" s="134">
        <v>15.13</v>
      </c>
      <c r="T445" s="151">
        <v>41842</v>
      </c>
      <c r="U445" s="134">
        <v>13.5</v>
      </c>
      <c r="V445" s="151">
        <v>41838</v>
      </c>
      <c r="W445" s="196">
        <v>9</v>
      </c>
      <c r="X445" s="151">
        <v>41829</v>
      </c>
      <c r="Y445" s="134">
        <f t="shared" si="6"/>
        <v>3.8889399999999998</v>
      </c>
      <c r="AC445" s="134">
        <v>31.11</v>
      </c>
      <c r="AD445" s="151">
        <v>41838</v>
      </c>
      <c r="AE445" s="134">
        <v>32.14</v>
      </c>
      <c r="AF445" s="151">
        <v>41838</v>
      </c>
      <c r="AG445" s="197">
        <v>4.4000000000000004</v>
      </c>
      <c r="AH445" s="151">
        <v>41843</v>
      </c>
      <c r="AI445" s="198">
        <v>3</v>
      </c>
      <c r="AJ445" s="151">
        <v>41778</v>
      </c>
      <c r="AK445" s="199">
        <v>5</v>
      </c>
      <c r="AL445" s="151">
        <v>41709</v>
      </c>
      <c r="BE445" s="200">
        <v>5</v>
      </c>
      <c r="BF445" s="201">
        <v>41555</v>
      </c>
      <c r="BG445" s="203">
        <v>-4.9000000000000004</v>
      </c>
      <c r="BH445" s="151">
        <v>41842</v>
      </c>
      <c r="BM445" s="204">
        <v>66.5</v>
      </c>
      <c r="BN445" s="151">
        <v>41842</v>
      </c>
      <c r="BQ445" s="205">
        <v>8.8000000000000007</v>
      </c>
      <c r="BR445" s="151">
        <v>41842</v>
      </c>
      <c r="BS445" s="206">
        <v>47.1</v>
      </c>
      <c r="BT445" s="151">
        <v>41842</v>
      </c>
      <c r="BU445" s="207">
        <v>12.1</v>
      </c>
      <c r="BV445" s="151">
        <v>41842</v>
      </c>
      <c r="BW445" s="206">
        <v>13.1</v>
      </c>
      <c r="BX445" s="151">
        <v>41842</v>
      </c>
      <c r="BY445" s="210">
        <v>7.04</v>
      </c>
      <c r="BZ445" s="151">
        <v>41842</v>
      </c>
      <c r="CA445" s="206">
        <v>27.5</v>
      </c>
      <c r="CB445" s="151">
        <v>41842</v>
      </c>
      <c r="CC445" s="208">
        <v>6</v>
      </c>
      <c r="CD445" s="151">
        <v>41838</v>
      </c>
      <c r="CL445" s="209">
        <v>3</v>
      </c>
      <c r="CM445" s="201">
        <v>41810</v>
      </c>
    </row>
    <row r="446" spans="1:91" ht="15">
      <c r="A446" s="152" t="s">
        <v>7973</v>
      </c>
      <c r="B446" s="110" t="s">
        <v>235</v>
      </c>
      <c r="C446" s="110" t="s">
        <v>8082</v>
      </c>
      <c r="D446" s="110">
        <v>11414</v>
      </c>
      <c r="E446" s="111">
        <v>1</v>
      </c>
      <c r="F446" s="111">
        <v>697</v>
      </c>
      <c r="I446" s="373"/>
      <c r="K446" s="194">
        <v>5</v>
      </c>
      <c r="L446" s="151">
        <v>41701</v>
      </c>
      <c r="M446" s="169">
        <v>5</v>
      </c>
      <c r="N446" s="151">
        <v>41838</v>
      </c>
      <c r="Q446" s="497"/>
      <c r="S446" s="134">
        <v>16.73</v>
      </c>
      <c r="T446" s="151">
        <v>41842</v>
      </c>
      <c r="U446" s="194">
        <v>13.5</v>
      </c>
      <c r="V446" s="151">
        <v>41838</v>
      </c>
      <c r="W446" s="196">
        <v>9</v>
      </c>
      <c r="X446" s="151">
        <v>41829</v>
      </c>
      <c r="Y446" s="134">
        <f t="shared" si="6"/>
        <v>6.7165000000000008</v>
      </c>
      <c r="AA446" s="194"/>
      <c r="AC446" s="194">
        <v>37.04</v>
      </c>
      <c r="AD446" s="151">
        <v>41838</v>
      </c>
      <c r="AE446" s="137">
        <v>38.380000000000003</v>
      </c>
      <c r="AF446" s="151">
        <v>41838</v>
      </c>
      <c r="AG446" s="197">
        <v>4.5999999999999996</v>
      </c>
      <c r="AH446" s="151">
        <v>41843</v>
      </c>
      <c r="AI446" s="198">
        <v>5</v>
      </c>
      <c r="AJ446" s="151">
        <v>41778</v>
      </c>
      <c r="AK446" s="199">
        <v>5</v>
      </c>
      <c r="AL446" s="151">
        <v>41709</v>
      </c>
      <c r="AM446" s="194"/>
      <c r="BE446" s="200">
        <v>5</v>
      </c>
      <c r="BF446" s="201">
        <v>41555</v>
      </c>
      <c r="BG446" s="203">
        <v>-0.4</v>
      </c>
      <c r="BH446" s="151">
        <v>41842</v>
      </c>
      <c r="BM446" s="204">
        <v>59.8</v>
      </c>
      <c r="BN446" s="151">
        <v>41842</v>
      </c>
      <c r="BQ446" s="205">
        <v>12.7</v>
      </c>
      <c r="BR446" s="151">
        <v>41842</v>
      </c>
      <c r="BS446" s="206">
        <v>43.6</v>
      </c>
      <c r="BT446" s="151">
        <v>41842</v>
      </c>
      <c r="BU446" s="207">
        <v>17.5</v>
      </c>
      <c r="BV446" s="151">
        <v>41842</v>
      </c>
      <c r="BW446" s="206">
        <v>17.399999999999999</v>
      </c>
      <c r="BX446" s="151">
        <v>41842</v>
      </c>
      <c r="BY446" s="210">
        <v>7.43</v>
      </c>
      <c r="BZ446" s="151">
        <v>41842</v>
      </c>
      <c r="CA446" s="206">
        <v>37</v>
      </c>
      <c r="CB446" s="151">
        <v>41842</v>
      </c>
      <c r="CC446" s="208">
        <v>5.7</v>
      </c>
      <c r="CD446" s="151">
        <v>41838</v>
      </c>
      <c r="CL446" s="209">
        <v>5</v>
      </c>
      <c r="CM446" s="201">
        <v>41810</v>
      </c>
    </row>
    <row r="447" spans="1:91" ht="15">
      <c r="A447" s="152" t="s">
        <v>7973</v>
      </c>
      <c r="B447" s="110" t="s">
        <v>233</v>
      </c>
      <c r="C447" s="110" t="s">
        <v>381</v>
      </c>
      <c r="D447" s="110">
        <v>11177</v>
      </c>
      <c r="E447" s="111">
        <v>6</v>
      </c>
      <c r="F447" s="111">
        <v>609</v>
      </c>
      <c r="K447" s="134">
        <v>5</v>
      </c>
      <c r="L447" s="151">
        <v>41701</v>
      </c>
      <c r="M447" s="169">
        <v>3.55</v>
      </c>
      <c r="N447" s="151">
        <v>41838</v>
      </c>
      <c r="Q447" s="497"/>
      <c r="S447" s="134">
        <v>12.77</v>
      </c>
      <c r="T447" s="151">
        <v>41842</v>
      </c>
      <c r="U447" s="134">
        <v>13.5</v>
      </c>
      <c r="V447" s="151">
        <v>41838</v>
      </c>
      <c r="W447" s="196">
        <v>9</v>
      </c>
      <c r="X447" s="151">
        <v>41829</v>
      </c>
      <c r="Y447" s="134">
        <f t="shared" si="6"/>
        <v>3.7911999999999999</v>
      </c>
      <c r="AC447" s="134">
        <v>26.3</v>
      </c>
      <c r="AD447" s="151">
        <v>41838</v>
      </c>
      <c r="AE447" s="134">
        <v>27.08</v>
      </c>
      <c r="AF447" s="151">
        <v>41838</v>
      </c>
      <c r="AG447" s="197">
        <v>5</v>
      </c>
      <c r="AH447" s="151">
        <v>41843</v>
      </c>
      <c r="AI447" s="198">
        <v>3</v>
      </c>
      <c r="AJ447" s="151">
        <v>41778</v>
      </c>
      <c r="AK447" s="199">
        <v>4</v>
      </c>
      <c r="AL447" s="151">
        <v>41709</v>
      </c>
      <c r="BE447" s="200">
        <v>4</v>
      </c>
      <c r="BF447" s="201">
        <v>41555</v>
      </c>
      <c r="BG447" s="203">
        <v>-2.4</v>
      </c>
      <c r="BH447" s="151">
        <v>41842</v>
      </c>
      <c r="BM447" s="204">
        <v>61.8</v>
      </c>
      <c r="BN447" s="151">
        <v>41842</v>
      </c>
      <c r="BQ447" s="205">
        <v>10.9</v>
      </c>
      <c r="BR447" s="151">
        <v>41842</v>
      </c>
      <c r="BS447" s="206">
        <v>47.2</v>
      </c>
      <c r="BT447" s="151">
        <v>41842</v>
      </c>
      <c r="BU447" s="207">
        <v>14</v>
      </c>
      <c r="BV447" s="151">
        <v>41842</v>
      </c>
      <c r="BW447" s="206">
        <v>12.9</v>
      </c>
      <c r="BX447" s="151">
        <v>41842</v>
      </c>
      <c r="BY447" s="210">
        <v>6.92</v>
      </c>
      <c r="BZ447" s="151">
        <v>41842</v>
      </c>
      <c r="CA447" s="206">
        <v>31.9</v>
      </c>
      <c r="CB447" s="151">
        <v>41842</v>
      </c>
      <c r="CC447" s="208">
        <v>6.3</v>
      </c>
      <c r="CD447" s="151">
        <v>41838</v>
      </c>
      <c r="CL447" s="209">
        <v>5</v>
      </c>
      <c r="CM447" s="201">
        <v>41810</v>
      </c>
    </row>
    <row r="448" spans="1:91" ht="15">
      <c r="A448" s="152" t="s">
        <v>7973</v>
      </c>
      <c r="B448" s="110" t="s">
        <v>235</v>
      </c>
      <c r="C448" s="110" t="s">
        <v>8081</v>
      </c>
      <c r="D448" s="110">
        <v>11196</v>
      </c>
      <c r="E448" s="111">
        <v>7</v>
      </c>
      <c r="F448" s="111">
        <v>541</v>
      </c>
      <c r="K448" s="134">
        <v>5</v>
      </c>
      <c r="L448" s="151">
        <v>41701</v>
      </c>
      <c r="M448" s="169">
        <v>5.45</v>
      </c>
      <c r="N448" s="151">
        <v>41838</v>
      </c>
      <c r="Q448" s="497"/>
      <c r="S448" s="134">
        <v>19.079999999999998</v>
      </c>
      <c r="T448" s="151">
        <v>41842</v>
      </c>
      <c r="U448" s="134">
        <v>13.5</v>
      </c>
      <c r="V448" s="151">
        <v>41838</v>
      </c>
      <c r="W448" s="196">
        <v>9</v>
      </c>
      <c r="X448" s="151">
        <v>41829</v>
      </c>
      <c r="Y448" s="134">
        <f t="shared" si="6"/>
        <v>6.65097</v>
      </c>
      <c r="AC448" s="134">
        <v>40.369999999999997</v>
      </c>
      <c r="AD448" s="151">
        <v>41838</v>
      </c>
      <c r="AE448" s="134">
        <v>41.83</v>
      </c>
      <c r="AF448" s="151">
        <v>41838</v>
      </c>
      <c r="AG448" s="197">
        <v>4.9000000000000004</v>
      </c>
      <c r="AH448" s="151">
        <v>41843</v>
      </c>
      <c r="AI448" s="198">
        <v>5</v>
      </c>
      <c r="AJ448" s="151">
        <v>41778</v>
      </c>
      <c r="AK448" s="199">
        <v>5</v>
      </c>
      <c r="AL448" s="151">
        <v>41709</v>
      </c>
      <c r="BE448" s="200">
        <v>5</v>
      </c>
      <c r="BF448" s="201">
        <v>41555</v>
      </c>
      <c r="BG448" s="203">
        <v>-1.2</v>
      </c>
      <c r="BH448" s="151">
        <v>41842</v>
      </c>
      <c r="BM448" s="204">
        <v>60.9</v>
      </c>
      <c r="BN448" s="151">
        <v>41842</v>
      </c>
      <c r="BQ448" s="205">
        <v>11.8</v>
      </c>
      <c r="BR448" s="151">
        <v>41842</v>
      </c>
      <c r="BS448" s="206">
        <v>45.6</v>
      </c>
      <c r="BT448" s="151">
        <v>41842</v>
      </c>
      <c r="BU448" s="207">
        <v>15.9</v>
      </c>
      <c r="BV448" s="151">
        <v>41842</v>
      </c>
      <c r="BW448" s="206">
        <v>13.8</v>
      </c>
      <c r="BX448" s="151">
        <v>41842</v>
      </c>
      <c r="BY448" s="210">
        <v>7.18</v>
      </c>
      <c r="BZ448" s="151">
        <v>41842</v>
      </c>
      <c r="CA448" s="206">
        <v>34.9</v>
      </c>
      <c r="CB448" s="151">
        <v>41842</v>
      </c>
      <c r="CC448" s="208">
        <v>5.7</v>
      </c>
      <c r="CD448" s="151">
        <v>41838</v>
      </c>
      <c r="CL448" s="209">
        <v>5</v>
      </c>
      <c r="CM448" s="201">
        <v>41810</v>
      </c>
    </row>
    <row r="449" spans="1:91" ht="15">
      <c r="A449" s="152" t="s">
        <v>7973</v>
      </c>
      <c r="B449" s="110" t="s">
        <v>233</v>
      </c>
      <c r="C449" s="110" t="s">
        <v>8083</v>
      </c>
      <c r="D449" s="110">
        <v>11626</v>
      </c>
      <c r="E449" s="111">
        <v>7</v>
      </c>
      <c r="F449" s="111">
        <v>681</v>
      </c>
      <c r="K449" s="134">
        <v>5</v>
      </c>
      <c r="L449" s="151">
        <v>41701</v>
      </c>
      <c r="M449" s="169">
        <v>4</v>
      </c>
      <c r="N449" s="151">
        <v>41838</v>
      </c>
      <c r="Q449" s="497"/>
      <c r="S449" s="134">
        <v>14.64</v>
      </c>
      <c r="T449" s="151">
        <v>41842</v>
      </c>
      <c r="U449" s="134">
        <v>13.5</v>
      </c>
      <c r="V449" s="151">
        <v>41838</v>
      </c>
      <c r="W449" s="196">
        <v>9</v>
      </c>
      <c r="X449" s="151">
        <v>41829</v>
      </c>
      <c r="Y449" s="134">
        <f t="shared" si="6"/>
        <v>4.1138000000000003</v>
      </c>
      <c r="AC449" s="134">
        <v>29.63</v>
      </c>
      <c r="AD449" s="151">
        <v>41838</v>
      </c>
      <c r="AE449" s="134">
        <v>30.7</v>
      </c>
      <c r="AF449" s="151">
        <v>41838</v>
      </c>
      <c r="AG449" s="197">
        <v>4.7</v>
      </c>
      <c r="AH449" s="151">
        <v>41843</v>
      </c>
      <c r="AI449" s="198">
        <v>5</v>
      </c>
      <c r="AJ449" s="151">
        <v>41778</v>
      </c>
      <c r="AK449" s="199">
        <v>5</v>
      </c>
      <c r="AL449" s="151">
        <v>41709</v>
      </c>
      <c r="BE449" s="200">
        <v>5</v>
      </c>
      <c r="BF449" s="201">
        <v>41555</v>
      </c>
      <c r="BG449" s="203">
        <v>-4.5999999999999996</v>
      </c>
      <c r="BH449" s="151">
        <v>41842</v>
      </c>
      <c r="BM449" s="204">
        <v>62.3</v>
      </c>
      <c r="BN449" s="151">
        <v>41842</v>
      </c>
      <c r="BQ449" s="205">
        <v>10.8</v>
      </c>
      <c r="BR449" s="151">
        <v>41842</v>
      </c>
      <c r="BS449" s="206">
        <v>47.7</v>
      </c>
      <c r="BT449" s="151">
        <v>41842</v>
      </c>
      <c r="BU449" s="207">
        <v>13.4</v>
      </c>
      <c r="BV449" s="151">
        <v>41842</v>
      </c>
      <c r="BW449" s="206">
        <v>12.6</v>
      </c>
      <c r="BX449" s="151">
        <v>41842</v>
      </c>
      <c r="BY449" s="210">
        <v>7.06</v>
      </c>
      <c r="BZ449" s="151">
        <v>41842</v>
      </c>
      <c r="CA449" s="206">
        <v>30.9</v>
      </c>
      <c r="CB449" s="151">
        <v>41842</v>
      </c>
      <c r="CC449" s="208">
        <v>5.7</v>
      </c>
      <c r="CD449" s="151">
        <v>41838</v>
      </c>
      <c r="CL449" s="209">
        <v>3</v>
      </c>
      <c r="CM449" s="201">
        <v>41810</v>
      </c>
    </row>
    <row r="450" spans="1:91" ht="15">
      <c r="A450" s="152" t="s">
        <v>7974</v>
      </c>
      <c r="B450" s="110" t="s">
        <v>233</v>
      </c>
      <c r="C450" s="110" t="s">
        <v>381</v>
      </c>
      <c r="D450" s="110">
        <v>11082</v>
      </c>
      <c r="E450" s="111">
        <v>4</v>
      </c>
      <c r="F450" s="111">
        <v>517</v>
      </c>
      <c r="K450" s="134">
        <v>5</v>
      </c>
      <c r="L450" s="151">
        <v>41701</v>
      </c>
      <c r="M450" s="169">
        <v>4.7</v>
      </c>
      <c r="N450" s="151">
        <v>41838</v>
      </c>
      <c r="Q450" s="497"/>
      <c r="S450" s="134">
        <v>16.760000000000002</v>
      </c>
      <c r="T450" s="151">
        <v>41842</v>
      </c>
      <c r="U450" s="134">
        <v>13.5</v>
      </c>
      <c r="V450" s="151">
        <v>41838</v>
      </c>
      <c r="W450" s="196">
        <v>9</v>
      </c>
      <c r="X450" s="151">
        <v>41829</v>
      </c>
      <c r="Y450" s="134">
        <f t="shared" si="6"/>
        <v>4.8851199999999997</v>
      </c>
      <c r="AC450" s="134">
        <v>34.81</v>
      </c>
      <c r="AD450" s="151">
        <v>41838</v>
      </c>
      <c r="AE450" s="134">
        <v>35.92</v>
      </c>
      <c r="AF450" s="151">
        <v>41838</v>
      </c>
      <c r="AG450" s="197">
        <v>4.2</v>
      </c>
      <c r="AH450" s="151">
        <v>41843</v>
      </c>
      <c r="AI450" s="198">
        <v>3</v>
      </c>
      <c r="AJ450" s="151">
        <v>41778</v>
      </c>
      <c r="AK450" s="199">
        <v>4</v>
      </c>
      <c r="AL450" s="151">
        <v>41709</v>
      </c>
      <c r="BE450" s="200">
        <v>4</v>
      </c>
      <c r="BF450" s="201">
        <v>41555</v>
      </c>
      <c r="BG450" s="203">
        <v>-4.5</v>
      </c>
      <c r="BH450" s="151">
        <v>41842</v>
      </c>
      <c r="BM450" s="204">
        <v>64.2</v>
      </c>
      <c r="BN450" s="151">
        <v>41842</v>
      </c>
      <c r="BQ450" s="205">
        <v>10.6</v>
      </c>
      <c r="BR450" s="151">
        <v>41842</v>
      </c>
      <c r="BS450" s="206">
        <v>46.7</v>
      </c>
      <c r="BT450" s="151">
        <v>41842</v>
      </c>
      <c r="BU450" s="207">
        <v>13.6</v>
      </c>
      <c r="BV450" s="151">
        <v>41842</v>
      </c>
      <c r="BW450" s="206">
        <v>19.2</v>
      </c>
      <c r="BX450" s="151">
        <v>41842</v>
      </c>
      <c r="BY450" s="210">
        <v>7.71</v>
      </c>
      <c r="BZ450" s="151">
        <v>41842</v>
      </c>
      <c r="CA450" s="206">
        <v>30.7</v>
      </c>
      <c r="CB450" s="151">
        <v>41842</v>
      </c>
      <c r="CC450" s="208">
        <v>6.1</v>
      </c>
      <c r="CD450" s="151">
        <v>41838</v>
      </c>
      <c r="CL450" s="209">
        <v>3</v>
      </c>
      <c r="CM450" s="201">
        <v>41810</v>
      </c>
    </row>
    <row r="451" spans="1:91" ht="15">
      <c r="A451" s="152" t="s">
        <v>7974</v>
      </c>
      <c r="B451" s="110" t="s">
        <v>235</v>
      </c>
      <c r="C451" s="110" t="s">
        <v>8082</v>
      </c>
      <c r="D451" s="110">
        <v>11559</v>
      </c>
      <c r="E451" s="111">
        <v>5</v>
      </c>
      <c r="F451" s="111">
        <v>701</v>
      </c>
      <c r="K451" s="134">
        <v>5</v>
      </c>
      <c r="L451" s="151">
        <v>41701</v>
      </c>
      <c r="M451" s="169">
        <v>5.0999999999999996</v>
      </c>
      <c r="N451" s="151">
        <v>41838</v>
      </c>
      <c r="Q451" s="497"/>
      <c r="S451" s="134">
        <v>18.440000000000001</v>
      </c>
      <c r="T451" s="151">
        <v>41842</v>
      </c>
      <c r="U451" s="134">
        <v>13.5</v>
      </c>
      <c r="V451" s="151">
        <v>41838</v>
      </c>
      <c r="W451" s="196">
        <v>9</v>
      </c>
      <c r="X451" s="151">
        <v>41829</v>
      </c>
      <c r="Y451" s="134">
        <f t="shared" ref="Y451:Y514" si="7">(AE451*BU451)/100</f>
        <v>5.3243999999999998</v>
      </c>
      <c r="AC451" s="134">
        <v>37.78</v>
      </c>
      <c r="AD451" s="151">
        <v>41838</v>
      </c>
      <c r="AE451" s="134">
        <v>39.15</v>
      </c>
      <c r="AF451" s="151">
        <v>41838</v>
      </c>
      <c r="AG451" s="197">
        <v>4.0999999999999996</v>
      </c>
      <c r="AH451" s="151">
        <v>41843</v>
      </c>
      <c r="AI451" s="198">
        <v>5</v>
      </c>
      <c r="AJ451" s="151">
        <v>41778</v>
      </c>
      <c r="AK451" s="199">
        <v>4</v>
      </c>
      <c r="AL451" s="151">
        <v>41709</v>
      </c>
      <c r="BE451" s="200">
        <v>4</v>
      </c>
      <c r="BF451" s="201">
        <v>41555</v>
      </c>
      <c r="BG451" s="203">
        <v>-3.1</v>
      </c>
      <c r="BH451" s="151">
        <v>41842</v>
      </c>
      <c r="BM451" s="204">
        <v>64.599999999999994</v>
      </c>
      <c r="BN451" s="151">
        <v>41842</v>
      </c>
      <c r="BQ451" s="205">
        <v>10.5</v>
      </c>
      <c r="BR451" s="151">
        <v>41842</v>
      </c>
      <c r="BS451" s="206">
        <v>47.1</v>
      </c>
      <c r="BT451" s="151">
        <v>41842</v>
      </c>
      <c r="BU451" s="207">
        <v>13.6</v>
      </c>
      <c r="BV451" s="151">
        <v>41842</v>
      </c>
      <c r="BW451" s="206">
        <v>20.399999999999999</v>
      </c>
      <c r="BX451" s="151">
        <v>41842</v>
      </c>
      <c r="BY451" s="210">
        <v>7.47</v>
      </c>
      <c r="BZ451" s="151">
        <v>41842</v>
      </c>
      <c r="CA451" s="206">
        <v>31.1</v>
      </c>
      <c r="CB451" s="151">
        <v>41842</v>
      </c>
      <c r="CC451" s="208">
        <v>5.7</v>
      </c>
      <c r="CD451" s="151">
        <v>41838</v>
      </c>
      <c r="CL451" s="209">
        <v>3</v>
      </c>
      <c r="CM451" s="201">
        <v>41810</v>
      </c>
    </row>
    <row r="452" spans="1:91" ht="15">
      <c r="A452" s="152" t="s">
        <v>7974</v>
      </c>
      <c r="B452" s="110" t="s">
        <v>235</v>
      </c>
      <c r="C452" s="110" t="s">
        <v>8081</v>
      </c>
      <c r="D452" s="110">
        <v>11224</v>
      </c>
      <c r="E452" s="111">
        <v>8</v>
      </c>
      <c r="F452" s="111">
        <v>509</v>
      </c>
      <c r="K452" s="134">
        <v>5</v>
      </c>
      <c r="L452" s="151">
        <v>41701</v>
      </c>
      <c r="M452" s="169">
        <v>5.65</v>
      </c>
      <c r="N452" s="151">
        <v>41838</v>
      </c>
      <c r="Q452" s="497"/>
      <c r="S452" s="134">
        <v>19.5</v>
      </c>
      <c r="T452" s="151">
        <v>41842</v>
      </c>
      <c r="U452" s="134">
        <v>13.5</v>
      </c>
      <c r="V452" s="151">
        <v>41838</v>
      </c>
      <c r="W452" s="196">
        <v>9</v>
      </c>
      <c r="X452" s="151">
        <v>41829</v>
      </c>
      <c r="Y452" s="134">
        <f t="shared" si="7"/>
        <v>6.7516800000000003</v>
      </c>
      <c r="AC452" s="134">
        <v>41.85</v>
      </c>
      <c r="AD452" s="151">
        <v>41838</v>
      </c>
      <c r="AE452" s="134">
        <v>43.28</v>
      </c>
      <c r="AF452" s="151">
        <v>41838</v>
      </c>
      <c r="AG452" s="197">
        <v>4</v>
      </c>
      <c r="AH452" s="151">
        <v>41843</v>
      </c>
      <c r="AI452" s="198">
        <v>5</v>
      </c>
      <c r="AJ452" s="151">
        <v>41778</v>
      </c>
      <c r="AK452" s="199">
        <v>4</v>
      </c>
      <c r="AL452" s="151">
        <v>41709</v>
      </c>
      <c r="BE452" s="200">
        <v>4</v>
      </c>
      <c r="BF452" s="201">
        <v>41555</v>
      </c>
      <c r="BG452" s="203">
        <v>-4.8</v>
      </c>
      <c r="BH452" s="151">
        <v>41842</v>
      </c>
      <c r="BM452" s="204">
        <v>61.6</v>
      </c>
      <c r="BN452" s="151">
        <v>41842</v>
      </c>
      <c r="BQ452" s="205">
        <v>11.7</v>
      </c>
      <c r="BR452" s="151">
        <v>41842</v>
      </c>
      <c r="BS452" s="206">
        <v>45.1</v>
      </c>
      <c r="BT452" s="151">
        <v>41842</v>
      </c>
      <c r="BU452" s="207">
        <v>15.6</v>
      </c>
      <c r="BV452" s="151">
        <v>41842</v>
      </c>
      <c r="BW452" s="206">
        <v>19.5</v>
      </c>
      <c r="BX452" s="151">
        <v>41842</v>
      </c>
      <c r="BY452" s="210">
        <v>7.87</v>
      </c>
      <c r="BZ452" s="151">
        <v>41842</v>
      </c>
      <c r="CA452" s="206">
        <v>33.9</v>
      </c>
      <c r="CB452" s="151">
        <v>41842</v>
      </c>
      <c r="CC452" s="208">
        <v>5.9</v>
      </c>
      <c r="CD452" s="151">
        <v>41838</v>
      </c>
      <c r="CL452" s="209">
        <v>3</v>
      </c>
      <c r="CM452" s="201">
        <v>41810</v>
      </c>
    </row>
    <row r="453" spans="1:91" ht="15">
      <c r="A453" s="152" t="s">
        <v>7974</v>
      </c>
      <c r="B453" s="110" t="s">
        <v>233</v>
      </c>
      <c r="C453" s="110" t="s">
        <v>8083</v>
      </c>
      <c r="D453" s="110">
        <v>11760</v>
      </c>
      <c r="E453" s="111">
        <v>11</v>
      </c>
      <c r="F453" s="111">
        <v>641</v>
      </c>
      <c r="K453" s="134">
        <v>5</v>
      </c>
      <c r="L453" s="151">
        <v>41701</v>
      </c>
      <c r="M453" s="169">
        <v>4.45</v>
      </c>
      <c r="N453" s="151">
        <v>41838</v>
      </c>
      <c r="Q453" s="497"/>
      <c r="S453" s="134">
        <v>16.22</v>
      </c>
      <c r="T453" s="151">
        <v>41842</v>
      </c>
      <c r="U453" s="134">
        <v>13.5</v>
      </c>
      <c r="V453" s="151">
        <v>41838</v>
      </c>
      <c r="W453" s="196">
        <v>9</v>
      </c>
      <c r="X453" s="151">
        <v>41829</v>
      </c>
      <c r="Y453" s="134">
        <f t="shared" si="7"/>
        <v>4.4788899999999998</v>
      </c>
      <c r="AC453" s="134">
        <v>32.96</v>
      </c>
      <c r="AD453" s="151">
        <v>41838</v>
      </c>
      <c r="AE453" s="134">
        <v>34.19</v>
      </c>
      <c r="AF453" s="151">
        <v>41838</v>
      </c>
      <c r="AG453" s="197">
        <v>4.0999999999999996</v>
      </c>
      <c r="AH453" s="151">
        <v>41843</v>
      </c>
      <c r="AI453" s="198">
        <v>7</v>
      </c>
      <c r="AJ453" s="151">
        <v>41778</v>
      </c>
      <c r="AK453" s="199">
        <v>4</v>
      </c>
      <c r="AL453" s="151">
        <v>41709</v>
      </c>
      <c r="BE453" s="200">
        <v>4</v>
      </c>
      <c r="BF453" s="201">
        <v>41555</v>
      </c>
      <c r="BG453" s="203">
        <v>-3.5</v>
      </c>
      <c r="BH453" s="151">
        <v>41842</v>
      </c>
      <c r="BM453" s="204">
        <v>66.2</v>
      </c>
      <c r="BN453" s="151">
        <v>41842</v>
      </c>
      <c r="BQ453" s="205">
        <v>9.6999999999999993</v>
      </c>
      <c r="BR453" s="151">
        <v>41842</v>
      </c>
      <c r="BS453" s="206">
        <v>47.4</v>
      </c>
      <c r="BT453" s="151">
        <v>41842</v>
      </c>
      <c r="BU453" s="207">
        <v>13.1</v>
      </c>
      <c r="BV453" s="151">
        <v>41842</v>
      </c>
      <c r="BW453" s="206">
        <v>20.2</v>
      </c>
      <c r="BX453" s="151">
        <v>41842</v>
      </c>
      <c r="BY453" s="210">
        <v>7.44</v>
      </c>
      <c r="BZ453" s="151">
        <v>41842</v>
      </c>
      <c r="CA453" s="206">
        <v>30</v>
      </c>
      <c r="CB453" s="151">
        <v>41842</v>
      </c>
      <c r="CC453" s="208">
        <v>5.6</v>
      </c>
      <c r="CD453" s="151">
        <v>41838</v>
      </c>
      <c r="CL453" s="209">
        <v>3</v>
      </c>
      <c r="CM453" s="201">
        <v>41810</v>
      </c>
    </row>
    <row r="454" spans="1:91" ht="15">
      <c r="A454" s="152" t="s">
        <v>7975</v>
      </c>
      <c r="B454" s="110" t="s">
        <v>233</v>
      </c>
      <c r="C454" s="110" t="s">
        <v>381</v>
      </c>
      <c r="D454" s="110">
        <v>11075</v>
      </c>
      <c r="E454" s="111">
        <v>4</v>
      </c>
      <c r="F454" s="111">
        <v>489</v>
      </c>
      <c r="K454" s="134">
        <v>5</v>
      </c>
      <c r="L454" s="151">
        <v>41701</v>
      </c>
      <c r="M454" s="169">
        <v>3</v>
      </c>
      <c r="N454" s="151">
        <v>41838</v>
      </c>
      <c r="Q454" s="497"/>
      <c r="S454" s="134">
        <v>10.36</v>
      </c>
      <c r="T454" s="151">
        <v>41842</v>
      </c>
      <c r="U454" s="134">
        <v>13.5</v>
      </c>
      <c r="V454" s="151">
        <v>41838</v>
      </c>
      <c r="W454" s="196">
        <v>9</v>
      </c>
      <c r="X454" s="151">
        <v>41829</v>
      </c>
      <c r="Y454" s="134">
        <f t="shared" si="7"/>
        <v>3.7065599999999996</v>
      </c>
      <c r="AC454" s="134">
        <v>22.22</v>
      </c>
      <c r="AD454" s="151">
        <v>41838</v>
      </c>
      <c r="AE454" s="134">
        <v>22.88</v>
      </c>
      <c r="AF454" s="151">
        <v>41838</v>
      </c>
      <c r="AG454" s="197">
        <v>4.7</v>
      </c>
      <c r="AH454" s="151">
        <v>41843</v>
      </c>
      <c r="AI454" s="198">
        <v>3</v>
      </c>
      <c r="AJ454" s="151">
        <v>41778</v>
      </c>
      <c r="AK454" s="199">
        <v>4</v>
      </c>
      <c r="AL454" s="151">
        <v>41709</v>
      </c>
      <c r="BE454" s="200">
        <v>4</v>
      </c>
      <c r="BF454" s="201">
        <v>41555</v>
      </c>
      <c r="BG454" s="203">
        <v>-2.5</v>
      </c>
      <c r="BH454" s="151">
        <v>41842</v>
      </c>
      <c r="BM454" s="204">
        <v>62.8</v>
      </c>
      <c r="BN454" s="151">
        <v>41842</v>
      </c>
      <c r="BQ454" s="205">
        <v>11.1</v>
      </c>
      <c r="BR454" s="151">
        <v>41842</v>
      </c>
      <c r="BS454" s="206">
        <v>45.3</v>
      </c>
      <c r="BT454" s="151">
        <v>41842</v>
      </c>
      <c r="BU454" s="207">
        <v>16.2</v>
      </c>
      <c r="BV454" s="151">
        <v>41842</v>
      </c>
      <c r="BW454" s="206">
        <v>11.9</v>
      </c>
      <c r="BX454" s="151">
        <v>41842</v>
      </c>
      <c r="BY454" s="210">
        <v>7.29</v>
      </c>
      <c r="BZ454" s="151">
        <v>41842</v>
      </c>
      <c r="CA454" s="206">
        <v>35.299999999999997</v>
      </c>
      <c r="CB454" s="151">
        <v>41842</v>
      </c>
      <c r="CC454" s="208">
        <v>6.3</v>
      </c>
      <c r="CD454" s="151">
        <v>41838</v>
      </c>
      <c r="CL454" s="209">
        <v>5</v>
      </c>
      <c r="CM454" s="201">
        <v>41810</v>
      </c>
    </row>
    <row r="455" spans="1:91" ht="15">
      <c r="A455" s="152" t="s">
        <v>7975</v>
      </c>
      <c r="B455" s="110" t="s">
        <v>235</v>
      </c>
      <c r="C455" s="110" t="s">
        <v>8082</v>
      </c>
      <c r="D455" s="110">
        <v>11534</v>
      </c>
      <c r="E455" s="111">
        <v>4</v>
      </c>
      <c r="F455" s="111">
        <v>745</v>
      </c>
      <c r="K455" s="134">
        <v>5</v>
      </c>
      <c r="L455" s="151">
        <v>41701</v>
      </c>
      <c r="M455" s="169">
        <v>4.2</v>
      </c>
      <c r="N455" s="151">
        <v>41838</v>
      </c>
      <c r="Q455" s="497"/>
      <c r="S455" s="134">
        <v>14.52</v>
      </c>
      <c r="T455" s="151">
        <v>41842</v>
      </c>
      <c r="U455" s="134">
        <v>13.5</v>
      </c>
      <c r="V455" s="151">
        <v>41838</v>
      </c>
      <c r="W455" s="196">
        <v>9</v>
      </c>
      <c r="X455" s="151">
        <v>41829</v>
      </c>
      <c r="Y455" s="134">
        <f t="shared" si="7"/>
        <v>5.1040000000000001</v>
      </c>
      <c r="AC455" s="134">
        <v>31.11</v>
      </c>
      <c r="AD455" s="151">
        <v>41838</v>
      </c>
      <c r="AE455" s="134">
        <v>31.9</v>
      </c>
      <c r="AF455" s="151">
        <v>41838</v>
      </c>
      <c r="AG455" s="197">
        <v>4.9000000000000004</v>
      </c>
      <c r="AH455" s="151">
        <v>41843</v>
      </c>
      <c r="AI455" s="198">
        <v>5</v>
      </c>
      <c r="AJ455" s="151">
        <v>41778</v>
      </c>
      <c r="AK455" s="199">
        <v>4</v>
      </c>
      <c r="AL455" s="151">
        <v>41709</v>
      </c>
      <c r="BE455" s="200">
        <v>4</v>
      </c>
      <c r="BF455" s="201">
        <v>41555</v>
      </c>
      <c r="BG455" s="203">
        <v>-6.2</v>
      </c>
      <c r="BH455" s="151">
        <v>41842</v>
      </c>
      <c r="BM455" s="204">
        <v>62.8</v>
      </c>
      <c r="BN455" s="151">
        <v>41842</v>
      </c>
      <c r="BQ455" s="205">
        <v>10.6</v>
      </c>
      <c r="BR455" s="151">
        <v>41842</v>
      </c>
      <c r="BS455" s="206">
        <v>45.5</v>
      </c>
      <c r="BT455" s="151">
        <v>41842</v>
      </c>
      <c r="BU455" s="207">
        <v>16</v>
      </c>
      <c r="BV455" s="151">
        <v>41842</v>
      </c>
      <c r="BW455" s="206">
        <v>9.3000000000000007</v>
      </c>
      <c r="BX455" s="151">
        <v>41842</v>
      </c>
      <c r="BY455" s="210">
        <v>7.17</v>
      </c>
      <c r="BZ455" s="151">
        <v>41842</v>
      </c>
      <c r="CA455" s="206">
        <v>35.200000000000003</v>
      </c>
      <c r="CB455" s="151">
        <v>41842</v>
      </c>
      <c r="CC455" s="208">
        <v>6.7</v>
      </c>
      <c r="CD455" s="151">
        <v>41838</v>
      </c>
      <c r="CL455" s="209">
        <v>3</v>
      </c>
      <c r="CM455" s="201">
        <v>41810</v>
      </c>
    </row>
    <row r="456" spans="1:91" ht="15">
      <c r="A456" s="152" t="s">
        <v>7975</v>
      </c>
      <c r="B456" s="110" t="s">
        <v>235</v>
      </c>
      <c r="C456" s="110" t="s">
        <v>8081</v>
      </c>
      <c r="D456" s="110">
        <v>11214</v>
      </c>
      <c r="E456" s="111">
        <v>7</v>
      </c>
      <c r="F456" s="111">
        <v>613</v>
      </c>
      <c r="K456" s="134">
        <v>5</v>
      </c>
      <c r="L456" s="151">
        <v>41701</v>
      </c>
      <c r="M456" s="169">
        <v>3.8</v>
      </c>
      <c r="N456" s="151">
        <v>41838</v>
      </c>
      <c r="Q456" s="497"/>
      <c r="S456" s="134">
        <v>13.31</v>
      </c>
      <c r="T456" s="151">
        <v>41842</v>
      </c>
      <c r="U456" s="134">
        <v>13.5</v>
      </c>
      <c r="V456" s="151">
        <v>41838</v>
      </c>
      <c r="W456" s="196">
        <v>9</v>
      </c>
      <c r="X456" s="151">
        <v>41829</v>
      </c>
      <c r="Y456" s="134">
        <f t="shared" si="7"/>
        <v>4.5498599999999998</v>
      </c>
      <c r="AC456" s="134">
        <v>28.15</v>
      </c>
      <c r="AD456" s="151">
        <v>41838</v>
      </c>
      <c r="AE456" s="134">
        <v>28.98</v>
      </c>
      <c r="AF456" s="151">
        <v>41838</v>
      </c>
      <c r="AG456" s="197">
        <v>4.7</v>
      </c>
      <c r="AH456" s="151">
        <v>41843</v>
      </c>
      <c r="AI456" s="198">
        <v>3</v>
      </c>
      <c r="AJ456" s="151">
        <v>41778</v>
      </c>
      <c r="AK456" s="199">
        <v>5</v>
      </c>
      <c r="AL456" s="151">
        <v>41709</v>
      </c>
      <c r="BE456" s="200">
        <v>5</v>
      </c>
      <c r="BF456" s="201">
        <v>41555</v>
      </c>
      <c r="BG456" s="203">
        <v>-3.2</v>
      </c>
      <c r="BH456" s="151">
        <v>41842</v>
      </c>
      <c r="BM456" s="204">
        <v>63.6</v>
      </c>
      <c r="BN456" s="151">
        <v>41842</v>
      </c>
      <c r="BQ456" s="205">
        <v>10.8</v>
      </c>
      <c r="BR456" s="151">
        <v>41842</v>
      </c>
      <c r="BS456" s="206">
        <v>45.9</v>
      </c>
      <c r="BT456" s="151">
        <v>41842</v>
      </c>
      <c r="BU456" s="207">
        <v>15.7</v>
      </c>
      <c r="BV456" s="151">
        <v>41842</v>
      </c>
      <c r="BW456" s="206">
        <v>11.1</v>
      </c>
      <c r="BX456" s="151">
        <v>41842</v>
      </c>
      <c r="BY456" s="210">
        <v>7.35</v>
      </c>
      <c r="BZ456" s="151">
        <v>41842</v>
      </c>
      <c r="CA456" s="206">
        <v>34.9</v>
      </c>
      <c r="CB456" s="151">
        <v>41842</v>
      </c>
      <c r="CC456" s="208">
        <v>6.3</v>
      </c>
      <c r="CD456" s="151">
        <v>41838</v>
      </c>
      <c r="CL456" s="209">
        <v>3</v>
      </c>
      <c r="CM456" s="201">
        <v>41810</v>
      </c>
    </row>
    <row r="457" spans="1:91" ht="15">
      <c r="A457" s="152" t="s">
        <v>7975</v>
      </c>
      <c r="B457" s="110" t="s">
        <v>233</v>
      </c>
      <c r="C457" s="110" t="s">
        <v>8083</v>
      </c>
      <c r="D457" s="110">
        <v>11796</v>
      </c>
      <c r="E457" s="111">
        <v>12</v>
      </c>
      <c r="F457" s="111">
        <v>641</v>
      </c>
      <c r="K457" s="191">
        <v>3</v>
      </c>
      <c r="L457" s="151">
        <v>41701</v>
      </c>
      <c r="M457" s="169">
        <v>3</v>
      </c>
      <c r="N457" s="151">
        <v>41838</v>
      </c>
      <c r="Q457" s="497"/>
      <c r="S457" s="134">
        <v>10.65</v>
      </c>
      <c r="T457" s="151">
        <v>41842</v>
      </c>
      <c r="U457" s="134">
        <v>13.5</v>
      </c>
      <c r="V457" s="151">
        <v>41838</v>
      </c>
      <c r="W457" s="196">
        <v>1</v>
      </c>
      <c r="X457" s="151">
        <v>41829</v>
      </c>
      <c r="Y457" s="134">
        <f t="shared" si="7"/>
        <v>3.5312399999999995</v>
      </c>
      <c r="AC457" s="134">
        <v>22.22</v>
      </c>
      <c r="AD457" s="151">
        <v>41838</v>
      </c>
      <c r="AE457" s="134">
        <v>23.08</v>
      </c>
      <c r="AF457" s="151">
        <v>41838</v>
      </c>
      <c r="AG457" s="197">
        <v>4.9000000000000004</v>
      </c>
      <c r="AH457" s="151">
        <v>41843</v>
      </c>
      <c r="AI457" s="198">
        <v>3</v>
      </c>
      <c r="AJ457" s="151">
        <v>41778</v>
      </c>
      <c r="AK457" s="199">
        <v>5</v>
      </c>
      <c r="AL457" s="151">
        <v>41709</v>
      </c>
      <c r="BE457" s="200">
        <v>5</v>
      </c>
      <c r="BF457" s="201">
        <v>41555</v>
      </c>
      <c r="BG457" s="203">
        <v>-3.7</v>
      </c>
      <c r="BH457" s="151">
        <v>41842</v>
      </c>
      <c r="BM457" s="204">
        <v>62.9</v>
      </c>
      <c r="BN457" s="151">
        <v>41842</v>
      </c>
      <c r="BQ457" s="205">
        <v>11.3</v>
      </c>
      <c r="BR457" s="151">
        <v>41842</v>
      </c>
      <c r="BS457" s="206">
        <v>46.2</v>
      </c>
      <c r="BT457" s="151">
        <v>41842</v>
      </c>
      <c r="BU457" s="207">
        <v>15.3</v>
      </c>
      <c r="BV457" s="151">
        <v>41842</v>
      </c>
      <c r="BW457" s="206">
        <v>10.7</v>
      </c>
      <c r="BX457" s="151">
        <v>41842</v>
      </c>
      <c r="BY457" s="210">
        <v>7.22</v>
      </c>
      <c r="BZ457" s="151">
        <v>41842</v>
      </c>
      <c r="CA457" s="206">
        <v>34</v>
      </c>
      <c r="CB457" s="151">
        <v>41842</v>
      </c>
      <c r="CC457" s="208">
        <v>5.5</v>
      </c>
      <c r="CD457" s="151">
        <v>41838</v>
      </c>
      <c r="CL457" s="209">
        <v>3</v>
      </c>
      <c r="CM457" s="201">
        <v>41810</v>
      </c>
    </row>
    <row r="458" spans="1:91" ht="15">
      <c r="A458" s="152" t="s">
        <v>7976</v>
      </c>
      <c r="B458" s="110" t="s">
        <v>233</v>
      </c>
      <c r="C458" s="110" t="s">
        <v>381</v>
      </c>
      <c r="D458" s="110">
        <v>11028</v>
      </c>
      <c r="E458" s="111">
        <v>2</v>
      </c>
      <c r="F458" s="111">
        <v>589</v>
      </c>
      <c r="K458" s="134">
        <v>5</v>
      </c>
      <c r="L458" s="151">
        <v>41701</v>
      </c>
      <c r="M458" s="169">
        <v>4.1500000000000004</v>
      </c>
      <c r="N458" s="151">
        <v>41838</v>
      </c>
      <c r="Q458" s="497"/>
      <c r="S458" s="134">
        <v>15.11</v>
      </c>
      <c r="T458" s="151">
        <v>41842</v>
      </c>
      <c r="U458" s="134">
        <v>13.5</v>
      </c>
      <c r="V458" s="151">
        <v>41838</v>
      </c>
      <c r="W458" s="196">
        <v>9</v>
      </c>
      <c r="X458" s="151">
        <v>41829</v>
      </c>
      <c r="Y458" s="134">
        <f t="shared" si="7"/>
        <v>3.9967199999999998</v>
      </c>
      <c r="AC458" s="134">
        <v>30.74</v>
      </c>
      <c r="AD458" s="151">
        <v>41838</v>
      </c>
      <c r="AE458" s="134">
        <v>31.72</v>
      </c>
      <c r="AF458" s="151">
        <v>41838</v>
      </c>
      <c r="AG458" s="197">
        <v>4.8</v>
      </c>
      <c r="AH458" s="151">
        <v>41843</v>
      </c>
      <c r="AI458" s="198">
        <v>5</v>
      </c>
      <c r="AJ458" s="151">
        <v>41778</v>
      </c>
      <c r="AK458" s="199">
        <v>5</v>
      </c>
      <c r="AL458" s="151">
        <v>41709</v>
      </c>
      <c r="BE458" s="200">
        <v>5</v>
      </c>
      <c r="BF458" s="201">
        <v>41555</v>
      </c>
      <c r="BG458" s="203">
        <v>-2.6</v>
      </c>
      <c r="BH458" s="151">
        <v>41842</v>
      </c>
      <c r="BM458" s="204">
        <v>64.3</v>
      </c>
      <c r="BN458" s="151">
        <v>41842</v>
      </c>
      <c r="BQ458" s="205">
        <v>10.4</v>
      </c>
      <c r="BR458" s="151">
        <v>41842</v>
      </c>
      <c r="BS458" s="206">
        <v>47.6</v>
      </c>
      <c r="BT458" s="151">
        <v>41842</v>
      </c>
      <c r="BU458" s="207">
        <v>12.6</v>
      </c>
      <c r="BV458" s="151">
        <v>41842</v>
      </c>
      <c r="BW458" s="206">
        <v>13.1</v>
      </c>
      <c r="BX458" s="151">
        <v>41842</v>
      </c>
      <c r="BY458" s="210">
        <v>6.88</v>
      </c>
      <c r="BZ458" s="151">
        <v>41842</v>
      </c>
      <c r="CA458" s="206">
        <v>29</v>
      </c>
      <c r="CB458" s="151">
        <v>41842</v>
      </c>
      <c r="CC458" s="208">
        <v>6.1</v>
      </c>
      <c r="CD458" s="151">
        <v>41838</v>
      </c>
      <c r="CL458" s="209">
        <v>3</v>
      </c>
      <c r="CM458" s="201">
        <v>41810</v>
      </c>
    </row>
    <row r="459" spans="1:91" ht="15">
      <c r="A459" s="152" t="s">
        <v>7976</v>
      </c>
      <c r="B459" s="110" t="s">
        <v>235</v>
      </c>
      <c r="C459" s="110" t="s">
        <v>8082</v>
      </c>
      <c r="D459" s="110">
        <v>11548</v>
      </c>
      <c r="E459" s="111">
        <v>5</v>
      </c>
      <c r="F459" s="111">
        <v>657</v>
      </c>
      <c r="K459" s="134">
        <v>5</v>
      </c>
      <c r="L459" s="151">
        <v>41701</v>
      </c>
      <c r="M459" s="169">
        <v>6.05</v>
      </c>
      <c r="N459" s="151">
        <v>41838</v>
      </c>
      <c r="Q459" s="497"/>
      <c r="S459" s="134">
        <v>21.9</v>
      </c>
      <c r="T459" s="151">
        <v>41842</v>
      </c>
      <c r="U459" s="134">
        <v>13.5</v>
      </c>
      <c r="V459" s="151">
        <v>41838</v>
      </c>
      <c r="W459" s="196">
        <v>1</v>
      </c>
      <c r="X459" s="151">
        <v>41829</v>
      </c>
      <c r="Y459" s="134">
        <f t="shared" si="7"/>
        <v>6.2559000000000005</v>
      </c>
      <c r="AC459" s="134">
        <v>44.81</v>
      </c>
      <c r="AD459" s="151">
        <v>41838</v>
      </c>
      <c r="AE459" s="134">
        <v>46.34</v>
      </c>
      <c r="AF459" s="151">
        <v>41838</v>
      </c>
      <c r="AG459" s="197">
        <v>5</v>
      </c>
      <c r="AH459" s="151">
        <v>41843</v>
      </c>
      <c r="AI459" s="198">
        <v>7</v>
      </c>
      <c r="AJ459" s="151">
        <v>41778</v>
      </c>
      <c r="AK459" s="199">
        <v>5</v>
      </c>
      <c r="AL459" s="151">
        <v>41709</v>
      </c>
      <c r="BE459" s="200">
        <v>5</v>
      </c>
      <c r="BF459" s="201">
        <v>41555</v>
      </c>
      <c r="BG459" s="203">
        <v>-2.7</v>
      </c>
      <c r="BH459" s="151">
        <v>41842</v>
      </c>
      <c r="BM459" s="204">
        <v>63.6</v>
      </c>
      <c r="BN459" s="151">
        <v>41842</v>
      </c>
      <c r="BQ459" s="205">
        <v>10.9</v>
      </c>
      <c r="BR459" s="151">
        <v>41842</v>
      </c>
      <c r="BS459" s="206">
        <v>47.3</v>
      </c>
      <c r="BT459" s="151">
        <v>41842</v>
      </c>
      <c r="BU459" s="207">
        <v>13.5</v>
      </c>
      <c r="BV459" s="151">
        <v>41842</v>
      </c>
      <c r="BW459" s="206">
        <v>12.2</v>
      </c>
      <c r="BX459" s="151">
        <v>41842</v>
      </c>
      <c r="BY459" s="210">
        <v>6.97</v>
      </c>
      <c r="BZ459" s="151">
        <v>41842</v>
      </c>
      <c r="CA459" s="206">
        <v>30.8</v>
      </c>
      <c r="CB459" s="151">
        <v>41842</v>
      </c>
      <c r="CC459" s="208">
        <v>5.9</v>
      </c>
      <c r="CD459" s="151">
        <v>41838</v>
      </c>
      <c r="CL459" s="209">
        <v>5</v>
      </c>
      <c r="CM459" s="201">
        <v>41810</v>
      </c>
    </row>
    <row r="460" spans="1:91" ht="15">
      <c r="A460" s="152" t="s">
        <v>7976</v>
      </c>
      <c r="B460" s="110" t="s">
        <v>233</v>
      </c>
      <c r="C460" s="110" t="s">
        <v>8083</v>
      </c>
      <c r="D460" s="110">
        <v>11696</v>
      </c>
      <c r="E460" s="111">
        <v>9</v>
      </c>
      <c r="F460" s="111">
        <v>673</v>
      </c>
      <c r="K460" s="134">
        <v>5</v>
      </c>
      <c r="L460" s="151">
        <v>41701</v>
      </c>
      <c r="M460" s="169">
        <v>4.6500000000000004</v>
      </c>
      <c r="N460" s="151">
        <v>41838</v>
      </c>
      <c r="Q460" s="497"/>
      <c r="S460" s="134">
        <v>17.170000000000002</v>
      </c>
      <c r="T460" s="151">
        <v>41842</v>
      </c>
      <c r="U460" s="134">
        <v>13.5</v>
      </c>
      <c r="V460" s="151">
        <v>41838</v>
      </c>
      <c r="W460" s="196">
        <v>9</v>
      </c>
      <c r="X460" s="151">
        <v>41829</v>
      </c>
      <c r="Y460" s="134">
        <f t="shared" si="7"/>
        <v>4.3763399999999999</v>
      </c>
      <c r="AC460" s="134">
        <v>34.44</v>
      </c>
      <c r="AD460" s="151">
        <v>41838</v>
      </c>
      <c r="AE460" s="134">
        <v>35.58</v>
      </c>
      <c r="AF460" s="151">
        <v>41838</v>
      </c>
      <c r="AG460" s="197">
        <v>4.7</v>
      </c>
      <c r="AH460" s="151">
        <v>41843</v>
      </c>
      <c r="AI460" s="198">
        <v>7</v>
      </c>
      <c r="AJ460" s="151">
        <v>41778</v>
      </c>
      <c r="AK460" s="199">
        <v>5</v>
      </c>
      <c r="AL460" s="151">
        <v>41709</v>
      </c>
      <c r="BE460" s="200">
        <v>5</v>
      </c>
      <c r="BF460" s="201">
        <v>41555</v>
      </c>
      <c r="BG460" s="203">
        <v>-2.5</v>
      </c>
      <c r="BH460" s="151">
        <v>41842</v>
      </c>
      <c r="BM460" s="204">
        <v>65.3</v>
      </c>
      <c r="BN460" s="151">
        <v>41842</v>
      </c>
      <c r="BQ460" s="205">
        <v>9.6</v>
      </c>
      <c r="BR460" s="151">
        <v>41842</v>
      </c>
      <c r="BS460" s="206">
        <v>48.3</v>
      </c>
      <c r="BT460" s="151">
        <v>41842</v>
      </c>
      <c r="BU460" s="207">
        <v>12.3</v>
      </c>
      <c r="BV460" s="151">
        <v>41842</v>
      </c>
      <c r="BW460" s="206">
        <v>15.2</v>
      </c>
      <c r="BX460" s="151">
        <v>41842</v>
      </c>
      <c r="BY460" s="210">
        <v>6.94</v>
      </c>
      <c r="BZ460" s="151">
        <v>41842</v>
      </c>
      <c r="CA460" s="206">
        <v>28.9</v>
      </c>
      <c r="CB460" s="151">
        <v>41842</v>
      </c>
      <c r="CC460" s="208">
        <v>6</v>
      </c>
      <c r="CD460" s="151">
        <v>41838</v>
      </c>
      <c r="CL460" s="209">
        <v>3</v>
      </c>
      <c r="CM460" s="201">
        <v>41810</v>
      </c>
    </row>
    <row r="461" spans="1:91" ht="15">
      <c r="A461" s="152" t="s">
        <v>7976</v>
      </c>
      <c r="B461" s="110" t="s">
        <v>235</v>
      </c>
      <c r="C461" s="110" t="s">
        <v>8081</v>
      </c>
      <c r="D461" s="110">
        <v>11365</v>
      </c>
      <c r="E461" s="111">
        <v>12</v>
      </c>
      <c r="F461" s="111">
        <v>497</v>
      </c>
      <c r="K461" s="134">
        <v>5</v>
      </c>
      <c r="L461" s="151">
        <v>41701</v>
      </c>
      <c r="M461" s="169">
        <v>5.45</v>
      </c>
      <c r="N461" s="151">
        <v>41838</v>
      </c>
      <c r="Q461" s="497"/>
      <c r="S461" s="134">
        <v>19.5</v>
      </c>
      <c r="T461" s="151">
        <v>41842</v>
      </c>
      <c r="U461" s="134">
        <v>13.5</v>
      </c>
      <c r="V461" s="151">
        <v>41838</v>
      </c>
      <c r="W461" s="196">
        <v>9</v>
      </c>
      <c r="X461" s="151">
        <v>41829</v>
      </c>
      <c r="Y461" s="134">
        <f t="shared" si="7"/>
        <v>5.6173500000000001</v>
      </c>
      <c r="AC461" s="134">
        <v>40.369999999999997</v>
      </c>
      <c r="AD461" s="151">
        <v>41838</v>
      </c>
      <c r="AE461" s="134">
        <v>41.61</v>
      </c>
      <c r="AF461" s="151">
        <v>41838</v>
      </c>
      <c r="AG461" s="197">
        <v>5</v>
      </c>
      <c r="AH461" s="151">
        <v>41843</v>
      </c>
      <c r="AI461" s="198">
        <v>5</v>
      </c>
      <c r="AJ461" s="151">
        <v>41778</v>
      </c>
      <c r="AK461" s="199">
        <v>5</v>
      </c>
      <c r="AL461" s="151">
        <v>41709</v>
      </c>
      <c r="BE461" s="200">
        <v>5</v>
      </c>
      <c r="BF461" s="201">
        <v>41555</v>
      </c>
      <c r="BG461" s="203">
        <v>-4.5999999999999996</v>
      </c>
      <c r="BH461" s="151">
        <v>41842</v>
      </c>
      <c r="BM461" s="204">
        <v>63.9</v>
      </c>
      <c r="BN461" s="151">
        <v>41842</v>
      </c>
      <c r="BQ461" s="205">
        <v>10.3</v>
      </c>
      <c r="BR461" s="151">
        <v>41842</v>
      </c>
      <c r="BS461" s="206">
        <v>46.9</v>
      </c>
      <c r="BT461" s="151">
        <v>41842</v>
      </c>
      <c r="BU461" s="207">
        <v>13.5</v>
      </c>
      <c r="BV461" s="151">
        <v>41842</v>
      </c>
      <c r="BW461" s="206">
        <v>13.1</v>
      </c>
      <c r="BX461" s="151">
        <v>41842</v>
      </c>
      <c r="BY461" s="210">
        <v>7.23</v>
      </c>
      <c r="BZ461" s="151">
        <v>41842</v>
      </c>
      <c r="CA461" s="206">
        <v>30.5</v>
      </c>
      <c r="CB461" s="151">
        <v>41842</v>
      </c>
      <c r="CC461" s="208">
        <v>6.2</v>
      </c>
      <c r="CD461" s="151">
        <v>41838</v>
      </c>
      <c r="CL461" s="209">
        <v>3</v>
      </c>
      <c r="CM461" s="201">
        <v>41810</v>
      </c>
    </row>
    <row r="462" spans="1:91" ht="15">
      <c r="A462" s="152" t="s">
        <v>7977</v>
      </c>
      <c r="B462" s="110" t="s">
        <v>233</v>
      </c>
      <c r="C462" s="110" t="s">
        <v>381</v>
      </c>
      <c r="D462" s="110">
        <v>10995</v>
      </c>
      <c r="E462" s="111">
        <v>1</v>
      </c>
      <c r="F462" s="111">
        <v>601</v>
      </c>
      <c r="I462" s="373"/>
      <c r="K462" s="194">
        <v>5</v>
      </c>
      <c r="L462" s="151">
        <v>41701</v>
      </c>
      <c r="M462" s="169">
        <v>4.0999999999999996</v>
      </c>
      <c r="N462" s="151">
        <v>41838</v>
      </c>
      <c r="Q462" s="497"/>
      <c r="S462" s="134">
        <v>14.71</v>
      </c>
      <c r="T462" s="151">
        <v>41842</v>
      </c>
      <c r="U462" s="194">
        <v>13.5</v>
      </c>
      <c r="V462" s="151">
        <v>41838</v>
      </c>
      <c r="W462" s="196">
        <v>9</v>
      </c>
      <c r="X462" s="151">
        <v>41829</v>
      </c>
      <c r="Y462" s="134">
        <f t="shared" si="7"/>
        <v>4.4218799999999998</v>
      </c>
      <c r="AA462" s="194"/>
      <c r="AC462" s="194">
        <v>30.37</v>
      </c>
      <c r="AD462" s="151">
        <v>41838</v>
      </c>
      <c r="AE462" s="137">
        <v>31.14</v>
      </c>
      <c r="AF462" s="151">
        <v>41838</v>
      </c>
      <c r="AG462" s="197">
        <v>4.3</v>
      </c>
      <c r="AH462" s="151">
        <v>41843</v>
      </c>
      <c r="AI462" s="198">
        <v>3</v>
      </c>
      <c r="AJ462" s="151">
        <v>41778</v>
      </c>
      <c r="AK462" s="199">
        <v>5</v>
      </c>
      <c r="AL462" s="151">
        <v>41709</v>
      </c>
      <c r="AM462" s="194"/>
      <c r="BE462" s="200">
        <v>5</v>
      </c>
      <c r="BF462" s="201">
        <v>41555</v>
      </c>
      <c r="BG462" s="203">
        <v>-3.4</v>
      </c>
      <c r="BH462" s="151">
        <v>41842</v>
      </c>
      <c r="BM462" s="204">
        <v>65.7</v>
      </c>
      <c r="BN462" s="151">
        <v>41842</v>
      </c>
      <c r="BQ462" s="205">
        <v>11</v>
      </c>
      <c r="BR462" s="151">
        <v>41842</v>
      </c>
      <c r="BS462" s="206">
        <v>47.2</v>
      </c>
      <c r="BT462" s="151">
        <v>41842</v>
      </c>
      <c r="BU462" s="207">
        <v>14.2</v>
      </c>
      <c r="BV462" s="151">
        <v>41842</v>
      </c>
      <c r="BW462" s="206">
        <v>12.7</v>
      </c>
      <c r="BX462" s="151">
        <v>41842</v>
      </c>
      <c r="BY462" s="210">
        <v>7.36</v>
      </c>
      <c r="BZ462" s="151">
        <v>41842</v>
      </c>
      <c r="CA462" s="206">
        <v>32.4</v>
      </c>
      <c r="CB462" s="151">
        <v>41842</v>
      </c>
      <c r="CC462" s="208">
        <v>6.7</v>
      </c>
      <c r="CD462" s="151">
        <v>41838</v>
      </c>
      <c r="CL462" s="209">
        <v>3</v>
      </c>
      <c r="CM462" s="201">
        <v>41810</v>
      </c>
    </row>
    <row r="463" spans="1:91" ht="15">
      <c r="A463" s="152" t="s">
        <v>7977</v>
      </c>
      <c r="B463" s="110" t="s">
        <v>235</v>
      </c>
      <c r="C463" s="110" t="s">
        <v>8082</v>
      </c>
      <c r="D463" s="110">
        <v>11397</v>
      </c>
      <c r="E463" s="111">
        <v>1</v>
      </c>
      <c r="F463" s="111">
        <v>629</v>
      </c>
      <c r="I463" s="373"/>
      <c r="K463" s="194">
        <v>5</v>
      </c>
      <c r="L463" s="151">
        <v>41701</v>
      </c>
      <c r="M463" s="169">
        <v>5.6</v>
      </c>
      <c r="N463" s="151">
        <v>41838</v>
      </c>
      <c r="Q463" s="497"/>
      <c r="S463" s="134">
        <v>20.22</v>
      </c>
      <c r="T463" s="151">
        <v>41842</v>
      </c>
      <c r="U463" s="194">
        <v>13.5</v>
      </c>
      <c r="V463" s="151">
        <v>41838</v>
      </c>
      <c r="W463" s="196">
        <v>9</v>
      </c>
      <c r="X463" s="151">
        <v>41829</v>
      </c>
      <c r="Y463" s="134">
        <f t="shared" si="7"/>
        <v>5.9989999999999997</v>
      </c>
      <c r="AA463" s="194"/>
      <c r="AC463" s="194">
        <v>41.48</v>
      </c>
      <c r="AD463" s="151">
        <v>41838</v>
      </c>
      <c r="AE463" s="137">
        <v>42.85</v>
      </c>
      <c r="AF463" s="151">
        <v>41838</v>
      </c>
      <c r="AG463" s="197">
        <v>4.5</v>
      </c>
      <c r="AH463" s="151">
        <v>41843</v>
      </c>
      <c r="AI463" s="198">
        <v>5</v>
      </c>
      <c r="AJ463" s="151">
        <v>41778</v>
      </c>
      <c r="AK463" s="199">
        <v>5</v>
      </c>
      <c r="AL463" s="151">
        <v>41709</v>
      </c>
      <c r="AM463" s="194"/>
      <c r="BE463" s="200">
        <v>5</v>
      </c>
      <c r="BF463" s="201">
        <v>41555</v>
      </c>
      <c r="BG463" s="203">
        <v>-0.6</v>
      </c>
      <c r="BH463" s="151">
        <v>41842</v>
      </c>
      <c r="BM463" s="204">
        <v>65</v>
      </c>
      <c r="BN463" s="151">
        <v>41842</v>
      </c>
      <c r="BQ463" s="205">
        <v>11.4</v>
      </c>
      <c r="BR463" s="151">
        <v>41842</v>
      </c>
      <c r="BS463" s="206">
        <v>47.2</v>
      </c>
      <c r="BT463" s="151">
        <v>41842</v>
      </c>
      <c r="BU463" s="207">
        <v>14</v>
      </c>
      <c r="BV463" s="151">
        <v>41842</v>
      </c>
      <c r="BW463" s="206">
        <v>10.7</v>
      </c>
      <c r="BX463" s="151">
        <v>41842</v>
      </c>
      <c r="BY463" s="210">
        <v>7.28</v>
      </c>
      <c r="BZ463" s="151">
        <v>41842</v>
      </c>
      <c r="CA463" s="206">
        <v>32</v>
      </c>
      <c r="CB463" s="151">
        <v>41842</v>
      </c>
      <c r="CC463" s="208">
        <v>6</v>
      </c>
      <c r="CD463" s="151">
        <v>41838</v>
      </c>
      <c r="CL463" s="209">
        <v>5</v>
      </c>
      <c r="CM463" s="201">
        <v>41810</v>
      </c>
    </row>
    <row r="464" spans="1:91" ht="15">
      <c r="A464" s="152" t="s">
        <v>7977</v>
      </c>
      <c r="B464" s="110" t="s">
        <v>233</v>
      </c>
      <c r="C464" s="110" t="s">
        <v>8083</v>
      </c>
      <c r="D464" s="110">
        <v>11625</v>
      </c>
      <c r="E464" s="111">
        <v>7</v>
      </c>
      <c r="F464" s="111">
        <v>677</v>
      </c>
      <c r="K464" s="134">
        <v>5</v>
      </c>
      <c r="L464" s="151">
        <v>41701</v>
      </c>
      <c r="M464" s="169">
        <v>3.8</v>
      </c>
      <c r="N464" s="151">
        <v>41838</v>
      </c>
      <c r="Q464" s="497"/>
      <c r="S464" s="134">
        <v>14.16</v>
      </c>
      <c r="T464" s="151">
        <v>41842</v>
      </c>
      <c r="U464" s="134">
        <v>13.5</v>
      </c>
      <c r="V464" s="151">
        <v>41838</v>
      </c>
      <c r="W464" s="196">
        <v>1</v>
      </c>
      <c r="X464" s="151">
        <v>41829</v>
      </c>
      <c r="Y464" s="134">
        <f t="shared" si="7"/>
        <v>3.7881999999999998</v>
      </c>
      <c r="AC464" s="134">
        <v>28.15</v>
      </c>
      <c r="AD464" s="151">
        <v>41838</v>
      </c>
      <c r="AE464" s="134">
        <v>29.14</v>
      </c>
      <c r="AF464" s="151">
        <v>41838</v>
      </c>
      <c r="AG464" s="197">
        <v>4.3</v>
      </c>
      <c r="AH464" s="151">
        <v>41843</v>
      </c>
      <c r="AI464" s="198">
        <v>3</v>
      </c>
      <c r="AJ464" s="151">
        <v>41778</v>
      </c>
      <c r="AK464" s="199">
        <v>5</v>
      </c>
      <c r="AL464" s="151">
        <v>41709</v>
      </c>
      <c r="BE464" s="200">
        <v>5</v>
      </c>
      <c r="BF464" s="201">
        <v>41555</v>
      </c>
      <c r="BG464" s="203">
        <v>-5</v>
      </c>
      <c r="BH464" s="151">
        <v>41842</v>
      </c>
      <c r="BM464" s="204">
        <v>66.2</v>
      </c>
      <c r="BN464" s="151">
        <v>41842</v>
      </c>
      <c r="BQ464" s="205">
        <v>10.6</v>
      </c>
      <c r="BR464" s="151">
        <v>41842</v>
      </c>
      <c r="BS464" s="206">
        <v>48.6</v>
      </c>
      <c r="BT464" s="151">
        <v>41842</v>
      </c>
      <c r="BU464" s="207">
        <v>13</v>
      </c>
      <c r="BV464" s="151">
        <v>41842</v>
      </c>
      <c r="BW464" s="206">
        <v>10</v>
      </c>
      <c r="BX464" s="151">
        <v>41842</v>
      </c>
      <c r="BY464" s="210">
        <v>7.25</v>
      </c>
      <c r="BZ464" s="151">
        <v>41842</v>
      </c>
      <c r="CA464" s="206">
        <v>30.7</v>
      </c>
      <c r="CB464" s="151">
        <v>41842</v>
      </c>
      <c r="CC464" s="208">
        <v>5.8</v>
      </c>
      <c r="CD464" s="151">
        <v>41838</v>
      </c>
      <c r="CL464" s="209">
        <v>3</v>
      </c>
      <c r="CM464" s="201">
        <v>41810</v>
      </c>
    </row>
    <row r="465" spans="1:91" ht="15">
      <c r="A465" s="152" t="s">
        <v>7977</v>
      </c>
      <c r="B465" s="110" t="s">
        <v>235</v>
      </c>
      <c r="C465" s="110" t="s">
        <v>8081</v>
      </c>
      <c r="D465" s="110">
        <v>11364</v>
      </c>
      <c r="E465" s="111">
        <v>12</v>
      </c>
      <c r="F465" s="111">
        <v>493</v>
      </c>
      <c r="K465" s="134">
        <v>5</v>
      </c>
      <c r="L465" s="151">
        <v>41701</v>
      </c>
      <c r="M465" s="169">
        <v>5.4</v>
      </c>
      <c r="N465" s="151">
        <v>41838</v>
      </c>
      <c r="Q465" s="497"/>
      <c r="S465" s="134">
        <v>19.32</v>
      </c>
      <c r="T465" s="151">
        <v>41842</v>
      </c>
      <c r="U465" s="134">
        <v>13.5</v>
      </c>
      <c r="V465" s="151">
        <v>41838</v>
      </c>
      <c r="W465" s="196">
        <v>9</v>
      </c>
      <c r="X465" s="151">
        <v>41829</v>
      </c>
      <c r="Y465" s="134">
        <f t="shared" si="7"/>
        <v>5.8007399999999993</v>
      </c>
      <c r="AC465" s="134">
        <v>40</v>
      </c>
      <c r="AD465" s="151">
        <v>41838</v>
      </c>
      <c r="AE465" s="134">
        <v>41.14</v>
      </c>
      <c r="AF465" s="151">
        <v>41838</v>
      </c>
      <c r="AG465" s="197">
        <v>4.3</v>
      </c>
      <c r="AH465" s="151">
        <v>41843</v>
      </c>
      <c r="AI465" s="198">
        <v>3</v>
      </c>
      <c r="AJ465" s="151">
        <v>41778</v>
      </c>
      <c r="AK465" s="199">
        <v>5</v>
      </c>
      <c r="AL465" s="151">
        <v>41709</v>
      </c>
      <c r="BE465" s="200">
        <v>5</v>
      </c>
      <c r="BF465" s="201">
        <v>41555</v>
      </c>
      <c r="BG465" s="203">
        <v>-3.1</v>
      </c>
      <c r="BH465" s="151">
        <v>41842</v>
      </c>
      <c r="BM465" s="204">
        <v>64.7</v>
      </c>
      <c r="BN465" s="151">
        <v>41842</v>
      </c>
      <c r="BQ465" s="205">
        <v>11</v>
      </c>
      <c r="BR465" s="151">
        <v>41842</v>
      </c>
      <c r="BS465" s="206">
        <v>47</v>
      </c>
      <c r="BT465" s="151">
        <v>41842</v>
      </c>
      <c r="BU465" s="207">
        <v>14.1</v>
      </c>
      <c r="BV465" s="151">
        <v>41842</v>
      </c>
      <c r="BW465" s="206">
        <v>9.6999999999999993</v>
      </c>
      <c r="BX465" s="151">
        <v>41842</v>
      </c>
      <c r="BY465" s="210">
        <v>7.54</v>
      </c>
      <c r="BZ465" s="151">
        <v>41842</v>
      </c>
      <c r="CA465" s="206">
        <v>32.1</v>
      </c>
      <c r="CB465" s="151">
        <v>41842</v>
      </c>
      <c r="CC465" s="208">
        <v>6.4</v>
      </c>
      <c r="CD465" s="151">
        <v>41838</v>
      </c>
      <c r="CL465" s="209">
        <v>3</v>
      </c>
      <c r="CM465" s="201">
        <v>41810</v>
      </c>
    </row>
    <row r="466" spans="1:91" ht="15">
      <c r="A466" s="152" t="s">
        <v>7978</v>
      </c>
      <c r="B466" s="110" t="s">
        <v>233</v>
      </c>
      <c r="C466" s="110" t="s">
        <v>381</v>
      </c>
      <c r="D466" s="110">
        <v>11025</v>
      </c>
      <c r="E466" s="111">
        <v>2</v>
      </c>
      <c r="F466" s="111">
        <v>577</v>
      </c>
      <c r="K466" s="134">
        <v>5</v>
      </c>
      <c r="L466" s="151">
        <v>41701</v>
      </c>
      <c r="M466" s="169">
        <v>3.9</v>
      </c>
      <c r="N466" s="151">
        <v>41838</v>
      </c>
      <c r="Q466" s="497"/>
      <c r="S466" s="134">
        <v>14.12</v>
      </c>
      <c r="T466" s="151">
        <v>41842</v>
      </c>
      <c r="U466" s="134">
        <v>13.5</v>
      </c>
      <c r="V466" s="151">
        <v>41838</v>
      </c>
      <c r="W466" s="196">
        <v>9</v>
      </c>
      <c r="X466" s="151">
        <v>41829</v>
      </c>
      <c r="Y466" s="134">
        <f t="shared" si="7"/>
        <v>3.5771999999999995</v>
      </c>
      <c r="AC466" s="134">
        <v>28.89</v>
      </c>
      <c r="AD466" s="151">
        <v>41838</v>
      </c>
      <c r="AE466" s="134">
        <v>29.81</v>
      </c>
      <c r="AF466" s="151">
        <v>41838</v>
      </c>
      <c r="AG466" s="197">
        <v>4.4000000000000004</v>
      </c>
      <c r="AH466" s="151">
        <v>41843</v>
      </c>
      <c r="AI466" s="198">
        <v>3</v>
      </c>
      <c r="AJ466" s="151">
        <v>41778</v>
      </c>
      <c r="AK466" s="199">
        <v>5</v>
      </c>
      <c r="AL466" s="151">
        <v>41709</v>
      </c>
      <c r="BE466" s="200">
        <v>5</v>
      </c>
      <c r="BF466" s="201">
        <v>41555</v>
      </c>
      <c r="BG466" s="203">
        <v>-5.4</v>
      </c>
      <c r="BH466" s="151">
        <v>41842</v>
      </c>
      <c r="BM466" s="204">
        <v>65.8</v>
      </c>
      <c r="BN466" s="151">
        <v>41842</v>
      </c>
      <c r="BQ466" s="205">
        <v>10.4</v>
      </c>
      <c r="BR466" s="151">
        <v>41842</v>
      </c>
      <c r="BS466" s="206">
        <v>47.4</v>
      </c>
      <c r="BT466" s="151">
        <v>41842</v>
      </c>
      <c r="BU466" s="207">
        <v>12</v>
      </c>
      <c r="BV466" s="151">
        <v>41842</v>
      </c>
      <c r="BW466" s="206">
        <v>7.7</v>
      </c>
      <c r="BX466" s="151">
        <v>41842</v>
      </c>
      <c r="BY466" s="210">
        <v>7.59</v>
      </c>
      <c r="BZ466" s="151">
        <v>41842</v>
      </c>
      <c r="CA466" s="206">
        <v>27.5</v>
      </c>
      <c r="CB466" s="151">
        <v>41842</v>
      </c>
      <c r="CC466" s="208">
        <v>6.1</v>
      </c>
      <c r="CD466" s="151">
        <v>41838</v>
      </c>
      <c r="CL466" s="209">
        <v>3</v>
      </c>
      <c r="CM466" s="201">
        <v>41810</v>
      </c>
    </row>
    <row r="467" spans="1:91" ht="15">
      <c r="A467" s="152" t="s">
        <v>7978</v>
      </c>
      <c r="B467" s="110" t="s">
        <v>235</v>
      </c>
      <c r="C467" s="110" t="s">
        <v>8082</v>
      </c>
      <c r="D467" s="110">
        <v>11558</v>
      </c>
      <c r="E467" s="111">
        <v>5</v>
      </c>
      <c r="F467" s="111">
        <v>697</v>
      </c>
      <c r="K467" s="134">
        <v>5</v>
      </c>
      <c r="L467" s="151">
        <v>41701</v>
      </c>
      <c r="M467" s="169">
        <v>5.3</v>
      </c>
      <c r="N467" s="151">
        <v>41838</v>
      </c>
      <c r="Q467" s="497"/>
      <c r="S467" s="134">
        <v>18.920000000000002</v>
      </c>
      <c r="T467" s="151">
        <v>41842</v>
      </c>
      <c r="U467" s="134">
        <v>13.5</v>
      </c>
      <c r="V467" s="151">
        <v>41838</v>
      </c>
      <c r="W467" s="196">
        <v>9</v>
      </c>
      <c r="X467" s="151">
        <v>41829</v>
      </c>
      <c r="Y467" s="134">
        <f t="shared" si="7"/>
        <v>5.1968000000000005</v>
      </c>
      <c r="AC467" s="134">
        <v>39.26</v>
      </c>
      <c r="AD467" s="151">
        <v>41838</v>
      </c>
      <c r="AE467" s="134">
        <v>40.6</v>
      </c>
      <c r="AF467" s="151">
        <v>41838</v>
      </c>
      <c r="AG467" s="197">
        <v>4.5999999999999996</v>
      </c>
      <c r="AH467" s="151">
        <v>41843</v>
      </c>
      <c r="AI467" s="198">
        <v>3</v>
      </c>
      <c r="AJ467" s="151">
        <v>41778</v>
      </c>
      <c r="AK467" s="199">
        <v>5</v>
      </c>
      <c r="AL467" s="151">
        <v>41709</v>
      </c>
      <c r="BE467" s="200">
        <v>5</v>
      </c>
      <c r="BF467" s="201">
        <v>41555</v>
      </c>
      <c r="BG467" s="203">
        <v>-3.2</v>
      </c>
      <c r="BH467" s="151">
        <v>41842</v>
      </c>
      <c r="BM467" s="204">
        <v>65.5</v>
      </c>
      <c r="BN467" s="151">
        <v>41842</v>
      </c>
      <c r="BQ467" s="205">
        <v>10.7</v>
      </c>
      <c r="BR467" s="151">
        <v>41842</v>
      </c>
      <c r="BS467" s="206">
        <v>46.6</v>
      </c>
      <c r="BT467" s="151">
        <v>41842</v>
      </c>
      <c r="BU467" s="207">
        <v>12.8</v>
      </c>
      <c r="BV467" s="151">
        <v>41842</v>
      </c>
      <c r="BW467" s="206">
        <v>9.1999999999999993</v>
      </c>
      <c r="BX467" s="151">
        <v>41842</v>
      </c>
      <c r="BY467" s="210">
        <v>7.53</v>
      </c>
      <c r="BZ467" s="151">
        <v>41842</v>
      </c>
      <c r="CA467" s="206">
        <v>28.8</v>
      </c>
      <c r="CB467" s="151">
        <v>41842</v>
      </c>
      <c r="CC467" s="208">
        <v>5.9</v>
      </c>
      <c r="CD467" s="151">
        <v>41838</v>
      </c>
      <c r="CL467" s="209">
        <v>3</v>
      </c>
      <c r="CM467" s="201">
        <v>41810</v>
      </c>
    </row>
    <row r="468" spans="1:91" ht="15">
      <c r="A468" s="152" t="s">
        <v>7978</v>
      </c>
      <c r="B468" s="110" t="s">
        <v>235</v>
      </c>
      <c r="C468" s="110" t="s">
        <v>8081</v>
      </c>
      <c r="D468" s="110">
        <v>11222</v>
      </c>
      <c r="E468" s="111">
        <v>8</v>
      </c>
      <c r="F468" s="111">
        <v>501</v>
      </c>
      <c r="K468" s="194">
        <v>7</v>
      </c>
      <c r="L468" s="151">
        <v>41701</v>
      </c>
      <c r="M468" s="169">
        <v>5.85</v>
      </c>
      <c r="N468" s="151">
        <v>41838</v>
      </c>
      <c r="Q468" s="497"/>
      <c r="S468" s="134">
        <v>20.85</v>
      </c>
      <c r="T468" s="151">
        <v>41842</v>
      </c>
      <c r="U468" s="134">
        <v>13.5</v>
      </c>
      <c r="V468" s="151">
        <v>41838</v>
      </c>
      <c r="W468" s="196">
        <v>9</v>
      </c>
      <c r="X468" s="151">
        <v>41829</v>
      </c>
      <c r="Y468" s="134">
        <f t="shared" si="7"/>
        <v>6.2467999999999995</v>
      </c>
      <c r="AC468" s="134">
        <v>43.33</v>
      </c>
      <c r="AD468" s="151">
        <v>41838</v>
      </c>
      <c r="AE468" s="134">
        <v>44.62</v>
      </c>
      <c r="AF468" s="151">
        <v>41838</v>
      </c>
      <c r="AG468" s="197">
        <v>4.5999999999999996</v>
      </c>
      <c r="AH468" s="151">
        <v>41843</v>
      </c>
      <c r="AI468" s="198">
        <v>5</v>
      </c>
      <c r="AJ468" s="151">
        <v>41778</v>
      </c>
      <c r="AK468" s="199">
        <v>5</v>
      </c>
      <c r="AL468" s="151">
        <v>41709</v>
      </c>
      <c r="BE468" s="200">
        <v>5</v>
      </c>
      <c r="BF468" s="201">
        <v>41555</v>
      </c>
      <c r="BG468" s="203">
        <v>7.2</v>
      </c>
      <c r="BH468" s="151">
        <v>41842</v>
      </c>
      <c r="BM468" s="204">
        <v>66.900000000000006</v>
      </c>
      <c r="BN468" s="151">
        <v>41842</v>
      </c>
      <c r="BQ468" s="205">
        <v>9.6999999999999993</v>
      </c>
      <c r="BR468" s="151">
        <v>41842</v>
      </c>
      <c r="BS468" s="206">
        <v>46.7</v>
      </c>
      <c r="BT468" s="151">
        <v>41842</v>
      </c>
      <c r="BU468" s="207">
        <v>14</v>
      </c>
      <c r="BV468" s="151">
        <v>41842</v>
      </c>
      <c r="BW468" s="206">
        <v>17.8</v>
      </c>
      <c r="BX468" s="151">
        <v>41842</v>
      </c>
      <c r="BY468" s="210">
        <v>7.62</v>
      </c>
      <c r="BZ468" s="151">
        <v>41842</v>
      </c>
      <c r="CA468" s="206">
        <v>31.7</v>
      </c>
      <c r="CB468" s="151">
        <v>41842</v>
      </c>
      <c r="CC468" s="208">
        <v>6.3</v>
      </c>
      <c r="CD468" s="151">
        <v>41838</v>
      </c>
      <c r="CL468" s="209">
        <v>5</v>
      </c>
      <c r="CM468" s="201">
        <v>41810</v>
      </c>
    </row>
    <row r="469" spans="1:91" ht="15">
      <c r="A469" s="152" t="s">
        <v>7978</v>
      </c>
      <c r="B469" s="110" t="s">
        <v>233</v>
      </c>
      <c r="C469" s="110" t="s">
        <v>8083</v>
      </c>
      <c r="D469" s="110">
        <v>11722</v>
      </c>
      <c r="E469" s="111">
        <v>10</v>
      </c>
      <c r="F469" s="111">
        <v>633</v>
      </c>
      <c r="K469" s="134">
        <v>5</v>
      </c>
      <c r="L469" s="151">
        <v>41701</v>
      </c>
      <c r="M469" s="169">
        <v>4.3499999999999996</v>
      </c>
      <c r="N469" s="151">
        <v>41838</v>
      </c>
      <c r="Q469" s="497"/>
      <c r="S469" s="134">
        <v>15.66</v>
      </c>
      <c r="T469" s="151">
        <v>41842</v>
      </c>
      <c r="U469" s="134">
        <v>13.5</v>
      </c>
      <c r="V469" s="151">
        <v>41838</v>
      </c>
      <c r="W469" s="196">
        <v>9</v>
      </c>
      <c r="X469" s="151">
        <v>41829</v>
      </c>
      <c r="Y469" s="134">
        <f t="shared" si="7"/>
        <v>4.17</v>
      </c>
      <c r="AC469" s="134">
        <v>32.22</v>
      </c>
      <c r="AD469" s="151">
        <v>41838</v>
      </c>
      <c r="AE469" s="134">
        <v>33.36</v>
      </c>
      <c r="AF469" s="151">
        <v>41838</v>
      </c>
      <c r="AG469" s="197">
        <v>4.5999999999999996</v>
      </c>
      <c r="AH469" s="151">
        <v>41843</v>
      </c>
      <c r="AI469" s="198">
        <v>5</v>
      </c>
      <c r="AJ469" s="151">
        <v>41778</v>
      </c>
      <c r="AK469" s="199">
        <v>5</v>
      </c>
      <c r="AL469" s="151">
        <v>41709</v>
      </c>
      <c r="BE469" s="200">
        <v>5</v>
      </c>
      <c r="BF469" s="201">
        <v>41555</v>
      </c>
      <c r="BG469" s="203">
        <v>-3.6</v>
      </c>
      <c r="BH469" s="151">
        <v>41842</v>
      </c>
      <c r="BM469" s="204">
        <v>65.8</v>
      </c>
      <c r="BN469" s="151">
        <v>41842</v>
      </c>
      <c r="BQ469" s="205">
        <v>10.199999999999999</v>
      </c>
      <c r="BR469" s="151">
        <v>41842</v>
      </c>
      <c r="BS469" s="206">
        <v>47</v>
      </c>
      <c r="BT469" s="151">
        <v>41842</v>
      </c>
      <c r="BU469" s="207">
        <v>12.5</v>
      </c>
      <c r="BV469" s="151">
        <v>41842</v>
      </c>
      <c r="BW469" s="206">
        <v>10.9</v>
      </c>
      <c r="BX469" s="151">
        <v>41842</v>
      </c>
      <c r="BY469" s="210">
        <v>7.69</v>
      </c>
      <c r="BZ469" s="151">
        <v>41842</v>
      </c>
      <c r="CA469" s="206">
        <v>28.4</v>
      </c>
      <c r="CB469" s="151">
        <v>41842</v>
      </c>
      <c r="CC469" s="208">
        <v>5.8</v>
      </c>
      <c r="CD469" s="151">
        <v>41838</v>
      </c>
      <c r="CL469" s="209">
        <v>3</v>
      </c>
      <c r="CM469" s="201">
        <v>41810</v>
      </c>
    </row>
    <row r="470" spans="1:91" ht="15">
      <c r="A470" s="152" t="s">
        <v>7979</v>
      </c>
      <c r="B470" s="110" t="s">
        <v>233</v>
      </c>
      <c r="C470" s="110" t="s">
        <v>381</v>
      </c>
      <c r="D470" s="110">
        <v>11033</v>
      </c>
      <c r="E470" s="111">
        <v>2</v>
      </c>
      <c r="F470" s="111">
        <v>609</v>
      </c>
      <c r="K470" s="134">
        <v>5</v>
      </c>
      <c r="L470" s="151">
        <v>41701</v>
      </c>
      <c r="M470" s="169">
        <v>2.75</v>
      </c>
      <c r="N470" s="151">
        <v>41838</v>
      </c>
      <c r="Q470" s="497"/>
      <c r="S470" s="134">
        <v>9.2799999999999994</v>
      </c>
      <c r="T470" s="151">
        <v>41842</v>
      </c>
      <c r="U470" s="134">
        <v>13.5</v>
      </c>
      <c r="V470" s="151">
        <v>41838</v>
      </c>
      <c r="W470" s="196">
        <v>1</v>
      </c>
      <c r="X470" s="151">
        <v>41829</v>
      </c>
      <c r="Y470" s="134">
        <f t="shared" si="7"/>
        <v>3.1245299999999996</v>
      </c>
      <c r="AC470" s="134">
        <v>20.37</v>
      </c>
      <c r="AD470" s="151">
        <v>41838</v>
      </c>
      <c r="AE470" s="134">
        <v>20.97</v>
      </c>
      <c r="AF470" s="151">
        <v>41838</v>
      </c>
      <c r="AG470" s="197">
        <v>4.2</v>
      </c>
      <c r="AH470" s="151">
        <v>41843</v>
      </c>
      <c r="AI470" s="198">
        <v>5</v>
      </c>
      <c r="AJ470" s="151">
        <v>41778</v>
      </c>
      <c r="AK470" s="199">
        <v>5</v>
      </c>
      <c r="AL470" s="151">
        <v>41709</v>
      </c>
      <c r="BE470" s="200">
        <v>5</v>
      </c>
      <c r="BF470" s="201">
        <v>41555</v>
      </c>
      <c r="BG470" s="203">
        <v>-2.2000000000000002</v>
      </c>
      <c r="BH470" s="151">
        <v>41842</v>
      </c>
      <c r="BM470" s="204">
        <v>59.5</v>
      </c>
      <c r="BN470" s="151">
        <v>41842</v>
      </c>
      <c r="BQ470" s="205">
        <v>12</v>
      </c>
      <c r="BR470" s="151">
        <v>41842</v>
      </c>
      <c r="BS470" s="206">
        <v>44.3</v>
      </c>
      <c r="BT470" s="151">
        <v>41842</v>
      </c>
      <c r="BU470" s="207">
        <v>14.9</v>
      </c>
      <c r="BV470" s="151">
        <v>41842</v>
      </c>
      <c r="BW470" s="206">
        <v>21.6</v>
      </c>
      <c r="BX470" s="151">
        <v>41842</v>
      </c>
      <c r="BY470" s="210">
        <v>7.27</v>
      </c>
      <c r="BZ470" s="151">
        <v>41842</v>
      </c>
      <c r="CA470" s="206">
        <v>31.8</v>
      </c>
      <c r="CB470" s="151">
        <v>41842</v>
      </c>
      <c r="CC470" s="208">
        <v>6.3</v>
      </c>
      <c r="CD470" s="151">
        <v>41838</v>
      </c>
      <c r="CL470" s="209">
        <v>3</v>
      </c>
      <c r="CM470" s="201">
        <v>41810</v>
      </c>
    </row>
    <row r="471" spans="1:91" ht="15">
      <c r="A471" s="152" t="s">
        <v>7979</v>
      </c>
      <c r="B471" s="110" t="s">
        <v>235</v>
      </c>
      <c r="C471" s="110" t="s">
        <v>8082</v>
      </c>
      <c r="D471" s="110">
        <v>11451</v>
      </c>
      <c r="E471" s="111">
        <v>2</v>
      </c>
      <c r="F471" s="111">
        <v>701</v>
      </c>
      <c r="K471" s="191">
        <v>3</v>
      </c>
      <c r="L471" s="151">
        <v>41701</v>
      </c>
      <c r="M471" s="169">
        <v>4.25</v>
      </c>
      <c r="N471" s="151">
        <v>41838</v>
      </c>
      <c r="Q471" s="497"/>
      <c r="S471" s="134">
        <v>14.5</v>
      </c>
      <c r="T471" s="151">
        <v>41842</v>
      </c>
      <c r="U471" s="134">
        <v>13.5</v>
      </c>
      <c r="V471" s="151">
        <v>41838</v>
      </c>
      <c r="W471" s="196">
        <v>1</v>
      </c>
      <c r="X471" s="151">
        <v>41829</v>
      </c>
      <c r="Y471" s="134">
        <f t="shared" si="7"/>
        <v>4.7683599999999995</v>
      </c>
      <c r="AC471" s="134">
        <v>31.48</v>
      </c>
      <c r="AD471" s="151">
        <v>41838</v>
      </c>
      <c r="AE471" s="134">
        <v>32.659999999999997</v>
      </c>
      <c r="AF471" s="151">
        <v>41838</v>
      </c>
      <c r="AG471" s="197">
        <v>4.3</v>
      </c>
      <c r="AH471" s="151">
        <v>41843</v>
      </c>
      <c r="AI471" s="198">
        <v>7</v>
      </c>
      <c r="AJ471" s="151">
        <v>41778</v>
      </c>
      <c r="AK471" s="199">
        <v>5</v>
      </c>
      <c r="AL471" s="151">
        <v>41709</v>
      </c>
      <c r="BE471" s="200">
        <v>5</v>
      </c>
      <c r="BF471" s="201">
        <v>41555</v>
      </c>
      <c r="BG471" s="203">
        <v>-4.9000000000000004</v>
      </c>
      <c r="BH471" s="151">
        <v>41842</v>
      </c>
      <c r="BM471" s="204">
        <v>58.7</v>
      </c>
      <c r="BN471" s="151">
        <v>41842</v>
      </c>
      <c r="BQ471" s="205">
        <v>12.4</v>
      </c>
      <c r="BR471" s="151">
        <v>41842</v>
      </c>
      <c r="BS471" s="206">
        <v>44.4</v>
      </c>
      <c r="BT471" s="151">
        <v>41842</v>
      </c>
      <c r="BU471" s="207">
        <v>14.6</v>
      </c>
      <c r="BV471" s="151">
        <v>41842</v>
      </c>
      <c r="BW471" s="206">
        <v>14.7</v>
      </c>
      <c r="BX471" s="151">
        <v>41842</v>
      </c>
      <c r="BY471" s="210">
        <v>7.04</v>
      </c>
      <c r="BZ471" s="151">
        <v>41842</v>
      </c>
      <c r="CA471" s="206">
        <v>31.4</v>
      </c>
      <c r="CB471" s="151">
        <v>41842</v>
      </c>
      <c r="CC471" s="208">
        <v>5.6</v>
      </c>
      <c r="CD471" s="151">
        <v>41838</v>
      </c>
      <c r="CL471" s="209">
        <v>3</v>
      </c>
      <c r="CM471" s="201">
        <v>41810</v>
      </c>
    </row>
    <row r="472" spans="1:91" ht="15">
      <c r="A472" s="152" t="s">
        <v>7979</v>
      </c>
      <c r="B472" s="110" t="s">
        <v>235</v>
      </c>
      <c r="C472" s="110" t="s">
        <v>8081</v>
      </c>
      <c r="D472" s="110">
        <v>11258</v>
      </c>
      <c r="E472" s="111">
        <v>9</v>
      </c>
      <c r="F472" s="111">
        <v>501</v>
      </c>
      <c r="K472" s="134">
        <v>5</v>
      </c>
      <c r="L472" s="151">
        <v>41701</v>
      </c>
      <c r="M472" s="169">
        <v>5.0999999999999996</v>
      </c>
      <c r="N472" s="151">
        <v>41838</v>
      </c>
      <c r="Q472" s="497"/>
      <c r="S472" s="134">
        <v>17.13</v>
      </c>
      <c r="T472" s="151">
        <v>41842</v>
      </c>
      <c r="U472" s="134">
        <v>13.5</v>
      </c>
      <c r="V472" s="151">
        <v>41838</v>
      </c>
      <c r="W472" s="196">
        <v>9</v>
      </c>
      <c r="X472" s="151">
        <v>41829</v>
      </c>
      <c r="Y472" s="134">
        <f t="shared" si="7"/>
        <v>5.8980600000000001</v>
      </c>
      <c r="AC472" s="134">
        <v>37.78</v>
      </c>
      <c r="AD472" s="151">
        <v>41838</v>
      </c>
      <c r="AE472" s="134">
        <v>39.06</v>
      </c>
      <c r="AF472" s="151">
        <v>41838</v>
      </c>
      <c r="AG472" s="197">
        <v>4.0999999999999996</v>
      </c>
      <c r="AH472" s="151">
        <v>41843</v>
      </c>
      <c r="AI472" s="198">
        <v>7</v>
      </c>
      <c r="AJ472" s="151">
        <v>41778</v>
      </c>
      <c r="AK472" s="199">
        <v>5</v>
      </c>
      <c r="AL472" s="151">
        <v>41709</v>
      </c>
      <c r="BE472" s="200">
        <v>5</v>
      </c>
      <c r="BF472" s="201">
        <v>41555</v>
      </c>
      <c r="BG472" s="203">
        <v>-2.9</v>
      </c>
      <c r="BH472" s="151">
        <v>41842</v>
      </c>
      <c r="BM472" s="204">
        <v>59</v>
      </c>
      <c r="BN472" s="151">
        <v>41842</v>
      </c>
      <c r="BQ472" s="205">
        <v>12.6</v>
      </c>
      <c r="BR472" s="151">
        <v>41842</v>
      </c>
      <c r="BS472" s="206">
        <v>43.9</v>
      </c>
      <c r="BT472" s="151">
        <v>41842</v>
      </c>
      <c r="BU472" s="207">
        <v>15.1</v>
      </c>
      <c r="BV472" s="151">
        <v>41842</v>
      </c>
      <c r="BW472" s="206">
        <v>15.9</v>
      </c>
      <c r="BX472" s="151">
        <v>41842</v>
      </c>
      <c r="BY472" s="210">
        <v>7.21</v>
      </c>
      <c r="BZ472" s="151">
        <v>41842</v>
      </c>
      <c r="CA472" s="206">
        <v>32</v>
      </c>
      <c r="CB472" s="151">
        <v>41842</v>
      </c>
      <c r="CC472" s="208">
        <v>5.9</v>
      </c>
      <c r="CD472" s="151">
        <v>41838</v>
      </c>
      <c r="CL472" s="209">
        <v>3</v>
      </c>
      <c r="CM472" s="201">
        <v>41810</v>
      </c>
    </row>
    <row r="473" spans="1:91" ht="15">
      <c r="A473" s="152" t="s">
        <v>7979</v>
      </c>
      <c r="B473" s="110" t="s">
        <v>233</v>
      </c>
      <c r="C473" s="110" t="s">
        <v>8083</v>
      </c>
      <c r="D473" s="110">
        <v>11687</v>
      </c>
      <c r="E473" s="111">
        <v>9</v>
      </c>
      <c r="F473" s="111">
        <v>637</v>
      </c>
      <c r="K473" s="134">
        <v>5</v>
      </c>
      <c r="L473" s="151">
        <v>41701</v>
      </c>
      <c r="M473" s="169">
        <v>3.15</v>
      </c>
      <c r="N473" s="151">
        <v>41838</v>
      </c>
      <c r="Q473" s="497"/>
      <c r="S473" s="134">
        <v>10.8</v>
      </c>
      <c r="T473" s="151">
        <v>41842</v>
      </c>
      <c r="U473" s="134">
        <v>13.5</v>
      </c>
      <c r="V473" s="151">
        <v>41838</v>
      </c>
      <c r="W473" s="196">
        <v>9</v>
      </c>
      <c r="X473" s="151">
        <v>41829</v>
      </c>
      <c r="Y473" s="134">
        <f t="shared" si="7"/>
        <v>3.4891200000000002</v>
      </c>
      <c r="AC473" s="134">
        <v>23.33</v>
      </c>
      <c r="AD473" s="151">
        <v>41838</v>
      </c>
      <c r="AE473" s="134">
        <v>24.23</v>
      </c>
      <c r="AF473" s="151">
        <v>41838</v>
      </c>
      <c r="AG473" s="197">
        <v>4.0999999999999996</v>
      </c>
      <c r="AH473" s="151">
        <v>41843</v>
      </c>
      <c r="AI473" s="198">
        <v>3</v>
      </c>
      <c r="AJ473" s="151">
        <v>41778</v>
      </c>
      <c r="AK473" s="199">
        <v>5</v>
      </c>
      <c r="AL473" s="151">
        <v>41709</v>
      </c>
      <c r="BE473" s="200">
        <v>5</v>
      </c>
      <c r="BF473" s="201">
        <v>41555</v>
      </c>
      <c r="BG473" s="203">
        <v>-7.5</v>
      </c>
      <c r="BH473" s="151">
        <v>41842</v>
      </c>
      <c r="BM473" s="204">
        <v>58.5</v>
      </c>
      <c r="BN473" s="151">
        <v>41842</v>
      </c>
      <c r="BQ473" s="205">
        <v>12.3</v>
      </c>
      <c r="BR473" s="151">
        <v>41842</v>
      </c>
      <c r="BS473" s="206">
        <v>44.6</v>
      </c>
      <c r="BT473" s="151">
        <v>41842</v>
      </c>
      <c r="BU473" s="207">
        <v>14.4</v>
      </c>
      <c r="BV473" s="151">
        <v>41842</v>
      </c>
      <c r="BW473" s="206">
        <v>16.3</v>
      </c>
      <c r="BX473" s="151">
        <v>41842</v>
      </c>
      <c r="BY473" s="210">
        <v>7.17</v>
      </c>
      <c r="BZ473" s="151">
        <v>41842</v>
      </c>
      <c r="CA473" s="206">
        <v>31</v>
      </c>
      <c r="CB473" s="151">
        <v>41842</v>
      </c>
      <c r="CC473" s="208">
        <v>5.5</v>
      </c>
      <c r="CD473" s="151">
        <v>41838</v>
      </c>
      <c r="CL473" s="209">
        <v>3</v>
      </c>
      <c r="CM473" s="201">
        <v>41810</v>
      </c>
    </row>
    <row r="474" spans="1:91" ht="15">
      <c r="A474" s="152" t="s">
        <v>7980</v>
      </c>
      <c r="B474" s="110" t="s">
        <v>233</v>
      </c>
      <c r="C474" s="110" t="s">
        <v>381</v>
      </c>
      <c r="D474" s="110">
        <v>11023</v>
      </c>
      <c r="E474" s="111">
        <v>2</v>
      </c>
      <c r="F474" s="111">
        <v>569</v>
      </c>
      <c r="K474" s="134">
        <v>5</v>
      </c>
      <c r="L474" s="151">
        <v>41701</v>
      </c>
      <c r="M474" s="169">
        <v>4.05</v>
      </c>
      <c r="N474" s="151">
        <v>41838</v>
      </c>
      <c r="Q474" s="497"/>
      <c r="S474" s="134">
        <v>15.38</v>
      </c>
      <c r="T474" s="151">
        <v>41842</v>
      </c>
      <c r="U474" s="134">
        <v>13.5</v>
      </c>
      <c r="V474" s="151">
        <v>41838</v>
      </c>
      <c r="W474" s="196">
        <v>9</v>
      </c>
      <c r="X474" s="151">
        <v>41829</v>
      </c>
      <c r="Y474" s="134">
        <f t="shared" si="7"/>
        <v>3.9211200000000002</v>
      </c>
      <c r="AC474" s="134">
        <v>30</v>
      </c>
      <c r="AD474" s="151">
        <v>41838</v>
      </c>
      <c r="AE474" s="134">
        <v>31.12</v>
      </c>
      <c r="AF474" s="151">
        <v>41838</v>
      </c>
      <c r="AG474" s="197">
        <v>4.7</v>
      </c>
      <c r="AH474" s="151">
        <v>41843</v>
      </c>
      <c r="AI474" s="198">
        <v>3</v>
      </c>
      <c r="AJ474" s="151">
        <v>41778</v>
      </c>
      <c r="AK474" s="199">
        <v>7</v>
      </c>
      <c r="AL474" s="151">
        <v>41709</v>
      </c>
      <c r="BE474" s="200">
        <v>7</v>
      </c>
      <c r="BF474" s="201">
        <v>41555</v>
      </c>
      <c r="BG474" s="203">
        <v>0.1</v>
      </c>
      <c r="BH474" s="151">
        <v>41842</v>
      </c>
      <c r="BM474" s="204">
        <v>64.599999999999994</v>
      </c>
      <c r="BN474" s="151">
        <v>41842</v>
      </c>
      <c r="BQ474" s="205">
        <v>10.1</v>
      </c>
      <c r="BR474" s="151">
        <v>41842</v>
      </c>
      <c r="BS474" s="206">
        <v>49.4</v>
      </c>
      <c r="BT474" s="151">
        <v>41842</v>
      </c>
      <c r="BU474" s="207">
        <v>12.6</v>
      </c>
      <c r="BV474" s="151">
        <v>41842</v>
      </c>
      <c r="BW474" s="206">
        <v>12.7</v>
      </c>
      <c r="BX474" s="151">
        <v>41842</v>
      </c>
      <c r="BY474" s="210">
        <v>7.19</v>
      </c>
      <c r="BZ474" s="151">
        <v>41842</v>
      </c>
      <c r="CA474" s="206">
        <v>30.2</v>
      </c>
      <c r="CB474" s="151">
        <v>41842</v>
      </c>
      <c r="CC474" s="208">
        <v>5.6</v>
      </c>
      <c r="CD474" s="151">
        <v>41838</v>
      </c>
      <c r="CL474" s="209">
        <v>3</v>
      </c>
      <c r="CM474" s="201">
        <v>41810</v>
      </c>
    </row>
    <row r="475" spans="1:91" ht="15">
      <c r="A475" s="152" t="s">
        <v>7980</v>
      </c>
      <c r="B475" s="110" t="s">
        <v>235</v>
      </c>
      <c r="C475" s="110" t="s">
        <v>8082</v>
      </c>
      <c r="D475" s="110">
        <v>11472</v>
      </c>
      <c r="E475" s="111">
        <v>3</v>
      </c>
      <c r="F475" s="111">
        <v>641</v>
      </c>
      <c r="K475" s="134">
        <v>5</v>
      </c>
      <c r="L475" s="151">
        <v>41701</v>
      </c>
      <c r="M475" s="169">
        <v>5.4</v>
      </c>
      <c r="N475" s="151">
        <v>41838</v>
      </c>
      <c r="Q475" s="497"/>
      <c r="S475" s="134">
        <v>19.77</v>
      </c>
      <c r="T475" s="151">
        <v>41842</v>
      </c>
      <c r="U475" s="134">
        <v>13.5</v>
      </c>
      <c r="V475" s="151">
        <v>41838</v>
      </c>
      <c r="W475" s="196">
        <v>9</v>
      </c>
      <c r="X475" s="151">
        <v>41829</v>
      </c>
      <c r="Y475" s="134">
        <f t="shared" si="7"/>
        <v>5.6909799999999997</v>
      </c>
      <c r="AC475" s="134">
        <v>40</v>
      </c>
      <c r="AD475" s="151">
        <v>41838</v>
      </c>
      <c r="AE475" s="134">
        <v>41.54</v>
      </c>
      <c r="AF475" s="151">
        <v>41838</v>
      </c>
      <c r="AG475" s="197">
        <v>4.5</v>
      </c>
      <c r="AH475" s="151">
        <v>41843</v>
      </c>
      <c r="AI475" s="198">
        <v>5</v>
      </c>
      <c r="AJ475" s="151">
        <v>41778</v>
      </c>
      <c r="AK475" s="199">
        <v>5</v>
      </c>
      <c r="AL475" s="151">
        <v>41709</v>
      </c>
      <c r="BE475" s="200">
        <v>5</v>
      </c>
      <c r="BF475" s="201">
        <v>41555</v>
      </c>
      <c r="BG475" s="203">
        <v>-1.6</v>
      </c>
      <c r="BH475" s="151">
        <v>41842</v>
      </c>
      <c r="BM475" s="204">
        <v>64.900000000000006</v>
      </c>
      <c r="BN475" s="151">
        <v>41842</v>
      </c>
      <c r="BQ475" s="205">
        <v>10.3</v>
      </c>
      <c r="BR475" s="151">
        <v>41842</v>
      </c>
      <c r="BS475" s="206">
        <v>47.6</v>
      </c>
      <c r="BT475" s="151">
        <v>41842</v>
      </c>
      <c r="BU475" s="207">
        <v>13.7</v>
      </c>
      <c r="BV475" s="151">
        <v>41842</v>
      </c>
      <c r="BW475" s="206">
        <v>13.1</v>
      </c>
      <c r="BX475" s="151">
        <v>41842</v>
      </c>
      <c r="BY475" s="210">
        <v>6.98</v>
      </c>
      <c r="BZ475" s="151">
        <v>41842</v>
      </c>
      <c r="CA475" s="206">
        <v>31.6</v>
      </c>
      <c r="CB475" s="151">
        <v>41842</v>
      </c>
      <c r="CC475" s="208">
        <v>5.5</v>
      </c>
      <c r="CD475" s="151">
        <v>41838</v>
      </c>
      <c r="CL475" s="209">
        <v>3</v>
      </c>
      <c r="CM475" s="201">
        <v>41810</v>
      </c>
    </row>
    <row r="476" spans="1:91" ht="15">
      <c r="A476" s="152" t="s">
        <v>7980</v>
      </c>
      <c r="B476" s="110" t="s">
        <v>233</v>
      </c>
      <c r="C476" s="110" t="s">
        <v>8083</v>
      </c>
      <c r="D476" s="110">
        <v>11646</v>
      </c>
      <c r="E476" s="111">
        <v>7</v>
      </c>
      <c r="F476" s="111">
        <v>761</v>
      </c>
      <c r="K476" s="134">
        <v>5</v>
      </c>
      <c r="L476" s="151">
        <v>41701</v>
      </c>
      <c r="M476" s="169">
        <v>3.35</v>
      </c>
      <c r="N476" s="151">
        <v>41838</v>
      </c>
      <c r="Q476" s="497"/>
      <c r="S476" s="134">
        <v>12.64</v>
      </c>
      <c r="T476" s="151">
        <v>41842</v>
      </c>
      <c r="U476" s="134">
        <v>13.5</v>
      </c>
      <c r="V476" s="151">
        <v>41838</v>
      </c>
      <c r="W476" s="196">
        <v>9</v>
      </c>
      <c r="X476" s="151">
        <v>41829</v>
      </c>
      <c r="Y476" s="134">
        <f t="shared" si="7"/>
        <v>3.2384999999999997</v>
      </c>
      <c r="AC476" s="134">
        <v>24.81</v>
      </c>
      <c r="AD476" s="151">
        <v>41838</v>
      </c>
      <c r="AE476" s="134">
        <v>25.5</v>
      </c>
      <c r="AF476" s="151">
        <v>41838</v>
      </c>
      <c r="AG476" s="197">
        <v>4.9000000000000004</v>
      </c>
      <c r="AH476" s="151">
        <v>41843</v>
      </c>
      <c r="AI476" s="198">
        <v>5</v>
      </c>
      <c r="AJ476" s="151">
        <v>41778</v>
      </c>
      <c r="AK476" s="199">
        <v>5</v>
      </c>
      <c r="AL476" s="151">
        <v>41709</v>
      </c>
      <c r="BE476" s="200">
        <v>5</v>
      </c>
      <c r="BF476" s="201">
        <v>41555</v>
      </c>
      <c r="BG476" s="203">
        <v>-1.3</v>
      </c>
      <c r="BH476" s="151">
        <v>41842</v>
      </c>
      <c r="BM476" s="204">
        <v>66.099999999999994</v>
      </c>
      <c r="BN476" s="151">
        <v>41842</v>
      </c>
      <c r="BQ476" s="205">
        <v>9.9</v>
      </c>
      <c r="BR476" s="151">
        <v>41842</v>
      </c>
      <c r="BS476" s="206">
        <v>49.6</v>
      </c>
      <c r="BT476" s="151">
        <v>41842</v>
      </c>
      <c r="BU476" s="207">
        <v>12.7</v>
      </c>
      <c r="BV476" s="151">
        <v>41842</v>
      </c>
      <c r="BW476" s="206">
        <v>14</v>
      </c>
      <c r="BX476" s="151">
        <v>41842</v>
      </c>
      <c r="BY476" s="210">
        <v>6.86</v>
      </c>
      <c r="BZ476" s="151">
        <v>41842</v>
      </c>
      <c r="CA476" s="206">
        <v>30.7</v>
      </c>
      <c r="CB476" s="151">
        <v>41842</v>
      </c>
      <c r="CC476" s="208">
        <v>6.5</v>
      </c>
      <c r="CD476" s="151">
        <v>41838</v>
      </c>
      <c r="CL476" s="209">
        <v>3</v>
      </c>
      <c r="CM476" s="201">
        <v>41810</v>
      </c>
    </row>
    <row r="477" spans="1:91" ht="15">
      <c r="A477" s="152" t="s">
        <v>7980</v>
      </c>
      <c r="B477" s="110" t="s">
        <v>235</v>
      </c>
      <c r="C477" s="110" t="s">
        <v>8081</v>
      </c>
      <c r="D477" s="110">
        <v>11253</v>
      </c>
      <c r="E477" s="111">
        <v>9</v>
      </c>
      <c r="F477" s="111">
        <v>481</v>
      </c>
      <c r="K477" s="134">
        <v>5</v>
      </c>
      <c r="L477" s="151">
        <v>41701</v>
      </c>
      <c r="M477" s="169">
        <v>5.4</v>
      </c>
      <c r="N477" s="151">
        <v>41838</v>
      </c>
      <c r="Q477" s="497"/>
      <c r="S477" s="134">
        <v>20.18</v>
      </c>
      <c r="T477" s="151">
        <v>41842</v>
      </c>
      <c r="U477" s="134">
        <v>13.5</v>
      </c>
      <c r="V477" s="151">
        <v>41838</v>
      </c>
      <c r="W477" s="196">
        <v>9</v>
      </c>
      <c r="X477" s="151">
        <v>41829</v>
      </c>
      <c r="Y477" s="134">
        <f t="shared" si="7"/>
        <v>5.2889600000000003</v>
      </c>
      <c r="AC477" s="134">
        <v>40</v>
      </c>
      <c r="AD477" s="151">
        <v>41838</v>
      </c>
      <c r="AE477" s="134">
        <v>41.32</v>
      </c>
      <c r="AF477" s="151">
        <v>41838</v>
      </c>
      <c r="AG477" s="197">
        <v>4.5</v>
      </c>
      <c r="AH477" s="151">
        <v>41843</v>
      </c>
      <c r="AI477" s="198">
        <v>5</v>
      </c>
      <c r="AJ477" s="151">
        <v>41778</v>
      </c>
      <c r="AK477" s="199">
        <v>5</v>
      </c>
      <c r="AL477" s="151">
        <v>41709</v>
      </c>
      <c r="BE477" s="200">
        <v>5</v>
      </c>
      <c r="BF477" s="201">
        <v>41555</v>
      </c>
      <c r="BG477" s="203">
        <v>-1.9</v>
      </c>
      <c r="BH477" s="151">
        <v>41842</v>
      </c>
      <c r="BM477" s="204">
        <v>67.8</v>
      </c>
      <c r="BN477" s="151">
        <v>41842</v>
      </c>
      <c r="BQ477" s="205">
        <v>9.6</v>
      </c>
      <c r="BR477" s="151">
        <v>41842</v>
      </c>
      <c r="BS477" s="206">
        <v>48.9</v>
      </c>
      <c r="BT477" s="151">
        <v>41842</v>
      </c>
      <c r="BU477" s="207">
        <v>12.8</v>
      </c>
      <c r="BV477" s="151">
        <v>41842</v>
      </c>
      <c r="BW477" s="206">
        <v>13.8</v>
      </c>
      <c r="BX477" s="151">
        <v>41842</v>
      </c>
      <c r="BY477" s="210">
        <v>6.76</v>
      </c>
      <c r="BZ477" s="151">
        <v>41842</v>
      </c>
      <c r="CA477" s="206">
        <v>30.4</v>
      </c>
      <c r="CB477" s="151">
        <v>41842</v>
      </c>
      <c r="CC477" s="208">
        <v>6</v>
      </c>
      <c r="CD477" s="151">
        <v>41838</v>
      </c>
      <c r="CL477" s="209">
        <v>3</v>
      </c>
      <c r="CM477" s="201">
        <v>41810</v>
      </c>
    </row>
    <row r="478" spans="1:91" ht="15">
      <c r="A478" s="152" t="s">
        <v>7981</v>
      </c>
      <c r="B478" s="110" t="s">
        <v>233</v>
      </c>
      <c r="C478" s="110" t="s">
        <v>381</v>
      </c>
      <c r="D478" s="110">
        <v>10999</v>
      </c>
      <c r="E478" s="111">
        <v>1</v>
      </c>
      <c r="F478" s="111">
        <v>617</v>
      </c>
      <c r="I478" s="373"/>
      <c r="K478" s="191">
        <v>3</v>
      </c>
      <c r="L478" s="151">
        <v>41701</v>
      </c>
      <c r="M478" s="169">
        <v>2.95</v>
      </c>
      <c r="N478" s="151">
        <v>41838</v>
      </c>
      <c r="Q478" s="497"/>
      <c r="S478" s="134">
        <v>10.55</v>
      </c>
      <c r="T478" s="151">
        <v>41842</v>
      </c>
      <c r="U478" s="194">
        <v>13.5</v>
      </c>
      <c r="V478" s="151">
        <v>41838</v>
      </c>
      <c r="W478" s="196">
        <v>9</v>
      </c>
      <c r="X478" s="151">
        <v>41829</v>
      </c>
      <c r="Y478" s="134">
        <f t="shared" si="7"/>
        <v>3.0409600000000001</v>
      </c>
      <c r="AA478" s="194"/>
      <c r="AC478" s="194">
        <v>21.85</v>
      </c>
      <c r="AD478" s="151">
        <v>41838</v>
      </c>
      <c r="AE478" s="137">
        <v>22.36</v>
      </c>
      <c r="AF478" s="151">
        <v>41838</v>
      </c>
      <c r="AG478" s="197">
        <v>4.5999999999999996</v>
      </c>
      <c r="AH478" s="151">
        <v>41843</v>
      </c>
      <c r="AI478" s="198">
        <v>5</v>
      </c>
      <c r="AJ478" s="151">
        <v>41778</v>
      </c>
      <c r="AK478" s="199">
        <v>4</v>
      </c>
      <c r="AL478" s="151">
        <v>41709</v>
      </c>
      <c r="AM478" s="194"/>
      <c r="BE478" s="200">
        <v>4</v>
      </c>
      <c r="BF478" s="201">
        <v>41555</v>
      </c>
      <c r="BG478" s="203">
        <v>-0.7</v>
      </c>
      <c r="BH478" s="151">
        <v>41842</v>
      </c>
      <c r="BM478" s="204">
        <v>65.5</v>
      </c>
      <c r="BN478" s="151">
        <v>41842</v>
      </c>
      <c r="BQ478" s="205">
        <v>11</v>
      </c>
      <c r="BR478" s="151">
        <v>41842</v>
      </c>
      <c r="BS478" s="206">
        <v>47.2</v>
      </c>
      <c r="BT478" s="151">
        <v>41842</v>
      </c>
      <c r="BU478" s="207">
        <v>13.6</v>
      </c>
      <c r="BV478" s="151">
        <v>41842</v>
      </c>
      <c r="BW478" s="206">
        <v>11.2</v>
      </c>
      <c r="BX478" s="151">
        <v>41842</v>
      </c>
      <c r="BY478" s="210">
        <v>7.37</v>
      </c>
      <c r="BZ478" s="151">
        <v>41842</v>
      </c>
      <c r="CA478" s="206">
        <v>31.1</v>
      </c>
      <c r="CB478" s="151">
        <v>41842</v>
      </c>
      <c r="CC478" s="208">
        <v>6.9</v>
      </c>
      <c r="CD478" s="151">
        <v>41838</v>
      </c>
      <c r="CL478" s="209">
        <v>5</v>
      </c>
      <c r="CM478" s="201">
        <v>41810</v>
      </c>
    </row>
    <row r="479" spans="1:91" ht="15">
      <c r="A479" s="152" t="s">
        <v>7981</v>
      </c>
      <c r="B479" s="110" t="s">
        <v>235</v>
      </c>
      <c r="C479" s="110" t="s">
        <v>8082</v>
      </c>
      <c r="D479" s="110">
        <v>11418</v>
      </c>
      <c r="E479" s="111">
        <v>1</v>
      </c>
      <c r="F479" s="111">
        <v>713</v>
      </c>
      <c r="I479" s="373"/>
      <c r="K479" s="191">
        <v>3</v>
      </c>
      <c r="L479" s="151">
        <v>41701</v>
      </c>
      <c r="M479" s="169">
        <v>3.25</v>
      </c>
      <c r="N479" s="151">
        <v>41838</v>
      </c>
      <c r="Q479" s="497"/>
      <c r="S479" s="134">
        <v>11.52</v>
      </c>
      <c r="T479" s="151">
        <v>41842</v>
      </c>
      <c r="U479" s="194">
        <v>13.5</v>
      </c>
      <c r="V479" s="151">
        <v>41838</v>
      </c>
      <c r="W479" s="196">
        <v>9</v>
      </c>
      <c r="X479" s="151">
        <v>41829</v>
      </c>
      <c r="Y479" s="134">
        <f t="shared" si="7"/>
        <v>3.5564100000000001</v>
      </c>
      <c r="AA479" s="194"/>
      <c r="AC479" s="194">
        <v>24.07</v>
      </c>
      <c r="AD479" s="151">
        <v>41838</v>
      </c>
      <c r="AE479" s="137">
        <v>24.87</v>
      </c>
      <c r="AF479" s="151">
        <v>41838</v>
      </c>
      <c r="AG479" s="197">
        <v>4.5999999999999996</v>
      </c>
      <c r="AH479" s="151">
        <v>41843</v>
      </c>
      <c r="AI479" s="198">
        <v>3</v>
      </c>
      <c r="AJ479" s="151">
        <v>41778</v>
      </c>
      <c r="AK479" s="199">
        <v>5</v>
      </c>
      <c r="AL479" s="151">
        <v>41709</v>
      </c>
      <c r="AM479" s="194"/>
      <c r="BE479" s="200">
        <v>5</v>
      </c>
      <c r="BF479" s="201">
        <v>41555</v>
      </c>
      <c r="BG479" s="203">
        <v>-3.4</v>
      </c>
      <c r="BH479" s="151">
        <v>41842</v>
      </c>
      <c r="BM479" s="204">
        <v>64.099999999999994</v>
      </c>
      <c r="BN479" s="151">
        <v>41842</v>
      </c>
      <c r="BQ479" s="205">
        <v>11.4</v>
      </c>
      <c r="BR479" s="151">
        <v>41842</v>
      </c>
      <c r="BS479" s="206">
        <v>46.3</v>
      </c>
      <c r="BT479" s="151">
        <v>41842</v>
      </c>
      <c r="BU479" s="207">
        <v>14.3</v>
      </c>
      <c r="BV479" s="151">
        <v>41842</v>
      </c>
      <c r="BW479" s="206">
        <v>12.4</v>
      </c>
      <c r="BX479" s="151">
        <v>41842</v>
      </c>
      <c r="BY479" s="210">
        <v>7.18</v>
      </c>
      <c r="BZ479" s="151">
        <v>41842</v>
      </c>
      <c r="CA479" s="206">
        <v>31.9</v>
      </c>
      <c r="CB479" s="151">
        <v>41842</v>
      </c>
      <c r="CC479" s="208">
        <v>6</v>
      </c>
      <c r="CD479" s="151">
        <v>41838</v>
      </c>
      <c r="CL479" s="209">
        <v>5</v>
      </c>
      <c r="CM479" s="201">
        <v>41810</v>
      </c>
    </row>
    <row r="480" spans="1:91" ht="15">
      <c r="A480" s="152" t="s">
        <v>7981</v>
      </c>
      <c r="B480" s="110" t="s">
        <v>233</v>
      </c>
      <c r="C480" s="110" t="s">
        <v>8083</v>
      </c>
      <c r="D480" s="110">
        <v>11618</v>
      </c>
      <c r="E480" s="111">
        <v>7</v>
      </c>
      <c r="F480" s="111">
        <v>649</v>
      </c>
      <c r="K480" s="191">
        <v>3</v>
      </c>
      <c r="L480" s="151">
        <v>41701</v>
      </c>
      <c r="M480" s="169">
        <v>2.5</v>
      </c>
      <c r="N480" s="151">
        <v>41838</v>
      </c>
      <c r="Q480" s="497"/>
      <c r="S480" s="134">
        <v>8.99</v>
      </c>
      <c r="T480" s="151">
        <v>41842</v>
      </c>
      <c r="U480" s="134">
        <v>13.5</v>
      </c>
      <c r="V480" s="151">
        <v>41838</v>
      </c>
      <c r="W480" s="196">
        <v>9</v>
      </c>
      <c r="X480" s="151">
        <v>41829</v>
      </c>
      <c r="Y480" s="134">
        <f t="shared" si="7"/>
        <v>2.6098400000000002</v>
      </c>
      <c r="AC480" s="134">
        <v>18.52</v>
      </c>
      <c r="AD480" s="151">
        <v>41838</v>
      </c>
      <c r="AE480" s="134">
        <v>19.190000000000001</v>
      </c>
      <c r="AF480" s="151">
        <v>41838</v>
      </c>
      <c r="AG480" s="197">
        <v>4.5999999999999996</v>
      </c>
      <c r="AH480" s="151">
        <v>41843</v>
      </c>
      <c r="AI480" s="198">
        <v>5</v>
      </c>
      <c r="AJ480" s="151">
        <v>41778</v>
      </c>
      <c r="AK480" s="199">
        <v>4</v>
      </c>
      <c r="AL480" s="151">
        <v>41709</v>
      </c>
      <c r="BE480" s="200">
        <v>4</v>
      </c>
      <c r="BF480" s="201">
        <v>41555</v>
      </c>
      <c r="BG480" s="203">
        <v>-4.5</v>
      </c>
      <c r="BH480" s="151">
        <v>41842</v>
      </c>
      <c r="BM480" s="204">
        <v>64.099999999999994</v>
      </c>
      <c r="BN480" s="151">
        <v>41842</v>
      </c>
      <c r="BQ480" s="205">
        <v>10.1</v>
      </c>
      <c r="BR480" s="151">
        <v>41842</v>
      </c>
      <c r="BS480" s="206">
        <v>46.9</v>
      </c>
      <c r="BT480" s="151">
        <v>41842</v>
      </c>
      <c r="BU480" s="207">
        <v>13.6</v>
      </c>
      <c r="BV480" s="151">
        <v>41842</v>
      </c>
      <c r="BW480" s="206">
        <v>13.4</v>
      </c>
      <c r="BX480" s="151">
        <v>41842</v>
      </c>
      <c r="BY480" s="210">
        <v>7.43</v>
      </c>
      <c r="BZ480" s="151">
        <v>41842</v>
      </c>
      <c r="CA480" s="206">
        <v>30.7</v>
      </c>
      <c r="CB480" s="151">
        <v>41842</v>
      </c>
      <c r="CC480" s="208">
        <v>5.7</v>
      </c>
      <c r="CD480" s="151">
        <v>41838</v>
      </c>
      <c r="CL480" s="209">
        <v>5</v>
      </c>
      <c r="CM480" s="201">
        <v>41810</v>
      </c>
    </row>
    <row r="481" spans="1:91" ht="15">
      <c r="A481" s="152" t="s">
        <v>7981</v>
      </c>
      <c r="B481" s="110" t="s">
        <v>235</v>
      </c>
      <c r="C481" s="110" t="s">
        <v>8081</v>
      </c>
      <c r="D481" s="110">
        <v>11310</v>
      </c>
      <c r="E481" s="111">
        <v>10</v>
      </c>
      <c r="F481" s="111">
        <v>565</v>
      </c>
      <c r="K481" s="134">
        <v>5</v>
      </c>
      <c r="L481" s="151">
        <v>41701</v>
      </c>
      <c r="M481" s="169">
        <v>4</v>
      </c>
      <c r="N481" s="151">
        <v>41838</v>
      </c>
      <c r="Q481" s="497"/>
      <c r="S481" s="134">
        <v>14.6</v>
      </c>
      <c r="T481" s="151">
        <v>41842</v>
      </c>
      <c r="U481" s="134">
        <v>13.5</v>
      </c>
      <c r="V481" s="151">
        <v>41838</v>
      </c>
      <c r="W481" s="196">
        <v>9</v>
      </c>
      <c r="X481" s="151">
        <v>41829</v>
      </c>
      <c r="Y481" s="134">
        <f t="shared" si="7"/>
        <v>4.0177699999999996</v>
      </c>
      <c r="AC481" s="134">
        <v>29.63</v>
      </c>
      <c r="AD481" s="151">
        <v>41838</v>
      </c>
      <c r="AE481" s="134">
        <v>30.67</v>
      </c>
      <c r="AF481" s="151">
        <v>41838</v>
      </c>
      <c r="AG481" s="197">
        <v>4.4000000000000004</v>
      </c>
      <c r="AH481" s="151">
        <v>41843</v>
      </c>
      <c r="AI481" s="198">
        <v>7</v>
      </c>
      <c r="AJ481" s="151">
        <v>41778</v>
      </c>
      <c r="AK481" s="199">
        <v>5</v>
      </c>
      <c r="AL481" s="151">
        <v>41709</v>
      </c>
      <c r="BE481" s="200">
        <v>5</v>
      </c>
      <c r="BF481" s="201">
        <v>41555</v>
      </c>
      <c r="BG481" s="203">
        <v>0.8</v>
      </c>
      <c r="BH481" s="151">
        <v>41842</v>
      </c>
      <c r="BM481" s="204">
        <v>66.3</v>
      </c>
      <c r="BN481" s="151">
        <v>41842</v>
      </c>
      <c r="BQ481" s="205">
        <v>10.1</v>
      </c>
      <c r="BR481" s="151">
        <v>41842</v>
      </c>
      <c r="BS481" s="206">
        <v>47.6</v>
      </c>
      <c r="BT481" s="151">
        <v>41842</v>
      </c>
      <c r="BU481" s="207">
        <v>13.1</v>
      </c>
      <c r="BV481" s="151">
        <v>41842</v>
      </c>
      <c r="BW481" s="206">
        <v>10.4</v>
      </c>
      <c r="BX481" s="151">
        <v>41842</v>
      </c>
      <c r="BY481" s="210">
        <v>7.14</v>
      </c>
      <c r="BZ481" s="151">
        <v>41842</v>
      </c>
      <c r="CA481" s="206">
        <v>30.3</v>
      </c>
      <c r="CB481" s="151">
        <v>41842</v>
      </c>
      <c r="CC481" s="208">
        <v>5.8</v>
      </c>
      <c r="CD481" s="151">
        <v>41838</v>
      </c>
      <c r="CL481" s="209">
        <v>5</v>
      </c>
      <c r="CM481" s="201">
        <v>41810</v>
      </c>
    </row>
    <row r="482" spans="1:91" ht="15">
      <c r="A482" s="152" t="s">
        <v>7982</v>
      </c>
      <c r="B482" s="110" t="s">
        <v>233</v>
      </c>
      <c r="C482" s="110" t="s">
        <v>381</v>
      </c>
      <c r="D482" s="110">
        <v>11081</v>
      </c>
      <c r="E482" s="111">
        <v>4</v>
      </c>
      <c r="F482" s="111">
        <v>513</v>
      </c>
      <c r="K482" s="134">
        <v>5</v>
      </c>
      <c r="L482" s="151">
        <v>41701</v>
      </c>
      <c r="M482" s="169">
        <v>4.5999999999999996</v>
      </c>
      <c r="N482" s="151">
        <v>41838</v>
      </c>
      <c r="Q482" s="497"/>
      <c r="S482" s="134">
        <v>17</v>
      </c>
      <c r="T482" s="151">
        <v>41842</v>
      </c>
      <c r="U482" s="134">
        <v>13.5</v>
      </c>
      <c r="V482" s="151">
        <v>41838</v>
      </c>
      <c r="W482" s="196">
        <v>9</v>
      </c>
      <c r="X482" s="151">
        <v>41829</v>
      </c>
      <c r="Y482" s="134">
        <f t="shared" si="7"/>
        <v>4.5056000000000003</v>
      </c>
      <c r="AC482" s="134">
        <v>34.07</v>
      </c>
      <c r="AD482" s="151">
        <v>41838</v>
      </c>
      <c r="AE482" s="134">
        <v>35.200000000000003</v>
      </c>
      <c r="AF482" s="151">
        <v>41838</v>
      </c>
      <c r="AG482" s="197">
        <v>4.5</v>
      </c>
      <c r="AH482" s="151">
        <v>41843</v>
      </c>
      <c r="AI482" s="198">
        <v>3</v>
      </c>
      <c r="AJ482" s="151">
        <v>41778</v>
      </c>
      <c r="AK482" s="199">
        <v>7</v>
      </c>
      <c r="AL482" s="151">
        <v>41709</v>
      </c>
      <c r="BE482" s="200">
        <v>7</v>
      </c>
      <c r="BF482" s="201">
        <v>41555</v>
      </c>
      <c r="BG482" s="203">
        <v>-3</v>
      </c>
      <c r="BH482" s="151">
        <v>41842</v>
      </c>
      <c r="BM482" s="204">
        <v>63.2</v>
      </c>
      <c r="BN482" s="151">
        <v>41842</v>
      </c>
      <c r="BQ482" s="205">
        <v>10.5</v>
      </c>
      <c r="BR482" s="151">
        <v>41842</v>
      </c>
      <c r="BS482" s="206">
        <v>48.3</v>
      </c>
      <c r="BT482" s="151">
        <v>41842</v>
      </c>
      <c r="BU482" s="207">
        <v>12.8</v>
      </c>
      <c r="BV482" s="151">
        <v>41842</v>
      </c>
      <c r="BW482" s="206">
        <v>13.1</v>
      </c>
      <c r="BX482" s="151">
        <v>41842</v>
      </c>
      <c r="BY482" s="210">
        <v>6.61</v>
      </c>
      <c r="BZ482" s="151">
        <v>41842</v>
      </c>
      <c r="CA482" s="206">
        <v>30</v>
      </c>
      <c r="CB482" s="151">
        <v>41842</v>
      </c>
      <c r="CC482" s="208">
        <v>6</v>
      </c>
      <c r="CD482" s="151">
        <v>41838</v>
      </c>
      <c r="CL482" s="209">
        <v>3</v>
      </c>
      <c r="CM482" s="201">
        <v>41810</v>
      </c>
    </row>
    <row r="483" spans="1:91" ht="15">
      <c r="A483" s="152" t="s">
        <v>7982</v>
      </c>
      <c r="B483" s="110" t="s">
        <v>235</v>
      </c>
      <c r="C483" s="110" t="s">
        <v>8082</v>
      </c>
      <c r="D483" s="110">
        <v>11522</v>
      </c>
      <c r="E483" s="111">
        <v>4</v>
      </c>
      <c r="F483" s="111">
        <v>697</v>
      </c>
      <c r="K483" s="194">
        <v>7</v>
      </c>
      <c r="L483" s="151">
        <v>41701</v>
      </c>
      <c r="M483" s="169">
        <v>5.75</v>
      </c>
      <c r="N483" s="151">
        <v>41838</v>
      </c>
      <c r="Q483" s="497"/>
      <c r="S483" s="134">
        <v>21.73</v>
      </c>
      <c r="T483" s="151">
        <v>41842</v>
      </c>
      <c r="U483" s="134">
        <v>13.5</v>
      </c>
      <c r="V483" s="151">
        <v>41838</v>
      </c>
      <c r="W483" s="196">
        <v>1</v>
      </c>
      <c r="X483" s="151">
        <v>41829</v>
      </c>
      <c r="Y483" s="134">
        <f t="shared" si="7"/>
        <v>5.2526600000000006</v>
      </c>
      <c r="AC483" s="134">
        <v>42.59</v>
      </c>
      <c r="AD483" s="151">
        <v>41838</v>
      </c>
      <c r="AE483" s="134">
        <v>44.14</v>
      </c>
      <c r="AF483" s="151">
        <v>41838</v>
      </c>
      <c r="AG483" s="197">
        <v>4.5</v>
      </c>
      <c r="AH483" s="151">
        <v>41843</v>
      </c>
      <c r="AI483" s="198">
        <v>5</v>
      </c>
      <c r="AJ483" s="151">
        <v>41778</v>
      </c>
      <c r="AK483" s="199">
        <v>5</v>
      </c>
      <c r="AL483" s="151">
        <v>41709</v>
      </c>
      <c r="BE483" s="200">
        <v>5</v>
      </c>
      <c r="BF483" s="201">
        <v>41555</v>
      </c>
      <c r="BG483" s="203">
        <v>-4.9000000000000004</v>
      </c>
      <c r="BH483" s="151">
        <v>41842</v>
      </c>
      <c r="BM483" s="204">
        <v>63.5</v>
      </c>
      <c r="BN483" s="151">
        <v>41842</v>
      </c>
      <c r="BQ483" s="205">
        <v>9.8000000000000007</v>
      </c>
      <c r="BR483" s="151">
        <v>41842</v>
      </c>
      <c r="BS483" s="206">
        <v>49.2</v>
      </c>
      <c r="BT483" s="151">
        <v>41842</v>
      </c>
      <c r="BU483" s="207">
        <v>11.9</v>
      </c>
      <c r="BV483" s="151">
        <v>41842</v>
      </c>
      <c r="BW483" s="206">
        <v>8.9</v>
      </c>
      <c r="BX483" s="151">
        <v>41842</v>
      </c>
      <c r="BY483" s="210">
        <v>6.42</v>
      </c>
      <c r="BZ483" s="151">
        <v>41842</v>
      </c>
      <c r="CA483" s="206">
        <v>28.4</v>
      </c>
      <c r="CB483" s="151">
        <v>41842</v>
      </c>
      <c r="CC483" s="208">
        <v>5.7</v>
      </c>
      <c r="CD483" s="151">
        <v>41838</v>
      </c>
      <c r="CL483" s="209">
        <v>3</v>
      </c>
      <c r="CM483" s="201">
        <v>41810</v>
      </c>
    </row>
    <row r="484" spans="1:91" ht="15">
      <c r="A484" s="152" t="s">
        <v>7982</v>
      </c>
      <c r="B484" s="110" t="s">
        <v>233</v>
      </c>
      <c r="C484" s="110" t="s">
        <v>8083</v>
      </c>
      <c r="D484" s="110">
        <v>11723</v>
      </c>
      <c r="E484" s="111">
        <v>10</v>
      </c>
      <c r="F484" s="111">
        <v>637</v>
      </c>
      <c r="K484" s="134">
        <v>5</v>
      </c>
      <c r="L484" s="151">
        <v>41701</v>
      </c>
      <c r="M484" s="169">
        <v>3.25</v>
      </c>
      <c r="N484" s="151">
        <v>41838</v>
      </c>
      <c r="Q484" s="497"/>
      <c r="S484" s="134">
        <v>12.15</v>
      </c>
      <c r="T484" s="151">
        <v>41842</v>
      </c>
      <c r="U484" s="134">
        <v>13.5</v>
      </c>
      <c r="V484" s="151">
        <v>41838</v>
      </c>
      <c r="W484" s="196">
        <v>9</v>
      </c>
      <c r="X484" s="151">
        <v>41829</v>
      </c>
      <c r="Y484" s="134">
        <f t="shared" si="7"/>
        <v>3.0402399999999998</v>
      </c>
      <c r="AC484" s="134">
        <v>24.07</v>
      </c>
      <c r="AD484" s="151">
        <v>41838</v>
      </c>
      <c r="AE484" s="134">
        <v>24.92</v>
      </c>
      <c r="AF484" s="151">
        <v>41838</v>
      </c>
      <c r="AG484" s="197">
        <v>4.4000000000000004</v>
      </c>
      <c r="AH484" s="151">
        <v>41843</v>
      </c>
      <c r="AI484" s="198">
        <v>3</v>
      </c>
      <c r="AJ484" s="151">
        <v>41778</v>
      </c>
      <c r="AK484" s="199">
        <v>5</v>
      </c>
      <c r="AL484" s="151">
        <v>41709</v>
      </c>
      <c r="BE484" s="200">
        <v>5</v>
      </c>
      <c r="BF484" s="201">
        <v>41555</v>
      </c>
      <c r="BG484" s="203">
        <v>-3.5</v>
      </c>
      <c r="BH484" s="151">
        <v>41842</v>
      </c>
      <c r="BM484" s="204">
        <v>63.2</v>
      </c>
      <c r="BN484" s="151">
        <v>41842</v>
      </c>
      <c r="BQ484" s="205">
        <v>9.6999999999999993</v>
      </c>
      <c r="BR484" s="151">
        <v>41842</v>
      </c>
      <c r="BS484" s="206">
        <v>48.8</v>
      </c>
      <c r="BT484" s="151">
        <v>41842</v>
      </c>
      <c r="BU484" s="207">
        <v>12.2</v>
      </c>
      <c r="BV484" s="151">
        <v>41842</v>
      </c>
      <c r="BW484" s="206">
        <v>9.6999999999999993</v>
      </c>
      <c r="BX484" s="151">
        <v>41842</v>
      </c>
      <c r="BY484" s="210">
        <v>6.67</v>
      </c>
      <c r="BZ484" s="151">
        <v>41842</v>
      </c>
      <c r="CA484" s="206">
        <v>28.9</v>
      </c>
      <c r="CB484" s="151">
        <v>41842</v>
      </c>
      <c r="CC484" s="208">
        <v>5.8</v>
      </c>
      <c r="CD484" s="151">
        <v>41838</v>
      </c>
      <c r="CL484" s="209">
        <v>3</v>
      </c>
      <c r="CM484" s="201">
        <v>41810</v>
      </c>
    </row>
    <row r="485" spans="1:91" ht="15">
      <c r="A485" s="152" t="s">
        <v>7982</v>
      </c>
      <c r="B485" s="110" t="s">
        <v>235</v>
      </c>
      <c r="C485" s="110" t="s">
        <v>8081</v>
      </c>
      <c r="D485" s="110">
        <v>11345</v>
      </c>
      <c r="E485" s="111">
        <v>11</v>
      </c>
      <c r="F485" s="111">
        <v>561</v>
      </c>
      <c r="K485" s="134">
        <v>5</v>
      </c>
      <c r="L485" s="151">
        <v>41701</v>
      </c>
      <c r="M485" s="169">
        <v>6</v>
      </c>
      <c r="N485" s="151">
        <v>41838</v>
      </c>
      <c r="Q485" s="497"/>
      <c r="S485" s="134">
        <v>22.32</v>
      </c>
      <c r="T485" s="151">
        <v>41842</v>
      </c>
      <c r="U485" s="134">
        <v>13.5</v>
      </c>
      <c r="V485" s="151">
        <v>41838</v>
      </c>
      <c r="W485" s="196">
        <v>9</v>
      </c>
      <c r="X485" s="151">
        <v>41829</v>
      </c>
      <c r="Y485" s="134">
        <f t="shared" si="7"/>
        <v>5.8432700000000004</v>
      </c>
      <c r="AC485" s="134">
        <v>44.44</v>
      </c>
      <c r="AD485" s="151">
        <v>41838</v>
      </c>
      <c r="AE485" s="134">
        <v>46.01</v>
      </c>
      <c r="AF485" s="151">
        <v>41838</v>
      </c>
      <c r="AG485" s="197">
        <v>4.3</v>
      </c>
      <c r="AH485" s="151">
        <v>41843</v>
      </c>
      <c r="AI485" s="198">
        <v>5</v>
      </c>
      <c r="AJ485" s="151">
        <v>41778</v>
      </c>
      <c r="AK485" s="199">
        <v>5</v>
      </c>
      <c r="AL485" s="151">
        <v>41709</v>
      </c>
      <c r="BE485" s="200">
        <v>5</v>
      </c>
      <c r="BF485" s="201">
        <v>41555</v>
      </c>
      <c r="BG485" s="203">
        <v>-4.9000000000000004</v>
      </c>
      <c r="BH485" s="151">
        <v>41842</v>
      </c>
      <c r="BM485" s="204">
        <v>62.7</v>
      </c>
      <c r="BN485" s="151">
        <v>41842</v>
      </c>
      <c r="BQ485" s="205">
        <v>10.5</v>
      </c>
      <c r="BR485" s="151">
        <v>41842</v>
      </c>
      <c r="BS485" s="206">
        <v>48.5</v>
      </c>
      <c r="BT485" s="151">
        <v>41842</v>
      </c>
      <c r="BU485" s="207">
        <v>12.7</v>
      </c>
      <c r="BV485" s="151">
        <v>41842</v>
      </c>
      <c r="BW485" s="206">
        <v>8.1</v>
      </c>
      <c r="BX485" s="151">
        <v>41842</v>
      </c>
      <c r="BY485" s="210">
        <v>6.4</v>
      </c>
      <c r="BZ485" s="151">
        <v>41842</v>
      </c>
      <c r="CA485" s="206">
        <v>29.9</v>
      </c>
      <c r="CB485" s="151">
        <v>41842</v>
      </c>
      <c r="CC485" s="208">
        <v>5.8</v>
      </c>
      <c r="CD485" s="151">
        <v>41838</v>
      </c>
      <c r="CL485" s="209">
        <v>3</v>
      </c>
      <c r="CM485" s="201">
        <v>41810</v>
      </c>
    </row>
    <row r="486" spans="1:91" ht="15">
      <c r="A486" s="152" t="s">
        <v>7983</v>
      </c>
      <c r="B486" s="110" t="s">
        <v>235</v>
      </c>
      <c r="C486" s="110" t="s">
        <v>8082</v>
      </c>
      <c r="D486" s="110">
        <v>11420</v>
      </c>
      <c r="E486" s="111">
        <v>1</v>
      </c>
      <c r="F486" s="111">
        <v>721</v>
      </c>
      <c r="I486" s="373"/>
      <c r="K486" s="194">
        <v>5</v>
      </c>
      <c r="L486" s="151">
        <v>41701</v>
      </c>
      <c r="M486" s="169">
        <v>3.9</v>
      </c>
      <c r="N486" s="151">
        <v>41838</v>
      </c>
      <c r="Q486" s="497"/>
      <c r="S486" s="134">
        <v>14.29</v>
      </c>
      <c r="T486" s="151">
        <v>41842</v>
      </c>
      <c r="U486" s="194">
        <v>13.5</v>
      </c>
      <c r="V486" s="151">
        <v>41838</v>
      </c>
      <c r="W486" s="196">
        <v>1</v>
      </c>
      <c r="X486" s="151">
        <v>41829</v>
      </c>
      <c r="Y486" s="134">
        <f t="shared" si="7"/>
        <v>4.1616600000000004</v>
      </c>
      <c r="AA486" s="194"/>
      <c r="AC486" s="194">
        <v>28.89</v>
      </c>
      <c r="AD486" s="151">
        <v>41838</v>
      </c>
      <c r="AE486" s="137">
        <v>29.94</v>
      </c>
      <c r="AF486" s="151">
        <v>41838</v>
      </c>
      <c r="AG486" s="197">
        <v>4.7</v>
      </c>
      <c r="AH486" s="151">
        <v>41843</v>
      </c>
      <c r="AI486" s="198">
        <v>3</v>
      </c>
      <c r="AJ486" s="151">
        <v>41778</v>
      </c>
      <c r="AK486" s="199">
        <v>7</v>
      </c>
      <c r="AL486" s="151">
        <v>41709</v>
      </c>
      <c r="AM486" s="194"/>
      <c r="BE486" s="200">
        <v>7</v>
      </c>
      <c r="BF486" s="201">
        <v>41555</v>
      </c>
      <c r="BG486" s="203">
        <v>1</v>
      </c>
      <c r="BH486" s="151">
        <v>41842</v>
      </c>
      <c r="BM486" s="204">
        <v>64.900000000000006</v>
      </c>
      <c r="BN486" s="151">
        <v>41842</v>
      </c>
      <c r="BQ486" s="205">
        <v>10.6</v>
      </c>
      <c r="BR486" s="151">
        <v>41842</v>
      </c>
      <c r="BS486" s="206">
        <v>47.7</v>
      </c>
      <c r="BT486" s="151">
        <v>41842</v>
      </c>
      <c r="BU486" s="207">
        <v>13.9</v>
      </c>
      <c r="BV486" s="151">
        <v>41842</v>
      </c>
      <c r="BW486" s="206">
        <v>18.600000000000001</v>
      </c>
      <c r="BX486" s="151">
        <v>41842</v>
      </c>
      <c r="BY486" s="210">
        <v>6.87</v>
      </c>
      <c r="BZ486" s="151">
        <v>41842</v>
      </c>
      <c r="CA486" s="206">
        <v>32.1</v>
      </c>
      <c r="CB486" s="151">
        <v>41842</v>
      </c>
      <c r="CC486" s="208">
        <v>5.7</v>
      </c>
      <c r="CD486" s="151">
        <v>41838</v>
      </c>
      <c r="CL486" s="209">
        <v>5</v>
      </c>
      <c r="CM486" s="201">
        <v>41810</v>
      </c>
    </row>
    <row r="487" spans="1:91" ht="15">
      <c r="A487" s="152" t="s">
        <v>7983</v>
      </c>
      <c r="B487" s="110" t="s">
        <v>233</v>
      </c>
      <c r="C487" s="110" t="s">
        <v>381</v>
      </c>
      <c r="D487" s="110">
        <v>11000</v>
      </c>
      <c r="E487" s="111">
        <v>2</v>
      </c>
      <c r="F487" s="111">
        <v>477</v>
      </c>
      <c r="I487" s="373"/>
      <c r="K487" s="194">
        <v>5</v>
      </c>
      <c r="L487" s="151">
        <v>41701</v>
      </c>
      <c r="M487" s="169">
        <v>2.9</v>
      </c>
      <c r="N487" s="151">
        <v>41838</v>
      </c>
      <c r="Q487" s="497"/>
      <c r="S487" s="134">
        <v>10.51</v>
      </c>
      <c r="T487" s="151">
        <v>41842</v>
      </c>
      <c r="U487" s="194">
        <v>13.5</v>
      </c>
      <c r="V487" s="151">
        <v>41838</v>
      </c>
      <c r="W487" s="196">
        <v>1</v>
      </c>
      <c r="X487" s="151">
        <v>41829</v>
      </c>
      <c r="Y487" s="134">
        <f t="shared" si="7"/>
        <v>3.1509800000000001</v>
      </c>
      <c r="AA487" s="194"/>
      <c r="AC487" s="194">
        <v>21.48</v>
      </c>
      <c r="AD487" s="151">
        <v>41838</v>
      </c>
      <c r="AE487" s="137">
        <v>22.19</v>
      </c>
      <c r="AF487" s="151">
        <v>41838</v>
      </c>
      <c r="AG487" s="197">
        <v>4.5999999999999996</v>
      </c>
      <c r="AH487" s="151">
        <v>41843</v>
      </c>
      <c r="AI487" s="198">
        <v>5</v>
      </c>
      <c r="AJ487" s="151">
        <v>41778</v>
      </c>
      <c r="AK487" s="199">
        <v>7</v>
      </c>
      <c r="AL487" s="151">
        <v>41709</v>
      </c>
      <c r="AM487" s="194"/>
      <c r="BE487" s="200">
        <v>7</v>
      </c>
      <c r="BF487" s="201">
        <v>41555</v>
      </c>
      <c r="BG487" s="203">
        <v>-1.7</v>
      </c>
      <c r="BH487" s="151">
        <v>41842</v>
      </c>
      <c r="BM487" s="204">
        <v>64</v>
      </c>
      <c r="BN487" s="151">
        <v>41842</v>
      </c>
      <c r="BQ487" s="205">
        <v>11.1</v>
      </c>
      <c r="BR487" s="151">
        <v>41842</v>
      </c>
      <c r="BS487" s="206">
        <v>47.4</v>
      </c>
      <c r="BT487" s="151">
        <v>41842</v>
      </c>
      <c r="BU487" s="207">
        <v>14.2</v>
      </c>
      <c r="BV487" s="151">
        <v>41842</v>
      </c>
      <c r="BW487" s="206">
        <v>21.7</v>
      </c>
      <c r="BX487" s="151">
        <v>41842</v>
      </c>
      <c r="BY487" s="210">
        <v>6.92</v>
      </c>
      <c r="BZ487" s="151">
        <v>41842</v>
      </c>
      <c r="CA487" s="206">
        <v>32.5</v>
      </c>
      <c r="CB487" s="151">
        <v>41842</v>
      </c>
      <c r="CC487" s="208">
        <v>6</v>
      </c>
      <c r="CD487" s="151">
        <v>41838</v>
      </c>
      <c r="CL487" s="209">
        <v>5</v>
      </c>
      <c r="CM487" s="201">
        <v>41810</v>
      </c>
    </row>
    <row r="488" spans="1:91" ht="15">
      <c r="A488" s="152" t="s">
        <v>7983</v>
      </c>
      <c r="B488" s="110" t="s">
        <v>233</v>
      </c>
      <c r="C488" s="110" t="s">
        <v>8083</v>
      </c>
      <c r="D488" s="110">
        <v>11661</v>
      </c>
      <c r="E488" s="111">
        <v>8</v>
      </c>
      <c r="F488" s="111">
        <v>677</v>
      </c>
      <c r="K488" s="134">
        <v>5</v>
      </c>
      <c r="L488" s="151">
        <v>41701</v>
      </c>
      <c r="M488" s="169">
        <v>3.2</v>
      </c>
      <c r="N488" s="151">
        <v>41838</v>
      </c>
      <c r="Q488" s="497"/>
      <c r="S488" s="134">
        <v>11.67</v>
      </c>
      <c r="T488" s="151">
        <v>41842</v>
      </c>
      <c r="U488" s="134">
        <v>13.5</v>
      </c>
      <c r="V488" s="151">
        <v>41838</v>
      </c>
      <c r="W488" s="196">
        <v>9</v>
      </c>
      <c r="X488" s="151">
        <v>41829</v>
      </c>
      <c r="Y488" s="134">
        <f t="shared" si="7"/>
        <v>3.4249600000000004</v>
      </c>
      <c r="AC488" s="134">
        <v>23.7</v>
      </c>
      <c r="AD488" s="151">
        <v>41838</v>
      </c>
      <c r="AE488" s="134">
        <v>24.64</v>
      </c>
      <c r="AF488" s="151">
        <v>41838</v>
      </c>
      <c r="AG488" s="197">
        <v>4.2</v>
      </c>
      <c r="AH488" s="151">
        <v>41843</v>
      </c>
      <c r="AI488" s="198">
        <v>5</v>
      </c>
      <c r="AJ488" s="151">
        <v>41778</v>
      </c>
      <c r="AK488" s="199">
        <v>7</v>
      </c>
      <c r="AL488" s="151">
        <v>41709</v>
      </c>
      <c r="BE488" s="200">
        <v>7</v>
      </c>
      <c r="BF488" s="201">
        <v>41555</v>
      </c>
      <c r="BG488" s="203">
        <v>-1.3</v>
      </c>
      <c r="BH488" s="151">
        <v>41842</v>
      </c>
      <c r="BM488" s="204">
        <v>64.400000000000006</v>
      </c>
      <c r="BN488" s="151">
        <v>41842</v>
      </c>
      <c r="BQ488" s="205">
        <v>10.7</v>
      </c>
      <c r="BR488" s="151">
        <v>41842</v>
      </c>
      <c r="BS488" s="206">
        <v>47.4</v>
      </c>
      <c r="BT488" s="151">
        <v>41842</v>
      </c>
      <c r="BU488" s="207">
        <v>13.9</v>
      </c>
      <c r="BV488" s="151">
        <v>41842</v>
      </c>
      <c r="BW488" s="206">
        <v>19.399999999999999</v>
      </c>
      <c r="BX488" s="151">
        <v>41842</v>
      </c>
      <c r="BY488" s="210">
        <v>6.88</v>
      </c>
      <c r="BZ488" s="151">
        <v>41842</v>
      </c>
      <c r="CA488" s="206">
        <v>31.8</v>
      </c>
      <c r="CB488" s="151">
        <v>41842</v>
      </c>
      <c r="CC488" s="208">
        <v>5.4</v>
      </c>
      <c r="CD488" s="151">
        <v>41838</v>
      </c>
      <c r="CL488" s="209">
        <v>3</v>
      </c>
      <c r="CM488" s="201">
        <v>41810</v>
      </c>
    </row>
    <row r="489" spans="1:91" ht="15">
      <c r="A489" s="152" t="s">
        <v>7983</v>
      </c>
      <c r="B489" s="110" t="s">
        <v>235</v>
      </c>
      <c r="C489" s="110" t="s">
        <v>8081</v>
      </c>
      <c r="D489" s="110">
        <v>11346</v>
      </c>
      <c r="E489" s="111">
        <v>11</v>
      </c>
      <c r="F489" s="111">
        <v>565</v>
      </c>
      <c r="K489" s="134">
        <v>5</v>
      </c>
      <c r="L489" s="151">
        <v>41701</v>
      </c>
      <c r="M489" s="169">
        <v>4.2</v>
      </c>
      <c r="N489" s="151">
        <v>41838</v>
      </c>
      <c r="Q489" s="497"/>
      <c r="S489" s="134">
        <v>15.52</v>
      </c>
      <c r="T489" s="151">
        <v>41842</v>
      </c>
      <c r="U489" s="134">
        <v>13.5</v>
      </c>
      <c r="V489" s="151">
        <v>41838</v>
      </c>
      <c r="W489" s="196">
        <v>9</v>
      </c>
      <c r="X489" s="151">
        <v>41829</v>
      </c>
      <c r="Y489" s="134">
        <f t="shared" si="7"/>
        <v>4.3564500000000006</v>
      </c>
      <c r="AC489" s="134">
        <v>31.11</v>
      </c>
      <c r="AD489" s="151">
        <v>41838</v>
      </c>
      <c r="AE489" s="134">
        <v>32.270000000000003</v>
      </c>
      <c r="AF489" s="151">
        <v>41838</v>
      </c>
      <c r="AG489" s="197">
        <v>4.5</v>
      </c>
      <c r="AH489" s="151">
        <v>41843</v>
      </c>
      <c r="AI489" s="198">
        <v>5</v>
      </c>
      <c r="AJ489" s="151">
        <v>41778</v>
      </c>
      <c r="AK489" s="199">
        <v>5</v>
      </c>
      <c r="AL489" s="151">
        <v>41709</v>
      </c>
      <c r="BE489" s="200">
        <v>5</v>
      </c>
      <c r="BF489" s="201">
        <v>41555</v>
      </c>
      <c r="BG489" s="203">
        <v>-2.5</v>
      </c>
      <c r="BH489" s="151">
        <v>41842</v>
      </c>
      <c r="BM489" s="204">
        <v>64.5</v>
      </c>
      <c r="BN489" s="151">
        <v>41842</v>
      </c>
      <c r="BQ489" s="205">
        <v>10.199999999999999</v>
      </c>
      <c r="BR489" s="151">
        <v>41842</v>
      </c>
      <c r="BS489" s="206">
        <v>48.1</v>
      </c>
      <c r="BT489" s="151">
        <v>41842</v>
      </c>
      <c r="BU489" s="207">
        <v>13.5</v>
      </c>
      <c r="BV489" s="151">
        <v>41842</v>
      </c>
      <c r="BW489" s="206">
        <v>16</v>
      </c>
      <c r="BX489" s="151">
        <v>41842</v>
      </c>
      <c r="BY489" s="210">
        <v>6.76</v>
      </c>
      <c r="BZ489" s="151">
        <v>41842</v>
      </c>
      <c r="CA489" s="206">
        <v>31.4</v>
      </c>
      <c r="CB489" s="151">
        <v>41842</v>
      </c>
      <c r="CC489" s="208">
        <v>5.6</v>
      </c>
      <c r="CD489" s="151">
        <v>41838</v>
      </c>
      <c r="CL489" s="209">
        <v>5</v>
      </c>
      <c r="CM489" s="201">
        <v>41810</v>
      </c>
    </row>
    <row r="490" spans="1:91" ht="15">
      <c r="A490" s="152" t="s">
        <v>7984</v>
      </c>
      <c r="B490" s="110" t="s">
        <v>233</v>
      </c>
      <c r="C490" s="110" t="s">
        <v>381</v>
      </c>
      <c r="D490" s="110">
        <v>11099</v>
      </c>
      <c r="E490" s="111">
        <v>4</v>
      </c>
      <c r="F490" s="111">
        <v>585</v>
      </c>
      <c r="K490" s="134">
        <v>5</v>
      </c>
      <c r="L490" s="151">
        <v>41701</v>
      </c>
      <c r="M490" s="169">
        <v>4.4000000000000004</v>
      </c>
      <c r="N490" s="151">
        <v>41838</v>
      </c>
      <c r="Q490" s="497"/>
      <c r="S490" s="134">
        <v>15.99</v>
      </c>
      <c r="T490" s="151">
        <v>41842</v>
      </c>
      <c r="U490" s="134">
        <v>13.5</v>
      </c>
      <c r="V490" s="151">
        <v>41838</v>
      </c>
      <c r="W490" s="196">
        <v>9</v>
      </c>
      <c r="X490" s="151">
        <v>41829</v>
      </c>
      <c r="Y490" s="134">
        <f t="shared" si="7"/>
        <v>4.313600000000001</v>
      </c>
      <c r="AC490" s="134">
        <v>32.590000000000003</v>
      </c>
      <c r="AD490" s="151">
        <v>41838</v>
      </c>
      <c r="AE490" s="134">
        <v>33.700000000000003</v>
      </c>
      <c r="AF490" s="151">
        <v>41838</v>
      </c>
      <c r="AG490" s="197">
        <v>5</v>
      </c>
      <c r="AH490" s="151">
        <v>41843</v>
      </c>
      <c r="AI490" s="198">
        <v>5</v>
      </c>
      <c r="AJ490" s="151">
        <v>41778</v>
      </c>
      <c r="AK490" s="199">
        <v>5</v>
      </c>
      <c r="AL490" s="151">
        <v>41709</v>
      </c>
      <c r="BE490" s="200">
        <v>5</v>
      </c>
      <c r="BF490" s="201">
        <v>41555</v>
      </c>
      <c r="BG490" s="203">
        <v>-3.8</v>
      </c>
      <c r="BH490" s="151">
        <v>41842</v>
      </c>
      <c r="BM490" s="204">
        <v>68.7</v>
      </c>
      <c r="BN490" s="151">
        <v>41842</v>
      </c>
      <c r="BQ490" s="205">
        <v>9.1</v>
      </c>
      <c r="BR490" s="151">
        <v>41842</v>
      </c>
      <c r="BS490" s="206">
        <v>47.4</v>
      </c>
      <c r="BT490" s="151">
        <v>41842</v>
      </c>
      <c r="BU490" s="207">
        <v>12.8</v>
      </c>
      <c r="BV490" s="151">
        <v>41842</v>
      </c>
      <c r="BW490" s="206">
        <v>18.600000000000001</v>
      </c>
      <c r="BX490" s="151">
        <v>41842</v>
      </c>
      <c r="BY490" s="210">
        <v>7.56</v>
      </c>
      <c r="BZ490" s="151">
        <v>41842</v>
      </c>
      <c r="CA490" s="206">
        <v>29.3</v>
      </c>
      <c r="CB490" s="151">
        <v>41842</v>
      </c>
      <c r="CC490" s="208">
        <v>5.9</v>
      </c>
      <c r="CD490" s="151">
        <v>41838</v>
      </c>
      <c r="CL490" s="209">
        <v>3</v>
      </c>
      <c r="CM490" s="201">
        <v>41810</v>
      </c>
    </row>
    <row r="491" spans="1:91" ht="15">
      <c r="A491" s="152" t="s">
        <v>7984</v>
      </c>
      <c r="B491" s="110" t="s">
        <v>235</v>
      </c>
      <c r="C491" s="110" t="s">
        <v>8082</v>
      </c>
      <c r="D491" s="110">
        <v>11596</v>
      </c>
      <c r="E491" s="111">
        <v>6</v>
      </c>
      <c r="F491" s="111">
        <v>705</v>
      </c>
      <c r="K491" s="194">
        <v>7</v>
      </c>
      <c r="L491" s="151">
        <v>41701</v>
      </c>
      <c r="M491" s="169">
        <v>4.9000000000000004</v>
      </c>
      <c r="N491" s="151">
        <v>41838</v>
      </c>
      <c r="Q491" s="497"/>
      <c r="S491" s="134">
        <v>17.79</v>
      </c>
      <c r="T491" s="151">
        <v>41842</v>
      </c>
      <c r="U491" s="134">
        <v>13.5</v>
      </c>
      <c r="V491" s="151">
        <v>41838</v>
      </c>
      <c r="W491" s="196">
        <v>9</v>
      </c>
      <c r="X491" s="151">
        <v>41829</v>
      </c>
      <c r="Y491" s="134">
        <f t="shared" si="7"/>
        <v>4.7764699999999998</v>
      </c>
      <c r="AC491" s="134">
        <v>36.299999999999997</v>
      </c>
      <c r="AD491" s="151">
        <v>41838</v>
      </c>
      <c r="AE491" s="134">
        <v>37.61</v>
      </c>
      <c r="AF491" s="151">
        <v>41838</v>
      </c>
      <c r="AG491" s="197">
        <v>4.9000000000000004</v>
      </c>
      <c r="AH491" s="151">
        <v>41843</v>
      </c>
      <c r="AI491" s="198">
        <v>5</v>
      </c>
      <c r="AJ491" s="151">
        <v>41778</v>
      </c>
      <c r="AK491" s="199">
        <v>5</v>
      </c>
      <c r="AL491" s="151">
        <v>41709</v>
      </c>
      <c r="BE491" s="200">
        <v>5</v>
      </c>
      <c r="BF491" s="201">
        <v>41555</v>
      </c>
      <c r="BG491" s="203">
        <v>-3</v>
      </c>
      <c r="BH491" s="151">
        <v>41842</v>
      </c>
      <c r="BM491" s="204">
        <v>68.900000000000006</v>
      </c>
      <c r="BN491" s="151">
        <v>41842</v>
      </c>
      <c r="BQ491" s="205">
        <v>8.9</v>
      </c>
      <c r="BR491" s="151">
        <v>41842</v>
      </c>
      <c r="BS491" s="206">
        <v>47.3</v>
      </c>
      <c r="BT491" s="151">
        <v>41842</v>
      </c>
      <c r="BU491" s="207">
        <v>12.7</v>
      </c>
      <c r="BV491" s="151">
        <v>41842</v>
      </c>
      <c r="BW491" s="206">
        <v>16</v>
      </c>
      <c r="BX491" s="151">
        <v>41842</v>
      </c>
      <c r="BY491" s="210">
        <v>7.47</v>
      </c>
      <c r="BZ491" s="151">
        <v>41842</v>
      </c>
      <c r="CA491" s="206">
        <v>29.1</v>
      </c>
      <c r="CB491" s="151">
        <v>41842</v>
      </c>
      <c r="CC491" s="208">
        <v>5.7</v>
      </c>
      <c r="CD491" s="151">
        <v>41838</v>
      </c>
      <c r="CL491" s="209">
        <v>3</v>
      </c>
      <c r="CM491" s="201">
        <v>41810</v>
      </c>
    </row>
    <row r="492" spans="1:91" ht="15">
      <c r="A492" s="152" t="s">
        <v>7984</v>
      </c>
      <c r="B492" s="110" t="s">
        <v>233</v>
      </c>
      <c r="C492" s="110" t="s">
        <v>8083</v>
      </c>
      <c r="D492" s="110">
        <v>11617</v>
      </c>
      <c r="E492" s="111">
        <v>7</v>
      </c>
      <c r="F492" s="111">
        <v>645</v>
      </c>
      <c r="K492" s="194">
        <v>7</v>
      </c>
      <c r="L492" s="151">
        <v>41701</v>
      </c>
      <c r="M492" s="169">
        <v>4.45</v>
      </c>
      <c r="N492" s="151">
        <v>41838</v>
      </c>
      <c r="Q492" s="497"/>
      <c r="S492" s="134">
        <v>16.07</v>
      </c>
      <c r="T492" s="151">
        <v>41842</v>
      </c>
      <c r="U492" s="134">
        <v>13.5</v>
      </c>
      <c r="V492" s="151">
        <v>41838</v>
      </c>
      <c r="W492" s="196">
        <v>9</v>
      </c>
      <c r="X492" s="151">
        <v>41829</v>
      </c>
      <c r="Y492" s="134">
        <f t="shared" si="7"/>
        <v>4.4066399999999994</v>
      </c>
      <c r="AC492" s="134">
        <v>32.96</v>
      </c>
      <c r="AD492" s="151">
        <v>41838</v>
      </c>
      <c r="AE492" s="134">
        <v>34.159999999999997</v>
      </c>
      <c r="AF492" s="151">
        <v>41838</v>
      </c>
      <c r="AG492" s="197">
        <v>5.2</v>
      </c>
      <c r="AH492" s="151">
        <v>41843</v>
      </c>
      <c r="AI492" s="198">
        <v>5</v>
      </c>
      <c r="AJ492" s="151">
        <v>41778</v>
      </c>
      <c r="AK492" s="199">
        <v>5</v>
      </c>
      <c r="AL492" s="151">
        <v>41709</v>
      </c>
      <c r="BE492" s="200">
        <v>5</v>
      </c>
      <c r="BF492" s="201">
        <v>41555</v>
      </c>
      <c r="BG492" s="203">
        <v>-5.7</v>
      </c>
      <c r="BH492" s="151">
        <v>41842</v>
      </c>
      <c r="BM492" s="204">
        <v>68.3</v>
      </c>
      <c r="BN492" s="151">
        <v>41842</v>
      </c>
      <c r="BQ492" s="205">
        <v>8.6999999999999993</v>
      </c>
      <c r="BR492" s="151">
        <v>41842</v>
      </c>
      <c r="BS492" s="206">
        <v>47.1</v>
      </c>
      <c r="BT492" s="151">
        <v>41842</v>
      </c>
      <c r="BU492" s="207">
        <v>12.9</v>
      </c>
      <c r="BV492" s="151">
        <v>41842</v>
      </c>
      <c r="BW492" s="206">
        <v>17.3</v>
      </c>
      <c r="BX492" s="151">
        <v>41842</v>
      </c>
      <c r="BY492" s="210">
        <v>7.75</v>
      </c>
      <c r="BZ492" s="151">
        <v>41842</v>
      </c>
      <c r="CA492" s="206">
        <v>29.4</v>
      </c>
      <c r="CB492" s="151">
        <v>41842</v>
      </c>
      <c r="CC492" s="208">
        <v>5.7</v>
      </c>
      <c r="CD492" s="151">
        <v>41838</v>
      </c>
      <c r="CL492" s="209">
        <v>3</v>
      </c>
      <c r="CM492" s="201">
        <v>41810</v>
      </c>
    </row>
    <row r="493" spans="1:91" ht="15">
      <c r="A493" s="152" t="s">
        <v>7984</v>
      </c>
      <c r="B493" s="110" t="s">
        <v>235</v>
      </c>
      <c r="C493" s="110" t="s">
        <v>8081</v>
      </c>
      <c r="D493" s="110">
        <v>11256</v>
      </c>
      <c r="E493" s="111">
        <v>9</v>
      </c>
      <c r="F493" s="111">
        <v>493</v>
      </c>
      <c r="K493" s="134">
        <v>5</v>
      </c>
      <c r="L493" s="151">
        <v>41701</v>
      </c>
      <c r="M493" s="169">
        <v>6.05</v>
      </c>
      <c r="N493" s="151">
        <v>41838</v>
      </c>
      <c r="Q493" s="497"/>
      <c r="S493" s="134">
        <v>21.87</v>
      </c>
      <c r="T493" s="151">
        <v>41842</v>
      </c>
      <c r="U493" s="134">
        <v>13.5</v>
      </c>
      <c r="V493" s="151">
        <v>41838</v>
      </c>
      <c r="W493" s="196">
        <v>9</v>
      </c>
      <c r="X493" s="151">
        <v>41829</v>
      </c>
      <c r="Y493" s="134">
        <f t="shared" si="7"/>
        <v>6.0970800000000001</v>
      </c>
      <c r="AC493" s="134">
        <v>44.81</v>
      </c>
      <c r="AD493" s="151">
        <v>41838</v>
      </c>
      <c r="AE493" s="134">
        <v>46.19</v>
      </c>
      <c r="AF493" s="151">
        <v>41838</v>
      </c>
      <c r="AG493" s="197">
        <v>4.9000000000000004</v>
      </c>
      <c r="AH493" s="151">
        <v>41843</v>
      </c>
      <c r="AI493" s="198">
        <v>5</v>
      </c>
      <c r="AJ493" s="151">
        <v>41778</v>
      </c>
      <c r="AK493" s="199">
        <v>5</v>
      </c>
      <c r="AL493" s="151">
        <v>41709</v>
      </c>
      <c r="BE493" s="200">
        <v>5</v>
      </c>
      <c r="BF493" s="201">
        <v>41555</v>
      </c>
      <c r="BG493" s="203">
        <v>-3.5</v>
      </c>
      <c r="BH493" s="151">
        <v>41842</v>
      </c>
      <c r="BM493" s="204">
        <v>68.3</v>
      </c>
      <c r="BN493" s="151">
        <v>41842</v>
      </c>
      <c r="BQ493" s="205">
        <v>9.1</v>
      </c>
      <c r="BR493" s="151">
        <v>41842</v>
      </c>
      <c r="BS493" s="206">
        <v>47.4</v>
      </c>
      <c r="BT493" s="151">
        <v>41842</v>
      </c>
      <c r="BU493" s="207">
        <v>13.2</v>
      </c>
      <c r="BV493" s="151">
        <v>41842</v>
      </c>
      <c r="BW493" s="206">
        <v>17</v>
      </c>
      <c r="BX493" s="151">
        <v>41842</v>
      </c>
      <c r="BY493" s="210">
        <v>7.49</v>
      </c>
      <c r="BZ493" s="151">
        <v>41842</v>
      </c>
      <c r="CA493" s="206">
        <v>30.3</v>
      </c>
      <c r="CB493" s="151">
        <v>41842</v>
      </c>
      <c r="CC493" s="208">
        <v>6.2</v>
      </c>
      <c r="CD493" s="151">
        <v>41838</v>
      </c>
      <c r="CL493" s="209">
        <v>3</v>
      </c>
      <c r="CM493" s="201">
        <v>41810</v>
      </c>
    </row>
    <row r="494" spans="1:91" ht="15">
      <c r="A494" s="152" t="s">
        <v>7985</v>
      </c>
      <c r="B494" s="110" t="s">
        <v>233</v>
      </c>
      <c r="C494" s="110" t="s">
        <v>381</v>
      </c>
      <c r="D494" s="110">
        <v>10988</v>
      </c>
      <c r="E494" s="111">
        <v>1</v>
      </c>
      <c r="F494" s="111">
        <v>573</v>
      </c>
      <c r="I494" s="373"/>
      <c r="K494" s="194">
        <v>5</v>
      </c>
      <c r="L494" s="151">
        <v>41701</v>
      </c>
      <c r="M494" s="169">
        <v>4.25</v>
      </c>
      <c r="N494" s="151">
        <v>41838</v>
      </c>
      <c r="Q494" s="497"/>
      <c r="S494" s="134">
        <v>15.19</v>
      </c>
      <c r="T494" s="151">
        <v>41842</v>
      </c>
      <c r="U494" s="194">
        <v>13.5</v>
      </c>
      <c r="V494" s="151">
        <v>41838</v>
      </c>
      <c r="W494" s="196">
        <v>9</v>
      </c>
      <c r="X494" s="151">
        <v>41829</v>
      </c>
      <c r="Y494" s="134">
        <f t="shared" si="7"/>
        <v>4.3616999999999999</v>
      </c>
      <c r="AA494" s="194"/>
      <c r="AC494" s="194">
        <v>31.48</v>
      </c>
      <c r="AD494" s="151">
        <v>41838</v>
      </c>
      <c r="AE494" s="137">
        <v>32.549999999999997</v>
      </c>
      <c r="AF494" s="151">
        <v>41838</v>
      </c>
      <c r="AG494" s="197">
        <v>5</v>
      </c>
      <c r="AH494" s="151">
        <v>41843</v>
      </c>
      <c r="AI494" s="198">
        <v>1</v>
      </c>
      <c r="AJ494" s="151">
        <v>41778</v>
      </c>
      <c r="AK494" s="199">
        <v>5</v>
      </c>
      <c r="AL494" s="151">
        <v>41709</v>
      </c>
      <c r="AM494" s="194"/>
      <c r="BE494" s="200">
        <v>5</v>
      </c>
      <c r="BF494" s="201">
        <v>41555</v>
      </c>
      <c r="BG494" s="203">
        <v>-4.2</v>
      </c>
      <c r="BH494" s="151">
        <v>41842</v>
      </c>
      <c r="BM494" s="204">
        <v>59.3</v>
      </c>
      <c r="BN494" s="151">
        <v>41842</v>
      </c>
      <c r="BQ494" s="205">
        <v>12</v>
      </c>
      <c r="BR494" s="151">
        <v>41842</v>
      </c>
      <c r="BS494" s="206">
        <v>46.7</v>
      </c>
      <c r="BT494" s="151">
        <v>41842</v>
      </c>
      <c r="BU494" s="207">
        <v>13.4</v>
      </c>
      <c r="BV494" s="151">
        <v>41842</v>
      </c>
      <c r="BW494" s="206">
        <v>8.6999999999999993</v>
      </c>
      <c r="BX494" s="151">
        <v>41842</v>
      </c>
      <c r="BY494" s="210">
        <v>6.84</v>
      </c>
      <c r="BZ494" s="151">
        <v>41842</v>
      </c>
      <c r="CA494" s="206">
        <v>30.2</v>
      </c>
      <c r="CB494" s="151">
        <v>41842</v>
      </c>
      <c r="CC494" s="208">
        <v>5.9</v>
      </c>
      <c r="CD494" s="151">
        <v>41838</v>
      </c>
      <c r="CL494" s="209">
        <v>3</v>
      </c>
      <c r="CM494" s="201">
        <v>41810</v>
      </c>
    </row>
    <row r="495" spans="1:91" ht="15">
      <c r="A495" s="152" t="s">
        <v>7985</v>
      </c>
      <c r="B495" s="110" t="s">
        <v>235</v>
      </c>
      <c r="C495" s="110" t="s">
        <v>8082</v>
      </c>
      <c r="D495" s="110">
        <v>11506</v>
      </c>
      <c r="E495" s="111">
        <v>4</v>
      </c>
      <c r="F495" s="111">
        <v>633</v>
      </c>
      <c r="K495" s="134">
        <v>5</v>
      </c>
      <c r="L495" s="151">
        <v>41701</v>
      </c>
      <c r="M495" s="169">
        <v>6.5</v>
      </c>
      <c r="N495" s="151">
        <v>41838</v>
      </c>
      <c r="Q495" s="497"/>
      <c r="S495" s="134">
        <v>22.47</v>
      </c>
      <c r="T495" s="151">
        <v>41842</v>
      </c>
      <c r="U495" s="134">
        <v>13.5</v>
      </c>
      <c r="V495" s="151">
        <v>41838</v>
      </c>
      <c r="W495" s="196">
        <v>9</v>
      </c>
      <c r="X495" s="151">
        <v>41829</v>
      </c>
      <c r="Y495" s="134">
        <f t="shared" si="7"/>
        <v>7.3426499999999999</v>
      </c>
      <c r="AC495" s="134">
        <v>48.15</v>
      </c>
      <c r="AD495" s="151">
        <v>41838</v>
      </c>
      <c r="AE495" s="134">
        <v>49.95</v>
      </c>
      <c r="AF495" s="151">
        <v>41838</v>
      </c>
      <c r="AG495" s="197">
        <v>4.8</v>
      </c>
      <c r="AH495" s="151">
        <v>41843</v>
      </c>
      <c r="AI495" s="198">
        <v>7</v>
      </c>
      <c r="AJ495" s="151">
        <v>41778</v>
      </c>
      <c r="AK495" s="199">
        <v>5</v>
      </c>
      <c r="AL495" s="151">
        <v>41709</v>
      </c>
      <c r="BE495" s="200">
        <v>5</v>
      </c>
      <c r="BF495" s="201">
        <v>41555</v>
      </c>
      <c r="BG495" s="203">
        <v>-6</v>
      </c>
      <c r="BH495" s="151">
        <v>41842</v>
      </c>
      <c r="BM495" s="204">
        <v>59.3</v>
      </c>
      <c r="BN495" s="151">
        <v>41842</v>
      </c>
      <c r="BQ495" s="205">
        <v>12.3</v>
      </c>
      <c r="BR495" s="151">
        <v>41842</v>
      </c>
      <c r="BS495" s="206">
        <v>45</v>
      </c>
      <c r="BT495" s="151">
        <v>41842</v>
      </c>
      <c r="BU495" s="207">
        <v>14.7</v>
      </c>
      <c r="BV495" s="151">
        <v>41842</v>
      </c>
      <c r="BW495" s="206">
        <v>9.4</v>
      </c>
      <c r="BX495" s="151">
        <v>41842</v>
      </c>
      <c r="BY495" s="210">
        <v>6.97</v>
      </c>
      <c r="BZ495" s="151">
        <v>41842</v>
      </c>
      <c r="CA495" s="206">
        <v>31.9</v>
      </c>
      <c r="CB495" s="151">
        <v>41842</v>
      </c>
      <c r="CC495" s="208">
        <v>5.6</v>
      </c>
      <c r="CD495" s="151">
        <v>41838</v>
      </c>
      <c r="CL495" s="209">
        <v>3</v>
      </c>
      <c r="CM495" s="201">
        <v>41810</v>
      </c>
    </row>
    <row r="496" spans="1:91" ht="15">
      <c r="A496" s="152" t="s">
        <v>7985</v>
      </c>
      <c r="B496" s="110" t="s">
        <v>233</v>
      </c>
      <c r="C496" s="110" t="s">
        <v>8083</v>
      </c>
      <c r="D496" s="110">
        <v>11627</v>
      </c>
      <c r="E496" s="111">
        <v>7</v>
      </c>
      <c r="F496" s="111">
        <v>685</v>
      </c>
      <c r="K496" s="134">
        <v>5</v>
      </c>
      <c r="L496" s="151">
        <v>41701</v>
      </c>
      <c r="M496" s="169">
        <v>3.45</v>
      </c>
      <c r="N496" s="151">
        <v>41838</v>
      </c>
      <c r="Q496" s="497"/>
      <c r="S496" s="134">
        <v>12.35</v>
      </c>
      <c r="T496" s="151">
        <v>41842</v>
      </c>
      <c r="U496" s="134">
        <v>13.5</v>
      </c>
      <c r="V496" s="151">
        <v>41838</v>
      </c>
      <c r="W496" s="196">
        <v>1</v>
      </c>
      <c r="X496" s="151">
        <v>41829</v>
      </c>
      <c r="Y496" s="134">
        <f t="shared" si="7"/>
        <v>3.5828999999999995</v>
      </c>
      <c r="AC496" s="134">
        <v>25.56</v>
      </c>
      <c r="AD496" s="151">
        <v>41838</v>
      </c>
      <c r="AE496" s="134">
        <v>26.54</v>
      </c>
      <c r="AF496" s="151">
        <v>41838</v>
      </c>
      <c r="AG496" s="197">
        <v>5.2</v>
      </c>
      <c r="AH496" s="151">
        <v>41843</v>
      </c>
      <c r="AI496" s="198">
        <v>5</v>
      </c>
      <c r="AJ496" s="151">
        <v>41778</v>
      </c>
      <c r="AK496" s="199">
        <v>5</v>
      </c>
      <c r="AL496" s="151">
        <v>41709</v>
      </c>
      <c r="BE496" s="200">
        <v>5</v>
      </c>
      <c r="BF496" s="201">
        <v>41555</v>
      </c>
      <c r="BG496" s="203">
        <v>-8.4</v>
      </c>
      <c r="BH496" s="151">
        <v>41842</v>
      </c>
      <c r="BM496" s="204">
        <v>58.5</v>
      </c>
      <c r="BN496" s="151">
        <v>41842</v>
      </c>
      <c r="BQ496" s="205">
        <v>12</v>
      </c>
      <c r="BR496" s="151">
        <v>41842</v>
      </c>
      <c r="BS496" s="206">
        <v>46.5</v>
      </c>
      <c r="BT496" s="151">
        <v>41842</v>
      </c>
      <c r="BU496" s="207">
        <v>13.5</v>
      </c>
      <c r="BV496" s="151">
        <v>41842</v>
      </c>
      <c r="BW496" s="206">
        <v>10.8</v>
      </c>
      <c r="BX496" s="151">
        <v>41842</v>
      </c>
      <c r="BY496" s="210">
        <v>6.88</v>
      </c>
      <c r="BZ496" s="151">
        <v>41842</v>
      </c>
      <c r="CA496" s="206">
        <v>30.3</v>
      </c>
      <c r="CB496" s="151">
        <v>41842</v>
      </c>
      <c r="CC496" s="208">
        <v>5.5</v>
      </c>
      <c r="CD496" s="151">
        <v>41838</v>
      </c>
      <c r="CL496" s="209">
        <v>3</v>
      </c>
      <c r="CM496" s="201">
        <v>41810</v>
      </c>
    </row>
    <row r="497" spans="1:91" ht="15">
      <c r="A497" s="152" t="s">
        <v>7985</v>
      </c>
      <c r="B497" s="110" t="s">
        <v>235</v>
      </c>
      <c r="C497" s="110" t="s">
        <v>8081</v>
      </c>
      <c r="D497" s="110">
        <v>11294</v>
      </c>
      <c r="E497" s="111">
        <v>10</v>
      </c>
      <c r="F497" s="111">
        <v>501</v>
      </c>
      <c r="K497" s="134">
        <v>5</v>
      </c>
      <c r="L497" s="151">
        <v>41701</v>
      </c>
      <c r="M497" s="169">
        <v>5.5</v>
      </c>
      <c r="N497" s="151">
        <v>41838</v>
      </c>
      <c r="Q497" s="497"/>
      <c r="S497" s="134">
        <v>19.62</v>
      </c>
      <c r="T497" s="151">
        <v>41842</v>
      </c>
      <c r="U497" s="134">
        <v>13.5</v>
      </c>
      <c r="V497" s="151">
        <v>41838</v>
      </c>
      <c r="W497" s="196">
        <v>9</v>
      </c>
      <c r="X497" s="151">
        <v>41829</v>
      </c>
      <c r="Y497" s="134">
        <f t="shared" si="7"/>
        <v>5.5913200000000005</v>
      </c>
      <c r="AC497" s="134">
        <v>40.74</v>
      </c>
      <c r="AD497" s="151">
        <v>41838</v>
      </c>
      <c r="AE497" s="134">
        <v>42.04</v>
      </c>
      <c r="AF497" s="151">
        <v>41838</v>
      </c>
      <c r="AG497" s="197">
        <v>5</v>
      </c>
      <c r="AH497" s="151">
        <v>41843</v>
      </c>
      <c r="AI497" s="198">
        <v>7</v>
      </c>
      <c r="AJ497" s="151">
        <v>41778</v>
      </c>
      <c r="AK497" s="199">
        <v>5</v>
      </c>
      <c r="AL497" s="151">
        <v>41709</v>
      </c>
      <c r="BE497" s="200">
        <v>5</v>
      </c>
      <c r="BF497" s="201">
        <v>41555</v>
      </c>
      <c r="BG497" s="203">
        <v>-6</v>
      </c>
      <c r="BH497" s="151">
        <v>41842</v>
      </c>
      <c r="BM497" s="204">
        <v>60.4</v>
      </c>
      <c r="BN497" s="151">
        <v>41842</v>
      </c>
      <c r="BQ497" s="205">
        <v>11.7</v>
      </c>
      <c r="BR497" s="151">
        <v>41842</v>
      </c>
      <c r="BS497" s="206">
        <v>46.7</v>
      </c>
      <c r="BT497" s="151">
        <v>41842</v>
      </c>
      <c r="BU497" s="207">
        <v>13.3</v>
      </c>
      <c r="BV497" s="151">
        <v>41842</v>
      </c>
      <c r="BW497" s="206">
        <v>9.1</v>
      </c>
      <c r="BX497" s="151">
        <v>41842</v>
      </c>
      <c r="BY497" s="210">
        <v>6.7</v>
      </c>
      <c r="BZ497" s="151">
        <v>41842</v>
      </c>
      <c r="CA497" s="206">
        <v>30</v>
      </c>
      <c r="CB497" s="151">
        <v>41842</v>
      </c>
      <c r="CC497" s="208">
        <v>6.1</v>
      </c>
      <c r="CD497" s="151">
        <v>41838</v>
      </c>
      <c r="CL497" s="209">
        <v>3</v>
      </c>
      <c r="CM497" s="201">
        <v>41810</v>
      </c>
    </row>
    <row r="498" spans="1:91" ht="15">
      <c r="A498" s="152" t="s">
        <v>7986</v>
      </c>
      <c r="B498" s="110" t="s">
        <v>233</v>
      </c>
      <c r="C498" s="110" t="s">
        <v>381</v>
      </c>
      <c r="D498" s="110">
        <v>11058</v>
      </c>
      <c r="E498" s="111">
        <v>3</v>
      </c>
      <c r="F498" s="111">
        <v>565</v>
      </c>
      <c r="K498" s="194">
        <v>7</v>
      </c>
      <c r="L498" s="151">
        <v>41701</v>
      </c>
      <c r="M498" s="169">
        <v>4.4000000000000004</v>
      </c>
      <c r="N498" s="151">
        <v>41838</v>
      </c>
      <c r="Q498" s="497"/>
      <c r="S498" s="134">
        <v>16.239999999999998</v>
      </c>
      <c r="T498" s="151">
        <v>41842</v>
      </c>
      <c r="U498" s="134">
        <v>13.5</v>
      </c>
      <c r="V498" s="151">
        <v>41838</v>
      </c>
      <c r="W498" s="196">
        <v>9</v>
      </c>
      <c r="X498" s="151">
        <v>41829</v>
      </c>
      <c r="Y498" s="134">
        <f t="shared" si="7"/>
        <v>4.3563300000000007</v>
      </c>
      <c r="AC498" s="134">
        <v>32.590000000000003</v>
      </c>
      <c r="AD498" s="151">
        <v>41838</v>
      </c>
      <c r="AE498" s="134">
        <v>33.770000000000003</v>
      </c>
      <c r="AF498" s="151">
        <v>41838</v>
      </c>
      <c r="AG498" s="197">
        <v>4.5999999999999996</v>
      </c>
      <c r="AH498" s="151">
        <v>41843</v>
      </c>
      <c r="AI498" s="198">
        <v>5</v>
      </c>
      <c r="AJ498" s="151">
        <v>41778</v>
      </c>
      <c r="AK498" s="199">
        <v>7</v>
      </c>
      <c r="AL498" s="151">
        <v>41709</v>
      </c>
      <c r="BE498" s="200">
        <v>7</v>
      </c>
      <c r="BF498" s="201">
        <v>41555</v>
      </c>
      <c r="BG498" s="203">
        <v>-4.4000000000000004</v>
      </c>
      <c r="BH498" s="151">
        <v>41842</v>
      </c>
      <c r="BM498" s="204">
        <v>66.599999999999994</v>
      </c>
      <c r="BN498" s="151">
        <v>41842</v>
      </c>
      <c r="BQ498" s="205">
        <v>10</v>
      </c>
      <c r="BR498" s="151">
        <v>41842</v>
      </c>
      <c r="BS498" s="206">
        <v>48.1</v>
      </c>
      <c r="BT498" s="151">
        <v>41842</v>
      </c>
      <c r="BU498" s="207">
        <v>12.9</v>
      </c>
      <c r="BV498" s="151">
        <v>41842</v>
      </c>
      <c r="BW498" s="206">
        <v>13.9</v>
      </c>
      <c r="BX498" s="151">
        <v>41842</v>
      </c>
      <c r="BY498" s="210">
        <v>6.59</v>
      </c>
      <c r="BZ498" s="151">
        <v>41842</v>
      </c>
      <c r="CA498" s="206">
        <v>30.1</v>
      </c>
      <c r="CB498" s="151">
        <v>41842</v>
      </c>
      <c r="CC498" s="208">
        <v>5.7</v>
      </c>
      <c r="CD498" s="151">
        <v>41838</v>
      </c>
      <c r="CL498" s="209">
        <v>3</v>
      </c>
      <c r="CM498" s="201">
        <v>41810</v>
      </c>
    </row>
    <row r="499" spans="1:91" ht="15">
      <c r="A499" s="152" t="s">
        <v>7986</v>
      </c>
      <c r="B499" s="110" t="s">
        <v>235</v>
      </c>
      <c r="C499" s="110" t="s">
        <v>8082</v>
      </c>
      <c r="D499" s="110">
        <v>11487</v>
      </c>
      <c r="E499" s="111">
        <v>3</v>
      </c>
      <c r="F499" s="111">
        <v>701</v>
      </c>
      <c r="K499" s="134">
        <v>5</v>
      </c>
      <c r="L499" s="151">
        <v>41701</v>
      </c>
      <c r="M499" s="169">
        <v>4.7</v>
      </c>
      <c r="N499" s="151">
        <v>41838</v>
      </c>
      <c r="Q499" s="497"/>
      <c r="S499" s="134">
        <v>17.440000000000001</v>
      </c>
      <c r="T499" s="151">
        <v>41842</v>
      </c>
      <c r="U499" s="134">
        <v>13.5</v>
      </c>
      <c r="V499" s="151">
        <v>41838</v>
      </c>
      <c r="W499" s="196">
        <v>9</v>
      </c>
      <c r="X499" s="151">
        <v>41829</v>
      </c>
      <c r="Y499" s="134">
        <f t="shared" si="7"/>
        <v>4.6233599999999999</v>
      </c>
      <c r="AC499" s="134">
        <v>34.81</v>
      </c>
      <c r="AD499" s="151">
        <v>41838</v>
      </c>
      <c r="AE499" s="134">
        <v>36.119999999999997</v>
      </c>
      <c r="AF499" s="151">
        <v>41838</v>
      </c>
      <c r="AG499" s="197">
        <v>4.4000000000000004</v>
      </c>
      <c r="AH499" s="151">
        <v>41843</v>
      </c>
      <c r="AI499" s="198">
        <v>5</v>
      </c>
      <c r="AJ499" s="151">
        <v>41778</v>
      </c>
      <c r="AK499" s="199">
        <v>5</v>
      </c>
      <c r="AL499" s="151">
        <v>41709</v>
      </c>
      <c r="BE499" s="200">
        <v>5</v>
      </c>
      <c r="BF499" s="201">
        <v>41555</v>
      </c>
      <c r="BG499" s="203">
        <v>-4.9000000000000004</v>
      </c>
      <c r="BH499" s="151">
        <v>41842</v>
      </c>
      <c r="BM499" s="204">
        <v>65.599999999999994</v>
      </c>
      <c r="BN499" s="151">
        <v>41842</v>
      </c>
      <c r="BQ499" s="205">
        <v>10.1</v>
      </c>
      <c r="BR499" s="151">
        <v>41842</v>
      </c>
      <c r="BS499" s="206">
        <v>48.3</v>
      </c>
      <c r="BT499" s="151">
        <v>41842</v>
      </c>
      <c r="BU499" s="207">
        <v>12.8</v>
      </c>
      <c r="BV499" s="151">
        <v>41842</v>
      </c>
      <c r="BW499" s="206">
        <v>13.8</v>
      </c>
      <c r="BX499" s="151">
        <v>41842</v>
      </c>
      <c r="BY499" s="210">
        <v>6.68</v>
      </c>
      <c r="BZ499" s="151">
        <v>41842</v>
      </c>
      <c r="CA499" s="206">
        <v>30</v>
      </c>
      <c r="CB499" s="151">
        <v>41842</v>
      </c>
      <c r="CC499" s="208">
        <v>5.6</v>
      </c>
      <c r="CD499" s="151">
        <v>41838</v>
      </c>
      <c r="CL499" s="209">
        <v>3</v>
      </c>
      <c r="CM499" s="201">
        <v>41810</v>
      </c>
    </row>
    <row r="500" spans="1:91" ht="15">
      <c r="A500" s="152" t="s">
        <v>7986</v>
      </c>
      <c r="B500" s="110" t="s">
        <v>235</v>
      </c>
      <c r="C500" s="110" t="s">
        <v>8081</v>
      </c>
      <c r="D500" s="110">
        <v>11181</v>
      </c>
      <c r="E500" s="111">
        <v>7</v>
      </c>
      <c r="F500" s="111">
        <v>481</v>
      </c>
      <c r="K500" s="134">
        <v>5</v>
      </c>
      <c r="L500" s="151">
        <v>41701</v>
      </c>
      <c r="M500" s="169">
        <v>5.45</v>
      </c>
      <c r="N500" s="151">
        <v>41838</v>
      </c>
      <c r="Q500" s="497"/>
      <c r="S500" s="134">
        <v>19.670000000000002</v>
      </c>
      <c r="T500" s="151">
        <v>41842</v>
      </c>
      <c r="U500" s="134">
        <v>13.5</v>
      </c>
      <c r="V500" s="151">
        <v>41838</v>
      </c>
      <c r="W500" s="196">
        <v>9</v>
      </c>
      <c r="X500" s="151">
        <v>41829</v>
      </c>
      <c r="Y500" s="134">
        <f t="shared" si="7"/>
        <v>5.5757399999999997</v>
      </c>
      <c r="AC500" s="134">
        <v>40.369999999999997</v>
      </c>
      <c r="AD500" s="151">
        <v>41838</v>
      </c>
      <c r="AE500" s="134">
        <v>41.61</v>
      </c>
      <c r="AF500" s="151">
        <v>41838</v>
      </c>
      <c r="AG500" s="197">
        <v>4.3</v>
      </c>
      <c r="AH500" s="151">
        <v>41843</v>
      </c>
      <c r="AI500" s="198">
        <v>5</v>
      </c>
      <c r="AJ500" s="151">
        <v>41778</v>
      </c>
      <c r="AK500" s="199">
        <v>7</v>
      </c>
      <c r="AL500" s="151">
        <v>41709</v>
      </c>
      <c r="BE500" s="200">
        <v>7</v>
      </c>
      <c r="BF500" s="201">
        <v>41555</v>
      </c>
      <c r="BG500" s="203">
        <v>-5.8</v>
      </c>
      <c r="BH500" s="151">
        <v>41842</v>
      </c>
      <c r="BM500" s="204">
        <v>65.8</v>
      </c>
      <c r="BN500" s="151">
        <v>41842</v>
      </c>
      <c r="BQ500" s="205">
        <v>9.9</v>
      </c>
      <c r="BR500" s="151">
        <v>41842</v>
      </c>
      <c r="BS500" s="206">
        <v>47.3</v>
      </c>
      <c r="BT500" s="151">
        <v>41842</v>
      </c>
      <c r="BU500" s="207">
        <v>13.4</v>
      </c>
      <c r="BV500" s="151">
        <v>41842</v>
      </c>
      <c r="BW500" s="206">
        <v>12.6</v>
      </c>
      <c r="BX500" s="151">
        <v>41842</v>
      </c>
      <c r="BY500" s="210">
        <v>6.67</v>
      </c>
      <c r="BZ500" s="151">
        <v>41842</v>
      </c>
      <c r="CA500" s="206">
        <v>30.7</v>
      </c>
      <c r="CB500" s="151">
        <v>41842</v>
      </c>
      <c r="CC500" s="208">
        <v>6.2</v>
      </c>
      <c r="CD500" s="151">
        <v>41838</v>
      </c>
      <c r="CL500" s="209">
        <v>3</v>
      </c>
      <c r="CM500" s="201">
        <v>41810</v>
      </c>
    </row>
    <row r="501" spans="1:91" ht="15">
      <c r="A501" s="152" t="s">
        <v>7986</v>
      </c>
      <c r="B501" s="110" t="s">
        <v>233</v>
      </c>
      <c r="C501" s="110" t="s">
        <v>8083</v>
      </c>
      <c r="D501" s="110">
        <v>11663</v>
      </c>
      <c r="E501" s="111">
        <v>8</v>
      </c>
      <c r="F501" s="111">
        <v>685</v>
      </c>
      <c r="K501" s="194">
        <v>7</v>
      </c>
      <c r="L501" s="151">
        <v>41701</v>
      </c>
      <c r="M501" s="169">
        <v>3.5</v>
      </c>
      <c r="N501" s="151">
        <v>41838</v>
      </c>
      <c r="Q501" s="497"/>
      <c r="S501" s="134">
        <v>13.1</v>
      </c>
      <c r="T501" s="151">
        <v>41842</v>
      </c>
      <c r="U501" s="134">
        <v>13.5</v>
      </c>
      <c r="V501" s="151">
        <v>41838</v>
      </c>
      <c r="W501" s="196">
        <v>9</v>
      </c>
      <c r="X501" s="151">
        <v>41829</v>
      </c>
      <c r="Y501" s="134">
        <f t="shared" si="7"/>
        <v>3.3612500000000001</v>
      </c>
      <c r="AC501" s="134">
        <v>25.93</v>
      </c>
      <c r="AD501" s="151">
        <v>41838</v>
      </c>
      <c r="AE501" s="134">
        <v>26.89</v>
      </c>
      <c r="AF501" s="151">
        <v>41838</v>
      </c>
      <c r="AG501" s="197">
        <v>4.5</v>
      </c>
      <c r="AH501" s="151">
        <v>41843</v>
      </c>
      <c r="AI501" s="198">
        <v>5</v>
      </c>
      <c r="AJ501" s="151">
        <v>41778</v>
      </c>
      <c r="AK501" s="199">
        <v>5</v>
      </c>
      <c r="AL501" s="151">
        <v>41709</v>
      </c>
      <c r="BE501" s="200">
        <v>5</v>
      </c>
      <c r="BF501" s="201">
        <v>41555</v>
      </c>
      <c r="BG501" s="203">
        <v>-4.4000000000000004</v>
      </c>
      <c r="BH501" s="151">
        <v>41842</v>
      </c>
      <c r="BM501" s="204">
        <v>66.7</v>
      </c>
      <c r="BN501" s="151">
        <v>41842</v>
      </c>
      <c r="BQ501" s="205">
        <v>9.6</v>
      </c>
      <c r="BR501" s="151">
        <v>41842</v>
      </c>
      <c r="BS501" s="206">
        <v>48.7</v>
      </c>
      <c r="BT501" s="151">
        <v>41842</v>
      </c>
      <c r="BU501" s="207">
        <v>12.5</v>
      </c>
      <c r="BV501" s="151">
        <v>41842</v>
      </c>
      <c r="BW501" s="206">
        <v>15.6</v>
      </c>
      <c r="BX501" s="151">
        <v>41842</v>
      </c>
      <c r="BY501" s="210">
        <v>6.52</v>
      </c>
      <c r="BZ501" s="151">
        <v>41842</v>
      </c>
      <c r="CA501" s="206">
        <v>29.6</v>
      </c>
      <c r="CB501" s="151">
        <v>41842</v>
      </c>
      <c r="CC501" s="208">
        <v>5.6</v>
      </c>
      <c r="CD501" s="151">
        <v>41838</v>
      </c>
      <c r="CL501" s="209">
        <v>3</v>
      </c>
      <c r="CM501" s="201">
        <v>41810</v>
      </c>
    </row>
    <row r="502" spans="1:91" ht="15">
      <c r="A502" s="152" t="s">
        <v>7987</v>
      </c>
      <c r="B502" s="110" t="s">
        <v>235</v>
      </c>
      <c r="C502" s="110" t="s">
        <v>8082</v>
      </c>
      <c r="D502" s="110">
        <v>11528</v>
      </c>
      <c r="E502" s="111">
        <v>4</v>
      </c>
      <c r="F502" s="111">
        <v>721</v>
      </c>
      <c r="K502" s="134">
        <v>5</v>
      </c>
      <c r="L502" s="151">
        <v>41701</v>
      </c>
      <c r="M502" s="169">
        <v>4.9000000000000004</v>
      </c>
      <c r="N502" s="151">
        <v>41838</v>
      </c>
      <c r="Q502" s="497"/>
      <c r="S502" s="134">
        <v>17.399999999999999</v>
      </c>
      <c r="T502" s="151">
        <v>41842</v>
      </c>
      <c r="U502" s="134">
        <v>13.5</v>
      </c>
      <c r="V502" s="151">
        <v>41838</v>
      </c>
      <c r="W502" s="196">
        <v>1</v>
      </c>
      <c r="X502" s="151">
        <v>41829</v>
      </c>
      <c r="Y502" s="134">
        <f t="shared" si="7"/>
        <v>4.8008999999999995</v>
      </c>
      <c r="AC502" s="134">
        <v>36.299999999999997</v>
      </c>
      <c r="AD502" s="151">
        <v>41838</v>
      </c>
      <c r="AE502" s="134">
        <v>36.93</v>
      </c>
      <c r="AF502" s="151">
        <v>41838</v>
      </c>
      <c r="AG502" s="197">
        <v>4.7</v>
      </c>
      <c r="AH502" s="151">
        <v>41843</v>
      </c>
      <c r="AI502" s="198">
        <v>5</v>
      </c>
      <c r="AJ502" s="151">
        <v>41778</v>
      </c>
      <c r="AK502" s="199">
        <v>5</v>
      </c>
      <c r="AL502" s="151">
        <v>41709</v>
      </c>
      <c r="BE502" s="200">
        <v>5</v>
      </c>
      <c r="BF502" s="201">
        <v>41555</v>
      </c>
      <c r="BG502" s="203">
        <v>0.1</v>
      </c>
      <c r="BH502" s="151">
        <v>41842</v>
      </c>
      <c r="BM502" s="204">
        <v>66.8</v>
      </c>
      <c r="BN502" s="151">
        <v>41842</v>
      </c>
      <c r="BQ502" s="205">
        <v>10.1</v>
      </c>
      <c r="BR502" s="151">
        <v>41842</v>
      </c>
      <c r="BS502" s="206">
        <v>47.1</v>
      </c>
      <c r="BT502" s="151">
        <v>41842</v>
      </c>
      <c r="BU502" s="207">
        <v>13</v>
      </c>
      <c r="BV502" s="151">
        <v>41842</v>
      </c>
      <c r="BW502" s="206">
        <v>15.5</v>
      </c>
      <c r="BX502" s="151">
        <v>41842</v>
      </c>
      <c r="BY502" s="210">
        <v>7.33</v>
      </c>
      <c r="BZ502" s="151">
        <v>41842</v>
      </c>
      <c r="CA502" s="206">
        <v>29.7</v>
      </c>
      <c r="CB502" s="151">
        <v>41842</v>
      </c>
      <c r="CC502" s="208">
        <v>7.4</v>
      </c>
      <c r="CD502" s="151">
        <v>41838</v>
      </c>
      <c r="CL502" s="209">
        <v>3</v>
      </c>
      <c r="CM502" s="201">
        <v>41810</v>
      </c>
    </row>
    <row r="503" spans="1:91" ht="15">
      <c r="A503" s="152" t="s">
        <v>7987</v>
      </c>
      <c r="B503" s="110" t="s">
        <v>233</v>
      </c>
      <c r="C503" s="110" t="s">
        <v>381</v>
      </c>
      <c r="D503" s="110">
        <v>11132</v>
      </c>
      <c r="E503" s="111">
        <v>5</v>
      </c>
      <c r="F503" s="111">
        <v>573</v>
      </c>
      <c r="K503" s="134">
        <v>5</v>
      </c>
      <c r="L503" s="151">
        <v>41701</v>
      </c>
      <c r="M503" s="169">
        <v>4.05</v>
      </c>
      <c r="N503" s="151">
        <v>41838</v>
      </c>
      <c r="Q503" s="497"/>
      <c r="S503" s="134">
        <v>14.34</v>
      </c>
      <c r="T503" s="151">
        <v>41842</v>
      </c>
      <c r="U503" s="134">
        <v>13.5</v>
      </c>
      <c r="V503" s="151">
        <v>41838</v>
      </c>
      <c r="W503" s="196">
        <v>1</v>
      </c>
      <c r="X503" s="151">
        <v>41829</v>
      </c>
      <c r="Y503" s="134">
        <f t="shared" si="7"/>
        <v>4.2456299999999993</v>
      </c>
      <c r="AC503" s="134">
        <v>30</v>
      </c>
      <c r="AD503" s="151">
        <v>41838</v>
      </c>
      <c r="AE503" s="134">
        <v>30.99</v>
      </c>
      <c r="AF503" s="151">
        <v>41838</v>
      </c>
      <c r="AG503" s="197">
        <v>5.2</v>
      </c>
      <c r="AH503" s="151">
        <v>41843</v>
      </c>
      <c r="AI503" s="198">
        <v>3</v>
      </c>
      <c r="AJ503" s="151">
        <v>41778</v>
      </c>
      <c r="AK503" s="199">
        <v>5</v>
      </c>
      <c r="AL503" s="151">
        <v>41709</v>
      </c>
      <c r="BE503" s="200">
        <v>5</v>
      </c>
      <c r="BF503" s="201">
        <v>41555</v>
      </c>
      <c r="BG503" s="203">
        <v>0.6</v>
      </c>
      <c r="BH503" s="151">
        <v>41842</v>
      </c>
      <c r="BM503" s="204">
        <v>66.7</v>
      </c>
      <c r="BN503" s="151">
        <v>41842</v>
      </c>
      <c r="BQ503" s="205">
        <v>10.1</v>
      </c>
      <c r="BR503" s="151">
        <v>41842</v>
      </c>
      <c r="BS503" s="206">
        <v>46.3</v>
      </c>
      <c r="BT503" s="151">
        <v>41842</v>
      </c>
      <c r="BU503" s="207">
        <v>13.7</v>
      </c>
      <c r="BV503" s="151">
        <v>41842</v>
      </c>
      <c r="BW503" s="206">
        <v>17.8</v>
      </c>
      <c r="BX503" s="151">
        <v>41842</v>
      </c>
      <c r="BY503" s="210">
        <v>7.57</v>
      </c>
      <c r="BZ503" s="151">
        <v>41842</v>
      </c>
      <c r="CA503" s="206">
        <v>30.7</v>
      </c>
      <c r="CB503" s="151">
        <v>41842</v>
      </c>
      <c r="CC503" s="208">
        <v>6</v>
      </c>
      <c r="CD503" s="151">
        <v>41838</v>
      </c>
      <c r="CL503" s="209">
        <v>3</v>
      </c>
      <c r="CM503" s="201">
        <v>41810</v>
      </c>
    </row>
    <row r="504" spans="1:91" ht="15">
      <c r="A504" s="152" t="s">
        <v>7987</v>
      </c>
      <c r="B504" s="110" t="s">
        <v>235</v>
      </c>
      <c r="C504" s="110" t="s">
        <v>8081</v>
      </c>
      <c r="D504" s="110">
        <v>11264</v>
      </c>
      <c r="E504" s="111">
        <v>9</v>
      </c>
      <c r="F504" s="111">
        <v>525</v>
      </c>
      <c r="K504" s="134">
        <v>5</v>
      </c>
      <c r="L504" s="151">
        <v>41701</v>
      </c>
      <c r="M504" s="169">
        <v>5.45</v>
      </c>
      <c r="N504" s="151">
        <v>41838</v>
      </c>
      <c r="Q504" s="497"/>
      <c r="S504" s="134">
        <v>19.239999999999998</v>
      </c>
      <c r="T504" s="151">
        <v>41842</v>
      </c>
      <c r="U504" s="134">
        <v>13.5</v>
      </c>
      <c r="V504" s="151">
        <v>41838</v>
      </c>
      <c r="W504" s="196">
        <v>9</v>
      </c>
      <c r="X504" s="151">
        <v>41829</v>
      </c>
      <c r="Y504" s="134">
        <f t="shared" si="7"/>
        <v>5.7907399999999996</v>
      </c>
      <c r="AC504" s="134">
        <v>40.369999999999997</v>
      </c>
      <c r="AD504" s="151">
        <v>41838</v>
      </c>
      <c r="AE504" s="134">
        <v>41.66</v>
      </c>
      <c r="AF504" s="151">
        <v>41838</v>
      </c>
      <c r="AG504" s="197">
        <v>4.8</v>
      </c>
      <c r="AH504" s="151">
        <v>41843</v>
      </c>
      <c r="AI504" s="198">
        <v>5</v>
      </c>
      <c r="AJ504" s="151">
        <v>41778</v>
      </c>
      <c r="AK504" s="199">
        <v>5</v>
      </c>
      <c r="AL504" s="151">
        <v>41709</v>
      </c>
      <c r="BE504" s="200">
        <v>5</v>
      </c>
      <c r="BF504" s="201">
        <v>41555</v>
      </c>
      <c r="BG504" s="203">
        <v>-0.9</v>
      </c>
      <c r="BH504" s="151">
        <v>41842</v>
      </c>
      <c r="BM504" s="204">
        <v>65.900000000000006</v>
      </c>
      <c r="BN504" s="151">
        <v>41842</v>
      </c>
      <c r="BQ504" s="205">
        <v>10</v>
      </c>
      <c r="BR504" s="151">
        <v>41842</v>
      </c>
      <c r="BS504" s="206">
        <v>46.2</v>
      </c>
      <c r="BT504" s="151">
        <v>41842</v>
      </c>
      <c r="BU504" s="207">
        <v>13.9</v>
      </c>
      <c r="BV504" s="151">
        <v>41842</v>
      </c>
      <c r="BW504" s="206">
        <v>15.8</v>
      </c>
      <c r="BX504" s="151">
        <v>41842</v>
      </c>
      <c r="BY504" s="210">
        <v>7.32</v>
      </c>
      <c r="BZ504" s="151">
        <v>41842</v>
      </c>
      <c r="CA504" s="206">
        <v>31</v>
      </c>
      <c r="CB504" s="151">
        <v>41842</v>
      </c>
      <c r="CC504" s="208">
        <v>6.1</v>
      </c>
      <c r="CD504" s="151">
        <v>41838</v>
      </c>
      <c r="CL504" s="209">
        <v>3</v>
      </c>
      <c r="CM504" s="201">
        <v>41810</v>
      </c>
    </row>
    <row r="505" spans="1:91" ht="15">
      <c r="A505" s="152" t="s">
        <v>7987</v>
      </c>
      <c r="B505" s="110" t="s">
        <v>233</v>
      </c>
      <c r="C505" s="110" t="s">
        <v>8083</v>
      </c>
      <c r="D505" s="110">
        <v>11716</v>
      </c>
      <c r="E505" s="111">
        <v>9</v>
      </c>
      <c r="F505" s="111">
        <v>753</v>
      </c>
      <c r="K505" s="134">
        <v>5</v>
      </c>
      <c r="L505" s="151">
        <v>41701</v>
      </c>
      <c r="M505" s="169">
        <v>3.65</v>
      </c>
      <c r="N505" s="151">
        <v>41838</v>
      </c>
      <c r="Q505" s="497"/>
      <c r="S505" s="134">
        <v>13.11</v>
      </c>
      <c r="T505" s="151">
        <v>41842</v>
      </c>
      <c r="U505" s="134">
        <v>13.5</v>
      </c>
      <c r="V505" s="151">
        <v>41838</v>
      </c>
      <c r="W505" s="196">
        <v>1</v>
      </c>
      <c r="X505" s="151">
        <v>41829</v>
      </c>
      <c r="Y505" s="134">
        <f t="shared" si="7"/>
        <v>3.5128199999999996</v>
      </c>
      <c r="AC505" s="134">
        <v>27.04</v>
      </c>
      <c r="AD505" s="151">
        <v>41838</v>
      </c>
      <c r="AE505" s="134">
        <v>27.66</v>
      </c>
      <c r="AF505" s="151">
        <v>41838</v>
      </c>
      <c r="AG505" s="197">
        <v>5</v>
      </c>
      <c r="AH505" s="151">
        <v>41843</v>
      </c>
      <c r="AI505" s="198">
        <v>5</v>
      </c>
      <c r="AJ505" s="151">
        <v>41778</v>
      </c>
      <c r="AK505" s="199">
        <v>4</v>
      </c>
      <c r="AL505" s="151">
        <v>41709</v>
      </c>
      <c r="BE505" s="200">
        <v>4</v>
      </c>
      <c r="BF505" s="201">
        <v>41555</v>
      </c>
      <c r="BG505" s="203">
        <v>-2.7</v>
      </c>
      <c r="BH505" s="151">
        <v>41842</v>
      </c>
      <c r="BM505" s="204">
        <v>67.7</v>
      </c>
      <c r="BN505" s="151">
        <v>41842</v>
      </c>
      <c r="BQ505" s="205">
        <v>10.199999999999999</v>
      </c>
      <c r="BR505" s="151">
        <v>41842</v>
      </c>
      <c r="BS505" s="206">
        <v>47.4</v>
      </c>
      <c r="BT505" s="151">
        <v>41842</v>
      </c>
      <c r="BU505" s="207">
        <v>12.7</v>
      </c>
      <c r="BV505" s="151">
        <v>41842</v>
      </c>
      <c r="BW505" s="206">
        <v>18.2</v>
      </c>
      <c r="BX505" s="151">
        <v>41842</v>
      </c>
      <c r="BY505" s="210">
        <v>7.43</v>
      </c>
      <c r="BZ505" s="151">
        <v>41842</v>
      </c>
      <c r="CA505" s="206">
        <v>29.2</v>
      </c>
      <c r="CB505" s="151">
        <v>41842</v>
      </c>
      <c r="CC505" s="208">
        <v>6.9</v>
      </c>
      <c r="CD505" s="151">
        <v>41838</v>
      </c>
      <c r="CL505" s="209">
        <v>3</v>
      </c>
      <c r="CM505" s="201">
        <v>41810</v>
      </c>
    </row>
    <row r="506" spans="1:91" ht="15">
      <c r="A506" s="152" t="s">
        <v>7988</v>
      </c>
      <c r="B506" s="110" t="s">
        <v>233</v>
      </c>
      <c r="C506" s="110" t="s">
        <v>381</v>
      </c>
      <c r="D506" s="110">
        <v>11010</v>
      </c>
      <c r="E506" s="111">
        <v>2</v>
      </c>
      <c r="F506" s="111">
        <v>517</v>
      </c>
      <c r="I506" s="373"/>
      <c r="K506" s="194">
        <v>5</v>
      </c>
      <c r="L506" s="151">
        <v>41701</v>
      </c>
      <c r="M506" s="169">
        <v>4.05</v>
      </c>
      <c r="N506" s="151">
        <v>41838</v>
      </c>
      <c r="Q506" s="497"/>
      <c r="S506" s="134">
        <v>14.42</v>
      </c>
      <c r="T506" s="151">
        <v>41842</v>
      </c>
      <c r="U506" s="194">
        <v>13.5</v>
      </c>
      <c r="V506" s="151">
        <v>41838</v>
      </c>
      <c r="W506" s="196">
        <v>9</v>
      </c>
      <c r="X506" s="151">
        <v>41829</v>
      </c>
      <c r="Y506" s="134">
        <f t="shared" si="7"/>
        <v>3.9268400000000003</v>
      </c>
      <c r="AA506" s="194"/>
      <c r="AC506" s="194">
        <v>30</v>
      </c>
      <c r="AD506" s="151">
        <v>41838</v>
      </c>
      <c r="AE506" s="137">
        <v>30.92</v>
      </c>
      <c r="AF506" s="151">
        <v>41838</v>
      </c>
      <c r="AG506" s="197">
        <v>5.2</v>
      </c>
      <c r="AH506" s="151">
        <v>41843</v>
      </c>
      <c r="AI506" s="198">
        <v>5</v>
      </c>
      <c r="AJ506" s="151">
        <v>41778</v>
      </c>
      <c r="AK506" s="199">
        <v>5</v>
      </c>
      <c r="AL506" s="151">
        <v>41709</v>
      </c>
      <c r="AM506" s="194"/>
      <c r="BE506" s="200">
        <v>5</v>
      </c>
      <c r="BF506" s="201">
        <v>41555</v>
      </c>
      <c r="BG506" s="203">
        <v>-2</v>
      </c>
      <c r="BH506" s="151">
        <v>41842</v>
      </c>
      <c r="BM506" s="204">
        <v>66.5</v>
      </c>
      <c r="BN506" s="151">
        <v>41842</v>
      </c>
      <c r="BQ506" s="205">
        <v>9.6</v>
      </c>
      <c r="BR506" s="151">
        <v>41842</v>
      </c>
      <c r="BS506" s="206">
        <v>46.6</v>
      </c>
      <c r="BT506" s="151">
        <v>41842</v>
      </c>
      <c r="BU506" s="207">
        <v>12.7</v>
      </c>
      <c r="BV506" s="151">
        <v>41842</v>
      </c>
      <c r="BW506" s="206">
        <v>12.1</v>
      </c>
      <c r="BX506" s="151">
        <v>41842</v>
      </c>
      <c r="BY506" s="210">
        <v>7.43</v>
      </c>
      <c r="BZ506" s="151">
        <v>41842</v>
      </c>
      <c r="CA506" s="206">
        <v>28.6</v>
      </c>
      <c r="CB506" s="151">
        <v>41842</v>
      </c>
      <c r="CC506" s="208">
        <v>6.2</v>
      </c>
      <c r="CD506" s="151">
        <v>41838</v>
      </c>
      <c r="CL506" s="209">
        <v>3</v>
      </c>
      <c r="CM506" s="201">
        <v>41810</v>
      </c>
    </row>
    <row r="507" spans="1:91" ht="15">
      <c r="A507" s="152" t="s">
        <v>7988</v>
      </c>
      <c r="B507" s="110" t="s">
        <v>235</v>
      </c>
      <c r="C507" s="110" t="s">
        <v>8082</v>
      </c>
      <c r="D507" s="110">
        <v>11499</v>
      </c>
      <c r="E507" s="111">
        <v>3</v>
      </c>
      <c r="F507" s="111">
        <v>749</v>
      </c>
      <c r="K507" s="134">
        <v>5</v>
      </c>
      <c r="L507" s="151">
        <v>41701</v>
      </c>
      <c r="M507" s="169">
        <v>5.5</v>
      </c>
      <c r="N507" s="151">
        <v>41838</v>
      </c>
      <c r="Q507" s="497"/>
      <c r="S507" s="134">
        <v>19.2</v>
      </c>
      <c r="T507" s="151">
        <v>41842</v>
      </c>
      <c r="U507" s="134">
        <v>13.5</v>
      </c>
      <c r="V507" s="151">
        <v>41838</v>
      </c>
      <c r="W507" s="196">
        <v>9</v>
      </c>
      <c r="X507" s="151">
        <v>41829</v>
      </c>
      <c r="Y507" s="134">
        <f t="shared" si="7"/>
        <v>5.4184000000000001</v>
      </c>
      <c r="AC507" s="134">
        <v>40.74</v>
      </c>
      <c r="AD507" s="151">
        <v>41838</v>
      </c>
      <c r="AE507" s="134">
        <v>41.68</v>
      </c>
      <c r="AF507" s="151">
        <v>41838</v>
      </c>
      <c r="AG507" s="197">
        <v>5.0999999999999996</v>
      </c>
      <c r="AH507" s="151">
        <v>41843</v>
      </c>
      <c r="AI507" s="198">
        <v>7</v>
      </c>
      <c r="AJ507" s="151">
        <v>41778</v>
      </c>
      <c r="AK507" s="199">
        <v>5</v>
      </c>
      <c r="AL507" s="151">
        <v>41709</v>
      </c>
      <c r="BE507" s="200">
        <v>5</v>
      </c>
      <c r="BF507" s="201">
        <v>41555</v>
      </c>
      <c r="BG507" s="203">
        <v>-3.4</v>
      </c>
      <c r="BH507" s="151">
        <v>41842</v>
      </c>
      <c r="BM507" s="204">
        <v>66.900000000000006</v>
      </c>
      <c r="BN507" s="151">
        <v>41842</v>
      </c>
      <c r="BQ507" s="205">
        <v>9.6999999999999993</v>
      </c>
      <c r="BR507" s="151">
        <v>41842</v>
      </c>
      <c r="BS507" s="206">
        <v>46.1</v>
      </c>
      <c r="BT507" s="151">
        <v>41842</v>
      </c>
      <c r="BU507" s="207">
        <v>13</v>
      </c>
      <c r="BV507" s="151">
        <v>41842</v>
      </c>
      <c r="BW507" s="206">
        <v>13</v>
      </c>
      <c r="BX507" s="151">
        <v>41842</v>
      </c>
      <c r="BY507" s="210">
        <v>7.47</v>
      </c>
      <c r="BZ507" s="151">
        <v>41842</v>
      </c>
      <c r="CA507" s="206">
        <v>28.9</v>
      </c>
      <c r="CB507" s="151">
        <v>41842</v>
      </c>
      <c r="CC507" s="208">
        <v>6.9</v>
      </c>
      <c r="CD507" s="151">
        <v>41838</v>
      </c>
      <c r="CL507" s="209">
        <v>3</v>
      </c>
      <c r="CM507" s="201">
        <v>41810</v>
      </c>
    </row>
    <row r="508" spans="1:91" ht="15">
      <c r="A508" s="152" t="s">
        <v>7988</v>
      </c>
      <c r="B508" s="110" t="s">
        <v>235</v>
      </c>
      <c r="C508" s="110" t="s">
        <v>8081</v>
      </c>
      <c r="D508" s="110">
        <v>11391</v>
      </c>
      <c r="E508" s="111">
        <v>12</v>
      </c>
      <c r="F508" s="111">
        <v>601</v>
      </c>
      <c r="K508" s="134">
        <v>5</v>
      </c>
      <c r="L508" s="151">
        <v>41701</v>
      </c>
      <c r="M508" s="169">
        <v>5.7</v>
      </c>
      <c r="N508" s="151">
        <v>41838</v>
      </c>
      <c r="Q508" s="497"/>
      <c r="S508" s="134">
        <v>20.059999999999999</v>
      </c>
      <c r="T508" s="151">
        <v>41842</v>
      </c>
      <c r="U508" s="134">
        <v>13.5</v>
      </c>
      <c r="V508" s="151">
        <v>41838</v>
      </c>
      <c r="W508" s="196">
        <v>9</v>
      </c>
      <c r="X508" s="151">
        <v>41829</v>
      </c>
      <c r="Y508" s="134">
        <f t="shared" si="7"/>
        <v>5.6958799999999998</v>
      </c>
      <c r="AC508" s="134">
        <v>42.22</v>
      </c>
      <c r="AD508" s="151">
        <v>41838</v>
      </c>
      <c r="AE508" s="134">
        <v>43.48</v>
      </c>
      <c r="AF508" s="151">
        <v>41838</v>
      </c>
      <c r="AG508" s="197">
        <v>5</v>
      </c>
      <c r="AH508" s="151">
        <v>41843</v>
      </c>
      <c r="AI508" s="198">
        <v>5</v>
      </c>
      <c r="AJ508" s="151">
        <v>41778</v>
      </c>
      <c r="AK508" s="199">
        <v>7</v>
      </c>
      <c r="AL508" s="151">
        <v>41709</v>
      </c>
      <c r="BE508" s="200">
        <v>7</v>
      </c>
      <c r="BF508" s="201">
        <v>41555</v>
      </c>
      <c r="BG508" s="203">
        <v>-2.4</v>
      </c>
      <c r="BH508" s="151">
        <v>41842</v>
      </c>
      <c r="BM508" s="204">
        <v>65.2</v>
      </c>
      <c r="BN508" s="151">
        <v>41842</v>
      </c>
      <c r="BQ508" s="205">
        <v>9.6</v>
      </c>
      <c r="BR508" s="151">
        <v>41842</v>
      </c>
      <c r="BS508" s="206">
        <v>46.1</v>
      </c>
      <c r="BT508" s="151">
        <v>41842</v>
      </c>
      <c r="BU508" s="207">
        <v>13.1</v>
      </c>
      <c r="BV508" s="151">
        <v>41842</v>
      </c>
      <c r="BW508" s="206">
        <v>11.7</v>
      </c>
      <c r="BX508" s="151">
        <v>41842</v>
      </c>
      <c r="BY508" s="210">
        <v>7.45</v>
      </c>
      <c r="BZ508" s="151">
        <v>41842</v>
      </c>
      <c r="CA508" s="206">
        <v>29.3</v>
      </c>
      <c r="CB508" s="151">
        <v>41842</v>
      </c>
      <c r="CC508" s="208">
        <v>6.3</v>
      </c>
      <c r="CD508" s="151">
        <v>41838</v>
      </c>
      <c r="CL508" s="209">
        <v>3</v>
      </c>
      <c r="CM508" s="201">
        <v>41810</v>
      </c>
    </row>
    <row r="509" spans="1:91" ht="15">
      <c r="A509" s="152" t="s">
        <v>7988</v>
      </c>
      <c r="B509" s="110" t="s">
        <v>233</v>
      </c>
      <c r="C509" s="110" t="s">
        <v>8083</v>
      </c>
      <c r="D509" s="110">
        <v>11798</v>
      </c>
      <c r="E509" s="111">
        <v>12</v>
      </c>
      <c r="F509" s="111">
        <v>649</v>
      </c>
      <c r="K509" s="191">
        <v>3</v>
      </c>
      <c r="L509" s="151">
        <v>41701</v>
      </c>
      <c r="M509" s="169">
        <v>3.45</v>
      </c>
      <c r="N509" s="151">
        <v>41838</v>
      </c>
      <c r="Q509" s="497"/>
      <c r="S509" s="134">
        <v>12.19</v>
      </c>
      <c r="T509" s="151">
        <v>41842</v>
      </c>
      <c r="U509" s="134">
        <v>13.5</v>
      </c>
      <c r="V509" s="151">
        <v>41838</v>
      </c>
      <c r="W509" s="196">
        <v>9</v>
      </c>
      <c r="X509" s="151">
        <v>41829</v>
      </c>
      <c r="Y509" s="134">
        <f t="shared" si="7"/>
        <v>3.4914000000000001</v>
      </c>
      <c r="AC509" s="134">
        <v>25.56</v>
      </c>
      <c r="AD509" s="151">
        <v>41838</v>
      </c>
      <c r="AE509" s="134">
        <v>26.45</v>
      </c>
      <c r="AF509" s="151">
        <v>41838</v>
      </c>
      <c r="AG509" s="197">
        <v>4.9000000000000004</v>
      </c>
      <c r="AH509" s="151">
        <v>41843</v>
      </c>
      <c r="AI509" s="198">
        <v>5</v>
      </c>
      <c r="AJ509" s="151">
        <v>41778</v>
      </c>
      <c r="AK509" s="199">
        <v>5</v>
      </c>
      <c r="AL509" s="151">
        <v>41709</v>
      </c>
      <c r="BE509" s="200">
        <v>5</v>
      </c>
      <c r="BF509" s="201">
        <v>41555</v>
      </c>
      <c r="BG509" s="203">
        <v>-5.5</v>
      </c>
      <c r="BH509" s="151">
        <v>41842</v>
      </c>
      <c r="BM509" s="204">
        <v>65.400000000000006</v>
      </c>
      <c r="BN509" s="151">
        <v>41842</v>
      </c>
      <c r="BQ509" s="205">
        <v>9.6</v>
      </c>
      <c r="BR509" s="151">
        <v>41842</v>
      </c>
      <c r="BS509" s="206">
        <v>46.1</v>
      </c>
      <c r="BT509" s="151">
        <v>41842</v>
      </c>
      <c r="BU509" s="207">
        <v>13.2</v>
      </c>
      <c r="BV509" s="151">
        <v>41842</v>
      </c>
      <c r="BW509" s="206">
        <v>11.1</v>
      </c>
      <c r="BX509" s="151">
        <v>41842</v>
      </c>
      <c r="BY509" s="210">
        <v>7.43</v>
      </c>
      <c r="BZ509" s="151">
        <v>41842</v>
      </c>
      <c r="CA509" s="206">
        <v>29.3</v>
      </c>
      <c r="CB509" s="151">
        <v>41842</v>
      </c>
      <c r="CC509" s="208">
        <v>5.8</v>
      </c>
      <c r="CD509" s="151">
        <v>41838</v>
      </c>
      <c r="CL509" s="209">
        <v>3</v>
      </c>
      <c r="CM509" s="201">
        <v>41810</v>
      </c>
    </row>
    <row r="510" spans="1:91" ht="15">
      <c r="A510" s="152" t="s">
        <v>7989</v>
      </c>
      <c r="B510" s="110" t="s">
        <v>233</v>
      </c>
      <c r="C510" s="110" t="s">
        <v>381</v>
      </c>
      <c r="D510" s="110">
        <v>11014</v>
      </c>
      <c r="E510" s="111">
        <v>2</v>
      </c>
      <c r="F510" s="111">
        <v>533</v>
      </c>
      <c r="I510" s="373"/>
      <c r="K510" s="194">
        <v>5</v>
      </c>
      <c r="L510" s="151">
        <v>41701</v>
      </c>
      <c r="M510" s="169">
        <v>4.2</v>
      </c>
      <c r="N510" s="151">
        <v>41838</v>
      </c>
      <c r="Q510" s="497"/>
      <c r="S510" s="134">
        <v>15.15</v>
      </c>
      <c r="T510" s="151">
        <v>41842</v>
      </c>
      <c r="U510" s="194">
        <v>13.5</v>
      </c>
      <c r="V510" s="151">
        <v>41838</v>
      </c>
      <c r="W510" s="196">
        <v>9</v>
      </c>
      <c r="X510" s="151">
        <v>41829</v>
      </c>
      <c r="Y510" s="134">
        <f t="shared" si="7"/>
        <v>4.13056</v>
      </c>
      <c r="AA510" s="194"/>
      <c r="AC510" s="194">
        <v>31.11</v>
      </c>
      <c r="AD510" s="151">
        <v>41838</v>
      </c>
      <c r="AE510" s="137">
        <v>32.270000000000003</v>
      </c>
      <c r="AF510" s="151">
        <v>41838</v>
      </c>
      <c r="AG510" s="197">
        <v>4.7</v>
      </c>
      <c r="AH510" s="151">
        <v>41843</v>
      </c>
      <c r="AI510" s="198">
        <v>3</v>
      </c>
      <c r="AJ510" s="151">
        <v>41778</v>
      </c>
      <c r="AK510" s="199">
        <v>5</v>
      </c>
      <c r="AL510" s="151">
        <v>41709</v>
      </c>
      <c r="AM510" s="194"/>
      <c r="BE510" s="200">
        <v>5</v>
      </c>
      <c r="BF510" s="201">
        <v>41555</v>
      </c>
      <c r="BG510" s="203">
        <v>-1.7</v>
      </c>
      <c r="BH510" s="151">
        <v>41842</v>
      </c>
      <c r="BM510" s="204">
        <v>66.599999999999994</v>
      </c>
      <c r="BN510" s="151">
        <v>41842</v>
      </c>
      <c r="BQ510" s="205">
        <v>10</v>
      </c>
      <c r="BR510" s="151">
        <v>41842</v>
      </c>
      <c r="BS510" s="206">
        <v>46.9</v>
      </c>
      <c r="BT510" s="151">
        <v>41842</v>
      </c>
      <c r="BU510" s="207">
        <v>12.8</v>
      </c>
      <c r="BV510" s="151">
        <v>41842</v>
      </c>
      <c r="BW510" s="206">
        <v>17.100000000000001</v>
      </c>
      <c r="BX510" s="151">
        <v>41842</v>
      </c>
      <c r="BY510" s="210">
        <v>7.31</v>
      </c>
      <c r="BZ510" s="151">
        <v>41842</v>
      </c>
      <c r="CA510" s="206">
        <v>29</v>
      </c>
      <c r="CB510" s="151">
        <v>41842</v>
      </c>
      <c r="CC510" s="208">
        <v>5.6</v>
      </c>
      <c r="CD510" s="151">
        <v>41838</v>
      </c>
      <c r="CL510" s="209">
        <v>3</v>
      </c>
      <c r="CM510" s="201">
        <v>41810</v>
      </c>
    </row>
    <row r="511" spans="1:91" ht="15">
      <c r="A511" s="152" t="s">
        <v>7989</v>
      </c>
      <c r="B511" s="110" t="s">
        <v>235</v>
      </c>
      <c r="C511" s="110" t="s">
        <v>8082</v>
      </c>
      <c r="D511" s="110">
        <v>11496</v>
      </c>
      <c r="E511" s="111">
        <v>3</v>
      </c>
      <c r="F511" s="111">
        <v>737</v>
      </c>
      <c r="K511" s="134">
        <v>5</v>
      </c>
      <c r="L511" s="151">
        <v>41701</v>
      </c>
      <c r="M511" s="169">
        <v>4.95</v>
      </c>
      <c r="N511" s="151">
        <v>41838</v>
      </c>
      <c r="Q511" s="497"/>
      <c r="S511" s="134">
        <v>17.45</v>
      </c>
      <c r="T511" s="151">
        <v>41842</v>
      </c>
      <c r="U511" s="134">
        <v>13.5</v>
      </c>
      <c r="V511" s="151">
        <v>41838</v>
      </c>
      <c r="W511" s="196">
        <v>9</v>
      </c>
      <c r="X511" s="151">
        <v>41829</v>
      </c>
      <c r="Y511" s="134">
        <f t="shared" si="7"/>
        <v>5.1339999999999995</v>
      </c>
      <c r="AC511" s="134">
        <v>36.67</v>
      </c>
      <c r="AD511" s="151">
        <v>41838</v>
      </c>
      <c r="AE511" s="134">
        <v>37.75</v>
      </c>
      <c r="AF511" s="151">
        <v>41838</v>
      </c>
      <c r="AG511" s="197">
        <v>4.8</v>
      </c>
      <c r="AH511" s="151">
        <v>41843</v>
      </c>
      <c r="AI511" s="198">
        <v>5</v>
      </c>
      <c r="AJ511" s="151">
        <v>41778</v>
      </c>
      <c r="AK511" s="199">
        <v>5</v>
      </c>
      <c r="AL511" s="151">
        <v>41709</v>
      </c>
      <c r="BE511" s="200">
        <v>5</v>
      </c>
      <c r="BF511" s="201">
        <v>41555</v>
      </c>
      <c r="BG511" s="203">
        <v>-3.6</v>
      </c>
      <c r="BH511" s="151">
        <v>41842</v>
      </c>
      <c r="BM511" s="204">
        <v>65.3</v>
      </c>
      <c r="BN511" s="151">
        <v>41842</v>
      </c>
      <c r="BQ511" s="205">
        <v>10.7</v>
      </c>
      <c r="BR511" s="151">
        <v>41842</v>
      </c>
      <c r="BS511" s="206">
        <v>46.2</v>
      </c>
      <c r="BT511" s="151">
        <v>41842</v>
      </c>
      <c r="BU511" s="207">
        <v>13.6</v>
      </c>
      <c r="BV511" s="151">
        <v>41842</v>
      </c>
      <c r="BW511" s="206">
        <v>16.2</v>
      </c>
      <c r="BX511" s="151">
        <v>41842</v>
      </c>
      <c r="BY511" s="210">
        <v>7.35</v>
      </c>
      <c r="BZ511" s="151">
        <v>41842</v>
      </c>
      <c r="CA511" s="206">
        <v>30.3</v>
      </c>
      <c r="CB511" s="151">
        <v>41842</v>
      </c>
      <c r="CC511" s="208">
        <v>6.3</v>
      </c>
      <c r="CD511" s="151">
        <v>41838</v>
      </c>
      <c r="CL511" s="209">
        <v>3</v>
      </c>
      <c r="CM511" s="201">
        <v>41810</v>
      </c>
    </row>
    <row r="512" spans="1:91" ht="15">
      <c r="A512" s="152" t="s">
        <v>7989</v>
      </c>
      <c r="B512" s="110" t="s">
        <v>235</v>
      </c>
      <c r="C512" s="110" t="s">
        <v>8081</v>
      </c>
      <c r="D512" s="110">
        <v>11238</v>
      </c>
      <c r="E512" s="111">
        <v>8</v>
      </c>
      <c r="F512" s="111">
        <v>565</v>
      </c>
      <c r="K512" s="134">
        <v>5</v>
      </c>
      <c r="L512" s="151">
        <v>41701</v>
      </c>
      <c r="M512" s="169">
        <v>5.25</v>
      </c>
      <c r="N512" s="151">
        <v>41838</v>
      </c>
      <c r="Q512" s="497"/>
      <c r="S512" s="134">
        <v>18.809999999999999</v>
      </c>
      <c r="T512" s="151">
        <v>41842</v>
      </c>
      <c r="U512" s="134">
        <v>13.5</v>
      </c>
      <c r="V512" s="151">
        <v>41838</v>
      </c>
      <c r="W512" s="196">
        <v>9</v>
      </c>
      <c r="X512" s="151">
        <v>41829</v>
      </c>
      <c r="Y512" s="134">
        <f t="shared" si="7"/>
        <v>5.4984799999999998</v>
      </c>
      <c r="AC512" s="134">
        <v>38.89</v>
      </c>
      <c r="AD512" s="151">
        <v>41838</v>
      </c>
      <c r="AE512" s="134">
        <v>40.43</v>
      </c>
      <c r="AF512" s="151">
        <v>41838</v>
      </c>
      <c r="AG512" s="197">
        <v>4.8</v>
      </c>
      <c r="AH512" s="151">
        <v>41843</v>
      </c>
      <c r="AI512" s="198">
        <v>5</v>
      </c>
      <c r="AJ512" s="151">
        <v>41778</v>
      </c>
      <c r="AK512" s="199">
        <v>5</v>
      </c>
      <c r="AL512" s="151">
        <v>41709</v>
      </c>
      <c r="BE512" s="200">
        <v>5</v>
      </c>
      <c r="BF512" s="201">
        <v>41555</v>
      </c>
      <c r="BG512" s="203">
        <v>-2</v>
      </c>
      <c r="BH512" s="151">
        <v>41842</v>
      </c>
      <c r="BM512" s="204">
        <v>66.7</v>
      </c>
      <c r="BN512" s="151">
        <v>41842</v>
      </c>
      <c r="BQ512" s="205">
        <v>10.6</v>
      </c>
      <c r="BR512" s="151">
        <v>41842</v>
      </c>
      <c r="BS512" s="206">
        <v>46.5</v>
      </c>
      <c r="BT512" s="151">
        <v>41842</v>
      </c>
      <c r="BU512" s="207">
        <v>13.6</v>
      </c>
      <c r="BV512" s="151">
        <v>41842</v>
      </c>
      <c r="BW512" s="206">
        <v>18.5</v>
      </c>
      <c r="BX512" s="151">
        <v>41842</v>
      </c>
      <c r="BY512" s="210">
        <v>7.25</v>
      </c>
      <c r="BZ512" s="151">
        <v>41842</v>
      </c>
      <c r="CA512" s="206">
        <v>30.6</v>
      </c>
      <c r="CB512" s="151">
        <v>41842</v>
      </c>
      <c r="CC512" s="208">
        <v>5.4</v>
      </c>
      <c r="CD512" s="151">
        <v>41838</v>
      </c>
      <c r="CL512" s="209">
        <v>3</v>
      </c>
      <c r="CM512" s="201">
        <v>41810</v>
      </c>
    </row>
    <row r="513" spans="1:91" ht="15">
      <c r="A513" s="152" t="s">
        <v>7989</v>
      </c>
      <c r="B513" s="110" t="s">
        <v>233</v>
      </c>
      <c r="C513" s="110" t="s">
        <v>8083</v>
      </c>
      <c r="D513" s="110">
        <v>11817</v>
      </c>
      <c r="E513" s="111">
        <v>12</v>
      </c>
      <c r="F513" s="111">
        <v>725</v>
      </c>
      <c r="K513" s="191">
        <v>3</v>
      </c>
      <c r="L513" s="151">
        <v>41701</v>
      </c>
      <c r="M513" s="169">
        <v>3.2</v>
      </c>
      <c r="N513" s="151">
        <v>41838</v>
      </c>
      <c r="Q513" s="497"/>
      <c r="S513" s="134">
        <v>11.44</v>
      </c>
      <c r="T513" s="151">
        <v>41842</v>
      </c>
      <c r="U513" s="134">
        <v>13.5</v>
      </c>
      <c r="V513" s="151">
        <v>41838</v>
      </c>
      <c r="W513" s="196">
        <v>9</v>
      </c>
      <c r="X513" s="151">
        <v>41829</v>
      </c>
      <c r="Y513" s="134">
        <f t="shared" si="7"/>
        <v>3.1514699999999998</v>
      </c>
      <c r="AC513" s="134">
        <v>23.7</v>
      </c>
      <c r="AD513" s="151">
        <v>41838</v>
      </c>
      <c r="AE513" s="134">
        <v>24.43</v>
      </c>
      <c r="AF513" s="151">
        <v>41838</v>
      </c>
      <c r="AG513" s="197">
        <v>4.7</v>
      </c>
      <c r="AH513" s="151">
        <v>41843</v>
      </c>
      <c r="AI513" s="198">
        <v>3</v>
      </c>
      <c r="AJ513" s="151">
        <v>41778</v>
      </c>
      <c r="AK513" s="199">
        <v>5</v>
      </c>
      <c r="AL513" s="151">
        <v>41709</v>
      </c>
      <c r="BE513" s="200">
        <v>5</v>
      </c>
      <c r="BF513" s="201">
        <v>41555</v>
      </c>
      <c r="BG513" s="203">
        <v>-4.0999999999999996</v>
      </c>
      <c r="BH513" s="151">
        <v>41842</v>
      </c>
      <c r="BM513" s="204">
        <v>65.8</v>
      </c>
      <c r="BN513" s="151">
        <v>41842</v>
      </c>
      <c r="BQ513" s="205">
        <v>10.7</v>
      </c>
      <c r="BR513" s="151">
        <v>41842</v>
      </c>
      <c r="BS513" s="206">
        <v>46.8</v>
      </c>
      <c r="BT513" s="151">
        <v>41842</v>
      </c>
      <c r="BU513" s="207">
        <v>12.9</v>
      </c>
      <c r="BV513" s="151">
        <v>41842</v>
      </c>
      <c r="BW513" s="206">
        <v>16.399999999999999</v>
      </c>
      <c r="BX513" s="151">
        <v>41842</v>
      </c>
      <c r="BY513" s="210">
        <v>7.33</v>
      </c>
      <c r="BZ513" s="151">
        <v>41842</v>
      </c>
      <c r="CA513" s="206">
        <v>29.2</v>
      </c>
      <c r="CB513" s="151">
        <v>41842</v>
      </c>
      <c r="CC513" s="208">
        <v>6.2</v>
      </c>
      <c r="CD513" s="151">
        <v>41838</v>
      </c>
      <c r="CL513" s="209">
        <v>3</v>
      </c>
      <c r="CM513" s="201">
        <v>41810</v>
      </c>
    </row>
    <row r="514" spans="1:91" ht="15">
      <c r="A514" s="152" t="s">
        <v>7990</v>
      </c>
      <c r="B514" s="110" t="s">
        <v>235</v>
      </c>
      <c r="C514" s="110" t="s">
        <v>8082</v>
      </c>
      <c r="D514" s="110">
        <v>11550</v>
      </c>
      <c r="E514" s="111">
        <v>5</v>
      </c>
      <c r="F514" s="111">
        <v>665</v>
      </c>
      <c r="K514" s="134">
        <v>5</v>
      </c>
      <c r="L514" s="151">
        <v>41701</v>
      </c>
      <c r="M514" s="169">
        <v>5.5</v>
      </c>
      <c r="N514" s="151">
        <v>41838</v>
      </c>
      <c r="Q514" s="497"/>
      <c r="S514" s="134">
        <v>19.579999999999998</v>
      </c>
      <c r="T514" s="151">
        <v>41842</v>
      </c>
      <c r="U514" s="134">
        <v>13.5</v>
      </c>
      <c r="V514" s="151">
        <v>41838</v>
      </c>
      <c r="W514" s="196">
        <v>1</v>
      </c>
      <c r="X514" s="151">
        <v>41829</v>
      </c>
      <c r="Y514" s="134">
        <f t="shared" si="7"/>
        <v>5.8912000000000004</v>
      </c>
      <c r="AC514" s="134">
        <v>40.74</v>
      </c>
      <c r="AD514" s="151">
        <v>41838</v>
      </c>
      <c r="AE514" s="134">
        <v>42.08</v>
      </c>
      <c r="AF514" s="151">
        <v>41838</v>
      </c>
      <c r="AG514" s="197">
        <v>5.2</v>
      </c>
      <c r="AH514" s="151">
        <v>41843</v>
      </c>
      <c r="AI514" s="198">
        <v>5</v>
      </c>
      <c r="AJ514" s="151">
        <v>41778</v>
      </c>
      <c r="AK514" s="199">
        <v>5</v>
      </c>
      <c r="AL514" s="151">
        <v>41709</v>
      </c>
      <c r="BE514" s="200">
        <v>5</v>
      </c>
      <c r="BF514" s="201">
        <v>41555</v>
      </c>
      <c r="BG514" s="203">
        <v>-3</v>
      </c>
      <c r="BH514" s="151">
        <v>41842</v>
      </c>
      <c r="BM514" s="204">
        <v>64.7</v>
      </c>
      <c r="BN514" s="151">
        <v>41842</v>
      </c>
      <c r="BQ514" s="205">
        <v>10.3</v>
      </c>
      <c r="BR514" s="151">
        <v>41842</v>
      </c>
      <c r="BS514" s="206">
        <v>46.5</v>
      </c>
      <c r="BT514" s="151">
        <v>41842</v>
      </c>
      <c r="BU514" s="207">
        <v>14</v>
      </c>
      <c r="BV514" s="151">
        <v>41842</v>
      </c>
      <c r="BW514" s="206">
        <v>21.3</v>
      </c>
      <c r="BX514" s="151">
        <v>41842</v>
      </c>
      <c r="BY514" s="210">
        <v>7.21</v>
      </c>
      <c r="BZ514" s="151">
        <v>41842</v>
      </c>
      <c r="CA514" s="206">
        <v>31.5</v>
      </c>
      <c r="CB514" s="151">
        <v>41842</v>
      </c>
      <c r="CC514" s="208">
        <v>6</v>
      </c>
      <c r="CD514" s="151">
        <v>41838</v>
      </c>
      <c r="CL514" s="209">
        <v>5</v>
      </c>
      <c r="CM514" s="201">
        <v>41810</v>
      </c>
    </row>
    <row r="515" spans="1:91" ht="15">
      <c r="A515" s="152" t="s">
        <v>7990</v>
      </c>
      <c r="B515" s="110" t="s">
        <v>233</v>
      </c>
      <c r="C515" s="110" t="s">
        <v>381</v>
      </c>
      <c r="D515" s="110">
        <v>11154</v>
      </c>
      <c r="E515" s="111">
        <v>6</v>
      </c>
      <c r="F515" s="111">
        <v>517</v>
      </c>
      <c r="K515" s="134">
        <v>5</v>
      </c>
      <c r="L515" s="151">
        <v>41701</v>
      </c>
      <c r="M515" s="169">
        <v>3.55</v>
      </c>
      <c r="N515" s="151">
        <v>41838</v>
      </c>
      <c r="Q515" s="497"/>
      <c r="S515" s="134">
        <v>12.89</v>
      </c>
      <c r="T515" s="151">
        <v>41842</v>
      </c>
      <c r="U515" s="134">
        <v>13.5</v>
      </c>
      <c r="V515" s="151">
        <v>41838</v>
      </c>
      <c r="W515" s="196">
        <v>9</v>
      </c>
      <c r="X515" s="151">
        <v>41829</v>
      </c>
      <c r="Y515" s="134">
        <f t="shared" ref="Y515:Y578" si="8">(AE515*BU515)/100</f>
        <v>3.5540299999999996</v>
      </c>
      <c r="AC515" s="134">
        <v>26.3</v>
      </c>
      <c r="AD515" s="151">
        <v>41838</v>
      </c>
      <c r="AE515" s="134">
        <v>27.13</v>
      </c>
      <c r="AF515" s="151">
        <v>41838</v>
      </c>
      <c r="AG515" s="197">
        <v>5.2</v>
      </c>
      <c r="AH515" s="151">
        <v>41843</v>
      </c>
      <c r="AI515" s="198">
        <v>5</v>
      </c>
      <c r="AJ515" s="151">
        <v>41778</v>
      </c>
      <c r="AK515" s="199">
        <v>7</v>
      </c>
      <c r="AL515" s="151">
        <v>41709</v>
      </c>
      <c r="BE515" s="200">
        <v>7</v>
      </c>
      <c r="BF515" s="201">
        <v>41555</v>
      </c>
      <c r="BG515" s="203">
        <v>-2.7</v>
      </c>
      <c r="BH515" s="151">
        <v>41842</v>
      </c>
      <c r="BM515" s="204">
        <v>65.599999999999994</v>
      </c>
      <c r="BN515" s="151">
        <v>41842</v>
      </c>
      <c r="BQ515" s="205">
        <v>10.1</v>
      </c>
      <c r="BR515" s="151">
        <v>41842</v>
      </c>
      <c r="BS515" s="206">
        <v>47.5</v>
      </c>
      <c r="BT515" s="151">
        <v>41842</v>
      </c>
      <c r="BU515" s="207">
        <v>13.1</v>
      </c>
      <c r="BV515" s="151">
        <v>41842</v>
      </c>
      <c r="BW515" s="206">
        <v>16.600000000000001</v>
      </c>
      <c r="BX515" s="151">
        <v>41842</v>
      </c>
      <c r="BY515" s="210">
        <v>7.14</v>
      </c>
      <c r="BZ515" s="151">
        <v>41842</v>
      </c>
      <c r="CA515" s="206">
        <v>30.2</v>
      </c>
      <c r="CB515" s="151">
        <v>41842</v>
      </c>
      <c r="CC515" s="208">
        <v>6.1</v>
      </c>
      <c r="CD515" s="151">
        <v>41838</v>
      </c>
      <c r="CL515" s="209">
        <v>5</v>
      </c>
      <c r="CM515" s="201">
        <v>41810</v>
      </c>
    </row>
    <row r="516" spans="1:91" ht="15">
      <c r="A516" s="152" t="s">
        <v>7990</v>
      </c>
      <c r="B516" s="110" t="s">
        <v>235</v>
      </c>
      <c r="C516" s="110" t="s">
        <v>8081</v>
      </c>
      <c r="D516" s="110">
        <v>11270</v>
      </c>
      <c r="E516" s="111">
        <v>9</v>
      </c>
      <c r="F516" s="111">
        <v>549</v>
      </c>
      <c r="K516" s="194">
        <v>7</v>
      </c>
      <c r="L516" s="151">
        <v>41701</v>
      </c>
      <c r="M516" s="169">
        <v>5.45</v>
      </c>
      <c r="N516" s="151">
        <v>41838</v>
      </c>
      <c r="Q516" s="497"/>
      <c r="S516" s="134">
        <v>19.29</v>
      </c>
      <c r="T516" s="151">
        <v>41842</v>
      </c>
      <c r="U516" s="134">
        <v>13.5</v>
      </c>
      <c r="V516" s="151">
        <v>41838</v>
      </c>
      <c r="W516" s="196">
        <v>9</v>
      </c>
      <c r="X516" s="151">
        <v>41829</v>
      </c>
      <c r="Y516" s="134">
        <f t="shared" si="8"/>
        <v>5.7252299999999989</v>
      </c>
      <c r="AC516" s="134">
        <v>40.369999999999997</v>
      </c>
      <c r="AD516" s="151">
        <v>41838</v>
      </c>
      <c r="AE516" s="134">
        <v>41.79</v>
      </c>
      <c r="AF516" s="151">
        <v>41838</v>
      </c>
      <c r="AG516" s="197">
        <v>4.9000000000000004</v>
      </c>
      <c r="AH516" s="151">
        <v>41843</v>
      </c>
      <c r="AI516" s="198">
        <v>5</v>
      </c>
      <c r="AJ516" s="151">
        <v>41778</v>
      </c>
      <c r="AK516" s="199">
        <v>5</v>
      </c>
      <c r="AL516" s="151">
        <v>41709</v>
      </c>
      <c r="BE516" s="200">
        <v>5</v>
      </c>
      <c r="BF516" s="201">
        <v>41555</v>
      </c>
      <c r="BG516" s="203">
        <v>-1.9</v>
      </c>
      <c r="BH516" s="151">
        <v>41842</v>
      </c>
      <c r="BM516" s="204">
        <v>64.099999999999994</v>
      </c>
      <c r="BN516" s="151">
        <v>41842</v>
      </c>
      <c r="BQ516" s="205">
        <v>10.4</v>
      </c>
      <c r="BR516" s="151">
        <v>41842</v>
      </c>
      <c r="BS516" s="206">
        <v>46.2</v>
      </c>
      <c r="BT516" s="151">
        <v>41842</v>
      </c>
      <c r="BU516" s="207">
        <v>13.7</v>
      </c>
      <c r="BV516" s="151">
        <v>41842</v>
      </c>
      <c r="BW516" s="206">
        <v>17.399999999999999</v>
      </c>
      <c r="BX516" s="151">
        <v>41842</v>
      </c>
      <c r="BY516" s="210">
        <v>7.42</v>
      </c>
      <c r="BZ516" s="151">
        <v>41842</v>
      </c>
      <c r="CA516" s="206">
        <v>30.6</v>
      </c>
      <c r="CB516" s="151">
        <v>41842</v>
      </c>
      <c r="CC516" s="208">
        <v>5.8</v>
      </c>
      <c r="CD516" s="151">
        <v>41838</v>
      </c>
      <c r="CL516" s="209">
        <v>5</v>
      </c>
      <c r="CM516" s="201">
        <v>41810</v>
      </c>
    </row>
    <row r="517" spans="1:91" ht="15">
      <c r="A517" s="152" t="s">
        <v>7990</v>
      </c>
      <c r="B517" s="110" t="s">
        <v>233</v>
      </c>
      <c r="C517" s="110" t="s">
        <v>8083</v>
      </c>
      <c r="D517" s="110">
        <v>11819</v>
      </c>
      <c r="E517" s="111">
        <v>12</v>
      </c>
      <c r="F517" s="111">
        <v>733</v>
      </c>
      <c r="K517" s="134">
        <v>5</v>
      </c>
      <c r="L517" s="151">
        <v>41701</v>
      </c>
      <c r="M517" s="169">
        <v>3.55</v>
      </c>
      <c r="N517" s="151">
        <v>41838</v>
      </c>
      <c r="Q517" s="497"/>
      <c r="S517" s="134">
        <v>12.58</v>
      </c>
      <c r="T517" s="151">
        <v>41842</v>
      </c>
      <c r="U517" s="134">
        <v>13.5</v>
      </c>
      <c r="V517" s="151">
        <v>41838</v>
      </c>
      <c r="W517" s="196">
        <v>9</v>
      </c>
      <c r="X517" s="151">
        <v>41829</v>
      </c>
      <c r="Y517" s="134">
        <f t="shared" si="8"/>
        <v>3.4662300000000004</v>
      </c>
      <c r="AC517" s="134">
        <v>26.3</v>
      </c>
      <c r="AD517" s="151">
        <v>41838</v>
      </c>
      <c r="AE517" s="134">
        <v>26.87</v>
      </c>
      <c r="AF517" s="151">
        <v>41838</v>
      </c>
      <c r="AG517" s="197">
        <v>5.2</v>
      </c>
      <c r="AH517" s="151">
        <v>41843</v>
      </c>
      <c r="AI517" s="198">
        <v>5</v>
      </c>
      <c r="AJ517" s="151">
        <v>41778</v>
      </c>
      <c r="AK517" s="199">
        <v>5</v>
      </c>
      <c r="AL517" s="151">
        <v>41709</v>
      </c>
      <c r="BE517" s="200">
        <v>5</v>
      </c>
      <c r="BF517" s="201">
        <v>41555</v>
      </c>
      <c r="BG517" s="203">
        <v>-4.4000000000000004</v>
      </c>
      <c r="BH517" s="151">
        <v>41842</v>
      </c>
      <c r="BM517" s="204">
        <v>65.7</v>
      </c>
      <c r="BN517" s="151">
        <v>41842</v>
      </c>
      <c r="BQ517" s="205">
        <v>9.8000000000000007</v>
      </c>
      <c r="BR517" s="151">
        <v>41842</v>
      </c>
      <c r="BS517" s="206">
        <v>46.8</v>
      </c>
      <c r="BT517" s="151">
        <v>41842</v>
      </c>
      <c r="BU517" s="207">
        <v>12.9</v>
      </c>
      <c r="BV517" s="151">
        <v>41842</v>
      </c>
      <c r="BW517" s="206">
        <v>18.3</v>
      </c>
      <c r="BX517" s="151">
        <v>41842</v>
      </c>
      <c r="BY517" s="210">
        <v>7.61</v>
      </c>
      <c r="BZ517" s="151">
        <v>41842</v>
      </c>
      <c r="CA517" s="206">
        <v>29.3</v>
      </c>
      <c r="CB517" s="151">
        <v>41842</v>
      </c>
      <c r="CC517" s="208">
        <v>7</v>
      </c>
      <c r="CD517" s="151">
        <v>41838</v>
      </c>
      <c r="CL517" s="209">
        <v>3</v>
      </c>
      <c r="CM517" s="201">
        <v>41810</v>
      </c>
    </row>
    <row r="518" spans="1:91" ht="15">
      <c r="A518" s="152" t="s">
        <v>7991</v>
      </c>
      <c r="B518" s="110" t="s">
        <v>235</v>
      </c>
      <c r="C518" s="110" t="s">
        <v>8082</v>
      </c>
      <c r="D518" s="110">
        <v>11468</v>
      </c>
      <c r="E518" s="111">
        <v>3</v>
      </c>
      <c r="F518" s="111">
        <v>625</v>
      </c>
      <c r="K518" s="134">
        <v>5</v>
      </c>
      <c r="L518" s="151">
        <v>41701</v>
      </c>
      <c r="M518" s="169">
        <v>5.6</v>
      </c>
      <c r="N518" s="151">
        <v>41838</v>
      </c>
      <c r="Q518" s="497"/>
      <c r="S518" s="134">
        <v>20.350000000000001</v>
      </c>
      <c r="T518" s="151">
        <v>41842</v>
      </c>
      <c r="U518" s="134">
        <v>13.5</v>
      </c>
      <c r="V518" s="151">
        <v>41838</v>
      </c>
      <c r="W518" s="196">
        <v>9</v>
      </c>
      <c r="X518" s="151">
        <v>41829</v>
      </c>
      <c r="Y518" s="134">
        <f t="shared" si="8"/>
        <v>5.6746799999999995</v>
      </c>
      <c r="AC518" s="134">
        <v>41.48</v>
      </c>
      <c r="AD518" s="151">
        <v>41838</v>
      </c>
      <c r="AE518" s="134">
        <v>42.99</v>
      </c>
      <c r="AF518" s="151">
        <v>41838</v>
      </c>
      <c r="AG518" s="197">
        <v>5.5</v>
      </c>
      <c r="AH518" s="151">
        <v>41843</v>
      </c>
      <c r="AI518" s="198">
        <v>7</v>
      </c>
      <c r="AJ518" s="151">
        <v>41778</v>
      </c>
      <c r="AK518" s="199">
        <v>5</v>
      </c>
      <c r="AL518" s="151">
        <v>41709</v>
      </c>
      <c r="BE518" s="200">
        <v>5</v>
      </c>
      <c r="BF518" s="201">
        <v>41555</v>
      </c>
      <c r="BG518" s="203">
        <v>-6.7</v>
      </c>
      <c r="BH518" s="151">
        <v>41842</v>
      </c>
      <c r="BM518" s="204">
        <v>65.8</v>
      </c>
      <c r="BN518" s="151">
        <v>41842</v>
      </c>
      <c r="BQ518" s="205">
        <v>10.199999999999999</v>
      </c>
      <c r="BR518" s="151">
        <v>41842</v>
      </c>
      <c r="BS518" s="206">
        <v>47.3</v>
      </c>
      <c r="BT518" s="151">
        <v>41842</v>
      </c>
      <c r="BU518" s="207">
        <v>13.2</v>
      </c>
      <c r="BV518" s="151">
        <v>41842</v>
      </c>
      <c r="BW518" s="206">
        <v>7.9</v>
      </c>
      <c r="BX518" s="151">
        <v>41842</v>
      </c>
      <c r="BY518" s="210">
        <v>6.87</v>
      </c>
      <c r="BZ518" s="151">
        <v>41842</v>
      </c>
      <c r="CA518" s="206">
        <v>30.2</v>
      </c>
      <c r="CB518" s="151">
        <v>41842</v>
      </c>
      <c r="CC518" s="208">
        <v>5.7</v>
      </c>
      <c r="CD518" s="151">
        <v>41838</v>
      </c>
      <c r="CL518" s="209">
        <v>3</v>
      </c>
      <c r="CM518" s="201">
        <v>41810</v>
      </c>
    </row>
    <row r="519" spans="1:91" ht="15">
      <c r="A519" s="152" t="s">
        <v>7991</v>
      </c>
      <c r="B519" s="110" t="s">
        <v>233</v>
      </c>
      <c r="C519" s="110" t="s">
        <v>381</v>
      </c>
      <c r="D519" s="110">
        <v>11167</v>
      </c>
      <c r="E519" s="111">
        <v>6</v>
      </c>
      <c r="F519" s="111">
        <v>569</v>
      </c>
      <c r="J519" s="187"/>
      <c r="K519" s="134">
        <v>5</v>
      </c>
      <c r="L519" s="151">
        <v>41701</v>
      </c>
      <c r="M519" s="169">
        <v>4.0999999999999996</v>
      </c>
      <c r="N519" s="151">
        <v>41838</v>
      </c>
      <c r="Q519" s="497"/>
      <c r="S519" s="134">
        <v>14.71</v>
      </c>
      <c r="T519" s="151">
        <v>41842</v>
      </c>
      <c r="U519" s="134">
        <v>13.5</v>
      </c>
      <c r="V519" s="151">
        <v>41838</v>
      </c>
      <c r="W519" s="196">
        <v>9</v>
      </c>
      <c r="X519" s="151">
        <v>41829</v>
      </c>
      <c r="Y519" s="134">
        <f t="shared" si="8"/>
        <v>4.3974000000000002</v>
      </c>
      <c r="AC519" s="134">
        <v>30.37</v>
      </c>
      <c r="AD519" s="151">
        <v>41838</v>
      </c>
      <c r="AE519" s="134">
        <v>31.41</v>
      </c>
      <c r="AF519" s="151">
        <v>41838</v>
      </c>
      <c r="AG519" s="197">
        <v>5.2</v>
      </c>
      <c r="AH519" s="151">
        <v>41843</v>
      </c>
      <c r="AI519" s="198">
        <v>5</v>
      </c>
      <c r="AJ519" s="151">
        <v>41778</v>
      </c>
      <c r="AK519" s="199">
        <v>5</v>
      </c>
      <c r="AL519" s="151">
        <v>41709</v>
      </c>
      <c r="BE519" s="200">
        <v>5</v>
      </c>
      <c r="BF519" s="201">
        <v>41555</v>
      </c>
      <c r="BG519" s="203">
        <v>-2.1</v>
      </c>
      <c r="BH519" s="151">
        <v>41842</v>
      </c>
      <c r="BM519" s="204">
        <v>66.5</v>
      </c>
      <c r="BN519" s="151">
        <v>41842</v>
      </c>
      <c r="BQ519" s="205">
        <v>10.4</v>
      </c>
      <c r="BR519" s="151">
        <v>41842</v>
      </c>
      <c r="BS519" s="206">
        <v>46.8</v>
      </c>
      <c r="BT519" s="151">
        <v>41842</v>
      </c>
      <c r="BU519" s="207">
        <v>14</v>
      </c>
      <c r="BV519" s="151">
        <v>41842</v>
      </c>
      <c r="BW519" s="206">
        <v>10.7</v>
      </c>
      <c r="BX519" s="151">
        <v>41842</v>
      </c>
      <c r="BY519" s="210">
        <v>6.98</v>
      </c>
      <c r="BZ519" s="151">
        <v>41842</v>
      </c>
      <c r="CA519" s="206">
        <v>31.8</v>
      </c>
      <c r="CB519" s="151">
        <v>41842</v>
      </c>
      <c r="CC519" s="208">
        <v>5.9</v>
      </c>
      <c r="CD519" s="151">
        <v>41838</v>
      </c>
      <c r="CL519" s="209">
        <v>3</v>
      </c>
      <c r="CM519" s="201">
        <v>41810</v>
      </c>
    </row>
    <row r="520" spans="1:91" ht="15">
      <c r="A520" s="152" t="s">
        <v>7991</v>
      </c>
      <c r="B520" s="110" t="s">
        <v>233</v>
      </c>
      <c r="C520" s="110" t="s">
        <v>8083</v>
      </c>
      <c r="D520" s="110">
        <v>11679</v>
      </c>
      <c r="E520" s="111">
        <v>8</v>
      </c>
      <c r="F520" s="111">
        <v>749</v>
      </c>
      <c r="K520" s="134">
        <v>5</v>
      </c>
      <c r="L520" s="151">
        <v>41701</v>
      </c>
      <c r="M520" s="169">
        <v>3.7</v>
      </c>
      <c r="N520" s="151">
        <v>41838</v>
      </c>
      <c r="Q520" s="497"/>
      <c r="S520" s="134">
        <v>13.55</v>
      </c>
      <c r="T520" s="151">
        <v>41842</v>
      </c>
      <c r="U520" s="134">
        <v>13.5</v>
      </c>
      <c r="V520" s="151">
        <v>41838</v>
      </c>
      <c r="W520" s="196">
        <v>9</v>
      </c>
      <c r="X520" s="151">
        <v>41829</v>
      </c>
      <c r="Y520" s="134">
        <f t="shared" si="8"/>
        <v>3.6326400000000003</v>
      </c>
      <c r="AC520" s="134">
        <v>27.41</v>
      </c>
      <c r="AD520" s="151">
        <v>41838</v>
      </c>
      <c r="AE520" s="134">
        <v>28.16</v>
      </c>
      <c r="AF520" s="151">
        <v>41838</v>
      </c>
      <c r="AG520" s="197">
        <v>5.3</v>
      </c>
      <c r="AH520" s="151">
        <v>41843</v>
      </c>
      <c r="AI520" s="198">
        <v>5</v>
      </c>
      <c r="AJ520" s="151">
        <v>41778</v>
      </c>
      <c r="AK520" s="199">
        <v>5</v>
      </c>
      <c r="AL520" s="151">
        <v>41709</v>
      </c>
      <c r="BE520" s="200">
        <v>5</v>
      </c>
      <c r="BF520" s="201">
        <v>41555</v>
      </c>
      <c r="BG520" s="203">
        <v>-5.7</v>
      </c>
      <c r="BH520" s="151">
        <v>41842</v>
      </c>
      <c r="BM520" s="204">
        <v>67.099999999999994</v>
      </c>
      <c r="BN520" s="151">
        <v>41842</v>
      </c>
      <c r="BQ520" s="205">
        <v>10.3</v>
      </c>
      <c r="BR520" s="151">
        <v>41842</v>
      </c>
      <c r="BS520" s="206">
        <v>48.1</v>
      </c>
      <c r="BT520" s="151">
        <v>41842</v>
      </c>
      <c r="BU520" s="207">
        <v>12.9</v>
      </c>
      <c r="BV520" s="151">
        <v>41842</v>
      </c>
      <c r="BW520" s="206">
        <v>5.9</v>
      </c>
      <c r="BX520" s="151">
        <v>41842</v>
      </c>
      <c r="BY520" s="210">
        <v>6.89</v>
      </c>
      <c r="BZ520" s="151">
        <v>41842</v>
      </c>
      <c r="CA520" s="206">
        <v>30.1</v>
      </c>
      <c r="CB520" s="151">
        <v>41842</v>
      </c>
      <c r="CC520" s="208">
        <v>6.5</v>
      </c>
      <c r="CD520" s="151">
        <v>41838</v>
      </c>
      <c r="CL520" s="209">
        <v>3</v>
      </c>
      <c r="CM520" s="201">
        <v>41810</v>
      </c>
    </row>
    <row r="521" spans="1:91" ht="15">
      <c r="A521" s="152" t="s">
        <v>7991</v>
      </c>
      <c r="B521" s="110" t="s">
        <v>235</v>
      </c>
      <c r="C521" s="110" t="s">
        <v>8081</v>
      </c>
      <c r="D521" s="110">
        <v>11267</v>
      </c>
      <c r="E521" s="111">
        <v>9</v>
      </c>
      <c r="F521" s="111">
        <v>537</v>
      </c>
      <c r="K521" s="134">
        <v>5</v>
      </c>
      <c r="L521" s="151">
        <v>41701</v>
      </c>
      <c r="M521" s="169">
        <v>6</v>
      </c>
      <c r="N521" s="151">
        <v>41838</v>
      </c>
      <c r="Q521" s="497"/>
      <c r="S521" s="134">
        <v>21.83</v>
      </c>
      <c r="T521" s="151">
        <v>41842</v>
      </c>
      <c r="U521" s="134">
        <v>13.5</v>
      </c>
      <c r="V521" s="151">
        <v>41838</v>
      </c>
      <c r="W521" s="196">
        <v>9</v>
      </c>
      <c r="X521" s="151">
        <v>41829</v>
      </c>
      <c r="Y521" s="134">
        <f t="shared" si="8"/>
        <v>6.2113499999999995</v>
      </c>
      <c r="AC521" s="134">
        <v>44.44</v>
      </c>
      <c r="AD521" s="151">
        <v>41838</v>
      </c>
      <c r="AE521" s="134">
        <v>46.01</v>
      </c>
      <c r="AF521" s="151">
        <v>41838</v>
      </c>
      <c r="AG521" s="197">
        <v>5.3</v>
      </c>
      <c r="AH521" s="151">
        <v>41843</v>
      </c>
      <c r="AI521" s="198">
        <v>7</v>
      </c>
      <c r="AJ521" s="151">
        <v>41778</v>
      </c>
      <c r="AK521" s="199">
        <v>5</v>
      </c>
      <c r="AL521" s="151">
        <v>41709</v>
      </c>
      <c r="BE521" s="200">
        <v>5</v>
      </c>
      <c r="BF521" s="201">
        <v>41555</v>
      </c>
      <c r="BG521" s="203">
        <v>-3.9</v>
      </c>
      <c r="BH521" s="151">
        <v>41842</v>
      </c>
      <c r="BM521" s="204">
        <v>66.900000000000006</v>
      </c>
      <c r="BN521" s="151">
        <v>41842</v>
      </c>
      <c r="BQ521" s="205">
        <v>9.9</v>
      </c>
      <c r="BR521" s="151">
        <v>41842</v>
      </c>
      <c r="BS521" s="206">
        <v>47.5</v>
      </c>
      <c r="BT521" s="151">
        <v>41842</v>
      </c>
      <c r="BU521" s="207">
        <v>13.5</v>
      </c>
      <c r="BV521" s="151">
        <v>41842</v>
      </c>
      <c r="BW521" s="206">
        <v>8.3000000000000007</v>
      </c>
      <c r="BX521" s="151">
        <v>41842</v>
      </c>
      <c r="BY521" s="210">
        <v>6.89</v>
      </c>
      <c r="BZ521" s="151">
        <v>41842</v>
      </c>
      <c r="CA521" s="206">
        <v>31</v>
      </c>
      <c r="CB521" s="151">
        <v>41842</v>
      </c>
      <c r="CC521" s="208">
        <v>5.8</v>
      </c>
      <c r="CD521" s="151">
        <v>41838</v>
      </c>
      <c r="CL521" s="209">
        <v>3</v>
      </c>
      <c r="CM521" s="201">
        <v>41810</v>
      </c>
    </row>
    <row r="522" spans="1:91" ht="15">
      <c r="A522" s="152" t="s">
        <v>7992</v>
      </c>
      <c r="B522" s="110" t="s">
        <v>233</v>
      </c>
      <c r="C522" s="110" t="s">
        <v>381</v>
      </c>
      <c r="D522" s="110">
        <v>10966</v>
      </c>
      <c r="E522" s="111">
        <v>1</v>
      </c>
      <c r="F522" s="111">
        <v>485</v>
      </c>
      <c r="I522" s="185"/>
      <c r="J522" s="185"/>
      <c r="K522" s="191">
        <v>5</v>
      </c>
      <c r="L522" s="151">
        <v>41701</v>
      </c>
      <c r="M522" s="169">
        <v>4.6500000000000004</v>
      </c>
      <c r="N522" s="151">
        <v>41838</v>
      </c>
      <c r="P522" s="191"/>
      <c r="Q522" s="497"/>
      <c r="R522" s="191"/>
      <c r="S522" s="134">
        <v>16.489999999999998</v>
      </c>
      <c r="T522" s="151">
        <v>41842</v>
      </c>
      <c r="U522" s="191">
        <v>13.5</v>
      </c>
      <c r="V522" s="151">
        <v>41838</v>
      </c>
      <c r="W522" s="196">
        <v>9</v>
      </c>
      <c r="X522" s="151">
        <v>41829</v>
      </c>
      <c r="Y522" s="134">
        <f t="shared" si="8"/>
        <v>4.8484299999999996</v>
      </c>
      <c r="Z522" s="191"/>
      <c r="AA522" s="191"/>
      <c r="AB522" s="191"/>
      <c r="AC522" s="191">
        <v>34.44</v>
      </c>
      <c r="AD522" s="151">
        <v>41838</v>
      </c>
      <c r="AE522" s="191">
        <v>35.39</v>
      </c>
      <c r="AF522" s="151">
        <v>41838</v>
      </c>
      <c r="AG522" s="197">
        <v>4.5</v>
      </c>
      <c r="AH522" s="151">
        <v>41843</v>
      </c>
      <c r="AI522" s="198">
        <v>5</v>
      </c>
      <c r="AJ522" s="151">
        <v>41778</v>
      </c>
      <c r="AK522" s="199">
        <v>5</v>
      </c>
      <c r="AL522" s="151">
        <v>41709</v>
      </c>
      <c r="AM522" s="194"/>
      <c r="BE522" s="200">
        <v>5</v>
      </c>
      <c r="BF522" s="201">
        <v>41555</v>
      </c>
      <c r="BG522" s="203">
        <v>-1.6</v>
      </c>
      <c r="BH522" s="151">
        <v>41842</v>
      </c>
      <c r="BM522" s="204">
        <v>64</v>
      </c>
      <c r="BN522" s="151">
        <v>41842</v>
      </c>
      <c r="BQ522" s="205">
        <v>11.6</v>
      </c>
      <c r="BR522" s="151">
        <v>41842</v>
      </c>
      <c r="BS522" s="206">
        <v>46.6</v>
      </c>
      <c r="BT522" s="151">
        <v>41842</v>
      </c>
      <c r="BU522" s="207">
        <v>13.7</v>
      </c>
      <c r="BV522" s="151">
        <v>41842</v>
      </c>
      <c r="BW522" s="206">
        <v>17.7</v>
      </c>
      <c r="BX522" s="151">
        <v>41842</v>
      </c>
      <c r="BY522" s="210">
        <v>7.77</v>
      </c>
      <c r="BZ522" s="151">
        <v>41842</v>
      </c>
      <c r="CA522" s="206">
        <v>30.7</v>
      </c>
      <c r="CB522" s="151">
        <v>41842</v>
      </c>
      <c r="CC522" s="208">
        <v>6.5</v>
      </c>
      <c r="CD522" s="151">
        <v>41838</v>
      </c>
      <c r="CL522" s="209">
        <v>3</v>
      </c>
      <c r="CM522" s="201">
        <v>41810</v>
      </c>
    </row>
    <row r="523" spans="1:91" ht="15">
      <c r="A523" s="152" t="s">
        <v>7992</v>
      </c>
      <c r="B523" s="110" t="s">
        <v>235</v>
      </c>
      <c r="C523" s="110" t="s">
        <v>8082</v>
      </c>
      <c r="D523" s="110">
        <v>11553</v>
      </c>
      <c r="E523" s="111">
        <v>5</v>
      </c>
      <c r="F523" s="111">
        <v>677</v>
      </c>
      <c r="K523" s="134">
        <v>5</v>
      </c>
      <c r="L523" s="151">
        <v>41701</v>
      </c>
      <c r="M523" s="169">
        <v>6.1</v>
      </c>
      <c r="N523" s="151">
        <v>41838</v>
      </c>
      <c r="Q523" s="497"/>
      <c r="S523" s="134">
        <v>21.77</v>
      </c>
      <c r="T523" s="151">
        <v>41842</v>
      </c>
      <c r="U523" s="134">
        <v>13.5</v>
      </c>
      <c r="V523" s="151">
        <v>41838</v>
      </c>
      <c r="W523" s="196">
        <v>9</v>
      </c>
      <c r="X523" s="151">
        <v>41829</v>
      </c>
      <c r="Y523" s="134">
        <f t="shared" si="8"/>
        <v>6.3743199999999991</v>
      </c>
      <c r="AC523" s="134">
        <v>45.19</v>
      </c>
      <c r="AD523" s="151">
        <v>41838</v>
      </c>
      <c r="AE523" s="134">
        <v>46.87</v>
      </c>
      <c r="AF523" s="151">
        <v>41838</v>
      </c>
      <c r="AG523" s="197">
        <v>4.4000000000000004</v>
      </c>
      <c r="AH523" s="151">
        <v>41843</v>
      </c>
      <c r="AI523" s="198">
        <v>7</v>
      </c>
      <c r="AJ523" s="151">
        <v>41778</v>
      </c>
      <c r="AK523" s="199">
        <v>5</v>
      </c>
      <c r="AL523" s="151">
        <v>41709</v>
      </c>
      <c r="BE523" s="200">
        <v>5</v>
      </c>
      <c r="BF523" s="201">
        <v>41555</v>
      </c>
      <c r="BG523" s="203">
        <v>-4.4000000000000004</v>
      </c>
      <c r="BH523" s="151">
        <v>41842</v>
      </c>
      <c r="BM523" s="204">
        <v>63.4</v>
      </c>
      <c r="BN523" s="151">
        <v>41842</v>
      </c>
      <c r="BQ523" s="205">
        <v>11.7</v>
      </c>
      <c r="BR523" s="151">
        <v>41842</v>
      </c>
      <c r="BS523" s="206">
        <v>46.4</v>
      </c>
      <c r="BT523" s="151">
        <v>41842</v>
      </c>
      <c r="BU523" s="207">
        <v>13.6</v>
      </c>
      <c r="BV523" s="151">
        <v>41842</v>
      </c>
      <c r="BW523" s="206">
        <v>17</v>
      </c>
      <c r="BX523" s="151">
        <v>41842</v>
      </c>
      <c r="BY523" s="210">
        <v>7.69</v>
      </c>
      <c r="BZ523" s="151">
        <v>41842</v>
      </c>
      <c r="CA523" s="206">
        <v>30.6</v>
      </c>
      <c r="CB523" s="151">
        <v>41842</v>
      </c>
      <c r="CC523" s="208">
        <v>5.6</v>
      </c>
      <c r="CD523" s="151">
        <v>41838</v>
      </c>
      <c r="CL523" s="209">
        <v>3</v>
      </c>
      <c r="CM523" s="201">
        <v>41810</v>
      </c>
    </row>
    <row r="524" spans="1:91" ht="15">
      <c r="A524" s="152" t="s">
        <v>7992</v>
      </c>
      <c r="B524" s="110" t="s">
        <v>235</v>
      </c>
      <c r="C524" s="110" t="s">
        <v>8081</v>
      </c>
      <c r="D524" s="110">
        <v>11300</v>
      </c>
      <c r="E524" s="111">
        <v>10</v>
      </c>
      <c r="F524" s="111">
        <v>525</v>
      </c>
      <c r="K524" s="134">
        <v>5</v>
      </c>
      <c r="L524" s="151">
        <v>41701</v>
      </c>
      <c r="M524" s="169">
        <v>5.75</v>
      </c>
      <c r="N524" s="151">
        <v>41838</v>
      </c>
      <c r="Q524" s="497"/>
      <c r="S524" s="134">
        <v>20.68</v>
      </c>
      <c r="T524" s="151">
        <v>41842</v>
      </c>
      <c r="U524" s="134">
        <v>13.5</v>
      </c>
      <c r="V524" s="151">
        <v>41838</v>
      </c>
      <c r="W524" s="196">
        <v>9</v>
      </c>
      <c r="X524" s="151">
        <v>41829</v>
      </c>
      <c r="Y524" s="134">
        <f t="shared" si="8"/>
        <v>5.9080600000000008</v>
      </c>
      <c r="AC524" s="134">
        <v>42.59</v>
      </c>
      <c r="AD524" s="151">
        <v>41838</v>
      </c>
      <c r="AE524" s="134">
        <v>44.09</v>
      </c>
      <c r="AF524" s="151">
        <v>41838</v>
      </c>
      <c r="AG524" s="197">
        <v>4.4000000000000004</v>
      </c>
      <c r="AH524" s="151">
        <v>41843</v>
      </c>
      <c r="AI524" s="198">
        <v>7</v>
      </c>
      <c r="AJ524" s="151">
        <v>41778</v>
      </c>
      <c r="AK524" s="199">
        <v>5</v>
      </c>
      <c r="AL524" s="151">
        <v>41709</v>
      </c>
      <c r="BE524" s="200">
        <v>5</v>
      </c>
      <c r="BF524" s="201">
        <v>41555</v>
      </c>
      <c r="BG524" s="203">
        <v>-3</v>
      </c>
      <c r="BH524" s="151">
        <v>41842</v>
      </c>
      <c r="BM524" s="204">
        <v>64.400000000000006</v>
      </c>
      <c r="BN524" s="151">
        <v>41842</v>
      </c>
      <c r="BQ524" s="205">
        <v>11.3</v>
      </c>
      <c r="BR524" s="151">
        <v>41842</v>
      </c>
      <c r="BS524" s="206">
        <v>46.9</v>
      </c>
      <c r="BT524" s="151">
        <v>41842</v>
      </c>
      <c r="BU524" s="207">
        <v>13.4</v>
      </c>
      <c r="BV524" s="151">
        <v>41842</v>
      </c>
      <c r="BW524" s="206">
        <v>16.399999999999999</v>
      </c>
      <c r="BX524" s="151">
        <v>41842</v>
      </c>
      <c r="BY524" s="210">
        <v>7.45</v>
      </c>
      <c r="BZ524" s="151">
        <v>41842</v>
      </c>
      <c r="CA524" s="206">
        <v>30.5</v>
      </c>
      <c r="CB524" s="151">
        <v>41842</v>
      </c>
      <c r="CC524" s="208">
        <v>5.8</v>
      </c>
      <c r="CD524" s="151">
        <v>41838</v>
      </c>
      <c r="CL524" s="209">
        <v>3</v>
      </c>
      <c r="CM524" s="201">
        <v>41810</v>
      </c>
    </row>
    <row r="525" spans="1:91" ht="15">
      <c r="A525" s="152" t="s">
        <v>7992</v>
      </c>
      <c r="B525" s="110" t="s">
        <v>233</v>
      </c>
      <c r="C525" s="110" t="s">
        <v>8083</v>
      </c>
      <c r="D525" s="110">
        <v>11780</v>
      </c>
      <c r="E525" s="111">
        <v>11</v>
      </c>
      <c r="F525" s="111">
        <v>721</v>
      </c>
      <c r="K525" s="134">
        <v>5</v>
      </c>
      <c r="L525" s="151">
        <v>41701</v>
      </c>
      <c r="M525" s="169">
        <v>4.7</v>
      </c>
      <c r="N525" s="151">
        <v>41838</v>
      </c>
      <c r="Q525" s="497"/>
      <c r="S525" s="134">
        <v>17.05</v>
      </c>
      <c r="T525" s="151">
        <v>41842</v>
      </c>
      <c r="U525" s="134">
        <v>13.5</v>
      </c>
      <c r="V525" s="151">
        <v>41838</v>
      </c>
      <c r="W525" s="196">
        <v>9</v>
      </c>
      <c r="X525" s="151">
        <v>41829</v>
      </c>
      <c r="Y525" s="134">
        <f t="shared" si="8"/>
        <v>4.68</v>
      </c>
      <c r="AC525" s="134">
        <v>34.81</v>
      </c>
      <c r="AD525" s="151">
        <v>41838</v>
      </c>
      <c r="AE525" s="134">
        <v>36</v>
      </c>
      <c r="AF525" s="151">
        <v>41838</v>
      </c>
      <c r="AG525" s="197">
        <v>4.4000000000000004</v>
      </c>
      <c r="AH525" s="151">
        <v>41843</v>
      </c>
      <c r="AI525" s="198">
        <v>5</v>
      </c>
      <c r="AJ525" s="151">
        <v>41778</v>
      </c>
      <c r="AK525" s="199">
        <v>5</v>
      </c>
      <c r="AL525" s="151">
        <v>41709</v>
      </c>
      <c r="BE525" s="200">
        <v>5</v>
      </c>
      <c r="BF525" s="201">
        <v>41555</v>
      </c>
      <c r="BG525" s="203">
        <v>-3.9</v>
      </c>
      <c r="BH525" s="151">
        <v>41842</v>
      </c>
      <c r="BM525" s="204">
        <v>63.9</v>
      </c>
      <c r="BN525" s="151">
        <v>41842</v>
      </c>
      <c r="BQ525" s="205">
        <v>11.1</v>
      </c>
      <c r="BR525" s="151">
        <v>41842</v>
      </c>
      <c r="BS525" s="206">
        <v>47.4</v>
      </c>
      <c r="BT525" s="151">
        <v>41842</v>
      </c>
      <c r="BU525" s="207">
        <v>13</v>
      </c>
      <c r="BV525" s="151">
        <v>41842</v>
      </c>
      <c r="BW525" s="206">
        <v>19.3</v>
      </c>
      <c r="BX525" s="151">
        <v>41842</v>
      </c>
      <c r="BY525" s="210">
        <v>7.74</v>
      </c>
      <c r="BZ525" s="151">
        <v>41842</v>
      </c>
      <c r="CA525" s="206">
        <v>29.9</v>
      </c>
      <c r="CB525" s="151">
        <v>41842</v>
      </c>
      <c r="CC525" s="208">
        <v>5.9</v>
      </c>
      <c r="CD525" s="151">
        <v>41838</v>
      </c>
      <c r="CL525" s="209">
        <v>3</v>
      </c>
      <c r="CM525" s="201">
        <v>41810</v>
      </c>
    </row>
    <row r="526" spans="1:91" ht="15">
      <c r="A526" s="152" t="s">
        <v>7993</v>
      </c>
      <c r="B526" s="110" t="s">
        <v>235</v>
      </c>
      <c r="C526" s="110" t="s">
        <v>8082</v>
      </c>
      <c r="D526" s="110">
        <v>11417</v>
      </c>
      <c r="E526" s="111">
        <v>1</v>
      </c>
      <c r="F526" s="111">
        <v>709</v>
      </c>
      <c r="I526" s="373"/>
      <c r="K526" s="194">
        <v>5</v>
      </c>
      <c r="L526" s="151">
        <v>41701</v>
      </c>
      <c r="M526" s="169">
        <v>5.15</v>
      </c>
      <c r="N526" s="151">
        <v>41838</v>
      </c>
      <c r="Q526" s="497"/>
      <c r="S526" s="134">
        <v>18.14</v>
      </c>
      <c r="T526" s="151">
        <v>41842</v>
      </c>
      <c r="U526" s="194">
        <v>13.5</v>
      </c>
      <c r="V526" s="151">
        <v>41838</v>
      </c>
      <c r="W526" s="196">
        <v>1</v>
      </c>
      <c r="X526" s="151">
        <v>41829</v>
      </c>
      <c r="Y526" s="134">
        <f t="shared" si="8"/>
        <v>5.7449000000000003</v>
      </c>
      <c r="AA526" s="194"/>
      <c r="AC526" s="194">
        <v>38.15</v>
      </c>
      <c r="AD526" s="151">
        <v>41838</v>
      </c>
      <c r="AE526" s="137">
        <v>39.619999999999997</v>
      </c>
      <c r="AF526" s="151">
        <v>41838</v>
      </c>
      <c r="AG526" s="197">
        <v>4.9000000000000004</v>
      </c>
      <c r="AH526" s="151">
        <v>41843</v>
      </c>
      <c r="AI526" s="198">
        <v>5</v>
      </c>
      <c r="AJ526" s="151">
        <v>41778</v>
      </c>
      <c r="AK526" s="199">
        <v>4</v>
      </c>
      <c r="AL526" s="151">
        <v>41709</v>
      </c>
      <c r="AM526" s="194"/>
      <c r="BE526" s="200">
        <v>4</v>
      </c>
      <c r="BF526" s="201">
        <v>41555</v>
      </c>
      <c r="BG526" s="203">
        <v>-2.4</v>
      </c>
      <c r="BH526" s="151">
        <v>41842</v>
      </c>
      <c r="BM526" s="204">
        <v>60.2</v>
      </c>
      <c r="BN526" s="151">
        <v>41842</v>
      </c>
      <c r="BQ526" s="205">
        <v>11.6</v>
      </c>
      <c r="BR526" s="151">
        <v>41842</v>
      </c>
      <c r="BS526" s="206">
        <v>45.8</v>
      </c>
      <c r="BT526" s="151">
        <v>41842</v>
      </c>
      <c r="BU526" s="207">
        <v>14.5</v>
      </c>
      <c r="BV526" s="151">
        <v>41842</v>
      </c>
      <c r="BW526" s="206">
        <v>13.6</v>
      </c>
      <c r="BX526" s="151">
        <v>41842</v>
      </c>
      <c r="BY526" s="210">
        <v>7.25</v>
      </c>
      <c r="BZ526" s="151">
        <v>41842</v>
      </c>
      <c r="CA526" s="206">
        <v>32</v>
      </c>
      <c r="CB526" s="151">
        <v>41842</v>
      </c>
      <c r="CC526" s="208">
        <v>5.5</v>
      </c>
      <c r="CD526" s="151">
        <v>41838</v>
      </c>
      <c r="CL526" s="209">
        <v>5</v>
      </c>
      <c r="CM526" s="201">
        <v>41810</v>
      </c>
    </row>
    <row r="527" spans="1:91" ht="15">
      <c r="A527" s="152" t="s">
        <v>7993</v>
      </c>
      <c r="B527" s="110" t="s">
        <v>233</v>
      </c>
      <c r="C527" s="110" t="s">
        <v>381</v>
      </c>
      <c r="D527" s="110">
        <v>11021</v>
      </c>
      <c r="E527" s="111">
        <v>2</v>
      </c>
      <c r="F527" s="111">
        <v>561</v>
      </c>
      <c r="K527" s="134">
        <v>5</v>
      </c>
      <c r="L527" s="151">
        <v>41701</v>
      </c>
      <c r="M527" s="169">
        <v>4</v>
      </c>
      <c r="N527" s="151">
        <v>41838</v>
      </c>
      <c r="Q527" s="497"/>
      <c r="S527" s="134">
        <v>14.47</v>
      </c>
      <c r="T527" s="151">
        <v>41842</v>
      </c>
      <c r="U527" s="134">
        <v>13.5</v>
      </c>
      <c r="V527" s="151">
        <v>41838</v>
      </c>
      <c r="W527" s="196">
        <v>9</v>
      </c>
      <c r="X527" s="151">
        <v>41829</v>
      </c>
      <c r="Y527" s="134">
        <f t="shared" si="8"/>
        <v>4.0177699999999996</v>
      </c>
      <c r="AC527" s="134">
        <v>29.63</v>
      </c>
      <c r="AD527" s="151">
        <v>41838</v>
      </c>
      <c r="AE527" s="134">
        <v>30.67</v>
      </c>
      <c r="AF527" s="151">
        <v>41838</v>
      </c>
      <c r="AG527" s="197">
        <v>4.9000000000000004</v>
      </c>
      <c r="AH527" s="151">
        <v>41843</v>
      </c>
      <c r="AI527" s="198">
        <v>5</v>
      </c>
      <c r="AJ527" s="151">
        <v>41778</v>
      </c>
      <c r="AK527" s="199">
        <v>5</v>
      </c>
      <c r="AL527" s="151">
        <v>41709</v>
      </c>
      <c r="BE527" s="200">
        <v>5</v>
      </c>
      <c r="BF527" s="201">
        <v>41555</v>
      </c>
      <c r="BG527" s="203">
        <v>-2.2000000000000002</v>
      </c>
      <c r="BH527" s="151">
        <v>41842</v>
      </c>
      <c r="BM527" s="204">
        <v>61</v>
      </c>
      <c r="BN527" s="151">
        <v>41842</v>
      </c>
      <c r="BQ527" s="205">
        <v>11.1</v>
      </c>
      <c r="BR527" s="151">
        <v>41842</v>
      </c>
      <c r="BS527" s="206">
        <v>47.2</v>
      </c>
      <c r="BT527" s="151">
        <v>41842</v>
      </c>
      <c r="BU527" s="207">
        <v>13.1</v>
      </c>
      <c r="BV527" s="151">
        <v>41842</v>
      </c>
      <c r="BW527" s="206">
        <v>13.5</v>
      </c>
      <c r="BX527" s="151">
        <v>41842</v>
      </c>
      <c r="BY527" s="210">
        <v>7.23</v>
      </c>
      <c r="BZ527" s="151">
        <v>41842</v>
      </c>
      <c r="CA527" s="206">
        <v>29.8</v>
      </c>
      <c r="CB527" s="151">
        <v>41842</v>
      </c>
      <c r="CC527" s="208">
        <v>5.8</v>
      </c>
      <c r="CD527" s="151">
        <v>41838</v>
      </c>
      <c r="CL527" s="209">
        <v>3</v>
      </c>
      <c r="CM527" s="201">
        <v>41810</v>
      </c>
    </row>
    <row r="528" spans="1:91" ht="15">
      <c r="A528" s="152" t="s">
        <v>7993</v>
      </c>
      <c r="B528" s="110" t="s">
        <v>235</v>
      </c>
      <c r="C528" s="110" t="s">
        <v>8081</v>
      </c>
      <c r="D528" s="110">
        <v>11197</v>
      </c>
      <c r="E528" s="111">
        <v>7</v>
      </c>
      <c r="F528" s="111">
        <v>545</v>
      </c>
      <c r="K528" s="134">
        <v>5</v>
      </c>
      <c r="L528" s="151">
        <v>41701</v>
      </c>
      <c r="M528" s="169">
        <v>5.45</v>
      </c>
      <c r="N528" s="151">
        <v>41838</v>
      </c>
      <c r="Q528" s="497"/>
      <c r="S528" s="134">
        <v>19.36</v>
      </c>
      <c r="T528" s="151">
        <v>41842</v>
      </c>
      <c r="U528" s="134">
        <v>13.5</v>
      </c>
      <c r="V528" s="151">
        <v>41838</v>
      </c>
      <c r="W528" s="196">
        <v>9</v>
      </c>
      <c r="X528" s="151">
        <v>41829</v>
      </c>
      <c r="Y528" s="134">
        <f t="shared" si="8"/>
        <v>5.9050800000000008</v>
      </c>
      <c r="AC528" s="134">
        <v>40.369999999999997</v>
      </c>
      <c r="AD528" s="151">
        <v>41838</v>
      </c>
      <c r="AE528" s="134">
        <v>41.88</v>
      </c>
      <c r="AF528" s="151">
        <v>41838</v>
      </c>
      <c r="AG528" s="197">
        <v>4.8</v>
      </c>
      <c r="AH528" s="151">
        <v>41843</v>
      </c>
      <c r="AI528" s="198">
        <v>5</v>
      </c>
      <c r="AJ528" s="151">
        <v>41778</v>
      </c>
      <c r="AK528" s="199">
        <v>5</v>
      </c>
      <c r="AL528" s="151">
        <v>41709</v>
      </c>
      <c r="BE528" s="200">
        <v>5</v>
      </c>
      <c r="BF528" s="201">
        <v>41555</v>
      </c>
      <c r="BG528" s="203">
        <v>-3.3</v>
      </c>
      <c r="BH528" s="151">
        <v>41842</v>
      </c>
      <c r="BM528" s="204">
        <v>60.2</v>
      </c>
      <c r="BN528" s="151">
        <v>41842</v>
      </c>
      <c r="BQ528" s="205">
        <v>11.6</v>
      </c>
      <c r="BR528" s="151">
        <v>41842</v>
      </c>
      <c r="BS528" s="206">
        <v>46.2</v>
      </c>
      <c r="BT528" s="151">
        <v>41842</v>
      </c>
      <c r="BU528" s="207">
        <v>14.1</v>
      </c>
      <c r="BV528" s="151">
        <v>41842</v>
      </c>
      <c r="BW528" s="206">
        <v>13.5</v>
      </c>
      <c r="BX528" s="151">
        <v>41842</v>
      </c>
      <c r="BY528" s="210">
        <v>7.12</v>
      </c>
      <c r="BZ528" s="151">
        <v>41842</v>
      </c>
      <c r="CA528" s="206">
        <v>31.6</v>
      </c>
      <c r="CB528" s="151">
        <v>41842</v>
      </c>
      <c r="CC528" s="208">
        <v>5.6</v>
      </c>
      <c r="CD528" s="151">
        <v>41838</v>
      </c>
      <c r="CL528" s="209">
        <v>3</v>
      </c>
      <c r="CM528" s="201">
        <v>41810</v>
      </c>
    </row>
    <row r="529" spans="1:91" ht="15">
      <c r="A529" s="152" t="s">
        <v>7993</v>
      </c>
      <c r="B529" s="110" t="s">
        <v>233</v>
      </c>
      <c r="C529" s="110" t="s">
        <v>8083</v>
      </c>
      <c r="D529" s="110">
        <v>11651</v>
      </c>
      <c r="E529" s="111">
        <v>8</v>
      </c>
      <c r="F529" s="111">
        <v>637</v>
      </c>
      <c r="K529" s="134">
        <v>5</v>
      </c>
      <c r="L529" s="151">
        <v>41701</v>
      </c>
      <c r="M529" s="169">
        <v>4.2</v>
      </c>
      <c r="N529" s="151">
        <v>41838</v>
      </c>
      <c r="Q529" s="497"/>
      <c r="S529" s="134">
        <v>15.26</v>
      </c>
      <c r="T529" s="151">
        <v>41842</v>
      </c>
      <c r="U529" s="134">
        <v>13.5</v>
      </c>
      <c r="V529" s="151">
        <v>41838</v>
      </c>
      <c r="W529" s="196">
        <v>9</v>
      </c>
      <c r="X529" s="151">
        <v>41829</v>
      </c>
      <c r="Y529" s="134">
        <f t="shared" si="8"/>
        <v>4.2972300000000008</v>
      </c>
      <c r="AC529" s="134">
        <v>31.11</v>
      </c>
      <c r="AD529" s="151">
        <v>41838</v>
      </c>
      <c r="AE529" s="134">
        <v>32.31</v>
      </c>
      <c r="AF529" s="151">
        <v>41838</v>
      </c>
      <c r="AG529" s="197">
        <v>4.7</v>
      </c>
      <c r="AH529" s="151">
        <v>41843</v>
      </c>
      <c r="AI529" s="198">
        <v>3</v>
      </c>
      <c r="AJ529" s="151">
        <v>41778</v>
      </c>
      <c r="AK529" s="199">
        <v>4</v>
      </c>
      <c r="AL529" s="151">
        <v>41709</v>
      </c>
      <c r="BE529" s="200">
        <v>4</v>
      </c>
      <c r="BF529" s="201">
        <v>41555</v>
      </c>
      <c r="BG529" s="203">
        <v>-6.9</v>
      </c>
      <c r="BH529" s="151">
        <v>41842</v>
      </c>
      <c r="BM529" s="204">
        <v>61.7</v>
      </c>
      <c r="BN529" s="151">
        <v>41842</v>
      </c>
      <c r="BQ529" s="205">
        <v>11.2</v>
      </c>
      <c r="BR529" s="151">
        <v>41842</v>
      </c>
      <c r="BS529" s="206">
        <v>47.2</v>
      </c>
      <c r="BT529" s="151">
        <v>41842</v>
      </c>
      <c r="BU529" s="207">
        <v>13.3</v>
      </c>
      <c r="BV529" s="151">
        <v>41842</v>
      </c>
      <c r="BW529" s="206">
        <v>12.2</v>
      </c>
      <c r="BX529" s="151">
        <v>41842</v>
      </c>
      <c r="BY529" s="210">
        <v>7.13</v>
      </c>
      <c r="BZ529" s="151">
        <v>41842</v>
      </c>
      <c r="CA529" s="206">
        <v>30.4</v>
      </c>
      <c r="CB529" s="151">
        <v>41842</v>
      </c>
      <c r="CC529" s="208">
        <v>5.5</v>
      </c>
      <c r="CD529" s="151">
        <v>41838</v>
      </c>
      <c r="CL529" s="209">
        <v>3</v>
      </c>
      <c r="CM529" s="201">
        <v>41810</v>
      </c>
    </row>
    <row r="530" spans="1:91" ht="15">
      <c r="A530" s="152" t="s">
        <v>7994</v>
      </c>
      <c r="B530" s="110" t="s">
        <v>233</v>
      </c>
      <c r="C530" s="110" t="s">
        <v>381</v>
      </c>
      <c r="D530" s="110">
        <v>10994</v>
      </c>
      <c r="E530" s="111">
        <v>1</v>
      </c>
      <c r="F530" s="111">
        <v>597</v>
      </c>
      <c r="I530" s="373"/>
      <c r="K530" s="194">
        <v>5</v>
      </c>
      <c r="L530" s="151">
        <v>41701</v>
      </c>
      <c r="M530" s="169">
        <v>4.55</v>
      </c>
      <c r="N530" s="151">
        <v>41838</v>
      </c>
      <c r="Q530" s="497"/>
      <c r="S530" s="134">
        <v>16.809999999999999</v>
      </c>
      <c r="T530" s="151">
        <v>41842</v>
      </c>
      <c r="U530" s="194">
        <v>13.5</v>
      </c>
      <c r="V530" s="151">
        <v>41838</v>
      </c>
      <c r="W530" s="196">
        <v>9</v>
      </c>
      <c r="X530" s="151">
        <v>41829</v>
      </c>
      <c r="Y530" s="134">
        <f t="shared" si="8"/>
        <v>4.2779400000000001</v>
      </c>
      <c r="AA530" s="194"/>
      <c r="AC530" s="194">
        <v>33.700000000000003</v>
      </c>
      <c r="AD530" s="151">
        <v>41838</v>
      </c>
      <c r="AE530" s="137">
        <v>34.78</v>
      </c>
      <c r="AF530" s="151">
        <v>41838</v>
      </c>
      <c r="AG530" s="197">
        <v>4.5</v>
      </c>
      <c r="AH530" s="151">
        <v>41843</v>
      </c>
      <c r="AI530" s="198">
        <v>3</v>
      </c>
      <c r="AJ530" s="151">
        <v>41778</v>
      </c>
      <c r="AK530" s="199">
        <v>4</v>
      </c>
      <c r="AL530" s="151">
        <v>41709</v>
      </c>
      <c r="AM530" s="194"/>
      <c r="BE530" s="200">
        <v>4</v>
      </c>
      <c r="BF530" s="201">
        <v>41555</v>
      </c>
      <c r="BG530" s="203">
        <v>-1.6</v>
      </c>
      <c r="BH530" s="151">
        <v>41842</v>
      </c>
      <c r="BM530" s="204">
        <v>67.2</v>
      </c>
      <c r="BN530" s="151">
        <v>41842</v>
      </c>
      <c r="BQ530" s="205">
        <v>10.199999999999999</v>
      </c>
      <c r="BR530" s="151">
        <v>41842</v>
      </c>
      <c r="BS530" s="206">
        <v>48.3</v>
      </c>
      <c r="BT530" s="151">
        <v>41842</v>
      </c>
      <c r="BU530" s="207">
        <v>12.3</v>
      </c>
      <c r="BV530" s="151">
        <v>41842</v>
      </c>
      <c r="BW530" s="206">
        <v>19.100000000000001</v>
      </c>
      <c r="BX530" s="151">
        <v>41842</v>
      </c>
      <c r="BY530" s="210">
        <v>7</v>
      </c>
      <c r="BZ530" s="151">
        <v>41842</v>
      </c>
      <c r="CA530" s="206">
        <v>28.9</v>
      </c>
      <c r="CB530" s="151">
        <v>41842</v>
      </c>
      <c r="CC530" s="208">
        <v>6.1</v>
      </c>
      <c r="CD530" s="151">
        <v>41838</v>
      </c>
      <c r="CL530" s="209">
        <v>3</v>
      </c>
      <c r="CM530" s="201">
        <v>41810</v>
      </c>
    </row>
    <row r="531" spans="1:91" ht="15">
      <c r="A531" s="152" t="s">
        <v>7994</v>
      </c>
      <c r="B531" s="110" t="s">
        <v>235</v>
      </c>
      <c r="C531" s="110" t="s">
        <v>8082</v>
      </c>
      <c r="D531" s="110">
        <v>11462</v>
      </c>
      <c r="E531" s="111">
        <v>2</v>
      </c>
      <c r="F531" s="111">
        <v>745</v>
      </c>
      <c r="K531" s="134">
        <v>5</v>
      </c>
      <c r="L531" s="151">
        <v>41701</v>
      </c>
      <c r="M531" s="169">
        <v>5.65</v>
      </c>
      <c r="N531" s="151">
        <v>41838</v>
      </c>
      <c r="Q531" s="497"/>
      <c r="S531" s="134">
        <v>20.170000000000002</v>
      </c>
      <c r="T531" s="151">
        <v>41842</v>
      </c>
      <c r="U531" s="134">
        <v>13.5</v>
      </c>
      <c r="V531" s="151">
        <v>41838</v>
      </c>
      <c r="W531" s="196">
        <v>9</v>
      </c>
      <c r="X531" s="151">
        <v>41829</v>
      </c>
      <c r="Y531" s="134">
        <f t="shared" si="8"/>
        <v>5.7499399999999987</v>
      </c>
      <c r="AC531" s="134">
        <v>41.85</v>
      </c>
      <c r="AD531" s="151">
        <v>41838</v>
      </c>
      <c r="AE531" s="134">
        <v>42.91</v>
      </c>
      <c r="AF531" s="151">
        <v>41838</v>
      </c>
      <c r="AG531" s="197">
        <v>4.3</v>
      </c>
      <c r="AH531" s="151">
        <v>41843</v>
      </c>
      <c r="AI531" s="198">
        <v>5</v>
      </c>
      <c r="AJ531" s="151">
        <v>41778</v>
      </c>
      <c r="AK531" s="199">
        <v>5</v>
      </c>
      <c r="AL531" s="151">
        <v>41709</v>
      </c>
      <c r="BE531" s="200">
        <v>5</v>
      </c>
      <c r="BF531" s="201">
        <v>41555</v>
      </c>
      <c r="BG531" s="203">
        <v>-2.5</v>
      </c>
      <c r="BH531" s="151">
        <v>41842</v>
      </c>
      <c r="BM531" s="204">
        <v>64.900000000000006</v>
      </c>
      <c r="BN531" s="151">
        <v>41842</v>
      </c>
      <c r="BQ531" s="205">
        <v>10.3</v>
      </c>
      <c r="BR531" s="151">
        <v>41842</v>
      </c>
      <c r="BS531" s="206">
        <v>47</v>
      </c>
      <c r="BT531" s="151">
        <v>41842</v>
      </c>
      <c r="BU531" s="207">
        <v>13.4</v>
      </c>
      <c r="BV531" s="151">
        <v>41842</v>
      </c>
      <c r="BW531" s="206">
        <v>17.8</v>
      </c>
      <c r="BX531" s="151">
        <v>41842</v>
      </c>
      <c r="BY531" s="210">
        <v>7.16</v>
      </c>
      <c r="BZ531" s="151">
        <v>41842</v>
      </c>
      <c r="CA531" s="206">
        <v>30.5</v>
      </c>
      <c r="CB531" s="151">
        <v>41842</v>
      </c>
      <c r="CC531" s="208">
        <v>6.7</v>
      </c>
      <c r="CD531" s="151">
        <v>41838</v>
      </c>
      <c r="CL531" s="209">
        <v>3</v>
      </c>
      <c r="CM531" s="201">
        <v>41810</v>
      </c>
    </row>
    <row r="532" spans="1:91" ht="15">
      <c r="A532" s="152" t="s">
        <v>7994</v>
      </c>
      <c r="B532" s="110" t="s">
        <v>233</v>
      </c>
      <c r="C532" s="110" t="s">
        <v>8083</v>
      </c>
      <c r="D532" s="110">
        <v>11650</v>
      </c>
      <c r="E532" s="111">
        <v>8</v>
      </c>
      <c r="F532" s="111">
        <v>633</v>
      </c>
      <c r="K532" s="134">
        <v>5</v>
      </c>
      <c r="L532" s="151">
        <v>41701</v>
      </c>
      <c r="M532" s="169">
        <v>4.7</v>
      </c>
      <c r="N532" s="151">
        <v>41838</v>
      </c>
      <c r="Q532" s="497"/>
      <c r="S532" s="134">
        <v>17.260000000000002</v>
      </c>
      <c r="T532" s="151">
        <v>41842</v>
      </c>
      <c r="U532" s="134">
        <v>13.5</v>
      </c>
      <c r="V532" s="151">
        <v>41838</v>
      </c>
      <c r="W532" s="196">
        <v>9</v>
      </c>
      <c r="X532" s="151">
        <v>41829</v>
      </c>
      <c r="Y532" s="134">
        <f t="shared" si="8"/>
        <v>4.5910499999999992</v>
      </c>
      <c r="AC532" s="134">
        <v>34.81</v>
      </c>
      <c r="AD532" s="151">
        <v>41838</v>
      </c>
      <c r="AE532" s="134">
        <v>36.15</v>
      </c>
      <c r="AF532" s="151">
        <v>41838</v>
      </c>
      <c r="AG532" s="197">
        <v>4.5999999999999996</v>
      </c>
      <c r="AH532" s="151">
        <v>41843</v>
      </c>
      <c r="AI532" s="198">
        <v>3</v>
      </c>
      <c r="AJ532" s="151">
        <v>41778</v>
      </c>
      <c r="AK532" s="199">
        <v>4</v>
      </c>
      <c r="AL532" s="151">
        <v>41709</v>
      </c>
      <c r="BE532" s="200">
        <v>4</v>
      </c>
      <c r="BF532" s="201">
        <v>41555</v>
      </c>
      <c r="BG532" s="203">
        <v>-6.1</v>
      </c>
      <c r="BH532" s="151">
        <v>41842</v>
      </c>
      <c r="BM532" s="204">
        <v>63.8</v>
      </c>
      <c r="BN532" s="151">
        <v>41842</v>
      </c>
      <c r="BQ532" s="205">
        <v>11</v>
      </c>
      <c r="BR532" s="151">
        <v>41842</v>
      </c>
      <c r="BS532" s="206">
        <v>47.7</v>
      </c>
      <c r="BT532" s="151">
        <v>41842</v>
      </c>
      <c r="BU532" s="207">
        <v>12.7</v>
      </c>
      <c r="BV532" s="151">
        <v>41842</v>
      </c>
      <c r="BW532" s="206">
        <v>19.3</v>
      </c>
      <c r="BX532" s="151">
        <v>41842</v>
      </c>
      <c r="BY532" s="210">
        <v>7.18</v>
      </c>
      <c r="BZ532" s="151">
        <v>41842</v>
      </c>
      <c r="CA532" s="206">
        <v>29.3</v>
      </c>
      <c r="CB532" s="151">
        <v>41842</v>
      </c>
      <c r="CC532" s="208">
        <v>5.5</v>
      </c>
      <c r="CD532" s="151">
        <v>41838</v>
      </c>
      <c r="CL532" s="209">
        <v>3</v>
      </c>
      <c r="CM532" s="201">
        <v>41810</v>
      </c>
    </row>
    <row r="533" spans="1:91" ht="15">
      <c r="A533" s="152" t="s">
        <v>7994</v>
      </c>
      <c r="B533" s="110" t="s">
        <v>235</v>
      </c>
      <c r="C533" s="110" t="s">
        <v>8081</v>
      </c>
      <c r="D533" s="110">
        <v>11330</v>
      </c>
      <c r="E533" s="111">
        <v>11</v>
      </c>
      <c r="F533" s="111">
        <v>501</v>
      </c>
      <c r="K533" s="134">
        <v>5</v>
      </c>
      <c r="L533" s="151">
        <v>41701</v>
      </c>
      <c r="M533" s="169">
        <v>6</v>
      </c>
      <c r="N533" s="151">
        <v>41838</v>
      </c>
      <c r="Q533" s="497"/>
      <c r="S533" s="134">
        <v>21.51</v>
      </c>
      <c r="T533" s="151">
        <v>41842</v>
      </c>
      <c r="U533" s="134">
        <v>13.5</v>
      </c>
      <c r="V533" s="151">
        <v>41838</v>
      </c>
      <c r="W533" s="196">
        <v>9</v>
      </c>
      <c r="X533" s="151">
        <v>41829</v>
      </c>
      <c r="Y533" s="134">
        <f t="shared" si="8"/>
        <v>5.8700800000000006</v>
      </c>
      <c r="AC533" s="134">
        <v>44.44</v>
      </c>
      <c r="AD533" s="151">
        <v>41838</v>
      </c>
      <c r="AE533" s="134">
        <v>45.86</v>
      </c>
      <c r="AF533" s="151">
        <v>41838</v>
      </c>
      <c r="AG533" s="197">
        <v>4.5</v>
      </c>
      <c r="AH533" s="151">
        <v>41843</v>
      </c>
      <c r="AI533" s="198">
        <v>3</v>
      </c>
      <c r="AJ533" s="151">
        <v>41778</v>
      </c>
      <c r="AK533" s="199">
        <v>5</v>
      </c>
      <c r="AL533" s="151">
        <v>41709</v>
      </c>
      <c r="BE533" s="200">
        <v>5</v>
      </c>
      <c r="BF533" s="201">
        <v>41555</v>
      </c>
      <c r="BG533" s="203">
        <v>-4</v>
      </c>
      <c r="BH533" s="151">
        <v>41842</v>
      </c>
      <c r="BM533" s="204">
        <v>64.400000000000006</v>
      </c>
      <c r="BN533" s="151">
        <v>41842</v>
      </c>
      <c r="BQ533" s="205">
        <v>9.9</v>
      </c>
      <c r="BR533" s="151">
        <v>41842</v>
      </c>
      <c r="BS533" s="206">
        <v>46.9</v>
      </c>
      <c r="BT533" s="151">
        <v>41842</v>
      </c>
      <c r="BU533" s="207">
        <v>12.8</v>
      </c>
      <c r="BV533" s="151">
        <v>41842</v>
      </c>
      <c r="BW533" s="206">
        <v>14.9</v>
      </c>
      <c r="BX533" s="151">
        <v>41842</v>
      </c>
      <c r="BY533" s="210">
        <v>7.04</v>
      </c>
      <c r="BZ533" s="151">
        <v>41842</v>
      </c>
      <c r="CA533" s="206">
        <v>29.1</v>
      </c>
      <c r="CB533" s="151">
        <v>41842</v>
      </c>
      <c r="CC533" s="208">
        <v>6.1</v>
      </c>
      <c r="CD533" s="151">
        <v>41838</v>
      </c>
      <c r="CL533" s="209">
        <v>3</v>
      </c>
      <c r="CM533" s="201">
        <v>41810</v>
      </c>
    </row>
    <row r="534" spans="1:91" ht="15">
      <c r="A534" s="152" t="s">
        <v>7995</v>
      </c>
      <c r="B534" s="110" t="s">
        <v>233</v>
      </c>
      <c r="C534" s="110" t="s">
        <v>381</v>
      </c>
      <c r="D534" s="110">
        <v>11118</v>
      </c>
      <c r="E534" s="111">
        <v>5</v>
      </c>
      <c r="F534" s="111">
        <v>517</v>
      </c>
      <c r="K534" s="134">
        <v>5</v>
      </c>
      <c r="L534" s="151">
        <v>41701</v>
      </c>
      <c r="M534" s="169">
        <v>4.25</v>
      </c>
      <c r="N534" s="151">
        <v>41838</v>
      </c>
      <c r="Q534" s="497"/>
      <c r="S534" s="134">
        <v>15.18</v>
      </c>
      <c r="T534" s="151">
        <v>41842</v>
      </c>
      <c r="U534" s="134">
        <v>13.5</v>
      </c>
      <c r="V534" s="151">
        <v>41838</v>
      </c>
      <c r="W534" s="196">
        <v>9</v>
      </c>
      <c r="X534" s="151">
        <v>41829</v>
      </c>
      <c r="Y534" s="134">
        <f t="shared" si="8"/>
        <v>4.1950800000000008</v>
      </c>
      <c r="AC534" s="134">
        <v>31.48</v>
      </c>
      <c r="AD534" s="151">
        <v>41838</v>
      </c>
      <c r="AE534" s="134">
        <v>32.520000000000003</v>
      </c>
      <c r="AF534" s="151">
        <v>41838</v>
      </c>
      <c r="AG534" s="197">
        <v>4.5</v>
      </c>
      <c r="AH534" s="151">
        <v>41843</v>
      </c>
      <c r="AI534" s="198">
        <v>5</v>
      </c>
      <c r="AJ534" s="151">
        <v>41778</v>
      </c>
      <c r="AK534" s="199">
        <v>4</v>
      </c>
      <c r="AL534" s="151">
        <v>41709</v>
      </c>
      <c r="BE534" s="200">
        <v>4</v>
      </c>
      <c r="BF534" s="201">
        <v>41555</v>
      </c>
      <c r="BG534" s="203">
        <v>-0.4</v>
      </c>
      <c r="BH534" s="151">
        <v>41842</v>
      </c>
      <c r="BM534" s="204">
        <v>65.099999999999994</v>
      </c>
      <c r="BN534" s="151">
        <v>41842</v>
      </c>
      <c r="BQ534" s="205">
        <v>10.1</v>
      </c>
      <c r="BR534" s="151">
        <v>41842</v>
      </c>
      <c r="BS534" s="206">
        <v>46.7</v>
      </c>
      <c r="BT534" s="151">
        <v>41842</v>
      </c>
      <c r="BU534" s="207">
        <v>12.9</v>
      </c>
      <c r="BV534" s="151">
        <v>41842</v>
      </c>
      <c r="BW534" s="206">
        <v>8.9</v>
      </c>
      <c r="BX534" s="151">
        <v>41842</v>
      </c>
      <c r="BY534" s="210">
        <v>7.47</v>
      </c>
      <c r="BZ534" s="151">
        <v>41842</v>
      </c>
      <c r="CA534" s="206">
        <v>29.1</v>
      </c>
      <c r="CB534" s="151">
        <v>41842</v>
      </c>
      <c r="CC534" s="208">
        <v>6</v>
      </c>
      <c r="CD534" s="151">
        <v>41838</v>
      </c>
      <c r="CL534" s="209">
        <v>5</v>
      </c>
      <c r="CM534" s="201">
        <v>41810</v>
      </c>
    </row>
    <row r="535" spans="1:91" ht="15">
      <c r="A535" s="152" t="s">
        <v>7995</v>
      </c>
      <c r="B535" s="110" t="s">
        <v>235</v>
      </c>
      <c r="C535" s="110" t="s">
        <v>8082</v>
      </c>
      <c r="D535" s="110">
        <v>11572</v>
      </c>
      <c r="E535" s="111">
        <v>5</v>
      </c>
      <c r="F535" s="111">
        <v>753</v>
      </c>
      <c r="K535" s="134">
        <v>5</v>
      </c>
      <c r="L535" s="151">
        <v>41701</v>
      </c>
      <c r="M535" s="169">
        <v>4.5999999999999996</v>
      </c>
      <c r="N535" s="151">
        <v>41838</v>
      </c>
      <c r="Q535" s="497"/>
      <c r="S535" s="134">
        <v>15.42</v>
      </c>
      <c r="T535" s="151">
        <v>41842</v>
      </c>
      <c r="U535" s="134">
        <v>13.5</v>
      </c>
      <c r="V535" s="151">
        <v>41838</v>
      </c>
      <c r="W535" s="196">
        <v>1</v>
      </c>
      <c r="X535" s="151">
        <v>41829</v>
      </c>
      <c r="Y535" s="134">
        <f t="shared" si="8"/>
        <v>5.4038399999999998</v>
      </c>
      <c r="AC535" s="134">
        <v>34.07</v>
      </c>
      <c r="AD535" s="151">
        <v>41838</v>
      </c>
      <c r="AE535" s="134">
        <v>34.64</v>
      </c>
      <c r="AF535" s="151">
        <v>41838</v>
      </c>
      <c r="AG535" s="197">
        <v>4.3</v>
      </c>
      <c r="AH535" s="151">
        <v>41843</v>
      </c>
      <c r="AI535" s="198">
        <v>7</v>
      </c>
      <c r="AJ535" s="151">
        <v>41778</v>
      </c>
      <c r="AK535" s="199">
        <v>4</v>
      </c>
      <c r="AL535" s="151">
        <v>41709</v>
      </c>
      <c r="BE535" s="200">
        <v>4</v>
      </c>
      <c r="BF535" s="201">
        <v>41555</v>
      </c>
      <c r="BG535" s="203">
        <v>-1.9</v>
      </c>
      <c r="BH535" s="151">
        <v>41842</v>
      </c>
      <c r="BM535" s="204">
        <v>61.8</v>
      </c>
      <c r="BN535" s="151">
        <v>41842</v>
      </c>
      <c r="BQ535" s="205">
        <v>11.3</v>
      </c>
      <c r="BR535" s="151">
        <v>41842</v>
      </c>
      <c r="BS535" s="206">
        <v>44.5</v>
      </c>
      <c r="BT535" s="151">
        <v>41842</v>
      </c>
      <c r="BU535" s="207">
        <v>15.6</v>
      </c>
      <c r="BV535" s="151">
        <v>41842</v>
      </c>
      <c r="BW535" s="206">
        <v>9.9</v>
      </c>
      <c r="BX535" s="151">
        <v>41842</v>
      </c>
      <c r="BY535" s="210">
        <v>7.79</v>
      </c>
      <c r="BZ535" s="151">
        <v>41842</v>
      </c>
      <c r="CA535" s="206">
        <v>33.5</v>
      </c>
      <c r="CB535" s="151">
        <v>41842</v>
      </c>
      <c r="CC535" s="208">
        <v>7.5</v>
      </c>
      <c r="CD535" s="151">
        <v>41838</v>
      </c>
      <c r="CL535" s="209">
        <v>5</v>
      </c>
      <c r="CM535" s="201">
        <v>41810</v>
      </c>
    </row>
    <row r="536" spans="1:91" ht="15">
      <c r="A536" s="152" t="s">
        <v>7995</v>
      </c>
      <c r="B536" s="110" t="s">
        <v>233</v>
      </c>
      <c r="C536" s="110" t="s">
        <v>8083</v>
      </c>
      <c r="D536" s="110">
        <v>11613</v>
      </c>
      <c r="E536" s="111">
        <v>7</v>
      </c>
      <c r="F536" s="111">
        <v>629</v>
      </c>
      <c r="K536" s="134">
        <v>5</v>
      </c>
      <c r="L536" s="151">
        <v>41701</v>
      </c>
      <c r="M536" s="169">
        <v>3.55</v>
      </c>
      <c r="N536" s="151">
        <v>41838</v>
      </c>
      <c r="Q536" s="497"/>
      <c r="S536" s="134">
        <v>12.76</v>
      </c>
      <c r="T536" s="151">
        <v>41842</v>
      </c>
      <c r="U536" s="134">
        <v>13.5</v>
      </c>
      <c r="V536" s="151">
        <v>41838</v>
      </c>
      <c r="W536" s="196">
        <v>1</v>
      </c>
      <c r="X536" s="151">
        <v>41829</v>
      </c>
      <c r="Y536" s="134">
        <f t="shared" si="8"/>
        <v>3.56582</v>
      </c>
      <c r="AC536" s="134">
        <v>26.3</v>
      </c>
      <c r="AD536" s="151">
        <v>41838</v>
      </c>
      <c r="AE536" s="134">
        <v>27.22</v>
      </c>
      <c r="AF536" s="151">
        <v>41838</v>
      </c>
      <c r="AG536" s="197">
        <v>4.4000000000000004</v>
      </c>
      <c r="AH536" s="151">
        <v>41843</v>
      </c>
      <c r="AI536" s="198">
        <v>5</v>
      </c>
      <c r="AJ536" s="151">
        <v>41778</v>
      </c>
      <c r="AK536" s="199">
        <v>4</v>
      </c>
      <c r="AL536" s="151">
        <v>41709</v>
      </c>
      <c r="BE536" s="200">
        <v>4</v>
      </c>
      <c r="BF536" s="201">
        <v>41555</v>
      </c>
      <c r="BG536" s="203">
        <v>-5.0999999999999996</v>
      </c>
      <c r="BH536" s="151">
        <v>41842</v>
      </c>
      <c r="BM536" s="204">
        <v>64</v>
      </c>
      <c r="BN536" s="151">
        <v>41842</v>
      </c>
      <c r="BQ536" s="205">
        <v>9.9</v>
      </c>
      <c r="BR536" s="151">
        <v>41842</v>
      </c>
      <c r="BS536" s="206">
        <v>46.9</v>
      </c>
      <c r="BT536" s="151">
        <v>41842</v>
      </c>
      <c r="BU536" s="207">
        <v>13.1</v>
      </c>
      <c r="BV536" s="151">
        <v>41842</v>
      </c>
      <c r="BW536" s="206">
        <v>9.6</v>
      </c>
      <c r="BX536" s="151">
        <v>41842</v>
      </c>
      <c r="BY536" s="210">
        <v>7.7</v>
      </c>
      <c r="BZ536" s="151">
        <v>41842</v>
      </c>
      <c r="CA536" s="206">
        <v>29.6</v>
      </c>
      <c r="CB536" s="151">
        <v>41842</v>
      </c>
      <c r="CC536" s="208">
        <v>5.8</v>
      </c>
      <c r="CD536" s="151">
        <v>41838</v>
      </c>
      <c r="CL536" s="209">
        <v>5</v>
      </c>
      <c r="CM536" s="201">
        <v>41810</v>
      </c>
    </row>
    <row r="537" spans="1:91" ht="15">
      <c r="A537" s="152" t="s">
        <v>7995</v>
      </c>
      <c r="B537" s="110" t="s">
        <v>235</v>
      </c>
      <c r="C537" s="110" t="s">
        <v>8081</v>
      </c>
      <c r="D537" s="110">
        <v>11386</v>
      </c>
      <c r="E537" s="111">
        <v>12</v>
      </c>
      <c r="F537" s="111">
        <v>581</v>
      </c>
      <c r="K537" s="134">
        <v>5</v>
      </c>
      <c r="L537" s="151">
        <v>41701</v>
      </c>
      <c r="M537" s="169">
        <v>3.75</v>
      </c>
      <c r="N537" s="151">
        <v>41838</v>
      </c>
      <c r="Q537" s="497"/>
      <c r="S537" s="134">
        <v>13.19</v>
      </c>
      <c r="T537" s="151">
        <v>41842</v>
      </c>
      <c r="U537" s="134">
        <v>13.5</v>
      </c>
      <c r="V537" s="151">
        <v>41838</v>
      </c>
      <c r="W537" s="196">
        <v>1</v>
      </c>
      <c r="X537" s="151">
        <v>41829</v>
      </c>
      <c r="Y537" s="134">
        <f t="shared" si="8"/>
        <v>4.1399999999999997</v>
      </c>
      <c r="AC537" s="134">
        <v>27.78</v>
      </c>
      <c r="AD537" s="151">
        <v>41838</v>
      </c>
      <c r="AE537" s="134">
        <v>28.75</v>
      </c>
      <c r="AF537" s="151">
        <v>41838</v>
      </c>
      <c r="AG537" s="197">
        <v>4.3</v>
      </c>
      <c r="AH537" s="151">
        <v>41843</v>
      </c>
      <c r="AI537" s="198">
        <v>5</v>
      </c>
      <c r="AJ537" s="151">
        <v>41778</v>
      </c>
      <c r="AK537" s="199">
        <v>4</v>
      </c>
      <c r="AL537" s="151">
        <v>41709</v>
      </c>
      <c r="BE537" s="200">
        <v>4</v>
      </c>
      <c r="BF537" s="201">
        <v>41555</v>
      </c>
      <c r="BG537" s="203">
        <v>-2.5</v>
      </c>
      <c r="BH537" s="151">
        <v>41842</v>
      </c>
      <c r="BM537" s="204">
        <v>64.5</v>
      </c>
      <c r="BN537" s="151">
        <v>41842</v>
      </c>
      <c r="BQ537" s="205">
        <v>10.4</v>
      </c>
      <c r="BR537" s="151">
        <v>41842</v>
      </c>
      <c r="BS537" s="206">
        <v>45.9</v>
      </c>
      <c r="BT537" s="151">
        <v>41842</v>
      </c>
      <c r="BU537" s="207">
        <v>14.4</v>
      </c>
      <c r="BV537" s="151">
        <v>41842</v>
      </c>
      <c r="BW537" s="206">
        <v>11.4</v>
      </c>
      <c r="BX537" s="151">
        <v>41842</v>
      </c>
      <c r="BY537" s="210">
        <v>7.31</v>
      </c>
      <c r="BZ537" s="151">
        <v>41842</v>
      </c>
      <c r="CA537" s="206">
        <v>32</v>
      </c>
      <c r="CB537" s="151">
        <v>41842</v>
      </c>
      <c r="CC537" s="208">
        <v>5.8</v>
      </c>
      <c r="CD537" s="151">
        <v>41838</v>
      </c>
      <c r="CL537" s="209">
        <v>5</v>
      </c>
      <c r="CM537" s="201">
        <v>41810</v>
      </c>
    </row>
    <row r="538" spans="1:91" ht="15">
      <c r="A538" s="152" t="s">
        <v>7996</v>
      </c>
      <c r="B538" s="110" t="s">
        <v>233</v>
      </c>
      <c r="C538" s="110" t="s">
        <v>381</v>
      </c>
      <c r="D538" s="110">
        <v>11066</v>
      </c>
      <c r="E538" s="111">
        <v>3</v>
      </c>
      <c r="F538" s="111">
        <v>597</v>
      </c>
      <c r="K538" s="194">
        <v>7</v>
      </c>
      <c r="L538" s="151">
        <v>41701</v>
      </c>
      <c r="M538" s="169">
        <v>3.8</v>
      </c>
      <c r="N538" s="151">
        <v>41838</v>
      </c>
      <c r="Q538" s="497"/>
      <c r="S538" s="134">
        <v>14.35</v>
      </c>
      <c r="T538" s="151">
        <v>41842</v>
      </c>
      <c r="U538" s="134">
        <v>13.5</v>
      </c>
      <c r="V538" s="151">
        <v>41838</v>
      </c>
      <c r="W538" s="196">
        <v>9</v>
      </c>
      <c r="X538" s="151">
        <v>41829</v>
      </c>
      <c r="Y538" s="134">
        <f t="shared" si="8"/>
        <v>3.7122100000000002</v>
      </c>
      <c r="AC538" s="134">
        <v>28.15</v>
      </c>
      <c r="AD538" s="151">
        <v>41838</v>
      </c>
      <c r="AE538" s="134">
        <v>29.23</v>
      </c>
      <c r="AF538" s="151">
        <v>41838</v>
      </c>
      <c r="AG538" s="197">
        <v>4.4000000000000004</v>
      </c>
      <c r="AH538" s="151">
        <v>41843</v>
      </c>
      <c r="AI538" s="198">
        <v>5</v>
      </c>
      <c r="AJ538" s="151">
        <v>41778</v>
      </c>
      <c r="AK538" s="199">
        <v>7</v>
      </c>
      <c r="AL538" s="151">
        <v>41709</v>
      </c>
      <c r="BE538" s="200">
        <v>7</v>
      </c>
      <c r="BF538" s="201">
        <v>41555</v>
      </c>
      <c r="BG538" s="203">
        <v>0.3</v>
      </c>
      <c r="BH538" s="151">
        <v>41842</v>
      </c>
      <c r="BM538" s="204">
        <v>65.2</v>
      </c>
      <c r="BN538" s="151">
        <v>41842</v>
      </c>
      <c r="BQ538" s="205">
        <v>11</v>
      </c>
      <c r="BR538" s="151">
        <v>41842</v>
      </c>
      <c r="BS538" s="206">
        <v>49.1</v>
      </c>
      <c r="BT538" s="151">
        <v>41842</v>
      </c>
      <c r="BU538" s="207">
        <v>12.7</v>
      </c>
      <c r="BV538" s="151">
        <v>41842</v>
      </c>
      <c r="BW538" s="206">
        <v>14.8</v>
      </c>
      <c r="BX538" s="151">
        <v>41842</v>
      </c>
      <c r="BY538" s="210">
        <v>7.28</v>
      </c>
      <c r="BZ538" s="151">
        <v>41842</v>
      </c>
      <c r="CA538" s="206">
        <v>30.3</v>
      </c>
      <c r="CB538" s="151">
        <v>41842</v>
      </c>
      <c r="CC538" s="208">
        <v>5.5</v>
      </c>
      <c r="CD538" s="151">
        <v>41838</v>
      </c>
      <c r="CL538" s="209">
        <v>3</v>
      </c>
      <c r="CM538" s="201">
        <v>41810</v>
      </c>
    </row>
    <row r="539" spans="1:91" ht="15">
      <c r="A539" s="152" t="s">
        <v>7996</v>
      </c>
      <c r="B539" s="110" t="s">
        <v>235</v>
      </c>
      <c r="C539" s="110" t="s">
        <v>8082</v>
      </c>
      <c r="D539" s="110">
        <v>11536</v>
      </c>
      <c r="E539" s="111">
        <v>4</v>
      </c>
      <c r="F539" s="111">
        <v>753</v>
      </c>
      <c r="K539" s="134">
        <v>5</v>
      </c>
      <c r="L539" s="151">
        <v>41701</v>
      </c>
      <c r="M539" s="169">
        <v>5.4</v>
      </c>
      <c r="N539" s="151">
        <v>41838</v>
      </c>
      <c r="Q539" s="497"/>
      <c r="S539" s="134">
        <v>19.75</v>
      </c>
      <c r="T539" s="151">
        <v>41842</v>
      </c>
      <c r="U539" s="134">
        <v>13.5</v>
      </c>
      <c r="V539" s="151">
        <v>41838</v>
      </c>
      <c r="W539" s="196">
        <v>9</v>
      </c>
      <c r="X539" s="151">
        <v>41829</v>
      </c>
      <c r="Y539" s="134">
        <f t="shared" si="8"/>
        <v>5.7003899999999996</v>
      </c>
      <c r="AC539" s="134">
        <v>40</v>
      </c>
      <c r="AD539" s="151">
        <v>41838</v>
      </c>
      <c r="AE539" s="134">
        <v>41.01</v>
      </c>
      <c r="AF539" s="151">
        <v>41838</v>
      </c>
      <c r="AG539" s="197">
        <v>4.8</v>
      </c>
      <c r="AH539" s="151">
        <v>41843</v>
      </c>
      <c r="AI539" s="198">
        <v>5</v>
      </c>
      <c r="AJ539" s="151">
        <v>41778</v>
      </c>
      <c r="AK539" s="199">
        <v>7</v>
      </c>
      <c r="AL539" s="151">
        <v>41709</v>
      </c>
      <c r="BE539" s="200">
        <v>7</v>
      </c>
      <c r="BF539" s="201">
        <v>41555</v>
      </c>
      <c r="BG539" s="203">
        <v>-2.2000000000000002</v>
      </c>
      <c r="BH539" s="151">
        <v>41842</v>
      </c>
      <c r="BM539" s="204">
        <v>65.099999999999994</v>
      </c>
      <c r="BN539" s="151">
        <v>41842</v>
      </c>
      <c r="BQ539" s="205">
        <v>11.2</v>
      </c>
      <c r="BR539" s="151">
        <v>41842</v>
      </c>
      <c r="BS539" s="206">
        <v>48.2</v>
      </c>
      <c r="BT539" s="151">
        <v>41842</v>
      </c>
      <c r="BU539" s="207">
        <v>13.9</v>
      </c>
      <c r="BV539" s="151">
        <v>41842</v>
      </c>
      <c r="BW539" s="206">
        <v>17.5</v>
      </c>
      <c r="BX539" s="151">
        <v>41842</v>
      </c>
      <c r="BY539" s="210">
        <v>7.19</v>
      </c>
      <c r="BZ539" s="151">
        <v>41842</v>
      </c>
      <c r="CA539" s="206">
        <v>32.299999999999997</v>
      </c>
      <c r="CB539" s="151">
        <v>41842</v>
      </c>
      <c r="CC539" s="208">
        <v>6.7</v>
      </c>
      <c r="CD539" s="151">
        <v>41838</v>
      </c>
      <c r="CL539" s="209">
        <v>3</v>
      </c>
      <c r="CM539" s="201">
        <v>41810</v>
      </c>
    </row>
    <row r="540" spans="1:91" ht="15">
      <c r="A540" s="152" t="s">
        <v>7996</v>
      </c>
      <c r="B540" s="110" t="s">
        <v>235</v>
      </c>
      <c r="C540" s="110" t="s">
        <v>8081</v>
      </c>
      <c r="D540" s="110">
        <v>11327</v>
      </c>
      <c r="E540" s="111">
        <v>11</v>
      </c>
      <c r="F540" s="111">
        <v>489</v>
      </c>
      <c r="K540" s="134">
        <v>5</v>
      </c>
      <c r="L540" s="151">
        <v>41701</v>
      </c>
      <c r="M540" s="169">
        <v>5.65</v>
      </c>
      <c r="N540" s="151">
        <v>41838</v>
      </c>
      <c r="Q540" s="497"/>
      <c r="S540" s="134">
        <v>20.87</v>
      </c>
      <c r="T540" s="151">
        <v>41842</v>
      </c>
      <c r="U540" s="134">
        <v>13.5</v>
      </c>
      <c r="V540" s="151">
        <v>41838</v>
      </c>
      <c r="W540" s="196">
        <v>9</v>
      </c>
      <c r="X540" s="151">
        <v>41829</v>
      </c>
      <c r="Y540" s="134">
        <f t="shared" si="8"/>
        <v>6.0648</v>
      </c>
      <c r="AC540" s="134">
        <v>41.85</v>
      </c>
      <c r="AD540" s="151">
        <v>41838</v>
      </c>
      <c r="AE540" s="134">
        <v>43.32</v>
      </c>
      <c r="AF540" s="151">
        <v>41838</v>
      </c>
      <c r="AG540" s="197">
        <v>4.5999999999999996</v>
      </c>
      <c r="AH540" s="151">
        <v>41843</v>
      </c>
      <c r="AI540" s="198">
        <v>5</v>
      </c>
      <c r="AJ540" s="151">
        <v>41778</v>
      </c>
      <c r="AK540" s="199">
        <v>7</v>
      </c>
      <c r="AL540" s="151">
        <v>41709</v>
      </c>
      <c r="BE540" s="200">
        <v>7</v>
      </c>
      <c r="BF540" s="201">
        <v>41555</v>
      </c>
      <c r="BG540" s="203">
        <v>-1.7</v>
      </c>
      <c r="BH540" s="151">
        <v>41842</v>
      </c>
      <c r="BM540" s="204">
        <v>65</v>
      </c>
      <c r="BN540" s="151">
        <v>41842</v>
      </c>
      <c r="BQ540" s="205">
        <v>11.2</v>
      </c>
      <c r="BR540" s="151">
        <v>41842</v>
      </c>
      <c r="BS540" s="206">
        <v>48.2</v>
      </c>
      <c r="BT540" s="151">
        <v>41842</v>
      </c>
      <c r="BU540" s="207">
        <v>14</v>
      </c>
      <c r="BV540" s="151">
        <v>41842</v>
      </c>
      <c r="BW540" s="206">
        <v>17.600000000000001</v>
      </c>
      <c r="BX540" s="151">
        <v>41842</v>
      </c>
      <c r="BY540" s="210">
        <v>7.06</v>
      </c>
      <c r="BZ540" s="151">
        <v>41842</v>
      </c>
      <c r="CA540" s="206">
        <v>32.6</v>
      </c>
      <c r="CB540" s="151">
        <v>41842</v>
      </c>
      <c r="CC540" s="208">
        <v>5.8</v>
      </c>
      <c r="CD540" s="151">
        <v>41838</v>
      </c>
      <c r="CL540" s="209">
        <v>3</v>
      </c>
      <c r="CM540" s="201">
        <v>41810</v>
      </c>
    </row>
    <row r="541" spans="1:91" ht="15">
      <c r="A541" s="152" t="s">
        <v>7996</v>
      </c>
      <c r="B541" s="110" t="s">
        <v>233</v>
      </c>
      <c r="C541" s="110" t="s">
        <v>8083</v>
      </c>
      <c r="D541" s="110">
        <v>11774</v>
      </c>
      <c r="E541" s="111">
        <v>11</v>
      </c>
      <c r="F541" s="111">
        <v>697</v>
      </c>
      <c r="K541" s="134">
        <v>5</v>
      </c>
      <c r="L541" s="151">
        <v>41701</v>
      </c>
      <c r="M541" s="169">
        <v>3.35</v>
      </c>
      <c r="N541" s="151">
        <v>41838</v>
      </c>
      <c r="Q541" s="497"/>
      <c r="S541" s="134">
        <v>12.67</v>
      </c>
      <c r="T541" s="151">
        <v>41842</v>
      </c>
      <c r="U541" s="134">
        <v>13.5</v>
      </c>
      <c r="V541" s="151">
        <v>41838</v>
      </c>
      <c r="W541" s="196">
        <v>9</v>
      </c>
      <c r="X541" s="151">
        <v>41829</v>
      </c>
      <c r="Y541" s="134">
        <f t="shared" si="8"/>
        <v>3.2212499999999999</v>
      </c>
      <c r="AC541" s="134">
        <v>24.81</v>
      </c>
      <c r="AD541" s="151">
        <v>41838</v>
      </c>
      <c r="AE541" s="134">
        <v>25.77</v>
      </c>
      <c r="AF541" s="151">
        <v>41838</v>
      </c>
      <c r="AG541" s="197">
        <v>4.3</v>
      </c>
      <c r="AH541" s="151">
        <v>41843</v>
      </c>
      <c r="AI541" s="198">
        <v>5</v>
      </c>
      <c r="AJ541" s="151">
        <v>41778</v>
      </c>
      <c r="AK541" s="199">
        <v>7</v>
      </c>
      <c r="AL541" s="151">
        <v>41709</v>
      </c>
      <c r="BE541" s="200">
        <v>7</v>
      </c>
      <c r="BF541" s="201">
        <v>41555</v>
      </c>
      <c r="BG541" s="203">
        <v>-2.8</v>
      </c>
      <c r="BH541" s="151">
        <v>41842</v>
      </c>
      <c r="BM541" s="204">
        <v>65.400000000000006</v>
      </c>
      <c r="BN541" s="151">
        <v>41842</v>
      </c>
      <c r="BQ541" s="205">
        <v>10.4</v>
      </c>
      <c r="BR541" s="151">
        <v>41842</v>
      </c>
      <c r="BS541" s="206">
        <v>49.2</v>
      </c>
      <c r="BT541" s="151">
        <v>41842</v>
      </c>
      <c r="BU541" s="207">
        <v>12.5</v>
      </c>
      <c r="BV541" s="151">
        <v>41842</v>
      </c>
      <c r="BW541" s="206">
        <v>16.100000000000001</v>
      </c>
      <c r="BX541" s="151">
        <v>41842</v>
      </c>
      <c r="BY541" s="210">
        <v>7.22</v>
      </c>
      <c r="BZ541" s="151">
        <v>41842</v>
      </c>
      <c r="CA541" s="206">
        <v>29.8</v>
      </c>
      <c r="CB541" s="151">
        <v>41842</v>
      </c>
      <c r="CC541" s="208">
        <v>5.5</v>
      </c>
      <c r="CD541" s="151">
        <v>41838</v>
      </c>
      <c r="CL541" s="209">
        <v>3</v>
      </c>
      <c r="CM541" s="201">
        <v>41810</v>
      </c>
    </row>
    <row r="542" spans="1:91" ht="15">
      <c r="A542" s="152" t="s">
        <v>7997</v>
      </c>
      <c r="B542" s="110" t="s">
        <v>235</v>
      </c>
      <c r="C542" s="110" t="s">
        <v>8082</v>
      </c>
      <c r="D542" s="110">
        <v>11469</v>
      </c>
      <c r="E542" s="111">
        <v>3</v>
      </c>
      <c r="F542" s="111">
        <v>629</v>
      </c>
      <c r="K542" s="134">
        <v>5</v>
      </c>
      <c r="L542" s="151">
        <v>41701</v>
      </c>
      <c r="M542" s="169">
        <v>4.45</v>
      </c>
      <c r="N542" s="151">
        <v>41838</v>
      </c>
      <c r="Q542" s="497"/>
      <c r="S542" s="134">
        <v>15.23</v>
      </c>
      <c r="T542" s="151">
        <v>41842</v>
      </c>
      <c r="U542" s="134">
        <v>13.5</v>
      </c>
      <c r="V542" s="151">
        <v>41838</v>
      </c>
      <c r="W542" s="196">
        <v>1</v>
      </c>
      <c r="X542" s="151">
        <v>41829</v>
      </c>
      <c r="Y542" s="134">
        <f t="shared" si="8"/>
        <v>5.15212</v>
      </c>
      <c r="AC542" s="134">
        <v>32.96</v>
      </c>
      <c r="AD542" s="151">
        <v>41838</v>
      </c>
      <c r="AE542" s="134">
        <v>34.119999999999997</v>
      </c>
      <c r="AF542" s="151">
        <v>41838</v>
      </c>
      <c r="AG542" s="197">
        <v>4.5</v>
      </c>
      <c r="AH542" s="151">
        <v>41843</v>
      </c>
      <c r="AI542" s="198">
        <v>7</v>
      </c>
      <c r="AJ542" s="151">
        <v>41778</v>
      </c>
      <c r="AK542" s="199">
        <v>5</v>
      </c>
      <c r="AL542" s="151">
        <v>41709</v>
      </c>
      <c r="BE542" s="200">
        <v>5</v>
      </c>
      <c r="BF542" s="201">
        <v>41555</v>
      </c>
      <c r="BG542" s="203">
        <v>-4.0999999999999996</v>
      </c>
      <c r="BH542" s="151">
        <v>41842</v>
      </c>
      <c r="BM542" s="204">
        <v>64</v>
      </c>
      <c r="BN542" s="151">
        <v>41842</v>
      </c>
      <c r="BQ542" s="205">
        <v>11.4</v>
      </c>
      <c r="BR542" s="151">
        <v>41842</v>
      </c>
      <c r="BS542" s="206">
        <v>44.6</v>
      </c>
      <c r="BT542" s="151">
        <v>41842</v>
      </c>
      <c r="BU542" s="207">
        <v>15.1</v>
      </c>
      <c r="BV542" s="151">
        <v>41842</v>
      </c>
      <c r="BW542" s="206">
        <v>9.3000000000000007</v>
      </c>
      <c r="BX542" s="151">
        <v>41842</v>
      </c>
      <c r="BY542" s="210">
        <v>7.26</v>
      </c>
      <c r="BZ542" s="151">
        <v>41842</v>
      </c>
      <c r="CA542" s="206">
        <v>32.6</v>
      </c>
      <c r="CB542" s="151">
        <v>41842</v>
      </c>
      <c r="CC542" s="208">
        <v>5.8</v>
      </c>
      <c r="CD542" s="151">
        <v>41838</v>
      </c>
      <c r="CL542" s="209">
        <v>5</v>
      </c>
      <c r="CM542" s="201">
        <v>41810</v>
      </c>
    </row>
    <row r="543" spans="1:91" ht="15">
      <c r="A543" s="152" t="s">
        <v>7997</v>
      </c>
      <c r="B543" s="110" t="s">
        <v>233</v>
      </c>
      <c r="C543" s="110" t="s">
        <v>381</v>
      </c>
      <c r="D543" s="110">
        <v>11072</v>
      </c>
      <c r="E543" s="111">
        <v>4</v>
      </c>
      <c r="F543" s="111">
        <v>477</v>
      </c>
      <c r="K543" s="134">
        <v>5</v>
      </c>
      <c r="L543" s="151">
        <v>41701</v>
      </c>
      <c r="M543" s="169">
        <v>3.35</v>
      </c>
      <c r="N543" s="151">
        <v>41838</v>
      </c>
      <c r="Q543" s="497"/>
      <c r="S543" s="134">
        <v>11.41</v>
      </c>
      <c r="T543" s="151">
        <v>41842</v>
      </c>
      <c r="U543" s="134">
        <v>13.5</v>
      </c>
      <c r="V543" s="151">
        <v>41838</v>
      </c>
      <c r="W543" s="196">
        <v>1</v>
      </c>
      <c r="X543" s="151">
        <v>41829</v>
      </c>
      <c r="Y543" s="134">
        <f t="shared" si="8"/>
        <v>3.9177599999999999</v>
      </c>
      <c r="AC543" s="134">
        <v>24.81</v>
      </c>
      <c r="AD543" s="151">
        <v>41838</v>
      </c>
      <c r="AE543" s="134">
        <v>25.44</v>
      </c>
      <c r="AF543" s="151">
        <v>41838</v>
      </c>
      <c r="AG543" s="197">
        <v>4.3</v>
      </c>
      <c r="AH543" s="151">
        <v>41843</v>
      </c>
      <c r="AI543" s="198">
        <v>5</v>
      </c>
      <c r="AJ543" s="151">
        <v>41778</v>
      </c>
      <c r="AK543" s="199">
        <v>5</v>
      </c>
      <c r="AL543" s="151">
        <v>41709</v>
      </c>
      <c r="BE543" s="200">
        <v>5</v>
      </c>
      <c r="BF543" s="201">
        <v>41555</v>
      </c>
      <c r="BG543" s="203">
        <v>-4.4000000000000004</v>
      </c>
      <c r="BH543" s="151">
        <v>41842</v>
      </c>
      <c r="BM543" s="204">
        <v>65.599999999999994</v>
      </c>
      <c r="BN543" s="151">
        <v>41842</v>
      </c>
      <c r="BQ543" s="205">
        <v>11.5</v>
      </c>
      <c r="BR543" s="151">
        <v>41842</v>
      </c>
      <c r="BS543" s="206">
        <v>44.8</v>
      </c>
      <c r="BT543" s="151">
        <v>41842</v>
      </c>
      <c r="BU543" s="207">
        <v>15.4</v>
      </c>
      <c r="BV543" s="151">
        <v>41842</v>
      </c>
      <c r="BW543" s="206">
        <v>11.4</v>
      </c>
      <c r="BX543" s="151">
        <v>41842</v>
      </c>
      <c r="BY543" s="210">
        <v>7.45</v>
      </c>
      <c r="BZ543" s="151">
        <v>41842</v>
      </c>
      <c r="CA543" s="206">
        <v>33.4</v>
      </c>
      <c r="CB543" s="151">
        <v>41842</v>
      </c>
      <c r="CC543" s="208">
        <v>6.7</v>
      </c>
      <c r="CD543" s="151">
        <v>41838</v>
      </c>
      <c r="CL543" s="209">
        <v>5</v>
      </c>
      <c r="CM543" s="201">
        <v>41810</v>
      </c>
    </row>
    <row r="544" spans="1:91" ht="15">
      <c r="A544" s="152" t="s">
        <v>7997</v>
      </c>
      <c r="B544" s="110" t="s">
        <v>235</v>
      </c>
      <c r="C544" s="110" t="s">
        <v>8081</v>
      </c>
      <c r="D544" s="110">
        <v>11336</v>
      </c>
      <c r="E544" s="111">
        <v>11</v>
      </c>
      <c r="F544" s="111">
        <v>525</v>
      </c>
      <c r="K544" s="134">
        <v>5</v>
      </c>
      <c r="L544" s="151">
        <v>41701</v>
      </c>
      <c r="M544" s="169">
        <v>4.0999999999999996</v>
      </c>
      <c r="N544" s="151">
        <v>41838</v>
      </c>
      <c r="Q544" s="497"/>
      <c r="S544" s="134">
        <v>14.03</v>
      </c>
      <c r="T544" s="151">
        <v>41842</v>
      </c>
      <c r="U544" s="134">
        <v>13.5</v>
      </c>
      <c r="V544" s="151">
        <v>41838</v>
      </c>
      <c r="W544" s="196">
        <v>9</v>
      </c>
      <c r="X544" s="151">
        <v>41829</v>
      </c>
      <c r="Y544" s="134">
        <f t="shared" si="8"/>
        <v>4.7429100000000002</v>
      </c>
      <c r="AC544" s="134">
        <v>30.37</v>
      </c>
      <c r="AD544" s="151">
        <v>41838</v>
      </c>
      <c r="AE544" s="134">
        <v>31.41</v>
      </c>
      <c r="AF544" s="151">
        <v>41838</v>
      </c>
      <c r="AG544" s="197">
        <v>4.3</v>
      </c>
      <c r="AH544" s="151">
        <v>41843</v>
      </c>
      <c r="AI544" s="198">
        <v>5</v>
      </c>
      <c r="AJ544" s="151">
        <v>41778</v>
      </c>
      <c r="AK544" s="199">
        <v>5</v>
      </c>
      <c r="AL544" s="151">
        <v>41709</v>
      </c>
      <c r="BE544" s="200">
        <v>5</v>
      </c>
      <c r="BF544" s="201">
        <v>41555</v>
      </c>
      <c r="BG544" s="203">
        <v>-4.0999999999999996</v>
      </c>
      <c r="BH544" s="151">
        <v>41842</v>
      </c>
      <c r="BM544" s="204">
        <v>64</v>
      </c>
      <c r="BN544" s="151">
        <v>41842</v>
      </c>
      <c r="BQ544" s="205">
        <v>11.3</v>
      </c>
      <c r="BR544" s="151">
        <v>41842</v>
      </c>
      <c r="BS544" s="206">
        <v>44.7</v>
      </c>
      <c r="BT544" s="151">
        <v>41842</v>
      </c>
      <c r="BU544" s="207">
        <v>15.1</v>
      </c>
      <c r="BV544" s="151">
        <v>41842</v>
      </c>
      <c r="BW544" s="206">
        <v>9.9</v>
      </c>
      <c r="BX544" s="151">
        <v>41842</v>
      </c>
      <c r="BY544" s="210">
        <v>7.31</v>
      </c>
      <c r="BZ544" s="151">
        <v>41842</v>
      </c>
      <c r="CA544" s="206">
        <v>32.700000000000003</v>
      </c>
      <c r="CB544" s="151">
        <v>41842</v>
      </c>
      <c r="CC544" s="208">
        <v>5.9</v>
      </c>
      <c r="CD544" s="151">
        <v>41838</v>
      </c>
      <c r="CL544" s="209">
        <v>5</v>
      </c>
      <c r="CM544" s="201">
        <v>41810</v>
      </c>
    </row>
    <row r="545" spans="1:91" ht="15">
      <c r="A545" s="152" t="s">
        <v>7997</v>
      </c>
      <c r="B545" s="110" t="s">
        <v>233</v>
      </c>
      <c r="C545" s="110" t="s">
        <v>8083</v>
      </c>
      <c r="D545" s="110">
        <v>11770</v>
      </c>
      <c r="E545" s="111">
        <v>11</v>
      </c>
      <c r="F545" s="111">
        <v>681</v>
      </c>
      <c r="K545" s="134">
        <v>5</v>
      </c>
      <c r="L545" s="151">
        <v>41701</v>
      </c>
      <c r="M545" s="169">
        <v>2.4500000000000002</v>
      </c>
      <c r="N545" s="151">
        <v>41838</v>
      </c>
      <c r="Q545" s="497"/>
      <c r="S545" s="134">
        <v>8.4700000000000006</v>
      </c>
      <c r="T545" s="151">
        <v>41842</v>
      </c>
      <c r="U545" s="134">
        <v>13.5</v>
      </c>
      <c r="V545" s="151">
        <v>41838</v>
      </c>
      <c r="W545" s="196">
        <v>9</v>
      </c>
      <c r="X545" s="151">
        <v>41829</v>
      </c>
      <c r="Y545" s="134">
        <f t="shared" si="8"/>
        <v>2.7</v>
      </c>
      <c r="AC545" s="134">
        <v>18.149999999999999</v>
      </c>
      <c r="AD545" s="151">
        <v>41838</v>
      </c>
      <c r="AE545" s="134">
        <v>18.75</v>
      </c>
      <c r="AF545" s="151">
        <v>41838</v>
      </c>
      <c r="AG545" s="197">
        <v>4.4000000000000004</v>
      </c>
      <c r="AH545" s="151">
        <v>41843</v>
      </c>
      <c r="AI545" s="198">
        <v>5</v>
      </c>
      <c r="AJ545" s="151">
        <v>41778</v>
      </c>
      <c r="AK545" s="199">
        <v>5</v>
      </c>
      <c r="AL545" s="151">
        <v>41709</v>
      </c>
      <c r="BE545" s="200">
        <v>5</v>
      </c>
      <c r="BF545" s="201">
        <v>41555</v>
      </c>
      <c r="BG545" s="203">
        <v>-6.4</v>
      </c>
      <c r="BH545" s="151">
        <v>41842</v>
      </c>
      <c r="BM545" s="204">
        <v>64.599999999999994</v>
      </c>
      <c r="BN545" s="151">
        <v>41842</v>
      </c>
      <c r="BQ545" s="205">
        <v>10.7</v>
      </c>
      <c r="BR545" s="151">
        <v>41842</v>
      </c>
      <c r="BS545" s="206">
        <v>45.2</v>
      </c>
      <c r="BT545" s="151">
        <v>41842</v>
      </c>
      <c r="BU545" s="207">
        <v>14.4</v>
      </c>
      <c r="BV545" s="151">
        <v>41842</v>
      </c>
      <c r="BW545" s="206">
        <v>11.7</v>
      </c>
      <c r="BX545" s="151">
        <v>41842</v>
      </c>
      <c r="BY545" s="210">
        <v>7.39</v>
      </c>
      <c r="BZ545" s="151">
        <v>41842</v>
      </c>
      <c r="CA545" s="206">
        <v>31.3</v>
      </c>
      <c r="CB545" s="151">
        <v>41842</v>
      </c>
      <c r="CC545" s="208">
        <v>6</v>
      </c>
      <c r="CD545" s="151">
        <v>41838</v>
      </c>
      <c r="CL545" s="209">
        <v>7</v>
      </c>
      <c r="CM545" s="201">
        <v>41810</v>
      </c>
    </row>
    <row r="546" spans="1:91" ht="15">
      <c r="A546" s="152" t="s">
        <v>7998</v>
      </c>
      <c r="B546" s="110" t="s">
        <v>235</v>
      </c>
      <c r="C546" s="110" t="s">
        <v>8082</v>
      </c>
      <c r="D546" s="110">
        <v>11478</v>
      </c>
      <c r="E546" s="111">
        <v>3</v>
      </c>
      <c r="F546" s="111">
        <v>665</v>
      </c>
      <c r="K546" s="134">
        <v>5</v>
      </c>
      <c r="L546" s="151">
        <v>41701</v>
      </c>
      <c r="M546" s="169">
        <v>5.6</v>
      </c>
      <c r="N546" s="151">
        <v>41838</v>
      </c>
      <c r="Q546" s="497"/>
      <c r="S546" s="134">
        <v>19.920000000000002</v>
      </c>
      <c r="T546" s="151">
        <v>41842</v>
      </c>
      <c r="U546" s="134">
        <v>13.5</v>
      </c>
      <c r="V546" s="151">
        <v>41838</v>
      </c>
      <c r="W546" s="196">
        <v>9</v>
      </c>
      <c r="X546" s="151">
        <v>41829</v>
      </c>
      <c r="Y546" s="134">
        <f t="shared" si="8"/>
        <v>5.8896299999999995</v>
      </c>
      <c r="AC546" s="134">
        <v>41.48</v>
      </c>
      <c r="AD546" s="151">
        <v>41838</v>
      </c>
      <c r="AE546" s="134">
        <v>42.99</v>
      </c>
      <c r="AF546" s="151">
        <v>41838</v>
      </c>
      <c r="AG546" s="197">
        <v>4.4000000000000004</v>
      </c>
      <c r="AH546" s="151">
        <v>41843</v>
      </c>
      <c r="AI546" s="198">
        <v>7</v>
      </c>
      <c r="AJ546" s="151">
        <v>41778</v>
      </c>
      <c r="AK546" s="199">
        <v>5</v>
      </c>
      <c r="AL546" s="151">
        <v>41709</v>
      </c>
      <c r="BE546" s="200">
        <v>5</v>
      </c>
      <c r="BF546" s="201">
        <v>41555</v>
      </c>
      <c r="BG546" s="203">
        <v>-2.5</v>
      </c>
      <c r="BH546" s="151">
        <v>41842</v>
      </c>
      <c r="BM546" s="204">
        <v>61.4</v>
      </c>
      <c r="BN546" s="151">
        <v>41842</v>
      </c>
      <c r="BQ546" s="205">
        <v>12</v>
      </c>
      <c r="BR546" s="151">
        <v>41842</v>
      </c>
      <c r="BS546" s="206">
        <v>46.3</v>
      </c>
      <c r="BT546" s="151">
        <v>41842</v>
      </c>
      <c r="BU546" s="207">
        <v>13.7</v>
      </c>
      <c r="BV546" s="151">
        <v>41842</v>
      </c>
      <c r="BW546" s="206">
        <v>15.3</v>
      </c>
      <c r="BX546" s="151">
        <v>41842</v>
      </c>
      <c r="BY546" s="210">
        <v>7.23</v>
      </c>
      <c r="BZ546" s="151">
        <v>41842</v>
      </c>
      <c r="CA546" s="206">
        <v>30.6</v>
      </c>
      <c r="CB546" s="151">
        <v>41842</v>
      </c>
      <c r="CC546" s="208">
        <v>5.7</v>
      </c>
      <c r="CD546" s="151">
        <v>41838</v>
      </c>
      <c r="CL546" s="209">
        <v>3</v>
      </c>
      <c r="CM546" s="201">
        <v>41810</v>
      </c>
    </row>
    <row r="547" spans="1:91" ht="15">
      <c r="A547" s="152" t="s">
        <v>7998</v>
      </c>
      <c r="B547" s="110" t="s">
        <v>233</v>
      </c>
      <c r="C547" s="110" t="s">
        <v>381</v>
      </c>
      <c r="D547" s="110">
        <v>11093</v>
      </c>
      <c r="E547" s="111">
        <v>4</v>
      </c>
      <c r="F547" s="111">
        <v>561</v>
      </c>
      <c r="K547" s="134">
        <v>5</v>
      </c>
      <c r="L547" s="151">
        <v>41701</v>
      </c>
      <c r="M547" s="169">
        <v>4.55</v>
      </c>
      <c r="N547" s="151">
        <v>41838</v>
      </c>
      <c r="Q547" s="497"/>
      <c r="S547" s="134">
        <v>16.239999999999998</v>
      </c>
      <c r="T547" s="151">
        <v>41842</v>
      </c>
      <c r="U547" s="134">
        <v>13.5</v>
      </c>
      <c r="V547" s="151">
        <v>41838</v>
      </c>
      <c r="W547" s="196">
        <v>9</v>
      </c>
      <c r="X547" s="151">
        <v>41829</v>
      </c>
      <c r="Y547" s="134">
        <f t="shared" si="8"/>
        <v>4.5758299999999998</v>
      </c>
      <c r="AC547" s="134">
        <v>33.700000000000003</v>
      </c>
      <c r="AD547" s="151">
        <v>41838</v>
      </c>
      <c r="AE547" s="134">
        <v>34.93</v>
      </c>
      <c r="AF547" s="151">
        <v>41838</v>
      </c>
      <c r="AG547" s="197">
        <v>4.5999999999999996</v>
      </c>
      <c r="AH547" s="151">
        <v>41843</v>
      </c>
      <c r="AI547" s="198">
        <v>5</v>
      </c>
      <c r="AJ547" s="151">
        <v>41778</v>
      </c>
      <c r="AK547" s="199">
        <v>7</v>
      </c>
      <c r="AL547" s="151">
        <v>41709</v>
      </c>
      <c r="BE547" s="200">
        <v>7</v>
      </c>
      <c r="BF547" s="201">
        <v>41555</v>
      </c>
      <c r="BG547" s="203">
        <v>-1.9</v>
      </c>
      <c r="BH547" s="151">
        <v>41842</v>
      </c>
      <c r="BM547" s="204">
        <v>62.2</v>
      </c>
      <c r="BN547" s="151">
        <v>41842</v>
      </c>
      <c r="BQ547" s="205">
        <v>11.2</v>
      </c>
      <c r="BR547" s="151">
        <v>41842</v>
      </c>
      <c r="BS547" s="206">
        <v>46.5</v>
      </c>
      <c r="BT547" s="151">
        <v>41842</v>
      </c>
      <c r="BU547" s="207">
        <v>13.1</v>
      </c>
      <c r="BV547" s="151">
        <v>41842</v>
      </c>
      <c r="BW547" s="206">
        <v>17.2</v>
      </c>
      <c r="BX547" s="151">
        <v>41842</v>
      </c>
      <c r="BY547" s="210">
        <v>7.28</v>
      </c>
      <c r="BZ547" s="151">
        <v>41842</v>
      </c>
      <c r="CA547" s="206">
        <v>29.5</v>
      </c>
      <c r="CB547" s="151">
        <v>41842</v>
      </c>
      <c r="CC547" s="208">
        <v>5.7</v>
      </c>
      <c r="CD547" s="151">
        <v>41838</v>
      </c>
      <c r="CL547" s="209">
        <v>3</v>
      </c>
      <c r="CM547" s="201">
        <v>41810</v>
      </c>
    </row>
    <row r="548" spans="1:91" ht="15">
      <c r="A548" s="152" t="s">
        <v>7998</v>
      </c>
      <c r="B548" s="110" t="s">
        <v>235</v>
      </c>
      <c r="C548" s="110" t="s">
        <v>8081</v>
      </c>
      <c r="D548" s="110">
        <v>11367</v>
      </c>
      <c r="E548" s="111">
        <v>12</v>
      </c>
      <c r="F548" s="111">
        <v>505</v>
      </c>
      <c r="K548" s="134">
        <v>5</v>
      </c>
      <c r="L548" s="151">
        <v>41701</v>
      </c>
      <c r="M548" s="169">
        <v>5.35</v>
      </c>
      <c r="N548" s="151">
        <v>41838</v>
      </c>
      <c r="Q548" s="497"/>
      <c r="S548" s="134">
        <v>18.940000000000001</v>
      </c>
      <c r="T548" s="151">
        <v>41842</v>
      </c>
      <c r="U548" s="134">
        <v>13.5</v>
      </c>
      <c r="V548" s="151">
        <v>41838</v>
      </c>
      <c r="W548" s="196">
        <v>9</v>
      </c>
      <c r="X548" s="151">
        <v>41829</v>
      </c>
      <c r="Y548" s="134">
        <f t="shared" si="8"/>
        <v>5.7838200000000004</v>
      </c>
      <c r="AC548" s="134">
        <v>39.630000000000003</v>
      </c>
      <c r="AD548" s="151">
        <v>41838</v>
      </c>
      <c r="AE548" s="134">
        <v>41.02</v>
      </c>
      <c r="AF548" s="151">
        <v>41838</v>
      </c>
      <c r="AG548" s="197">
        <v>4.5999999999999996</v>
      </c>
      <c r="AH548" s="151">
        <v>41843</v>
      </c>
      <c r="AI548" s="198">
        <v>5</v>
      </c>
      <c r="AJ548" s="151">
        <v>41778</v>
      </c>
      <c r="AK548" s="199">
        <v>5</v>
      </c>
      <c r="AL548" s="151">
        <v>41709</v>
      </c>
      <c r="BE548" s="200">
        <v>5</v>
      </c>
      <c r="BF548" s="201">
        <v>41555</v>
      </c>
      <c r="BG548" s="203">
        <v>-1.5</v>
      </c>
      <c r="BH548" s="151">
        <v>41842</v>
      </c>
      <c r="BM548" s="204">
        <v>62.3</v>
      </c>
      <c r="BN548" s="151">
        <v>41842</v>
      </c>
      <c r="BQ548" s="205">
        <v>11.6</v>
      </c>
      <c r="BR548" s="151">
        <v>41842</v>
      </c>
      <c r="BS548" s="206">
        <v>46.2</v>
      </c>
      <c r="BT548" s="151">
        <v>41842</v>
      </c>
      <c r="BU548" s="207">
        <v>14.1</v>
      </c>
      <c r="BV548" s="151">
        <v>41842</v>
      </c>
      <c r="BW548" s="206">
        <v>16.600000000000001</v>
      </c>
      <c r="BX548" s="151">
        <v>41842</v>
      </c>
      <c r="BY548" s="210">
        <v>7.18</v>
      </c>
      <c r="BZ548" s="151">
        <v>41842</v>
      </c>
      <c r="CA548" s="206">
        <v>31.4</v>
      </c>
      <c r="CB548" s="151">
        <v>41842</v>
      </c>
      <c r="CC548" s="208">
        <v>5.8</v>
      </c>
      <c r="CD548" s="151">
        <v>41838</v>
      </c>
      <c r="CL548" s="209">
        <v>3</v>
      </c>
      <c r="CM548" s="201">
        <v>41810</v>
      </c>
    </row>
    <row r="549" spans="1:91" ht="15">
      <c r="A549" s="152" t="s">
        <v>7998</v>
      </c>
      <c r="B549" s="110" t="s">
        <v>233</v>
      </c>
      <c r="C549" s="110" t="s">
        <v>8083</v>
      </c>
      <c r="D549" s="110">
        <v>11810</v>
      </c>
      <c r="E549" s="111">
        <v>12</v>
      </c>
      <c r="F549" s="111">
        <v>697</v>
      </c>
      <c r="K549" s="191">
        <v>3</v>
      </c>
      <c r="L549" s="151">
        <v>41701</v>
      </c>
      <c r="M549" s="169">
        <v>3.95</v>
      </c>
      <c r="N549" s="151">
        <v>41838</v>
      </c>
      <c r="Q549" s="497"/>
      <c r="S549" s="134">
        <v>14.05</v>
      </c>
      <c r="T549" s="151">
        <v>41842</v>
      </c>
      <c r="U549" s="134">
        <v>13.5</v>
      </c>
      <c r="V549" s="151">
        <v>41838</v>
      </c>
      <c r="W549" s="196">
        <v>9</v>
      </c>
      <c r="X549" s="151">
        <v>41829</v>
      </c>
      <c r="Y549" s="134">
        <f t="shared" si="8"/>
        <v>4.1235200000000001</v>
      </c>
      <c r="AC549" s="134">
        <v>29.26</v>
      </c>
      <c r="AD549" s="151">
        <v>41838</v>
      </c>
      <c r="AE549" s="134">
        <v>30.32</v>
      </c>
      <c r="AF549" s="151">
        <v>41838</v>
      </c>
      <c r="AG549" s="197">
        <v>4.7</v>
      </c>
      <c r="AH549" s="151">
        <v>41843</v>
      </c>
      <c r="AI549" s="198">
        <v>5</v>
      </c>
      <c r="AJ549" s="151">
        <v>41778</v>
      </c>
      <c r="AK549" s="199">
        <v>5</v>
      </c>
      <c r="AL549" s="151">
        <v>41709</v>
      </c>
      <c r="BE549" s="200">
        <v>5</v>
      </c>
      <c r="BF549" s="201">
        <v>41555</v>
      </c>
      <c r="BG549" s="203">
        <v>-5.4</v>
      </c>
      <c r="BH549" s="151">
        <v>41842</v>
      </c>
      <c r="BM549" s="204">
        <v>62</v>
      </c>
      <c r="BN549" s="151">
        <v>41842</v>
      </c>
      <c r="BQ549" s="205">
        <v>11.2</v>
      </c>
      <c r="BR549" s="151">
        <v>41842</v>
      </c>
      <c r="BS549" s="206">
        <v>46.4</v>
      </c>
      <c r="BT549" s="151">
        <v>41842</v>
      </c>
      <c r="BU549" s="207">
        <v>13.6</v>
      </c>
      <c r="BV549" s="151">
        <v>41842</v>
      </c>
      <c r="BW549" s="206">
        <v>15.8</v>
      </c>
      <c r="BX549" s="151">
        <v>41842</v>
      </c>
      <c r="BY549" s="210">
        <v>7.2</v>
      </c>
      <c r="BZ549" s="151">
        <v>41842</v>
      </c>
      <c r="CA549" s="206">
        <v>30.4</v>
      </c>
      <c r="CB549" s="151">
        <v>41842</v>
      </c>
      <c r="CC549" s="208">
        <v>5.7</v>
      </c>
      <c r="CD549" s="151">
        <v>41838</v>
      </c>
      <c r="CL549" s="209">
        <v>3</v>
      </c>
      <c r="CM549" s="201">
        <v>41810</v>
      </c>
    </row>
    <row r="550" spans="1:91" ht="15">
      <c r="A550" s="152" t="s">
        <v>7999</v>
      </c>
      <c r="B550" s="110" t="s">
        <v>233</v>
      </c>
      <c r="C550" s="110" t="s">
        <v>381</v>
      </c>
      <c r="D550" s="110">
        <v>11048</v>
      </c>
      <c r="E550" s="111">
        <v>3</v>
      </c>
      <c r="F550" s="111">
        <v>525</v>
      </c>
      <c r="K550" s="134">
        <v>5</v>
      </c>
      <c r="L550" s="151">
        <v>41701</v>
      </c>
      <c r="M550" s="169">
        <v>3.95</v>
      </c>
      <c r="N550" s="151">
        <v>41838</v>
      </c>
      <c r="Q550" s="497"/>
      <c r="S550" s="134">
        <v>14.5</v>
      </c>
      <c r="T550" s="151">
        <v>41842</v>
      </c>
      <c r="U550" s="134">
        <v>13.5</v>
      </c>
      <c r="V550" s="151">
        <v>41838</v>
      </c>
      <c r="W550" s="196">
        <v>9</v>
      </c>
      <c r="X550" s="151">
        <v>41829</v>
      </c>
      <c r="Y550" s="134">
        <f t="shared" si="8"/>
        <v>4.1153599999999999</v>
      </c>
      <c r="AC550" s="134">
        <v>29.26</v>
      </c>
      <c r="AD550" s="151">
        <v>41838</v>
      </c>
      <c r="AE550" s="134">
        <v>30.26</v>
      </c>
      <c r="AF550" s="151">
        <v>41838</v>
      </c>
      <c r="AG550" s="197">
        <v>5.7</v>
      </c>
      <c r="AH550" s="151">
        <v>41843</v>
      </c>
      <c r="AI550" s="198">
        <v>5</v>
      </c>
      <c r="AJ550" s="151">
        <v>41778</v>
      </c>
      <c r="AK550" s="199">
        <v>5</v>
      </c>
      <c r="AL550" s="151">
        <v>41709</v>
      </c>
      <c r="BE550" s="200">
        <v>5</v>
      </c>
      <c r="BF550" s="201">
        <v>41555</v>
      </c>
      <c r="BG550" s="203">
        <v>-6.4</v>
      </c>
      <c r="BH550" s="151">
        <v>41842</v>
      </c>
      <c r="BM550" s="204">
        <v>63.8</v>
      </c>
      <c r="BN550" s="151">
        <v>41842</v>
      </c>
      <c r="BQ550" s="205">
        <v>11.3</v>
      </c>
      <c r="BR550" s="151">
        <v>41842</v>
      </c>
      <c r="BS550" s="206">
        <v>47.9</v>
      </c>
      <c r="BT550" s="151">
        <v>41842</v>
      </c>
      <c r="BU550" s="207">
        <v>13.6</v>
      </c>
      <c r="BV550" s="151">
        <v>41842</v>
      </c>
      <c r="BW550" s="206">
        <v>15.3</v>
      </c>
      <c r="BX550" s="151">
        <v>41842</v>
      </c>
      <c r="BY550" s="210">
        <v>7.18</v>
      </c>
      <c r="BZ550" s="151">
        <v>41842</v>
      </c>
      <c r="CA550" s="206">
        <v>31.7</v>
      </c>
      <c r="CB550" s="151">
        <v>41842</v>
      </c>
      <c r="CC550" s="208">
        <v>5.9</v>
      </c>
      <c r="CD550" s="151">
        <v>41838</v>
      </c>
      <c r="CL550" s="209">
        <v>3</v>
      </c>
      <c r="CM550" s="201">
        <v>41810</v>
      </c>
    </row>
    <row r="551" spans="1:91" ht="15">
      <c r="A551" s="152" t="s">
        <v>7999</v>
      </c>
      <c r="B551" s="110" t="s">
        <v>235</v>
      </c>
      <c r="C551" s="110" t="s">
        <v>8082</v>
      </c>
      <c r="D551" s="110">
        <v>11488</v>
      </c>
      <c r="E551" s="111">
        <v>3</v>
      </c>
      <c r="F551" s="111">
        <v>705</v>
      </c>
      <c r="K551" s="134">
        <v>5</v>
      </c>
      <c r="L551" s="151">
        <v>41701</v>
      </c>
      <c r="M551" s="169">
        <v>5.15</v>
      </c>
      <c r="N551" s="151">
        <v>41838</v>
      </c>
      <c r="Q551" s="497"/>
      <c r="S551" s="134">
        <v>18.71</v>
      </c>
      <c r="T551" s="151">
        <v>41842</v>
      </c>
      <c r="U551" s="134">
        <v>13.5</v>
      </c>
      <c r="V551" s="151">
        <v>41838</v>
      </c>
      <c r="W551" s="196">
        <v>9</v>
      </c>
      <c r="X551" s="151">
        <v>41829</v>
      </c>
      <c r="Y551" s="134">
        <f t="shared" si="8"/>
        <v>5.5737300000000003</v>
      </c>
      <c r="AC551" s="134">
        <v>38.15</v>
      </c>
      <c r="AD551" s="151">
        <v>41838</v>
      </c>
      <c r="AE551" s="134">
        <v>39.53</v>
      </c>
      <c r="AF551" s="151">
        <v>41838</v>
      </c>
      <c r="AG551" s="197">
        <v>5.7</v>
      </c>
      <c r="AH551" s="151">
        <v>41843</v>
      </c>
      <c r="AI551" s="198">
        <v>7</v>
      </c>
      <c r="AJ551" s="151">
        <v>41778</v>
      </c>
      <c r="AK551" s="199">
        <v>5</v>
      </c>
      <c r="AL551" s="151">
        <v>41709</v>
      </c>
      <c r="BE551" s="200">
        <v>5</v>
      </c>
      <c r="BF551" s="201">
        <v>41555</v>
      </c>
      <c r="BG551" s="203">
        <v>-6.1</v>
      </c>
      <c r="BH551" s="151">
        <v>41842</v>
      </c>
      <c r="BM551" s="204">
        <v>64</v>
      </c>
      <c r="BN551" s="151">
        <v>41842</v>
      </c>
      <c r="BQ551" s="205">
        <v>11</v>
      </c>
      <c r="BR551" s="151">
        <v>41842</v>
      </c>
      <c r="BS551" s="206">
        <v>47.3</v>
      </c>
      <c r="BT551" s="151">
        <v>41842</v>
      </c>
      <c r="BU551" s="207">
        <v>14.1</v>
      </c>
      <c r="BV551" s="151">
        <v>41842</v>
      </c>
      <c r="BW551" s="206">
        <v>16</v>
      </c>
      <c r="BX551" s="151">
        <v>41842</v>
      </c>
      <c r="BY551" s="210">
        <v>7.08</v>
      </c>
      <c r="BZ551" s="151">
        <v>41842</v>
      </c>
      <c r="CA551" s="206">
        <v>32.299999999999997</v>
      </c>
      <c r="CB551" s="151">
        <v>41842</v>
      </c>
      <c r="CC551" s="208">
        <v>5.7</v>
      </c>
      <c r="CD551" s="151">
        <v>41838</v>
      </c>
      <c r="CL551" s="209">
        <v>3</v>
      </c>
      <c r="CM551" s="201">
        <v>41810</v>
      </c>
    </row>
    <row r="552" spans="1:91" ht="15">
      <c r="A552" s="152" t="s">
        <v>7999</v>
      </c>
      <c r="B552" s="110" t="s">
        <v>235</v>
      </c>
      <c r="C552" s="110" t="s">
        <v>8081</v>
      </c>
      <c r="D552" s="110">
        <v>11279</v>
      </c>
      <c r="E552" s="111">
        <v>9</v>
      </c>
      <c r="F552" s="111">
        <v>585</v>
      </c>
      <c r="K552" s="194">
        <v>7</v>
      </c>
      <c r="L552" s="151">
        <v>41701</v>
      </c>
      <c r="M552" s="169">
        <v>5.9</v>
      </c>
      <c r="N552" s="151">
        <v>41838</v>
      </c>
      <c r="Q552" s="497"/>
      <c r="S552" s="134">
        <v>21.97</v>
      </c>
      <c r="T552" s="151">
        <v>41842</v>
      </c>
      <c r="U552" s="134">
        <v>13.5</v>
      </c>
      <c r="V552" s="151">
        <v>41838</v>
      </c>
      <c r="W552" s="196">
        <v>9</v>
      </c>
      <c r="X552" s="151">
        <v>41829</v>
      </c>
      <c r="Y552" s="134">
        <f t="shared" si="8"/>
        <v>5.55837</v>
      </c>
      <c r="AC552" s="134">
        <v>43.7</v>
      </c>
      <c r="AD552" s="151">
        <v>41838</v>
      </c>
      <c r="AE552" s="134">
        <v>45.19</v>
      </c>
      <c r="AF552" s="151">
        <v>41838</v>
      </c>
      <c r="AG552" s="197">
        <v>4.8</v>
      </c>
      <c r="AH552" s="151">
        <v>41843</v>
      </c>
      <c r="AI552" s="198">
        <v>7</v>
      </c>
      <c r="AJ552" s="151">
        <v>41778</v>
      </c>
      <c r="AK552" s="199">
        <v>5</v>
      </c>
      <c r="AL552" s="151">
        <v>41709</v>
      </c>
      <c r="BE552" s="200">
        <v>5</v>
      </c>
      <c r="BF552" s="201">
        <v>41555</v>
      </c>
      <c r="BG552" s="203">
        <v>-5.3</v>
      </c>
      <c r="BH552" s="151">
        <v>41842</v>
      </c>
      <c r="BM552" s="204">
        <v>66.2</v>
      </c>
      <c r="BN552" s="151">
        <v>41842</v>
      </c>
      <c r="BQ552" s="205">
        <v>9.5</v>
      </c>
      <c r="BR552" s="151">
        <v>41842</v>
      </c>
      <c r="BS552" s="206">
        <v>48.6</v>
      </c>
      <c r="BT552" s="151">
        <v>41842</v>
      </c>
      <c r="BU552" s="207">
        <v>12.3</v>
      </c>
      <c r="BV552" s="151">
        <v>41842</v>
      </c>
      <c r="BW552" s="206">
        <v>13</v>
      </c>
      <c r="BX552" s="151">
        <v>41842</v>
      </c>
      <c r="BY552" s="210">
        <v>6.95</v>
      </c>
      <c r="BZ552" s="151">
        <v>41842</v>
      </c>
      <c r="CA552" s="206">
        <v>29</v>
      </c>
      <c r="CB552" s="151">
        <v>41842</v>
      </c>
      <c r="CC552" s="208">
        <v>5.9</v>
      </c>
      <c r="CD552" s="151">
        <v>41838</v>
      </c>
      <c r="CL552" s="209">
        <v>3</v>
      </c>
      <c r="CM552" s="201">
        <v>41810</v>
      </c>
    </row>
    <row r="553" spans="1:91" ht="15">
      <c r="A553" s="152" t="s">
        <v>7999</v>
      </c>
      <c r="B553" s="110" t="s">
        <v>233</v>
      </c>
      <c r="C553" s="110" t="s">
        <v>8083</v>
      </c>
      <c r="D553" s="110">
        <v>11802</v>
      </c>
      <c r="E553" s="111">
        <v>12</v>
      </c>
      <c r="F553" s="111">
        <v>665</v>
      </c>
      <c r="K553" s="191">
        <v>3</v>
      </c>
      <c r="L553" s="151">
        <v>41701</v>
      </c>
      <c r="M553" s="169">
        <v>4</v>
      </c>
      <c r="N553" s="151">
        <v>41838</v>
      </c>
      <c r="Q553" s="497"/>
      <c r="S553" s="134">
        <v>15.06</v>
      </c>
      <c r="T553" s="151">
        <v>41842</v>
      </c>
      <c r="U553" s="134">
        <v>13.5</v>
      </c>
      <c r="V553" s="151">
        <v>41838</v>
      </c>
      <c r="W553" s="196">
        <v>9</v>
      </c>
      <c r="X553" s="151">
        <v>41829</v>
      </c>
      <c r="Y553" s="134">
        <f t="shared" si="8"/>
        <v>3.7110700000000003</v>
      </c>
      <c r="AC553" s="134">
        <v>29.63</v>
      </c>
      <c r="AD553" s="151">
        <v>41838</v>
      </c>
      <c r="AE553" s="134">
        <v>30.67</v>
      </c>
      <c r="AF553" s="151">
        <v>41838</v>
      </c>
      <c r="AG553" s="197">
        <v>5.0999999999999996</v>
      </c>
      <c r="AH553" s="151">
        <v>41843</v>
      </c>
      <c r="AI553" s="198">
        <v>5</v>
      </c>
      <c r="AJ553" s="151">
        <v>41778</v>
      </c>
      <c r="AK553" s="199">
        <v>5</v>
      </c>
      <c r="AL553" s="151">
        <v>41709</v>
      </c>
      <c r="BE553" s="200">
        <v>5</v>
      </c>
      <c r="BF553" s="201">
        <v>41555</v>
      </c>
      <c r="BG553" s="203">
        <v>-7.8</v>
      </c>
      <c r="BH553" s="151">
        <v>41842</v>
      </c>
      <c r="BM553" s="204">
        <v>65.400000000000006</v>
      </c>
      <c r="BN553" s="151">
        <v>41842</v>
      </c>
      <c r="BQ553" s="205">
        <v>10.8</v>
      </c>
      <c r="BR553" s="151">
        <v>41842</v>
      </c>
      <c r="BS553" s="206">
        <v>49.1</v>
      </c>
      <c r="BT553" s="151">
        <v>41842</v>
      </c>
      <c r="BU553" s="207">
        <v>12.1</v>
      </c>
      <c r="BV553" s="151">
        <v>41842</v>
      </c>
      <c r="BW553" s="206">
        <v>13.3</v>
      </c>
      <c r="BX553" s="151">
        <v>41842</v>
      </c>
      <c r="BY553" s="210">
        <v>6.9</v>
      </c>
      <c r="BZ553" s="151">
        <v>41842</v>
      </c>
      <c r="CA553" s="206">
        <v>28.9</v>
      </c>
      <c r="CB553" s="151">
        <v>41842</v>
      </c>
      <c r="CC553" s="208">
        <v>5.8</v>
      </c>
      <c r="CD553" s="151">
        <v>41838</v>
      </c>
      <c r="CL553" s="209">
        <v>3</v>
      </c>
      <c r="CM553" s="201">
        <v>41810</v>
      </c>
    </row>
    <row r="554" spans="1:91" ht="15">
      <c r="A554" s="152" t="s">
        <v>8000</v>
      </c>
      <c r="B554" s="110" t="s">
        <v>233</v>
      </c>
      <c r="C554" s="110" t="s">
        <v>381</v>
      </c>
      <c r="D554" s="110">
        <v>11083</v>
      </c>
      <c r="E554" s="111">
        <v>4</v>
      </c>
      <c r="F554" s="111">
        <v>521</v>
      </c>
      <c r="K554" s="134">
        <v>5</v>
      </c>
      <c r="L554" s="151">
        <v>41701</v>
      </c>
      <c r="M554" s="169">
        <v>4.7</v>
      </c>
      <c r="N554" s="151">
        <v>41838</v>
      </c>
      <c r="Q554" s="497"/>
      <c r="S554" s="134">
        <v>16.98</v>
      </c>
      <c r="T554" s="151">
        <v>41842</v>
      </c>
      <c r="U554" s="134">
        <v>13.5</v>
      </c>
      <c r="V554" s="151">
        <v>41838</v>
      </c>
      <c r="W554" s="196">
        <v>9</v>
      </c>
      <c r="X554" s="151">
        <v>41829</v>
      </c>
      <c r="Y554" s="134">
        <f t="shared" si="8"/>
        <v>4.78268</v>
      </c>
      <c r="AC554" s="134">
        <v>34.81</v>
      </c>
      <c r="AD554" s="151">
        <v>41838</v>
      </c>
      <c r="AE554" s="134">
        <v>35.96</v>
      </c>
      <c r="AF554" s="151">
        <v>41838</v>
      </c>
      <c r="AG554" s="197">
        <v>4.2</v>
      </c>
      <c r="AH554" s="151">
        <v>41843</v>
      </c>
      <c r="AI554" s="198">
        <v>3</v>
      </c>
      <c r="AJ554" s="151">
        <v>41778</v>
      </c>
      <c r="AK554" s="199">
        <v>5</v>
      </c>
      <c r="AL554" s="151">
        <v>41709</v>
      </c>
      <c r="BE554" s="200">
        <v>5</v>
      </c>
      <c r="BF554" s="201">
        <v>41555</v>
      </c>
      <c r="BG554" s="203">
        <v>-4.5999999999999996</v>
      </c>
      <c r="BH554" s="151">
        <v>41842</v>
      </c>
      <c r="BM554" s="204">
        <v>65.2</v>
      </c>
      <c r="BN554" s="151">
        <v>41842</v>
      </c>
      <c r="BQ554" s="205">
        <v>10.199999999999999</v>
      </c>
      <c r="BR554" s="151">
        <v>41842</v>
      </c>
      <c r="BS554" s="206">
        <v>47.2</v>
      </c>
      <c r="BT554" s="151">
        <v>41842</v>
      </c>
      <c r="BU554" s="207">
        <v>13.3</v>
      </c>
      <c r="BV554" s="151">
        <v>41842</v>
      </c>
      <c r="BW554" s="206">
        <v>15</v>
      </c>
      <c r="BX554" s="151">
        <v>41842</v>
      </c>
      <c r="BY554" s="210">
        <v>7.6</v>
      </c>
      <c r="BZ554" s="151">
        <v>41842</v>
      </c>
      <c r="CA554" s="206">
        <v>30.4</v>
      </c>
      <c r="CB554" s="151">
        <v>41842</v>
      </c>
      <c r="CC554" s="208">
        <v>6</v>
      </c>
      <c r="CD554" s="151">
        <v>41838</v>
      </c>
      <c r="CL554" s="209">
        <v>3</v>
      </c>
      <c r="CM554" s="201">
        <v>41810</v>
      </c>
    </row>
    <row r="555" spans="1:91" ht="15">
      <c r="A555" s="152" t="s">
        <v>8000</v>
      </c>
      <c r="B555" s="110" t="s">
        <v>235</v>
      </c>
      <c r="C555" s="110" t="s">
        <v>8082</v>
      </c>
      <c r="D555" s="110">
        <v>11547</v>
      </c>
      <c r="E555" s="111">
        <v>5</v>
      </c>
      <c r="F555" s="111">
        <v>653</v>
      </c>
      <c r="K555" s="134">
        <v>5</v>
      </c>
      <c r="L555" s="151">
        <v>41701</v>
      </c>
      <c r="M555" s="169">
        <v>5</v>
      </c>
      <c r="N555" s="151">
        <v>41838</v>
      </c>
      <c r="Q555" s="497"/>
      <c r="S555" s="134">
        <v>17.670000000000002</v>
      </c>
      <c r="T555" s="151">
        <v>41842</v>
      </c>
      <c r="U555" s="134">
        <v>13.5</v>
      </c>
      <c r="V555" s="151">
        <v>41838</v>
      </c>
      <c r="W555" s="196">
        <v>1</v>
      </c>
      <c r="X555" s="151">
        <v>41829</v>
      </c>
      <c r="Y555" s="134">
        <f t="shared" si="8"/>
        <v>5.5094399999999997</v>
      </c>
      <c r="AC555" s="134">
        <v>37.04</v>
      </c>
      <c r="AD555" s="151">
        <v>41838</v>
      </c>
      <c r="AE555" s="134">
        <v>38.26</v>
      </c>
      <c r="AF555" s="151">
        <v>41838</v>
      </c>
      <c r="AG555" s="197">
        <v>4.4000000000000004</v>
      </c>
      <c r="AH555" s="151">
        <v>41843</v>
      </c>
      <c r="AI555" s="198">
        <v>5</v>
      </c>
      <c r="AJ555" s="151">
        <v>41778</v>
      </c>
      <c r="AK555" s="199">
        <v>4</v>
      </c>
      <c r="AL555" s="151">
        <v>41709</v>
      </c>
      <c r="BE555" s="200">
        <v>4</v>
      </c>
      <c r="BF555" s="201">
        <v>41555</v>
      </c>
      <c r="BG555" s="203">
        <v>-3</v>
      </c>
      <c r="BH555" s="151">
        <v>41842</v>
      </c>
      <c r="BM555" s="204">
        <v>63.8</v>
      </c>
      <c r="BN555" s="151">
        <v>41842</v>
      </c>
      <c r="BQ555" s="205">
        <v>10.6</v>
      </c>
      <c r="BR555" s="151">
        <v>41842</v>
      </c>
      <c r="BS555" s="206">
        <v>46.2</v>
      </c>
      <c r="BT555" s="151">
        <v>41842</v>
      </c>
      <c r="BU555" s="207">
        <v>14.4</v>
      </c>
      <c r="BV555" s="151">
        <v>41842</v>
      </c>
      <c r="BW555" s="206">
        <v>20.399999999999999</v>
      </c>
      <c r="BX555" s="151">
        <v>41842</v>
      </c>
      <c r="BY555" s="210">
        <v>7.52</v>
      </c>
      <c r="BZ555" s="151">
        <v>41842</v>
      </c>
      <c r="CA555" s="206">
        <v>32.1</v>
      </c>
      <c r="CB555" s="151">
        <v>41842</v>
      </c>
      <c r="CC555" s="208">
        <v>6</v>
      </c>
      <c r="CD555" s="151">
        <v>41838</v>
      </c>
      <c r="CL555" s="209">
        <v>3</v>
      </c>
      <c r="CM555" s="201">
        <v>41810</v>
      </c>
    </row>
    <row r="556" spans="1:91" ht="15">
      <c r="A556" s="152" t="s">
        <v>8000</v>
      </c>
      <c r="B556" s="110" t="s">
        <v>235</v>
      </c>
      <c r="C556" s="110" t="s">
        <v>8081</v>
      </c>
      <c r="D556" s="110">
        <v>11278</v>
      </c>
      <c r="E556" s="111">
        <v>9</v>
      </c>
      <c r="F556" s="111">
        <v>581</v>
      </c>
      <c r="K556" s="194">
        <v>7</v>
      </c>
      <c r="L556" s="151">
        <v>41701</v>
      </c>
      <c r="M556" s="169">
        <v>4.75</v>
      </c>
      <c r="N556" s="151">
        <v>41838</v>
      </c>
      <c r="Q556" s="497"/>
      <c r="S556" s="134">
        <v>17.13</v>
      </c>
      <c r="T556" s="151">
        <v>41842</v>
      </c>
      <c r="U556" s="134">
        <v>13.5</v>
      </c>
      <c r="V556" s="151">
        <v>41838</v>
      </c>
      <c r="W556" s="196">
        <v>1</v>
      </c>
      <c r="X556" s="151">
        <v>41829</v>
      </c>
      <c r="Y556" s="134">
        <f t="shared" si="8"/>
        <v>4.8385400000000001</v>
      </c>
      <c r="AC556" s="134">
        <v>35.19</v>
      </c>
      <c r="AD556" s="151">
        <v>41838</v>
      </c>
      <c r="AE556" s="134">
        <v>36.380000000000003</v>
      </c>
      <c r="AF556" s="151">
        <v>41838</v>
      </c>
      <c r="AG556" s="197">
        <v>4</v>
      </c>
      <c r="AH556" s="151">
        <v>41843</v>
      </c>
      <c r="AI556" s="198">
        <v>5</v>
      </c>
      <c r="AJ556" s="151">
        <v>41778</v>
      </c>
      <c r="AK556" s="199">
        <v>5</v>
      </c>
      <c r="AL556" s="151">
        <v>41709</v>
      </c>
      <c r="BE556" s="200">
        <v>5</v>
      </c>
      <c r="BF556" s="201">
        <v>41555</v>
      </c>
      <c r="BG556" s="203">
        <v>-2.1</v>
      </c>
      <c r="BH556" s="151">
        <v>41842</v>
      </c>
      <c r="BM556" s="204">
        <v>65.8</v>
      </c>
      <c r="BN556" s="151">
        <v>41842</v>
      </c>
      <c r="BQ556" s="205">
        <v>9.6</v>
      </c>
      <c r="BR556" s="151">
        <v>41842</v>
      </c>
      <c r="BS556" s="206">
        <v>47.1</v>
      </c>
      <c r="BT556" s="151">
        <v>41842</v>
      </c>
      <c r="BU556" s="207">
        <v>13.3</v>
      </c>
      <c r="BV556" s="151">
        <v>41842</v>
      </c>
      <c r="BW556" s="206">
        <v>16.3</v>
      </c>
      <c r="BX556" s="151">
        <v>41842</v>
      </c>
      <c r="BY556" s="210">
        <v>7.23</v>
      </c>
      <c r="BZ556" s="151">
        <v>41842</v>
      </c>
      <c r="CA556" s="206">
        <v>30.2</v>
      </c>
      <c r="CB556" s="151">
        <v>41842</v>
      </c>
      <c r="CC556" s="208">
        <v>5.9</v>
      </c>
      <c r="CD556" s="151">
        <v>41838</v>
      </c>
      <c r="CL556" s="209">
        <v>3</v>
      </c>
      <c r="CM556" s="201">
        <v>41810</v>
      </c>
    </row>
    <row r="557" spans="1:91" ht="15">
      <c r="A557" s="152" t="s">
        <v>8000</v>
      </c>
      <c r="B557" s="110" t="s">
        <v>233</v>
      </c>
      <c r="C557" s="110" t="s">
        <v>8083</v>
      </c>
      <c r="D557" s="110">
        <v>11748</v>
      </c>
      <c r="E557" s="111">
        <v>10</v>
      </c>
      <c r="F557" s="111">
        <v>737</v>
      </c>
      <c r="K557" s="191">
        <v>3</v>
      </c>
      <c r="L557" s="151">
        <v>41701</v>
      </c>
      <c r="M557" s="169">
        <v>3.35</v>
      </c>
      <c r="N557" s="151">
        <v>41838</v>
      </c>
      <c r="Q557" s="497"/>
      <c r="S557" s="134">
        <v>11.95</v>
      </c>
      <c r="T557" s="151">
        <v>41842</v>
      </c>
      <c r="U557" s="134">
        <v>13.5</v>
      </c>
      <c r="V557" s="151">
        <v>41838</v>
      </c>
      <c r="W557" s="196">
        <v>9</v>
      </c>
      <c r="X557" s="151">
        <v>41829</v>
      </c>
      <c r="Y557" s="134">
        <f t="shared" si="8"/>
        <v>3.3620399999999995</v>
      </c>
      <c r="AC557" s="134">
        <v>24.81</v>
      </c>
      <c r="AD557" s="151">
        <v>41838</v>
      </c>
      <c r="AE557" s="134">
        <v>25.47</v>
      </c>
      <c r="AF557" s="151">
        <v>41838</v>
      </c>
      <c r="AG557" s="197">
        <v>4.3</v>
      </c>
      <c r="AH557" s="151">
        <v>41843</v>
      </c>
      <c r="AI557" s="198">
        <v>3</v>
      </c>
      <c r="AJ557" s="151">
        <v>41778</v>
      </c>
      <c r="AK557" s="199">
        <v>5</v>
      </c>
      <c r="AL557" s="151">
        <v>41709</v>
      </c>
      <c r="BE557" s="200">
        <v>5</v>
      </c>
      <c r="BF557" s="201">
        <v>41555</v>
      </c>
      <c r="BG557" s="203">
        <v>-5.0999999999999996</v>
      </c>
      <c r="BH557" s="151">
        <v>41842</v>
      </c>
      <c r="BM557" s="204">
        <v>65.099999999999994</v>
      </c>
      <c r="BN557" s="151">
        <v>41842</v>
      </c>
      <c r="BQ557" s="205">
        <v>10.199999999999999</v>
      </c>
      <c r="BR557" s="151">
        <v>41842</v>
      </c>
      <c r="BS557" s="206">
        <v>46.9</v>
      </c>
      <c r="BT557" s="151">
        <v>41842</v>
      </c>
      <c r="BU557" s="207">
        <v>13.2</v>
      </c>
      <c r="BV557" s="151">
        <v>41842</v>
      </c>
      <c r="BW557" s="206">
        <v>15.1</v>
      </c>
      <c r="BX557" s="151">
        <v>41842</v>
      </c>
      <c r="BY557" s="210">
        <v>7.5</v>
      </c>
      <c r="BZ557" s="151">
        <v>41842</v>
      </c>
      <c r="CA557" s="206">
        <v>30</v>
      </c>
      <c r="CB557" s="151">
        <v>41842</v>
      </c>
      <c r="CC557" s="208">
        <v>6.6</v>
      </c>
      <c r="CD557" s="151">
        <v>41838</v>
      </c>
      <c r="CL557" s="209">
        <v>3</v>
      </c>
      <c r="CM557" s="201">
        <v>41810</v>
      </c>
    </row>
    <row r="558" spans="1:91" ht="15">
      <c r="A558" s="152" t="s">
        <v>8029</v>
      </c>
      <c r="B558" s="110" t="s">
        <v>233</v>
      </c>
      <c r="C558" s="110" t="s">
        <v>381</v>
      </c>
      <c r="D558" s="110">
        <v>10971</v>
      </c>
      <c r="E558" s="111">
        <v>1</v>
      </c>
      <c r="F558" s="111">
        <v>505</v>
      </c>
      <c r="I558" s="373"/>
      <c r="K558" s="194">
        <v>5</v>
      </c>
      <c r="L558" s="151">
        <v>41701</v>
      </c>
      <c r="M558" s="169">
        <v>3.7</v>
      </c>
      <c r="N558" s="151">
        <v>41838</v>
      </c>
      <c r="Q558" s="497"/>
      <c r="S558" s="134">
        <v>13.14</v>
      </c>
      <c r="T558" s="151">
        <v>41842</v>
      </c>
      <c r="U558" s="194">
        <v>13.5</v>
      </c>
      <c r="V558" s="151">
        <v>41838</v>
      </c>
      <c r="W558" s="196">
        <v>9</v>
      </c>
      <c r="X558" s="151">
        <v>41829</v>
      </c>
      <c r="Y558" s="134">
        <f t="shared" si="8"/>
        <v>3.7692200000000002</v>
      </c>
      <c r="AA558" s="194"/>
      <c r="AC558" s="194">
        <v>27.41</v>
      </c>
      <c r="AD558" s="151">
        <v>41838</v>
      </c>
      <c r="AE558" s="137">
        <v>28.34</v>
      </c>
      <c r="AF558" s="151">
        <v>41838</v>
      </c>
      <c r="AG558" s="197">
        <v>4.7</v>
      </c>
      <c r="AH558" s="151">
        <v>41843</v>
      </c>
      <c r="AI558" s="198">
        <v>3</v>
      </c>
      <c r="AJ558" s="151">
        <v>41778</v>
      </c>
      <c r="AK558" s="199">
        <v>4</v>
      </c>
      <c r="AL558" s="151">
        <v>41709</v>
      </c>
      <c r="AM558" s="194"/>
      <c r="BE558" s="200">
        <v>4</v>
      </c>
      <c r="BF558" s="201">
        <v>41555</v>
      </c>
      <c r="BG558" s="203">
        <v>-1.1000000000000001</v>
      </c>
      <c r="BH558" s="151">
        <v>41842</v>
      </c>
      <c r="BM558" s="204">
        <v>69.099999999999994</v>
      </c>
      <c r="BN558" s="151">
        <v>41842</v>
      </c>
      <c r="BQ558" s="205">
        <v>9.9</v>
      </c>
      <c r="BR558" s="151">
        <v>41842</v>
      </c>
      <c r="BS558" s="206">
        <v>46.4</v>
      </c>
      <c r="BT558" s="151">
        <v>41842</v>
      </c>
      <c r="BU558" s="207">
        <v>13.3</v>
      </c>
      <c r="BV558" s="151">
        <v>41842</v>
      </c>
      <c r="BW558" s="206">
        <v>15.8</v>
      </c>
      <c r="BX558" s="151">
        <v>41842</v>
      </c>
      <c r="BY558" s="210">
        <v>7.8</v>
      </c>
      <c r="BZ558" s="151">
        <v>41842</v>
      </c>
      <c r="CA558" s="206">
        <v>29.8</v>
      </c>
      <c r="CB558" s="151">
        <v>41842</v>
      </c>
      <c r="CC558" s="208">
        <v>5.9</v>
      </c>
      <c r="CD558" s="151">
        <v>41838</v>
      </c>
      <c r="CL558" s="209">
        <v>3</v>
      </c>
      <c r="CM558" s="201">
        <v>41810</v>
      </c>
    </row>
    <row r="559" spans="1:91" ht="15">
      <c r="A559" s="152" t="s">
        <v>8029</v>
      </c>
      <c r="B559" s="110" t="s">
        <v>235</v>
      </c>
      <c r="C559" s="110" t="s">
        <v>8082</v>
      </c>
      <c r="D559" s="110">
        <v>11483</v>
      </c>
      <c r="E559" s="111">
        <v>3</v>
      </c>
      <c r="F559" s="111">
        <v>685</v>
      </c>
      <c r="K559" s="134">
        <v>5</v>
      </c>
      <c r="L559" s="151">
        <v>41701</v>
      </c>
      <c r="M559" s="169">
        <v>5.75</v>
      </c>
      <c r="N559" s="151">
        <v>41838</v>
      </c>
      <c r="Q559" s="497"/>
      <c r="S559" s="134">
        <v>20.67</v>
      </c>
      <c r="T559" s="151">
        <v>41842</v>
      </c>
      <c r="U559" s="134">
        <v>13.5</v>
      </c>
      <c r="V559" s="151">
        <v>41838</v>
      </c>
      <c r="W559" s="196">
        <v>9</v>
      </c>
      <c r="X559" s="151">
        <v>41829</v>
      </c>
      <c r="Y559" s="134">
        <f t="shared" si="8"/>
        <v>5.7121199999999996</v>
      </c>
      <c r="AC559" s="134">
        <v>42.59</v>
      </c>
      <c r="AD559" s="151">
        <v>41838</v>
      </c>
      <c r="AE559" s="134">
        <v>44.28</v>
      </c>
      <c r="AF559" s="151">
        <v>41838</v>
      </c>
      <c r="AG559" s="197">
        <v>4.7</v>
      </c>
      <c r="AH559" s="151">
        <v>41843</v>
      </c>
      <c r="AI559" s="198">
        <v>7</v>
      </c>
      <c r="AJ559" s="151">
        <v>41778</v>
      </c>
      <c r="AK559" s="199">
        <v>4</v>
      </c>
      <c r="AL559" s="151">
        <v>41709</v>
      </c>
      <c r="BE559" s="200">
        <v>4</v>
      </c>
      <c r="BF559" s="201">
        <v>41555</v>
      </c>
      <c r="BG559" s="203">
        <v>-4.5</v>
      </c>
      <c r="BH559" s="151">
        <v>41842</v>
      </c>
      <c r="BM559" s="204">
        <v>69.599999999999994</v>
      </c>
      <c r="BN559" s="151">
        <v>41842</v>
      </c>
      <c r="BQ559" s="205">
        <v>9.5</v>
      </c>
      <c r="BR559" s="151">
        <v>41842</v>
      </c>
      <c r="BS559" s="206">
        <v>46.7</v>
      </c>
      <c r="BT559" s="151">
        <v>41842</v>
      </c>
      <c r="BU559" s="207">
        <v>12.9</v>
      </c>
      <c r="BV559" s="151">
        <v>41842</v>
      </c>
      <c r="BW559" s="206">
        <v>16.2</v>
      </c>
      <c r="BX559" s="151">
        <v>41842</v>
      </c>
      <c r="BY559" s="210">
        <v>7.64</v>
      </c>
      <c r="BZ559" s="151">
        <v>41842</v>
      </c>
      <c r="CA559" s="206">
        <v>29.2</v>
      </c>
      <c r="CB559" s="151">
        <v>41842</v>
      </c>
      <c r="CC559" s="208">
        <v>5.4</v>
      </c>
      <c r="CD559" s="151">
        <v>41838</v>
      </c>
      <c r="CL559" s="209">
        <v>3</v>
      </c>
      <c r="CM559" s="201">
        <v>41810</v>
      </c>
    </row>
    <row r="560" spans="1:91" ht="15">
      <c r="A560" s="152" t="s">
        <v>8029</v>
      </c>
      <c r="B560" s="110" t="s">
        <v>233</v>
      </c>
      <c r="C560" s="110" t="s">
        <v>8083</v>
      </c>
      <c r="D560" s="110">
        <v>11678</v>
      </c>
      <c r="E560" s="111">
        <v>8</v>
      </c>
      <c r="F560" s="111">
        <v>745</v>
      </c>
      <c r="K560" s="134">
        <v>5</v>
      </c>
      <c r="L560" s="151">
        <v>41701</v>
      </c>
      <c r="M560" s="169">
        <v>3.9</v>
      </c>
      <c r="N560" s="151">
        <v>41838</v>
      </c>
      <c r="Q560" s="497"/>
      <c r="S560" s="134">
        <v>13.8</v>
      </c>
      <c r="T560" s="151">
        <v>41842</v>
      </c>
      <c r="U560" s="134">
        <v>13.5</v>
      </c>
      <c r="V560" s="151">
        <v>41838</v>
      </c>
      <c r="W560" s="196">
        <v>9</v>
      </c>
      <c r="X560" s="151">
        <v>41829</v>
      </c>
      <c r="Y560" s="134">
        <f t="shared" si="8"/>
        <v>4.0880799999999997</v>
      </c>
      <c r="AC560" s="134">
        <v>28.89</v>
      </c>
      <c r="AD560" s="151">
        <v>41838</v>
      </c>
      <c r="AE560" s="134">
        <v>29.84</v>
      </c>
      <c r="AF560" s="151">
        <v>41838</v>
      </c>
      <c r="AG560" s="197">
        <v>4.7</v>
      </c>
      <c r="AH560" s="151">
        <v>41843</v>
      </c>
      <c r="AI560" s="198">
        <v>5</v>
      </c>
      <c r="AJ560" s="151">
        <v>41778</v>
      </c>
      <c r="AK560" s="199">
        <v>5</v>
      </c>
      <c r="AL560" s="151">
        <v>41709</v>
      </c>
      <c r="BE560" s="200">
        <v>5</v>
      </c>
      <c r="BF560" s="201">
        <v>41555</v>
      </c>
      <c r="BG560" s="203">
        <v>-1.1000000000000001</v>
      </c>
      <c r="BH560" s="151">
        <v>41842</v>
      </c>
      <c r="BM560" s="204">
        <v>68.400000000000006</v>
      </c>
      <c r="BN560" s="151">
        <v>41842</v>
      </c>
      <c r="BQ560" s="205">
        <v>9.8000000000000007</v>
      </c>
      <c r="BR560" s="151">
        <v>41842</v>
      </c>
      <c r="BS560" s="206">
        <v>46.3</v>
      </c>
      <c r="BT560" s="151">
        <v>41842</v>
      </c>
      <c r="BU560" s="207">
        <v>13.7</v>
      </c>
      <c r="BV560" s="151">
        <v>41842</v>
      </c>
      <c r="BW560" s="206">
        <v>19.8</v>
      </c>
      <c r="BX560" s="151">
        <v>41842</v>
      </c>
      <c r="BY560" s="210">
        <v>7.87</v>
      </c>
      <c r="BZ560" s="151">
        <v>41842</v>
      </c>
      <c r="CA560" s="206">
        <v>30.6</v>
      </c>
      <c r="CB560" s="151">
        <v>41842</v>
      </c>
      <c r="CC560" s="208">
        <v>6</v>
      </c>
      <c r="CD560" s="151">
        <v>41838</v>
      </c>
      <c r="CL560" s="209">
        <v>3</v>
      </c>
      <c r="CM560" s="201">
        <v>41810</v>
      </c>
    </row>
    <row r="561" spans="1:91" ht="15">
      <c r="A561" s="152" t="s">
        <v>8029</v>
      </c>
      <c r="B561" s="110" t="s">
        <v>235</v>
      </c>
      <c r="C561" s="110" t="s">
        <v>8081</v>
      </c>
      <c r="D561" s="110">
        <v>11319</v>
      </c>
      <c r="E561" s="111">
        <v>10</v>
      </c>
      <c r="F561" s="111">
        <v>601</v>
      </c>
      <c r="K561" s="134">
        <v>5</v>
      </c>
      <c r="L561" s="151">
        <v>41701</v>
      </c>
      <c r="M561" s="169">
        <v>6.1</v>
      </c>
      <c r="N561" s="151">
        <v>41838</v>
      </c>
      <c r="Q561" s="497"/>
      <c r="S561" s="134">
        <v>21.51</v>
      </c>
      <c r="T561" s="151">
        <v>41842</v>
      </c>
      <c r="U561" s="134">
        <v>13.5</v>
      </c>
      <c r="V561" s="151">
        <v>41838</v>
      </c>
      <c r="W561" s="196">
        <v>9</v>
      </c>
      <c r="X561" s="151">
        <v>41829</v>
      </c>
      <c r="Y561" s="134">
        <f t="shared" si="8"/>
        <v>6.3004500000000005</v>
      </c>
      <c r="AC561" s="134">
        <v>45.19</v>
      </c>
      <c r="AD561" s="151">
        <v>41838</v>
      </c>
      <c r="AE561" s="134">
        <v>46.67</v>
      </c>
      <c r="AF561" s="151">
        <v>41838</v>
      </c>
      <c r="AG561" s="197">
        <v>4.5999999999999996</v>
      </c>
      <c r="AH561" s="151">
        <v>41843</v>
      </c>
      <c r="AI561" s="198">
        <v>7</v>
      </c>
      <c r="AJ561" s="151">
        <v>41778</v>
      </c>
      <c r="AK561" s="199">
        <v>5</v>
      </c>
      <c r="AL561" s="151">
        <v>41709</v>
      </c>
      <c r="BE561" s="200">
        <v>5</v>
      </c>
      <c r="BF561" s="201">
        <v>41555</v>
      </c>
      <c r="BG561" s="203">
        <v>-2</v>
      </c>
      <c r="BH561" s="151">
        <v>41842</v>
      </c>
      <c r="BM561" s="204">
        <v>69.3</v>
      </c>
      <c r="BN561" s="151">
        <v>41842</v>
      </c>
      <c r="BQ561" s="205">
        <v>10</v>
      </c>
      <c r="BR561" s="151">
        <v>41842</v>
      </c>
      <c r="BS561" s="206">
        <v>46.1</v>
      </c>
      <c r="BT561" s="151">
        <v>41842</v>
      </c>
      <c r="BU561" s="207">
        <v>13.5</v>
      </c>
      <c r="BV561" s="151">
        <v>41842</v>
      </c>
      <c r="BW561" s="206">
        <v>15.2</v>
      </c>
      <c r="BX561" s="151">
        <v>41842</v>
      </c>
      <c r="BY561" s="210">
        <v>7.71</v>
      </c>
      <c r="BZ561" s="151">
        <v>41842</v>
      </c>
      <c r="CA561" s="206">
        <v>29.9</v>
      </c>
      <c r="CB561" s="151">
        <v>41842</v>
      </c>
      <c r="CC561" s="208">
        <v>6</v>
      </c>
      <c r="CD561" s="151">
        <v>41838</v>
      </c>
      <c r="CL561" s="209">
        <v>3</v>
      </c>
      <c r="CM561" s="201">
        <v>41810</v>
      </c>
    </row>
    <row r="562" spans="1:91" ht="15">
      <c r="A562" s="152" t="s">
        <v>8030</v>
      </c>
      <c r="B562" s="110" t="s">
        <v>233</v>
      </c>
      <c r="C562" s="110" t="s">
        <v>381</v>
      </c>
      <c r="D562" s="110">
        <v>11137</v>
      </c>
      <c r="E562" s="111">
        <v>5</v>
      </c>
      <c r="F562" s="111">
        <v>593</v>
      </c>
      <c r="K562" s="134">
        <v>5</v>
      </c>
      <c r="L562" s="151">
        <v>41701</v>
      </c>
      <c r="M562" s="169">
        <v>4.1500000000000004</v>
      </c>
      <c r="N562" s="151">
        <v>41838</v>
      </c>
      <c r="Q562" s="497"/>
      <c r="S562" s="134">
        <v>15.44</v>
      </c>
      <c r="T562" s="151">
        <v>41842</v>
      </c>
      <c r="U562" s="134">
        <v>13.5</v>
      </c>
      <c r="V562" s="151">
        <v>41838</v>
      </c>
      <c r="W562" s="196">
        <v>1</v>
      </c>
      <c r="X562" s="151">
        <v>41829</v>
      </c>
      <c r="Y562" s="134">
        <f t="shared" si="8"/>
        <v>4.1275000000000004</v>
      </c>
      <c r="AC562" s="134">
        <v>30.74</v>
      </c>
      <c r="AD562" s="151">
        <v>41838</v>
      </c>
      <c r="AE562" s="134">
        <v>31.75</v>
      </c>
      <c r="AF562" s="151">
        <v>41838</v>
      </c>
      <c r="AG562" s="197">
        <v>4.4000000000000004</v>
      </c>
      <c r="AH562" s="151">
        <v>41843</v>
      </c>
      <c r="AI562" s="198">
        <v>5</v>
      </c>
      <c r="AJ562" s="151">
        <v>41778</v>
      </c>
      <c r="AK562" s="199">
        <v>7</v>
      </c>
      <c r="AL562" s="151">
        <v>41709</v>
      </c>
      <c r="BE562" s="200">
        <v>7</v>
      </c>
      <c r="BF562" s="201">
        <v>41555</v>
      </c>
      <c r="BG562" s="203">
        <v>-3.5</v>
      </c>
      <c r="BH562" s="151">
        <v>41842</v>
      </c>
      <c r="BM562" s="204">
        <v>65.3</v>
      </c>
      <c r="BN562" s="151">
        <v>41842</v>
      </c>
      <c r="BQ562" s="205">
        <v>9.1</v>
      </c>
      <c r="BR562" s="151">
        <v>41842</v>
      </c>
      <c r="BS562" s="206">
        <v>48.6</v>
      </c>
      <c r="BT562" s="151">
        <v>41842</v>
      </c>
      <c r="BU562" s="207">
        <v>13</v>
      </c>
      <c r="BV562" s="151">
        <v>41842</v>
      </c>
      <c r="BW562" s="206">
        <v>9.9</v>
      </c>
      <c r="BX562" s="151">
        <v>41842</v>
      </c>
      <c r="BY562" s="210">
        <v>7.13</v>
      </c>
      <c r="BZ562" s="151">
        <v>41842</v>
      </c>
      <c r="CA562" s="206">
        <v>30.6</v>
      </c>
      <c r="CB562" s="151">
        <v>41842</v>
      </c>
      <c r="CC562" s="208">
        <v>6</v>
      </c>
      <c r="CD562" s="151">
        <v>41838</v>
      </c>
      <c r="CL562" s="209">
        <v>3</v>
      </c>
      <c r="CM562" s="201">
        <v>41810</v>
      </c>
    </row>
    <row r="563" spans="1:91" ht="15">
      <c r="A563" s="152" t="s">
        <v>8030</v>
      </c>
      <c r="B563" s="110" t="s">
        <v>235</v>
      </c>
      <c r="C563" s="110" t="s">
        <v>8082</v>
      </c>
      <c r="D563" s="110">
        <v>11588</v>
      </c>
      <c r="E563" s="111">
        <v>6</v>
      </c>
      <c r="F563" s="111">
        <v>673</v>
      </c>
      <c r="K563" s="194">
        <v>7</v>
      </c>
      <c r="L563" s="151">
        <v>41701</v>
      </c>
      <c r="M563" s="169">
        <v>5.55</v>
      </c>
      <c r="N563" s="151">
        <v>41838</v>
      </c>
      <c r="Q563" s="497"/>
      <c r="S563" s="134">
        <v>20.43</v>
      </c>
      <c r="T563" s="151">
        <v>41842</v>
      </c>
      <c r="U563" s="134">
        <v>13.5</v>
      </c>
      <c r="V563" s="151">
        <v>41838</v>
      </c>
      <c r="W563" s="196">
        <v>1</v>
      </c>
      <c r="X563" s="151">
        <v>41829</v>
      </c>
      <c r="Y563" s="134">
        <f t="shared" si="8"/>
        <v>5.6963400000000002</v>
      </c>
      <c r="AC563" s="134">
        <v>41.11</v>
      </c>
      <c r="AD563" s="151">
        <v>41838</v>
      </c>
      <c r="AE563" s="134">
        <v>42.51</v>
      </c>
      <c r="AF563" s="151">
        <v>41838</v>
      </c>
      <c r="AG563" s="197">
        <v>4.4000000000000004</v>
      </c>
      <c r="AH563" s="151">
        <v>41843</v>
      </c>
      <c r="AI563" s="198">
        <v>5</v>
      </c>
      <c r="AJ563" s="151">
        <v>41778</v>
      </c>
      <c r="AK563" s="199">
        <v>5</v>
      </c>
      <c r="AL563" s="151">
        <v>41709</v>
      </c>
      <c r="BE563" s="200">
        <v>5</v>
      </c>
      <c r="BF563" s="201">
        <v>41555</v>
      </c>
      <c r="BG563" s="203">
        <v>-5.4</v>
      </c>
      <c r="BH563" s="151">
        <v>41842</v>
      </c>
      <c r="BM563" s="204">
        <v>64.8</v>
      </c>
      <c r="BN563" s="151">
        <v>41842</v>
      </c>
      <c r="BQ563" s="205">
        <v>9.4</v>
      </c>
      <c r="BR563" s="151">
        <v>41842</v>
      </c>
      <c r="BS563" s="206">
        <v>48.1</v>
      </c>
      <c r="BT563" s="151">
        <v>41842</v>
      </c>
      <c r="BU563" s="207">
        <v>13.4</v>
      </c>
      <c r="BV563" s="151">
        <v>41842</v>
      </c>
      <c r="BW563" s="206">
        <v>9.1999999999999993</v>
      </c>
      <c r="BX563" s="151">
        <v>41842</v>
      </c>
      <c r="BY563" s="210">
        <v>7.14</v>
      </c>
      <c r="BZ563" s="151">
        <v>41842</v>
      </c>
      <c r="CA563" s="206">
        <v>31.3</v>
      </c>
      <c r="CB563" s="151">
        <v>41842</v>
      </c>
      <c r="CC563" s="208">
        <v>5.9</v>
      </c>
      <c r="CD563" s="151">
        <v>41838</v>
      </c>
      <c r="CL563" s="209">
        <v>3</v>
      </c>
      <c r="CM563" s="201">
        <v>41810</v>
      </c>
    </row>
    <row r="564" spans="1:91" ht="15">
      <c r="A564" s="152" t="s">
        <v>8030</v>
      </c>
      <c r="B564" s="110" t="s">
        <v>235</v>
      </c>
      <c r="C564" s="110" t="s">
        <v>8081</v>
      </c>
      <c r="D564" s="110">
        <v>11200</v>
      </c>
      <c r="E564" s="111">
        <v>7</v>
      </c>
      <c r="F564" s="111">
        <v>557</v>
      </c>
      <c r="K564" s="194">
        <v>7</v>
      </c>
      <c r="L564" s="151">
        <v>41701</v>
      </c>
      <c r="M564" s="169">
        <v>5.65</v>
      </c>
      <c r="N564" s="151">
        <v>41838</v>
      </c>
      <c r="Q564" s="497"/>
      <c r="S564" s="134">
        <v>20.2</v>
      </c>
      <c r="T564" s="151">
        <v>41842</v>
      </c>
      <c r="U564" s="134">
        <v>13.5</v>
      </c>
      <c r="V564" s="151">
        <v>41838</v>
      </c>
      <c r="W564" s="196">
        <v>9</v>
      </c>
      <c r="X564" s="151">
        <v>41829</v>
      </c>
      <c r="Y564" s="134">
        <f t="shared" si="8"/>
        <v>6.2959000000000005</v>
      </c>
      <c r="AC564" s="134">
        <v>41.85</v>
      </c>
      <c r="AD564" s="151">
        <v>41838</v>
      </c>
      <c r="AE564" s="134">
        <v>43.42</v>
      </c>
      <c r="AF564" s="151">
        <v>41838</v>
      </c>
      <c r="AG564" s="197">
        <v>4.4000000000000004</v>
      </c>
      <c r="AH564" s="151">
        <v>41843</v>
      </c>
      <c r="AI564" s="198">
        <v>5</v>
      </c>
      <c r="AJ564" s="151">
        <v>41778</v>
      </c>
      <c r="AK564" s="199">
        <v>7</v>
      </c>
      <c r="AL564" s="151">
        <v>41709</v>
      </c>
      <c r="BE564" s="200">
        <v>7</v>
      </c>
      <c r="BF564" s="201">
        <v>41555</v>
      </c>
      <c r="BG564" s="203">
        <v>-2.9</v>
      </c>
      <c r="BH564" s="151">
        <v>41842</v>
      </c>
      <c r="BM564" s="204">
        <v>63.4</v>
      </c>
      <c r="BN564" s="151">
        <v>41842</v>
      </c>
      <c r="BQ564" s="205">
        <v>9.8000000000000007</v>
      </c>
      <c r="BR564" s="151">
        <v>41842</v>
      </c>
      <c r="BS564" s="206">
        <v>46.5</v>
      </c>
      <c r="BT564" s="151">
        <v>41842</v>
      </c>
      <c r="BU564" s="207">
        <v>14.5</v>
      </c>
      <c r="BV564" s="151">
        <v>41842</v>
      </c>
      <c r="BW564" s="206">
        <v>9.3000000000000007</v>
      </c>
      <c r="BX564" s="151">
        <v>41842</v>
      </c>
      <c r="BY564" s="210">
        <v>7.25</v>
      </c>
      <c r="BZ564" s="151">
        <v>41842</v>
      </c>
      <c r="CA564" s="206">
        <v>32.700000000000003</v>
      </c>
      <c r="CB564" s="151">
        <v>41842</v>
      </c>
      <c r="CC564" s="208">
        <v>5.6</v>
      </c>
      <c r="CD564" s="151">
        <v>41838</v>
      </c>
      <c r="CL564" s="209">
        <v>3</v>
      </c>
      <c r="CM564" s="201">
        <v>41810</v>
      </c>
    </row>
    <row r="565" spans="1:91" ht="15">
      <c r="A565" s="152" t="s">
        <v>8030</v>
      </c>
      <c r="B565" s="110" t="s">
        <v>233</v>
      </c>
      <c r="C565" s="110" t="s">
        <v>8083</v>
      </c>
      <c r="D565" s="110">
        <v>11715</v>
      </c>
      <c r="E565" s="111">
        <v>9</v>
      </c>
      <c r="F565" s="111">
        <v>749</v>
      </c>
      <c r="K565" s="134">
        <v>5</v>
      </c>
      <c r="L565" s="151">
        <v>41701</v>
      </c>
      <c r="M565" s="169">
        <v>3.8</v>
      </c>
      <c r="N565" s="151">
        <v>41838</v>
      </c>
      <c r="Q565" s="497"/>
      <c r="S565" s="134">
        <v>14.04</v>
      </c>
      <c r="T565" s="151">
        <v>41842</v>
      </c>
      <c r="U565" s="134">
        <v>13.5</v>
      </c>
      <c r="V565" s="151">
        <v>41838</v>
      </c>
      <c r="W565" s="196">
        <v>1</v>
      </c>
      <c r="X565" s="151">
        <v>41829</v>
      </c>
      <c r="Y565" s="134">
        <f t="shared" si="8"/>
        <v>3.7634999999999996</v>
      </c>
      <c r="AC565" s="134">
        <v>28.15</v>
      </c>
      <c r="AD565" s="151">
        <v>41838</v>
      </c>
      <c r="AE565" s="134">
        <v>28.95</v>
      </c>
      <c r="AF565" s="151">
        <v>41838</v>
      </c>
      <c r="AG565" s="197">
        <v>4.4000000000000004</v>
      </c>
      <c r="AH565" s="151">
        <v>41843</v>
      </c>
      <c r="AI565" s="198">
        <v>5</v>
      </c>
      <c r="AJ565" s="151">
        <v>41778</v>
      </c>
      <c r="AK565" s="199">
        <v>5</v>
      </c>
      <c r="AL565" s="151">
        <v>41709</v>
      </c>
      <c r="BE565" s="200">
        <v>5</v>
      </c>
      <c r="BF565" s="201">
        <v>41555</v>
      </c>
      <c r="BG565" s="203">
        <v>-4.4000000000000004</v>
      </c>
      <c r="BH565" s="151">
        <v>41842</v>
      </c>
      <c r="BM565" s="204">
        <v>65.400000000000006</v>
      </c>
      <c r="BN565" s="151">
        <v>41842</v>
      </c>
      <c r="BQ565" s="205">
        <v>9.3000000000000007</v>
      </c>
      <c r="BR565" s="151">
        <v>41842</v>
      </c>
      <c r="BS565" s="206">
        <v>48.5</v>
      </c>
      <c r="BT565" s="151">
        <v>41842</v>
      </c>
      <c r="BU565" s="207">
        <v>13</v>
      </c>
      <c r="BV565" s="151">
        <v>41842</v>
      </c>
      <c r="BW565" s="206">
        <v>8.3000000000000007</v>
      </c>
      <c r="BX565" s="151">
        <v>41842</v>
      </c>
      <c r="BY565" s="210">
        <v>6.96</v>
      </c>
      <c r="BZ565" s="151">
        <v>41842</v>
      </c>
      <c r="CA565" s="206">
        <v>30.6</v>
      </c>
      <c r="CB565" s="151">
        <v>41842</v>
      </c>
      <c r="CC565" s="208">
        <v>6.4</v>
      </c>
      <c r="CD565" s="151">
        <v>41838</v>
      </c>
      <c r="CL565" s="209">
        <v>3</v>
      </c>
      <c r="CM565" s="201">
        <v>41810</v>
      </c>
    </row>
    <row r="566" spans="1:91" ht="15">
      <c r="A566" s="152" t="s">
        <v>8031</v>
      </c>
      <c r="B566" s="110" t="s">
        <v>233</v>
      </c>
      <c r="C566" s="110" t="s">
        <v>381</v>
      </c>
      <c r="D566" s="110">
        <v>11002</v>
      </c>
      <c r="E566" s="111">
        <v>2</v>
      </c>
      <c r="F566" s="111">
        <v>485</v>
      </c>
      <c r="I566" s="373"/>
      <c r="K566" s="194">
        <v>5</v>
      </c>
      <c r="L566" s="151">
        <v>41701</v>
      </c>
      <c r="M566" s="169">
        <v>3.8</v>
      </c>
      <c r="N566" s="151">
        <v>41838</v>
      </c>
      <c r="Q566" s="497"/>
      <c r="S566" s="134">
        <v>13.64</v>
      </c>
      <c r="T566" s="151">
        <v>41842</v>
      </c>
      <c r="U566" s="194">
        <v>13.5</v>
      </c>
      <c r="V566" s="151">
        <v>41838</v>
      </c>
      <c r="W566" s="196">
        <v>1</v>
      </c>
      <c r="X566" s="151">
        <v>41829</v>
      </c>
      <c r="Y566" s="134">
        <f t="shared" si="8"/>
        <v>3.7017600000000006</v>
      </c>
      <c r="AA566" s="194"/>
      <c r="AC566" s="194">
        <v>28.15</v>
      </c>
      <c r="AD566" s="151">
        <v>41838</v>
      </c>
      <c r="AE566" s="137">
        <v>28.92</v>
      </c>
      <c r="AF566" s="151">
        <v>41838</v>
      </c>
      <c r="AG566" s="197">
        <v>5</v>
      </c>
      <c r="AH566" s="151">
        <v>41843</v>
      </c>
      <c r="AI566" s="198">
        <v>3</v>
      </c>
      <c r="AJ566" s="151">
        <v>41778</v>
      </c>
      <c r="AK566" s="199">
        <v>5</v>
      </c>
      <c r="AL566" s="151">
        <v>41709</v>
      </c>
      <c r="AM566" s="194"/>
      <c r="BE566" s="200">
        <v>5</v>
      </c>
      <c r="BF566" s="201">
        <v>41555</v>
      </c>
      <c r="BG566" s="203">
        <v>-7.8</v>
      </c>
      <c r="BH566" s="151">
        <v>41842</v>
      </c>
      <c r="BM566" s="204">
        <v>63.7</v>
      </c>
      <c r="BN566" s="151">
        <v>41842</v>
      </c>
      <c r="BQ566" s="205">
        <v>10.6</v>
      </c>
      <c r="BR566" s="151">
        <v>41842</v>
      </c>
      <c r="BS566" s="206">
        <v>47.2</v>
      </c>
      <c r="BT566" s="151">
        <v>41842</v>
      </c>
      <c r="BU566" s="207">
        <v>12.8</v>
      </c>
      <c r="BV566" s="151">
        <v>41842</v>
      </c>
      <c r="BW566" s="206">
        <v>11.4</v>
      </c>
      <c r="BX566" s="151">
        <v>41842</v>
      </c>
      <c r="BY566" s="210">
        <v>6.83</v>
      </c>
      <c r="BZ566" s="151">
        <v>41842</v>
      </c>
      <c r="CA566" s="206">
        <v>29.2</v>
      </c>
      <c r="CB566" s="151">
        <v>41842</v>
      </c>
      <c r="CC566" s="208">
        <v>6.5</v>
      </c>
      <c r="CD566" s="151">
        <v>41838</v>
      </c>
      <c r="CL566" s="209">
        <v>3</v>
      </c>
      <c r="CM566" s="201">
        <v>41810</v>
      </c>
    </row>
    <row r="567" spans="1:91" ht="15">
      <c r="A567" s="152" t="s">
        <v>8031</v>
      </c>
      <c r="B567" s="110" t="s">
        <v>235</v>
      </c>
      <c r="C567" s="110" t="s">
        <v>8082</v>
      </c>
      <c r="D567" s="110">
        <v>11509</v>
      </c>
      <c r="E567" s="111">
        <v>4</v>
      </c>
      <c r="F567" s="111">
        <v>645</v>
      </c>
      <c r="K567" s="194">
        <v>7</v>
      </c>
      <c r="L567" s="151">
        <v>41701</v>
      </c>
      <c r="M567" s="169">
        <v>5</v>
      </c>
      <c r="N567" s="151">
        <v>41838</v>
      </c>
      <c r="Q567" s="497"/>
      <c r="S567" s="134">
        <v>17.7</v>
      </c>
      <c r="T567" s="151">
        <v>41842</v>
      </c>
      <c r="U567" s="134">
        <v>13.5</v>
      </c>
      <c r="V567" s="151">
        <v>41838</v>
      </c>
      <c r="W567" s="196">
        <v>1</v>
      </c>
      <c r="X567" s="151">
        <v>41829</v>
      </c>
      <c r="Y567" s="134">
        <f t="shared" si="8"/>
        <v>5.3732000000000006</v>
      </c>
      <c r="AC567" s="134">
        <v>37.04</v>
      </c>
      <c r="AD567" s="151">
        <v>41838</v>
      </c>
      <c r="AE567" s="134">
        <v>38.380000000000003</v>
      </c>
      <c r="AF567" s="151">
        <v>41838</v>
      </c>
      <c r="AG567" s="197">
        <v>5</v>
      </c>
      <c r="AH567" s="151">
        <v>41843</v>
      </c>
      <c r="AI567" s="198">
        <v>5</v>
      </c>
      <c r="AJ567" s="151">
        <v>41778</v>
      </c>
      <c r="AK567" s="199">
        <v>5</v>
      </c>
      <c r="AL567" s="151">
        <v>41709</v>
      </c>
      <c r="BE567" s="200">
        <v>5</v>
      </c>
      <c r="BF567" s="201">
        <v>41555</v>
      </c>
      <c r="BG567" s="203">
        <v>-9.5</v>
      </c>
      <c r="BH567" s="151">
        <v>41842</v>
      </c>
      <c r="BM567" s="204">
        <v>63.3</v>
      </c>
      <c r="BN567" s="151">
        <v>41842</v>
      </c>
      <c r="BQ567" s="205">
        <v>11</v>
      </c>
      <c r="BR567" s="151">
        <v>41842</v>
      </c>
      <c r="BS567" s="206">
        <v>46.1</v>
      </c>
      <c r="BT567" s="151">
        <v>41842</v>
      </c>
      <c r="BU567" s="207">
        <v>14</v>
      </c>
      <c r="BV567" s="151">
        <v>41842</v>
      </c>
      <c r="BW567" s="206">
        <v>14.1</v>
      </c>
      <c r="BX567" s="151">
        <v>41842</v>
      </c>
      <c r="BY567" s="210">
        <v>6.99</v>
      </c>
      <c r="BZ567" s="151">
        <v>41842</v>
      </c>
      <c r="CA567" s="206">
        <v>31.1</v>
      </c>
      <c r="CB567" s="151">
        <v>41842</v>
      </c>
      <c r="CC567" s="208">
        <v>5.7</v>
      </c>
      <c r="CD567" s="151">
        <v>41838</v>
      </c>
      <c r="CL567" s="209">
        <v>3</v>
      </c>
      <c r="CM567" s="201">
        <v>41810</v>
      </c>
    </row>
    <row r="568" spans="1:91" ht="15">
      <c r="A568" s="152" t="s">
        <v>8031</v>
      </c>
      <c r="B568" s="110" t="s">
        <v>235</v>
      </c>
      <c r="C568" s="110" t="s">
        <v>8081</v>
      </c>
      <c r="D568" s="110">
        <v>11237</v>
      </c>
      <c r="E568" s="111">
        <v>8</v>
      </c>
      <c r="F568" s="111">
        <v>561</v>
      </c>
      <c r="K568" s="194">
        <v>7</v>
      </c>
      <c r="L568" s="151">
        <v>41701</v>
      </c>
      <c r="M568" s="169">
        <v>5.9</v>
      </c>
      <c r="N568" s="151">
        <v>41838</v>
      </c>
      <c r="Q568" s="497"/>
      <c r="S568" s="134">
        <v>21.5</v>
      </c>
      <c r="T568" s="151">
        <v>41842</v>
      </c>
      <c r="U568" s="134">
        <v>13.5</v>
      </c>
      <c r="V568" s="151">
        <v>41838</v>
      </c>
      <c r="W568" s="196">
        <v>9</v>
      </c>
      <c r="X568" s="151">
        <v>41829</v>
      </c>
      <c r="Y568" s="134">
        <f t="shared" si="8"/>
        <v>5.7065400000000004</v>
      </c>
      <c r="AC568" s="134">
        <v>43.7</v>
      </c>
      <c r="AD568" s="151">
        <v>41838</v>
      </c>
      <c r="AE568" s="134">
        <v>45.29</v>
      </c>
      <c r="AF568" s="151">
        <v>41838</v>
      </c>
      <c r="AG568" s="197">
        <v>4.9000000000000004</v>
      </c>
      <c r="AH568" s="151">
        <v>41843</v>
      </c>
      <c r="AI568" s="198">
        <v>3</v>
      </c>
      <c r="AJ568" s="151">
        <v>41778</v>
      </c>
      <c r="AK568" s="199">
        <v>7</v>
      </c>
      <c r="AL568" s="151">
        <v>41709</v>
      </c>
      <c r="BE568" s="200">
        <v>7</v>
      </c>
      <c r="BF568" s="201">
        <v>41555</v>
      </c>
      <c r="BG568" s="203">
        <v>-7.6</v>
      </c>
      <c r="BH568" s="151">
        <v>41842</v>
      </c>
      <c r="BM568" s="204">
        <v>64.3</v>
      </c>
      <c r="BN568" s="151">
        <v>41842</v>
      </c>
      <c r="BQ568" s="205">
        <v>10.4</v>
      </c>
      <c r="BR568" s="151">
        <v>41842</v>
      </c>
      <c r="BS568" s="206">
        <v>47.5</v>
      </c>
      <c r="BT568" s="151">
        <v>41842</v>
      </c>
      <c r="BU568" s="207">
        <v>12.6</v>
      </c>
      <c r="BV568" s="151">
        <v>41842</v>
      </c>
      <c r="BW568" s="206">
        <v>11.7</v>
      </c>
      <c r="BX568" s="151">
        <v>41842</v>
      </c>
      <c r="BY568" s="210">
        <v>6.37</v>
      </c>
      <c r="BZ568" s="151">
        <v>41842</v>
      </c>
      <c r="CA568" s="206">
        <v>28.9</v>
      </c>
      <c r="CB568" s="151">
        <v>41842</v>
      </c>
      <c r="CC568" s="208">
        <v>5.7</v>
      </c>
      <c r="CD568" s="151">
        <v>41838</v>
      </c>
      <c r="CL568" s="209">
        <v>3</v>
      </c>
      <c r="CM568" s="201">
        <v>41810</v>
      </c>
    </row>
    <row r="569" spans="1:91" ht="15">
      <c r="A569" s="152" t="s">
        <v>8031</v>
      </c>
      <c r="B569" s="110" t="s">
        <v>233</v>
      </c>
      <c r="C569" s="110" t="s">
        <v>8083</v>
      </c>
      <c r="D569" s="110">
        <v>11750</v>
      </c>
      <c r="E569" s="111">
        <v>10</v>
      </c>
      <c r="F569" s="111">
        <v>745</v>
      </c>
      <c r="K569" s="191">
        <v>3</v>
      </c>
      <c r="L569" s="151">
        <v>41701</v>
      </c>
      <c r="M569" s="169">
        <v>2.95</v>
      </c>
      <c r="N569" s="151">
        <v>41838</v>
      </c>
      <c r="Q569" s="497"/>
      <c r="S569" s="134">
        <v>10.48</v>
      </c>
      <c r="T569" s="151">
        <v>41842</v>
      </c>
      <c r="U569" s="134">
        <v>13.5</v>
      </c>
      <c r="V569" s="151">
        <v>41838</v>
      </c>
      <c r="W569" s="196">
        <v>1</v>
      </c>
      <c r="X569" s="151">
        <v>41829</v>
      </c>
      <c r="Y569" s="134">
        <f t="shared" si="8"/>
        <v>2.8895999999999997</v>
      </c>
      <c r="AC569" s="134">
        <v>21.85</v>
      </c>
      <c r="AD569" s="151">
        <v>41838</v>
      </c>
      <c r="AE569" s="134">
        <v>22.4</v>
      </c>
      <c r="AF569" s="151">
        <v>41838</v>
      </c>
      <c r="AG569" s="197">
        <v>5</v>
      </c>
      <c r="AH569" s="151">
        <v>41843</v>
      </c>
      <c r="AI569" s="198">
        <v>3</v>
      </c>
      <c r="AJ569" s="151">
        <v>41778</v>
      </c>
      <c r="AK569" s="199">
        <v>5</v>
      </c>
      <c r="AL569" s="151">
        <v>41709</v>
      </c>
      <c r="BE569" s="200">
        <v>5</v>
      </c>
      <c r="BF569" s="201">
        <v>41555</v>
      </c>
      <c r="BG569" s="203">
        <v>-6.4</v>
      </c>
      <c r="BH569" s="151">
        <v>41842</v>
      </c>
      <c r="BM569" s="204">
        <v>64.7</v>
      </c>
      <c r="BN569" s="151">
        <v>41842</v>
      </c>
      <c r="BQ569" s="205">
        <v>10.199999999999999</v>
      </c>
      <c r="BR569" s="151">
        <v>41842</v>
      </c>
      <c r="BS569" s="206">
        <v>46.8</v>
      </c>
      <c r="BT569" s="151">
        <v>41842</v>
      </c>
      <c r="BU569" s="207">
        <v>12.9</v>
      </c>
      <c r="BV569" s="151">
        <v>41842</v>
      </c>
      <c r="BW569" s="206">
        <v>13.1</v>
      </c>
      <c r="BX569" s="151">
        <v>41842</v>
      </c>
      <c r="BY569" s="210">
        <v>6.72</v>
      </c>
      <c r="BZ569" s="151">
        <v>41842</v>
      </c>
      <c r="CA569" s="206">
        <v>29</v>
      </c>
      <c r="CB569" s="151">
        <v>41842</v>
      </c>
      <c r="CC569" s="208">
        <v>6.7</v>
      </c>
      <c r="CD569" s="151">
        <v>41838</v>
      </c>
      <c r="CL569" s="209">
        <v>3</v>
      </c>
      <c r="CM569" s="201">
        <v>41810</v>
      </c>
    </row>
    <row r="570" spans="1:91" ht="15">
      <c r="A570" s="152" t="s">
        <v>8032</v>
      </c>
      <c r="B570" s="110" t="s">
        <v>235</v>
      </c>
      <c r="C570" s="110" t="s">
        <v>8082</v>
      </c>
      <c r="D570" s="110">
        <v>11453</v>
      </c>
      <c r="E570" s="111">
        <v>2</v>
      </c>
      <c r="F570" s="111">
        <v>709</v>
      </c>
      <c r="K570" s="191">
        <v>3</v>
      </c>
      <c r="L570" s="151">
        <v>41701</v>
      </c>
      <c r="M570" s="169">
        <v>5.8</v>
      </c>
      <c r="N570" s="151">
        <v>41838</v>
      </c>
      <c r="Q570" s="497"/>
      <c r="S570" s="134">
        <v>21.4</v>
      </c>
      <c r="T570" s="151">
        <v>41842</v>
      </c>
      <c r="U570" s="134">
        <v>13.5</v>
      </c>
      <c r="V570" s="151">
        <v>41838</v>
      </c>
      <c r="W570" s="196">
        <v>9</v>
      </c>
      <c r="X570" s="151">
        <v>41829</v>
      </c>
      <c r="Y570" s="134">
        <f t="shared" si="8"/>
        <v>5.8005999999999993</v>
      </c>
      <c r="AC570" s="134">
        <v>42.96</v>
      </c>
      <c r="AD570" s="151">
        <v>41838</v>
      </c>
      <c r="AE570" s="134">
        <v>44.62</v>
      </c>
      <c r="AF570" s="151">
        <v>41838</v>
      </c>
      <c r="AG570" s="197">
        <v>5.2</v>
      </c>
      <c r="AH570" s="151">
        <v>41843</v>
      </c>
      <c r="AI570" s="198">
        <v>5</v>
      </c>
      <c r="AJ570" s="151">
        <v>41778</v>
      </c>
      <c r="AK570" s="199">
        <v>5</v>
      </c>
      <c r="AL570" s="151">
        <v>41709</v>
      </c>
      <c r="BE570" s="200">
        <v>5</v>
      </c>
      <c r="BF570" s="201">
        <v>41555</v>
      </c>
      <c r="BG570" s="203">
        <v>-2.7</v>
      </c>
      <c r="BH570" s="151">
        <v>41842</v>
      </c>
      <c r="BM570" s="204">
        <v>68.2</v>
      </c>
      <c r="BN570" s="151">
        <v>41842</v>
      </c>
      <c r="BQ570" s="205">
        <v>9.4</v>
      </c>
      <c r="BR570" s="151">
        <v>41842</v>
      </c>
      <c r="BS570" s="206">
        <v>48</v>
      </c>
      <c r="BT570" s="151">
        <v>41842</v>
      </c>
      <c r="BU570" s="207">
        <v>13</v>
      </c>
      <c r="BV570" s="151">
        <v>41842</v>
      </c>
      <c r="BW570" s="206">
        <v>15.8</v>
      </c>
      <c r="BX570" s="151">
        <v>41842</v>
      </c>
      <c r="BY570" s="210">
        <v>7.36</v>
      </c>
      <c r="BZ570" s="151">
        <v>41842</v>
      </c>
      <c r="CA570" s="206">
        <v>30.3</v>
      </c>
      <c r="CB570" s="151">
        <v>41842</v>
      </c>
      <c r="CC570" s="208">
        <v>5.5</v>
      </c>
      <c r="CD570" s="151">
        <v>41838</v>
      </c>
      <c r="CL570" s="209">
        <v>3</v>
      </c>
      <c r="CM570" s="201">
        <v>41810</v>
      </c>
    </row>
    <row r="571" spans="1:91" ht="15">
      <c r="A571" s="152" t="s">
        <v>8032</v>
      </c>
      <c r="B571" s="110" t="s">
        <v>233</v>
      </c>
      <c r="C571" s="110" t="s">
        <v>381</v>
      </c>
      <c r="D571" s="110">
        <v>11062</v>
      </c>
      <c r="E571" s="111">
        <v>3</v>
      </c>
      <c r="F571" s="111">
        <v>581</v>
      </c>
      <c r="K571" s="134">
        <v>5</v>
      </c>
      <c r="L571" s="151">
        <v>41701</v>
      </c>
      <c r="M571" s="169">
        <v>4.55</v>
      </c>
      <c r="N571" s="151">
        <v>41838</v>
      </c>
      <c r="Q571" s="497"/>
      <c r="S571" s="134">
        <v>16.649999999999999</v>
      </c>
      <c r="T571" s="151">
        <v>41842</v>
      </c>
      <c r="U571" s="134">
        <v>13.5</v>
      </c>
      <c r="V571" s="151">
        <v>41838</v>
      </c>
      <c r="W571" s="196">
        <v>9</v>
      </c>
      <c r="X571" s="151">
        <v>41829</v>
      </c>
      <c r="Y571" s="134">
        <f t="shared" si="8"/>
        <v>4.5408999999999997</v>
      </c>
      <c r="AC571" s="134">
        <v>33.700000000000003</v>
      </c>
      <c r="AD571" s="151">
        <v>41838</v>
      </c>
      <c r="AE571" s="134">
        <v>34.93</v>
      </c>
      <c r="AF571" s="151">
        <v>41838</v>
      </c>
      <c r="AG571" s="197">
        <v>5</v>
      </c>
      <c r="AH571" s="151">
        <v>41843</v>
      </c>
      <c r="AI571" s="198">
        <v>5</v>
      </c>
      <c r="AJ571" s="151">
        <v>41778</v>
      </c>
      <c r="AK571" s="199">
        <v>5</v>
      </c>
      <c r="AL571" s="151">
        <v>41709</v>
      </c>
      <c r="BE571" s="200">
        <v>5</v>
      </c>
      <c r="BF571" s="201">
        <v>41555</v>
      </c>
      <c r="BG571" s="203">
        <v>-0.6</v>
      </c>
      <c r="BH571" s="151">
        <v>41842</v>
      </c>
      <c r="BM571" s="204">
        <v>68.099999999999994</v>
      </c>
      <c r="BN571" s="151">
        <v>41842</v>
      </c>
      <c r="BQ571" s="205">
        <v>9.5</v>
      </c>
      <c r="BR571" s="151">
        <v>41842</v>
      </c>
      <c r="BS571" s="206">
        <v>47.7</v>
      </c>
      <c r="BT571" s="151">
        <v>41842</v>
      </c>
      <c r="BU571" s="207">
        <v>13</v>
      </c>
      <c r="BV571" s="151">
        <v>41842</v>
      </c>
      <c r="BW571" s="206">
        <v>15.9</v>
      </c>
      <c r="BX571" s="151">
        <v>41842</v>
      </c>
      <c r="BY571" s="210">
        <v>7.54</v>
      </c>
      <c r="BZ571" s="151">
        <v>41842</v>
      </c>
      <c r="CA571" s="206">
        <v>29.9</v>
      </c>
      <c r="CB571" s="151">
        <v>41842</v>
      </c>
      <c r="CC571" s="208">
        <v>5.7</v>
      </c>
      <c r="CD571" s="151">
        <v>41838</v>
      </c>
      <c r="CL571" s="209">
        <v>3</v>
      </c>
      <c r="CM571" s="201">
        <v>41810</v>
      </c>
    </row>
    <row r="572" spans="1:91" ht="15">
      <c r="A572" s="152" t="s">
        <v>8032</v>
      </c>
      <c r="B572" s="110" t="s">
        <v>235</v>
      </c>
      <c r="C572" s="110" t="s">
        <v>8081</v>
      </c>
      <c r="D572" s="110">
        <v>11259</v>
      </c>
      <c r="E572" s="111">
        <v>9</v>
      </c>
      <c r="F572" s="111">
        <v>505</v>
      </c>
      <c r="K572" s="134">
        <v>5</v>
      </c>
      <c r="L572" s="151">
        <v>41701</v>
      </c>
      <c r="M572" s="169">
        <v>6.8</v>
      </c>
      <c r="N572" s="151">
        <v>41838</v>
      </c>
      <c r="Q572" s="497"/>
      <c r="S572" s="134">
        <v>24.6</v>
      </c>
      <c r="T572" s="151">
        <v>41842</v>
      </c>
      <c r="U572" s="134">
        <v>13.5</v>
      </c>
      <c r="V572" s="151">
        <v>41838</v>
      </c>
      <c r="W572" s="196">
        <v>9</v>
      </c>
      <c r="X572" s="151">
        <v>41829</v>
      </c>
      <c r="Y572" s="134">
        <f t="shared" si="8"/>
        <v>7.0842399999999994</v>
      </c>
      <c r="AC572" s="134">
        <v>50.37</v>
      </c>
      <c r="AD572" s="151">
        <v>41838</v>
      </c>
      <c r="AE572" s="134">
        <v>52.09</v>
      </c>
      <c r="AF572" s="151">
        <v>41838</v>
      </c>
      <c r="AG572" s="197">
        <v>5</v>
      </c>
      <c r="AH572" s="151">
        <v>41843</v>
      </c>
      <c r="AI572" s="198">
        <v>5</v>
      </c>
      <c r="AJ572" s="151">
        <v>41778</v>
      </c>
      <c r="AK572" s="199">
        <v>7</v>
      </c>
      <c r="AL572" s="151">
        <v>41709</v>
      </c>
      <c r="BE572" s="200">
        <v>7</v>
      </c>
      <c r="BF572" s="201">
        <v>41555</v>
      </c>
      <c r="BG572" s="203">
        <v>-0.9</v>
      </c>
      <c r="BH572" s="151">
        <v>41842</v>
      </c>
      <c r="BM572" s="204">
        <v>68.400000000000006</v>
      </c>
      <c r="BN572" s="151">
        <v>41842</v>
      </c>
      <c r="BQ572" s="205">
        <v>9.8000000000000007</v>
      </c>
      <c r="BR572" s="151">
        <v>41842</v>
      </c>
      <c r="BS572" s="206">
        <v>47.2</v>
      </c>
      <c r="BT572" s="151">
        <v>41842</v>
      </c>
      <c r="BU572" s="207">
        <v>13.6</v>
      </c>
      <c r="BV572" s="151">
        <v>41842</v>
      </c>
      <c r="BW572" s="206">
        <v>19.7</v>
      </c>
      <c r="BX572" s="151">
        <v>41842</v>
      </c>
      <c r="BY572" s="210">
        <v>7.37</v>
      </c>
      <c r="BZ572" s="151">
        <v>41842</v>
      </c>
      <c r="CA572" s="206">
        <v>31</v>
      </c>
      <c r="CB572" s="151">
        <v>41842</v>
      </c>
      <c r="CC572" s="208">
        <v>5.9</v>
      </c>
      <c r="CD572" s="151">
        <v>41838</v>
      </c>
      <c r="CL572" s="209">
        <v>3</v>
      </c>
      <c r="CM572" s="201">
        <v>41810</v>
      </c>
    </row>
    <row r="573" spans="1:91" ht="15">
      <c r="A573" s="152" t="s">
        <v>8032</v>
      </c>
      <c r="B573" s="110" t="s">
        <v>233</v>
      </c>
      <c r="C573" s="110" t="s">
        <v>8083</v>
      </c>
      <c r="D573" s="110">
        <v>11768</v>
      </c>
      <c r="E573" s="111">
        <v>11</v>
      </c>
      <c r="F573" s="111">
        <v>673</v>
      </c>
      <c r="K573" s="134">
        <v>5</v>
      </c>
      <c r="L573" s="151">
        <v>41701</v>
      </c>
      <c r="M573" s="169">
        <v>5.4</v>
      </c>
      <c r="N573" s="151">
        <v>41838</v>
      </c>
      <c r="Q573" s="497"/>
      <c r="S573" s="134">
        <v>19.93</v>
      </c>
      <c r="T573" s="151">
        <v>41842</v>
      </c>
      <c r="U573" s="134">
        <v>13.5</v>
      </c>
      <c r="V573" s="151">
        <v>41838</v>
      </c>
      <c r="W573" s="196">
        <v>9</v>
      </c>
      <c r="X573" s="151">
        <v>41829</v>
      </c>
      <c r="Y573" s="134">
        <f t="shared" si="8"/>
        <v>5.3354400000000002</v>
      </c>
      <c r="AC573" s="134">
        <v>40</v>
      </c>
      <c r="AD573" s="151">
        <v>41838</v>
      </c>
      <c r="AE573" s="134">
        <v>41.36</v>
      </c>
      <c r="AF573" s="151">
        <v>41838</v>
      </c>
      <c r="AG573" s="197">
        <v>5.2</v>
      </c>
      <c r="AH573" s="151">
        <v>41843</v>
      </c>
      <c r="AI573" s="198">
        <v>5</v>
      </c>
      <c r="AJ573" s="151">
        <v>41778</v>
      </c>
      <c r="AK573" s="199">
        <v>7</v>
      </c>
      <c r="AL573" s="151">
        <v>41709</v>
      </c>
      <c r="BE573" s="200">
        <v>7</v>
      </c>
      <c r="BF573" s="201">
        <v>41555</v>
      </c>
      <c r="BG573" s="203">
        <v>1</v>
      </c>
      <c r="BH573" s="151">
        <v>41842</v>
      </c>
      <c r="BM573" s="204">
        <v>68.900000000000006</v>
      </c>
      <c r="BN573" s="151">
        <v>41842</v>
      </c>
      <c r="BQ573" s="205">
        <v>8.8000000000000007</v>
      </c>
      <c r="BR573" s="151">
        <v>41842</v>
      </c>
      <c r="BS573" s="206">
        <v>48.2</v>
      </c>
      <c r="BT573" s="151">
        <v>41842</v>
      </c>
      <c r="BU573" s="207">
        <v>12.9</v>
      </c>
      <c r="BV573" s="151">
        <v>41842</v>
      </c>
      <c r="BW573" s="206">
        <v>20.399999999999999</v>
      </c>
      <c r="BX573" s="151">
        <v>41842</v>
      </c>
      <c r="BY573" s="210">
        <v>7.15</v>
      </c>
      <c r="BZ573" s="151">
        <v>41842</v>
      </c>
      <c r="CA573" s="206">
        <v>30.1</v>
      </c>
      <c r="CB573" s="151">
        <v>41842</v>
      </c>
      <c r="CC573" s="208">
        <v>5.9</v>
      </c>
      <c r="CD573" s="151">
        <v>41838</v>
      </c>
      <c r="CL573" s="209">
        <v>3</v>
      </c>
      <c r="CM573" s="201">
        <v>41810</v>
      </c>
    </row>
    <row r="574" spans="1:91" ht="15">
      <c r="A574" s="152" t="s">
        <v>8033</v>
      </c>
      <c r="B574" s="110" t="s">
        <v>235</v>
      </c>
      <c r="C574" s="110" t="s">
        <v>8082</v>
      </c>
      <c r="D574" s="110">
        <v>11439</v>
      </c>
      <c r="E574" s="111">
        <v>2</v>
      </c>
      <c r="F574" s="111">
        <v>653</v>
      </c>
      <c r="K574" s="134">
        <v>5</v>
      </c>
      <c r="L574" s="151">
        <v>41701</v>
      </c>
      <c r="M574" s="169">
        <v>5.05</v>
      </c>
      <c r="N574" s="151">
        <v>41838</v>
      </c>
      <c r="Q574" s="497"/>
      <c r="S574" s="134">
        <v>18.149999999999999</v>
      </c>
      <c r="T574" s="151">
        <v>41842</v>
      </c>
      <c r="U574" s="134">
        <v>13.5</v>
      </c>
      <c r="V574" s="151">
        <v>41838</v>
      </c>
      <c r="W574" s="196">
        <v>9</v>
      </c>
      <c r="X574" s="151">
        <v>41829</v>
      </c>
      <c r="Y574" s="134">
        <f t="shared" si="8"/>
        <v>5.46516</v>
      </c>
      <c r="AC574" s="134">
        <v>37.409999999999997</v>
      </c>
      <c r="AD574" s="151">
        <v>41838</v>
      </c>
      <c r="AE574" s="134">
        <v>38.76</v>
      </c>
      <c r="AF574" s="151">
        <v>41838</v>
      </c>
      <c r="AG574" s="197">
        <v>4.5</v>
      </c>
      <c r="AH574" s="151">
        <v>41843</v>
      </c>
      <c r="AI574" s="198">
        <v>5</v>
      </c>
      <c r="AJ574" s="151">
        <v>41778</v>
      </c>
      <c r="AK574" s="199">
        <v>5</v>
      </c>
      <c r="AL574" s="151">
        <v>41709</v>
      </c>
      <c r="BE574" s="200">
        <v>5</v>
      </c>
      <c r="BF574" s="201">
        <v>41555</v>
      </c>
      <c r="BG574" s="203">
        <v>-4.8</v>
      </c>
      <c r="BH574" s="151">
        <v>41842</v>
      </c>
      <c r="BM574" s="204">
        <v>61.5</v>
      </c>
      <c r="BN574" s="151">
        <v>41842</v>
      </c>
      <c r="BQ574" s="205">
        <v>12</v>
      </c>
      <c r="BR574" s="151">
        <v>41842</v>
      </c>
      <c r="BS574" s="206">
        <v>46.8</v>
      </c>
      <c r="BT574" s="151">
        <v>41842</v>
      </c>
      <c r="BU574" s="207">
        <v>14.1</v>
      </c>
      <c r="BV574" s="151">
        <v>41842</v>
      </c>
      <c r="BW574" s="206">
        <v>11.6</v>
      </c>
      <c r="BX574" s="151">
        <v>41842</v>
      </c>
      <c r="BY574" s="210">
        <v>7.29</v>
      </c>
      <c r="BZ574" s="151">
        <v>41842</v>
      </c>
      <c r="CA574" s="206">
        <v>31.9</v>
      </c>
      <c r="CB574" s="151">
        <v>41842</v>
      </c>
      <c r="CC574" s="208">
        <v>5.7</v>
      </c>
      <c r="CD574" s="151">
        <v>41838</v>
      </c>
      <c r="CL574" s="209">
        <v>3</v>
      </c>
      <c r="CM574" s="201">
        <v>41810</v>
      </c>
    </row>
    <row r="575" spans="1:91" ht="15">
      <c r="A575" s="152" t="s">
        <v>8033</v>
      </c>
      <c r="B575" s="110" t="s">
        <v>233</v>
      </c>
      <c r="C575" s="110" t="s">
        <v>381</v>
      </c>
      <c r="D575" s="110">
        <v>11172</v>
      </c>
      <c r="E575" s="111">
        <v>6</v>
      </c>
      <c r="F575" s="111">
        <v>589</v>
      </c>
      <c r="K575" s="134">
        <v>5</v>
      </c>
      <c r="L575" s="151">
        <v>41701</v>
      </c>
      <c r="M575" s="169">
        <v>3.7</v>
      </c>
      <c r="N575" s="151">
        <v>41838</v>
      </c>
      <c r="Q575" s="497"/>
      <c r="S575" s="134">
        <v>13.53</v>
      </c>
      <c r="T575" s="151">
        <v>41842</v>
      </c>
      <c r="U575" s="134">
        <v>13.5</v>
      </c>
      <c r="V575" s="151">
        <v>41838</v>
      </c>
      <c r="W575" s="196">
        <v>9</v>
      </c>
      <c r="X575" s="151">
        <v>41829</v>
      </c>
      <c r="Y575" s="134">
        <f t="shared" si="8"/>
        <v>3.7732100000000002</v>
      </c>
      <c r="AC575" s="134">
        <v>27.41</v>
      </c>
      <c r="AD575" s="151">
        <v>41838</v>
      </c>
      <c r="AE575" s="134">
        <v>28.37</v>
      </c>
      <c r="AF575" s="151">
        <v>41838</v>
      </c>
      <c r="AG575" s="197">
        <v>4.7</v>
      </c>
      <c r="AH575" s="151">
        <v>41843</v>
      </c>
      <c r="AI575" s="198">
        <v>3</v>
      </c>
      <c r="AJ575" s="151">
        <v>41778</v>
      </c>
      <c r="AK575" s="199">
        <v>4</v>
      </c>
      <c r="AL575" s="151">
        <v>41709</v>
      </c>
      <c r="BE575" s="200">
        <v>4</v>
      </c>
      <c r="BF575" s="201">
        <v>41555</v>
      </c>
      <c r="BG575" s="203">
        <v>-3.6</v>
      </c>
      <c r="BH575" s="151">
        <v>41842</v>
      </c>
      <c r="BM575" s="204">
        <v>63.1</v>
      </c>
      <c r="BN575" s="151">
        <v>41842</v>
      </c>
      <c r="BQ575" s="205">
        <v>12</v>
      </c>
      <c r="BR575" s="151">
        <v>41842</v>
      </c>
      <c r="BS575" s="206">
        <v>47.7</v>
      </c>
      <c r="BT575" s="151">
        <v>41842</v>
      </c>
      <c r="BU575" s="207">
        <v>13.3</v>
      </c>
      <c r="BV575" s="151">
        <v>41842</v>
      </c>
      <c r="BW575" s="206">
        <v>9</v>
      </c>
      <c r="BX575" s="151">
        <v>41842</v>
      </c>
      <c r="BY575" s="210">
        <v>7.23</v>
      </c>
      <c r="BZ575" s="151">
        <v>41842</v>
      </c>
      <c r="CA575" s="206">
        <v>30.6</v>
      </c>
      <c r="CB575" s="151">
        <v>41842</v>
      </c>
      <c r="CC575" s="208">
        <v>5.8</v>
      </c>
      <c r="CD575" s="151">
        <v>41838</v>
      </c>
      <c r="CL575" s="209">
        <v>3</v>
      </c>
      <c r="CM575" s="201">
        <v>41810</v>
      </c>
    </row>
    <row r="576" spans="1:91" ht="15">
      <c r="A576" s="152" t="s">
        <v>8033</v>
      </c>
      <c r="B576" s="110" t="s">
        <v>233</v>
      </c>
      <c r="C576" s="110" t="s">
        <v>8083</v>
      </c>
      <c r="D576" s="110">
        <v>11693</v>
      </c>
      <c r="E576" s="111">
        <v>9</v>
      </c>
      <c r="F576" s="111">
        <v>661</v>
      </c>
      <c r="K576" s="134">
        <v>5</v>
      </c>
      <c r="L576" s="151">
        <v>41701</v>
      </c>
      <c r="M576" s="169">
        <v>4.5</v>
      </c>
      <c r="N576" s="151">
        <v>41838</v>
      </c>
      <c r="Q576" s="497"/>
      <c r="S576" s="134">
        <v>16.649999999999999</v>
      </c>
      <c r="T576" s="151">
        <v>41842</v>
      </c>
      <c r="U576" s="134">
        <v>13.5</v>
      </c>
      <c r="V576" s="151">
        <v>41838</v>
      </c>
      <c r="W576" s="196">
        <v>9</v>
      </c>
      <c r="X576" s="151">
        <v>41829</v>
      </c>
      <c r="Y576" s="134">
        <f t="shared" si="8"/>
        <v>4.4901999999999997</v>
      </c>
      <c r="AC576" s="134">
        <v>33.33</v>
      </c>
      <c r="AD576" s="151">
        <v>41838</v>
      </c>
      <c r="AE576" s="134">
        <v>34.54</v>
      </c>
      <c r="AF576" s="151">
        <v>41838</v>
      </c>
      <c r="AG576" s="197">
        <v>4.8</v>
      </c>
      <c r="AH576" s="151">
        <v>41843</v>
      </c>
      <c r="AI576" s="198">
        <v>3</v>
      </c>
      <c r="AJ576" s="151">
        <v>41778</v>
      </c>
      <c r="AK576" s="199">
        <v>5</v>
      </c>
      <c r="AL576" s="151">
        <v>41709</v>
      </c>
      <c r="BE576" s="200">
        <v>5</v>
      </c>
      <c r="BF576" s="201">
        <v>41555</v>
      </c>
      <c r="BG576" s="203">
        <v>-5.0999999999999996</v>
      </c>
      <c r="BH576" s="151">
        <v>41842</v>
      </c>
      <c r="BM576" s="204">
        <v>63.4</v>
      </c>
      <c r="BN576" s="151">
        <v>41842</v>
      </c>
      <c r="BQ576" s="205">
        <v>11.9</v>
      </c>
      <c r="BR576" s="151">
        <v>41842</v>
      </c>
      <c r="BS576" s="206">
        <v>48.2</v>
      </c>
      <c r="BT576" s="151">
        <v>41842</v>
      </c>
      <c r="BU576" s="207">
        <v>13</v>
      </c>
      <c r="BV576" s="151">
        <v>41842</v>
      </c>
      <c r="BW576" s="206">
        <v>10.7</v>
      </c>
      <c r="BX576" s="151">
        <v>41842</v>
      </c>
      <c r="BY576" s="210">
        <v>6.92</v>
      </c>
      <c r="BZ576" s="151">
        <v>41842</v>
      </c>
      <c r="CA576" s="206">
        <v>30.3</v>
      </c>
      <c r="CB576" s="151">
        <v>41842</v>
      </c>
      <c r="CC576" s="208">
        <v>5.7</v>
      </c>
      <c r="CD576" s="151">
        <v>41838</v>
      </c>
      <c r="CL576" s="209">
        <v>3</v>
      </c>
      <c r="CM576" s="201">
        <v>41810</v>
      </c>
    </row>
    <row r="577" spans="1:91" ht="15">
      <c r="A577" s="152" t="s">
        <v>8033</v>
      </c>
      <c r="B577" s="110" t="s">
        <v>235</v>
      </c>
      <c r="C577" s="110" t="s">
        <v>8081</v>
      </c>
      <c r="D577" s="110">
        <v>11348</v>
      </c>
      <c r="E577" s="111">
        <v>11</v>
      </c>
      <c r="F577" s="111">
        <v>573</v>
      </c>
      <c r="K577" s="134">
        <v>5</v>
      </c>
      <c r="L577" s="151">
        <v>41701</v>
      </c>
      <c r="M577" s="169">
        <v>5.25</v>
      </c>
      <c r="N577" s="151">
        <v>41838</v>
      </c>
      <c r="Q577" s="497"/>
      <c r="S577" s="134">
        <v>19.09</v>
      </c>
      <c r="T577" s="151">
        <v>41842</v>
      </c>
      <c r="U577" s="134">
        <v>13.5</v>
      </c>
      <c r="V577" s="151">
        <v>41838</v>
      </c>
      <c r="W577" s="196">
        <v>9</v>
      </c>
      <c r="X577" s="151">
        <v>41829</v>
      </c>
      <c r="Y577" s="134">
        <f t="shared" si="8"/>
        <v>5.4055600000000004</v>
      </c>
      <c r="AC577" s="134">
        <v>38.89</v>
      </c>
      <c r="AD577" s="151">
        <v>41838</v>
      </c>
      <c r="AE577" s="134">
        <v>40.340000000000003</v>
      </c>
      <c r="AF577" s="151">
        <v>41838</v>
      </c>
      <c r="AG577" s="197">
        <v>4.3</v>
      </c>
      <c r="AH577" s="151">
        <v>41843</v>
      </c>
      <c r="AI577" s="198">
        <v>5</v>
      </c>
      <c r="AJ577" s="151">
        <v>41778</v>
      </c>
      <c r="AK577" s="199">
        <v>5</v>
      </c>
      <c r="AL577" s="151">
        <v>41709</v>
      </c>
      <c r="BE577" s="200">
        <v>5</v>
      </c>
      <c r="BF577" s="201">
        <v>41555</v>
      </c>
      <c r="BG577" s="203">
        <v>-5.2</v>
      </c>
      <c r="BH577" s="151">
        <v>41842</v>
      </c>
      <c r="BM577" s="204">
        <v>61.6</v>
      </c>
      <c r="BN577" s="151">
        <v>41842</v>
      </c>
      <c r="BQ577" s="205">
        <v>11.4</v>
      </c>
      <c r="BR577" s="151">
        <v>41842</v>
      </c>
      <c r="BS577" s="206">
        <v>47.3</v>
      </c>
      <c r="BT577" s="151">
        <v>41842</v>
      </c>
      <c r="BU577" s="207">
        <v>13.4</v>
      </c>
      <c r="BV577" s="151">
        <v>41842</v>
      </c>
      <c r="BW577" s="206">
        <v>9.3000000000000007</v>
      </c>
      <c r="BX577" s="151">
        <v>41842</v>
      </c>
      <c r="BY577" s="210">
        <v>6.96</v>
      </c>
      <c r="BZ577" s="151">
        <v>41842</v>
      </c>
      <c r="CA577" s="206">
        <v>30.6</v>
      </c>
      <c r="CB577" s="151">
        <v>41842</v>
      </c>
      <c r="CC577" s="208">
        <v>5.6</v>
      </c>
      <c r="CD577" s="151">
        <v>41838</v>
      </c>
      <c r="CL577" s="209">
        <v>3</v>
      </c>
      <c r="CM577" s="201">
        <v>41810</v>
      </c>
    </row>
    <row r="578" spans="1:91" ht="15">
      <c r="A578" s="152" t="s">
        <v>8034</v>
      </c>
      <c r="B578" s="110" t="s">
        <v>235</v>
      </c>
      <c r="C578" s="110" t="s">
        <v>8082</v>
      </c>
      <c r="D578" s="110">
        <v>11479</v>
      </c>
      <c r="E578" s="111">
        <v>3</v>
      </c>
      <c r="F578" s="111">
        <v>669</v>
      </c>
      <c r="K578" s="134">
        <v>5</v>
      </c>
      <c r="L578" s="151">
        <v>41701</v>
      </c>
      <c r="M578" s="169">
        <v>6.05</v>
      </c>
      <c r="N578" s="151">
        <v>41838</v>
      </c>
      <c r="Q578" s="497"/>
      <c r="S578" s="134">
        <v>22.52</v>
      </c>
      <c r="T578" s="151">
        <v>41842</v>
      </c>
      <c r="U578" s="134">
        <v>13.5</v>
      </c>
      <c r="V578" s="151">
        <v>41838</v>
      </c>
      <c r="W578" s="196">
        <v>9</v>
      </c>
      <c r="X578" s="151">
        <v>41829</v>
      </c>
      <c r="Y578" s="134">
        <f t="shared" si="8"/>
        <v>5.4622199999999994</v>
      </c>
      <c r="AC578" s="134">
        <v>44.81</v>
      </c>
      <c r="AD578" s="151">
        <v>41838</v>
      </c>
      <c r="AE578" s="134">
        <v>46.29</v>
      </c>
      <c r="AF578" s="151">
        <v>41838</v>
      </c>
      <c r="AG578" s="197">
        <v>4.8</v>
      </c>
      <c r="AH578" s="151">
        <v>41843</v>
      </c>
      <c r="AI578" s="198">
        <v>7</v>
      </c>
      <c r="AJ578" s="151">
        <v>41778</v>
      </c>
      <c r="AK578" s="199">
        <v>5</v>
      </c>
      <c r="AL578" s="151">
        <v>41709</v>
      </c>
      <c r="BE578" s="200">
        <v>5</v>
      </c>
      <c r="BF578" s="201">
        <v>41555</v>
      </c>
      <c r="BG578" s="203">
        <v>-10.8</v>
      </c>
      <c r="BH578" s="151">
        <v>41842</v>
      </c>
      <c r="BM578" s="204">
        <v>68.099999999999994</v>
      </c>
      <c r="BN578" s="151">
        <v>41842</v>
      </c>
      <c r="BQ578" s="205">
        <v>8.3000000000000007</v>
      </c>
      <c r="BR578" s="151">
        <v>41842</v>
      </c>
      <c r="BS578" s="206">
        <v>48.7</v>
      </c>
      <c r="BT578" s="151">
        <v>41842</v>
      </c>
      <c r="BU578" s="207">
        <v>11.8</v>
      </c>
      <c r="BV578" s="151">
        <v>41842</v>
      </c>
      <c r="BW578" s="206">
        <v>16.899999999999999</v>
      </c>
      <c r="BX578" s="151">
        <v>41842</v>
      </c>
      <c r="BY578" s="210">
        <v>7.33</v>
      </c>
      <c r="BZ578" s="151">
        <v>41842</v>
      </c>
      <c r="CA578" s="206">
        <v>27.7</v>
      </c>
      <c r="CB578" s="151">
        <v>41842</v>
      </c>
      <c r="CC578" s="208">
        <v>6</v>
      </c>
      <c r="CD578" s="151">
        <v>41838</v>
      </c>
      <c r="CL578" s="209">
        <v>3</v>
      </c>
      <c r="CM578" s="201">
        <v>41810</v>
      </c>
    </row>
    <row r="579" spans="1:91" ht="15">
      <c r="A579" s="152" t="s">
        <v>8034</v>
      </c>
      <c r="B579" s="110" t="s">
        <v>233</v>
      </c>
      <c r="C579" s="110" t="s">
        <v>381</v>
      </c>
      <c r="D579" s="110">
        <v>11113</v>
      </c>
      <c r="E579" s="111">
        <v>5</v>
      </c>
      <c r="F579" s="111">
        <v>497</v>
      </c>
      <c r="K579" s="134">
        <v>5</v>
      </c>
      <c r="L579" s="151">
        <v>41701</v>
      </c>
      <c r="M579" s="169">
        <v>4.5</v>
      </c>
      <c r="N579" s="151">
        <v>41838</v>
      </c>
      <c r="Q579" s="497"/>
      <c r="S579" s="134">
        <v>16.93</v>
      </c>
      <c r="T579" s="151">
        <v>41842</v>
      </c>
      <c r="U579" s="134">
        <v>13.5</v>
      </c>
      <c r="V579" s="151">
        <v>41838</v>
      </c>
      <c r="W579" s="196">
        <v>9</v>
      </c>
      <c r="X579" s="151">
        <v>41829</v>
      </c>
      <c r="Y579" s="134">
        <f t="shared" ref="Y579:Y642" si="9">(AE579*BU579)/100</f>
        <v>4.00664</v>
      </c>
      <c r="AC579" s="134">
        <v>33.33</v>
      </c>
      <c r="AD579" s="151">
        <v>41838</v>
      </c>
      <c r="AE579" s="134">
        <v>34.54</v>
      </c>
      <c r="AF579" s="151">
        <v>41838</v>
      </c>
      <c r="AG579" s="197">
        <v>4.5999999999999996</v>
      </c>
      <c r="AH579" s="151">
        <v>41843</v>
      </c>
      <c r="AI579" s="198">
        <v>5</v>
      </c>
      <c r="AJ579" s="151">
        <v>41778</v>
      </c>
      <c r="AK579" s="199">
        <v>5</v>
      </c>
      <c r="AL579" s="151">
        <v>41709</v>
      </c>
      <c r="BE579" s="200">
        <v>5</v>
      </c>
      <c r="BF579" s="201">
        <v>41555</v>
      </c>
      <c r="BG579" s="203">
        <v>-3.5</v>
      </c>
      <c r="BH579" s="151">
        <v>41842</v>
      </c>
      <c r="BM579" s="204">
        <v>69.2</v>
      </c>
      <c r="BN579" s="151">
        <v>41842</v>
      </c>
      <c r="BQ579" s="205">
        <v>7.7</v>
      </c>
      <c r="BR579" s="151">
        <v>41842</v>
      </c>
      <c r="BS579" s="206">
        <v>49</v>
      </c>
      <c r="BT579" s="151">
        <v>41842</v>
      </c>
      <c r="BU579" s="207">
        <v>11.6</v>
      </c>
      <c r="BV579" s="151">
        <v>41842</v>
      </c>
      <c r="BW579" s="206">
        <v>16.399999999999999</v>
      </c>
      <c r="BX579" s="151">
        <v>41842</v>
      </c>
      <c r="BY579" s="210">
        <v>7.37</v>
      </c>
      <c r="BZ579" s="151">
        <v>41842</v>
      </c>
      <c r="CA579" s="206">
        <v>27.5</v>
      </c>
      <c r="CB579" s="151">
        <v>41842</v>
      </c>
      <c r="CC579" s="208">
        <v>5.7</v>
      </c>
      <c r="CD579" s="151">
        <v>41838</v>
      </c>
      <c r="CL579" s="209">
        <v>3</v>
      </c>
      <c r="CM579" s="201">
        <v>41810</v>
      </c>
    </row>
    <row r="580" spans="1:91" ht="15">
      <c r="A580" s="152" t="s">
        <v>8034</v>
      </c>
      <c r="B580" s="110" t="s">
        <v>233</v>
      </c>
      <c r="C580" s="110" t="s">
        <v>8083</v>
      </c>
      <c r="D580" s="110">
        <v>11645</v>
      </c>
      <c r="E580" s="111">
        <v>7</v>
      </c>
      <c r="F580" s="111">
        <v>757</v>
      </c>
      <c r="K580" s="134">
        <v>5</v>
      </c>
      <c r="L580" s="151">
        <v>41701</v>
      </c>
      <c r="M580" s="169">
        <v>4.3</v>
      </c>
      <c r="N580" s="151">
        <v>41838</v>
      </c>
      <c r="Q580" s="497"/>
      <c r="S580" s="134">
        <v>16.079999999999998</v>
      </c>
      <c r="T580" s="151">
        <v>41842</v>
      </c>
      <c r="U580" s="134">
        <v>13.5</v>
      </c>
      <c r="V580" s="151">
        <v>41838</v>
      </c>
      <c r="W580" s="196">
        <v>9</v>
      </c>
      <c r="X580" s="151">
        <v>41829</v>
      </c>
      <c r="Y580" s="134">
        <f t="shared" si="9"/>
        <v>3.6518999999999999</v>
      </c>
      <c r="AC580" s="134">
        <v>31.85</v>
      </c>
      <c r="AD580" s="151">
        <v>41838</v>
      </c>
      <c r="AE580" s="134">
        <v>32.9</v>
      </c>
      <c r="AF580" s="151">
        <v>41838</v>
      </c>
      <c r="AG580" s="197">
        <v>4.5</v>
      </c>
      <c r="AH580" s="151">
        <v>41843</v>
      </c>
      <c r="AI580" s="198">
        <v>5</v>
      </c>
      <c r="AJ580" s="151">
        <v>41778</v>
      </c>
      <c r="AK580" s="199">
        <v>5</v>
      </c>
      <c r="AL580" s="151">
        <v>41709</v>
      </c>
      <c r="BE580" s="200">
        <v>5</v>
      </c>
      <c r="BF580" s="201">
        <v>41555</v>
      </c>
      <c r="BG580" s="203">
        <v>-7.7</v>
      </c>
      <c r="BH580" s="151">
        <v>41842</v>
      </c>
      <c r="BM580" s="204">
        <v>68.5</v>
      </c>
      <c r="BN580" s="151">
        <v>41842</v>
      </c>
      <c r="BQ580" s="205">
        <v>8.9</v>
      </c>
      <c r="BR580" s="151">
        <v>41842</v>
      </c>
      <c r="BS580" s="206">
        <v>48.9</v>
      </c>
      <c r="BT580" s="151">
        <v>41842</v>
      </c>
      <c r="BU580" s="207">
        <v>11.1</v>
      </c>
      <c r="BV580" s="151">
        <v>41842</v>
      </c>
      <c r="BW580" s="206">
        <v>14.8</v>
      </c>
      <c r="BX580" s="151">
        <v>41842</v>
      </c>
      <c r="BY580" s="210">
        <v>7.09</v>
      </c>
      <c r="BZ580" s="151">
        <v>41842</v>
      </c>
      <c r="CA580" s="206">
        <v>26.2</v>
      </c>
      <c r="CB580" s="151">
        <v>41842</v>
      </c>
      <c r="CC580" s="208">
        <v>6</v>
      </c>
      <c r="CD580" s="151">
        <v>41838</v>
      </c>
      <c r="CL580" s="209">
        <v>3</v>
      </c>
      <c r="CM580" s="201">
        <v>41810</v>
      </c>
    </row>
    <row r="581" spans="1:91" ht="15">
      <c r="A581" s="152" t="s">
        <v>8034</v>
      </c>
      <c r="B581" s="110" t="s">
        <v>235</v>
      </c>
      <c r="C581" s="110" t="s">
        <v>8081</v>
      </c>
      <c r="D581" s="110">
        <v>11373</v>
      </c>
      <c r="E581" s="111">
        <v>12</v>
      </c>
      <c r="F581" s="111">
        <v>529</v>
      </c>
      <c r="K581" s="194">
        <v>7</v>
      </c>
      <c r="L581" s="151">
        <v>41701</v>
      </c>
      <c r="M581" s="169">
        <v>6.35</v>
      </c>
      <c r="N581" s="151">
        <v>41838</v>
      </c>
      <c r="Q581" s="497"/>
      <c r="S581" s="134">
        <v>23.71</v>
      </c>
      <c r="T581" s="151">
        <v>41842</v>
      </c>
      <c r="U581" s="134">
        <v>13.5</v>
      </c>
      <c r="V581" s="151">
        <v>41838</v>
      </c>
      <c r="W581" s="196">
        <v>9</v>
      </c>
      <c r="X581" s="151">
        <v>41829</v>
      </c>
      <c r="Y581" s="134">
        <f t="shared" si="9"/>
        <v>5.8060099999999997</v>
      </c>
      <c r="AC581" s="134">
        <v>47.04</v>
      </c>
      <c r="AD581" s="151">
        <v>41838</v>
      </c>
      <c r="AE581" s="134">
        <v>48.79</v>
      </c>
      <c r="AF581" s="151">
        <v>41838</v>
      </c>
      <c r="AG581" s="197">
        <v>4.5</v>
      </c>
      <c r="AH581" s="151">
        <v>41843</v>
      </c>
      <c r="AI581" s="198">
        <v>5</v>
      </c>
      <c r="AJ581" s="151">
        <v>41778</v>
      </c>
      <c r="AK581" s="199">
        <v>5</v>
      </c>
      <c r="AL581" s="151">
        <v>41709</v>
      </c>
      <c r="BE581" s="200">
        <v>5</v>
      </c>
      <c r="BF581" s="201">
        <v>41555</v>
      </c>
      <c r="BG581" s="203">
        <v>-7.9</v>
      </c>
      <c r="BH581" s="151">
        <v>41842</v>
      </c>
      <c r="BM581" s="204">
        <v>68.3</v>
      </c>
      <c r="BN581" s="151">
        <v>41842</v>
      </c>
      <c r="BQ581" s="205">
        <v>8.4</v>
      </c>
      <c r="BR581" s="151">
        <v>41842</v>
      </c>
      <c r="BS581" s="206">
        <v>48.6</v>
      </c>
      <c r="BT581" s="151">
        <v>41842</v>
      </c>
      <c r="BU581" s="207">
        <v>11.9</v>
      </c>
      <c r="BV581" s="151">
        <v>41842</v>
      </c>
      <c r="BW581" s="206">
        <v>13.1</v>
      </c>
      <c r="BX581" s="151">
        <v>41842</v>
      </c>
      <c r="BY581" s="210">
        <v>7.08</v>
      </c>
      <c r="BZ581" s="151">
        <v>41842</v>
      </c>
      <c r="CA581" s="206">
        <v>28.1</v>
      </c>
      <c r="CB581" s="151">
        <v>41842</v>
      </c>
      <c r="CC581" s="208">
        <v>5.6</v>
      </c>
      <c r="CD581" s="151">
        <v>41838</v>
      </c>
      <c r="CL581" s="209">
        <v>3</v>
      </c>
      <c r="CM581" s="201">
        <v>41810</v>
      </c>
    </row>
    <row r="582" spans="1:91" ht="15">
      <c r="A582" s="152" t="s">
        <v>8035</v>
      </c>
      <c r="B582" s="110" t="s">
        <v>233</v>
      </c>
      <c r="C582" s="110" t="s">
        <v>381</v>
      </c>
      <c r="D582" s="110">
        <v>11003</v>
      </c>
      <c r="E582" s="111">
        <v>2</v>
      </c>
      <c r="F582" s="111">
        <v>489</v>
      </c>
      <c r="I582" s="373"/>
      <c r="K582" s="194">
        <v>5</v>
      </c>
      <c r="L582" s="151">
        <v>41701</v>
      </c>
      <c r="M582" s="169">
        <v>4.1500000000000004</v>
      </c>
      <c r="N582" s="151">
        <v>41838</v>
      </c>
      <c r="Q582" s="497"/>
      <c r="S582" s="134">
        <v>15.43</v>
      </c>
      <c r="T582" s="151">
        <v>41842</v>
      </c>
      <c r="U582" s="194">
        <v>13.5</v>
      </c>
      <c r="V582" s="151">
        <v>41838</v>
      </c>
      <c r="W582" s="196">
        <v>9</v>
      </c>
      <c r="X582" s="151">
        <v>41829</v>
      </c>
      <c r="Y582" s="134">
        <f t="shared" si="9"/>
        <v>3.9015599999999999</v>
      </c>
      <c r="AA582" s="194"/>
      <c r="AC582" s="194">
        <v>30.74</v>
      </c>
      <c r="AD582" s="151">
        <v>41838</v>
      </c>
      <c r="AE582" s="137">
        <v>31.72</v>
      </c>
      <c r="AF582" s="151">
        <v>41838</v>
      </c>
      <c r="AG582" s="197">
        <v>4.8</v>
      </c>
      <c r="AH582" s="151">
        <v>41843</v>
      </c>
      <c r="AI582" s="198">
        <v>5</v>
      </c>
      <c r="AJ582" s="151">
        <v>41778</v>
      </c>
      <c r="AK582" s="199">
        <v>5</v>
      </c>
      <c r="AL582" s="151">
        <v>41709</v>
      </c>
      <c r="AM582" s="194"/>
      <c r="BE582" s="200">
        <v>5</v>
      </c>
      <c r="BF582" s="201">
        <v>41555</v>
      </c>
      <c r="BG582" s="203">
        <v>-1.9</v>
      </c>
      <c r="BH582" s="151">
        <v>41842</v>
      </c>
      <c r="BM582" s="204">
        <v>63.6</v>
      </c>
      <c r="BN582" s="151">
        <v>41842</v>
      </c>
      <c r="BQ582" s="205">
        <v>10.9</v>
      </c>
      <c r="BR582" s="151">
        <v>41842</v>
      </c>
      <c r="BS582" s="206">
        <v>48.7</v>
      </c>
      <c r="BT582" s="151">
        <v>41842</v>
      </c>
      <c r="BU582" s="207">
        <v>12.3</v>
      </c>
      <c r="BV582" s="151">
        <v>41842</v>
      </c>
      <c r="BW582" s="206">
        <v>12.1</v>
      </c>
      <c r="BX582" s="151">
        <v>41842</v>
      </c>
      <c r="BY582" s="210">
        <v>7.34</v>
      </c>
      <c r="BZ582" s="151">
        <v>41842</v>
      </c>
      <c r="CA582" s="206">
        <v>29</v>
      </c>
      <c r="CB582" s="151">
        <v>41842</v>
      </c>
      <c r="CC582" s="208">
        <v>6.1</v>
      </c>
      <c r="CD582" s="151">
        <v>41838</v>
      </c>
      <c r="CL582" s="209">
        <v>3</v>
      </c>
      <c r="CM582" s="201">
        <v>41810</v>
      </c>
    </row>
    <row r="583" spans="1:91" ht="15">
      <c r="A583" s="152" t="s">
        <v>8035</v>
      </c>
      <c r="B583" s="110" t="s">
        <v>235</v>
      </c>
      <c r="C583" s="110" t="s">
        <v>8082</v>
      </c>
      <c r="D583" s="110">
        <v>11463</v>
      </c>
      <c r="E583" s="111">
        <v>2</v>
      </c>
      <c r="F583" s="111">
        <v>749</v>
      </c>
      <c r="K583" s="134">
        <v>5</v>
      </c>
      <c r="L583" s="151">
        <v>41701</v>
      </c>
      <c r="M583" s="169">
        <v>5.65</v>
      </c>
      <c r="N583" s="151">
        <v>41838</v>
      </c>
      <c r="Q583" s="497"/>
      <c r="S583" s="134">
        <v>20.48</v>
      </c>
      <c r="T583" s="151">
        <v>41842</v>
      </c>
      <c r="U583" s="134">
        <v>13.5</v>
      </c>
      <c r="V583" s="151">
        <v>41838</v>
      </c>
      <c r="W583" s="196">
        <v>9</v>
      </c>
      <c r="X583" s="151">
        <v>41829</v>
      </c>
      <c r="Y583" s="134">
        <f t="shared" si="9"/>
        <v>5.5848000000000004</v>
      </c>
      <c r="AC583" s="134">
        <v>41.85</v>
      </c>
      <c r="AD583" s="151">
        <v>41838</v>
      </c>
      <c r="AE583" s="134">
        <v>42.96</v>
      </c>
      <c r="AF583" s="151">
        <v>41838</v>
      </c>
      <c r="AG583" s="197">
        <v>5</v>
      </c>
      <c r="AH583" s="151">
        <v>41843</v>
      </c>
      <c r="AI583" s="198">
        <v>5</v>
      </c>
      <c r="AJ583" s="151">
        <v>41778</v>
      </c>
      <c r="AK583" s="199">
        <v>5</v>
      </c>
      <c r="AL583" s="151">
        <v>41709</v>
      </c>
      <c r="BE583" s="200">
        <v>5</v>
      </c>
      <c r="BF583" s="201">
        <v>41555</v>
      </c>
      <c r="BG583" s="203">
        <v>-4.0999999999999996</v>
      </c>
      <c r="BH583" s="151">
        <v>41842</v>
      </c>
      <c r="BM583" s="204">
        <v>62.4</v>
      </c>
      <c r="BN583" s="151">
        <v>41842</v>
      </c>
      <c r="BQ583" s="205">
        <v>11.5</v>
      </c>
      <c r="BR583" s="151">
        <v>41842</v>
      </c>
      <c r="BS583" s="206">
        <v>47.7</v>
      </c>
      <c r="BT583" s="151">
        <v>41842</v>
      </c>
      <c r="BU583" s="207">
        <v>13</v>
      </c>
      <c r="BV583" s="151">
        <v>41842</v>
      </c>
      <c r="BW583" s="206">
        <v>10</v>
      </c>
      <c r="BX583" s="151">
        <v>41842</v>
      </c>
      <c r="BY583" s="210">
        <v>7.43</v>
      </c>
      <c r="BZ583" s="151">
        <v>41842</v>
      </c>
      <c r="CA583" s="206">
        <v>30</v>
      </c>
      <c r="CB583" s="151">
        <v>41842</v>
      </c>
      <c r="CC583" s="208">
        <v>6.6</v>
      </c>
      <c r="CD583" s="151">
        <v>41838</v>
      </c>
      <c r="CL583" s="209">
        <v>3</v>
      </c>
      <c r="CM583" s="201">
        <v>41810</v>
      </c>
    </row>
    <row r="584" spans="1:91" ht="15">
      <c r="A584" s="152" t="s">
        <v>8035</v>
      </c>
      <c r="B584" s="110" t="s">
        <v>235</v>
      </c>
      <c r="C584" s="110" t="s">
        <v>8081</v>
      </c>
      <c r="D584" s="110">
        <v>11195</v>
      </c>
      <c r="E584" s="111">
        <v>7</v>
      </c>
      <c r="F584" s="111">
        <v>537</v>
      </c>
      <c r="K584" s="194">
        <v>7</v>
      </c>
      <c r="L584" s="151">
        <v>41701</v>
      </c>
      <c r="M584" s="169">
        <v>6.15</v>
      </c>
      <c r="N584" s="151">
        <v>41838</v>
      </c>
      <c r="Q584" s="497"/>
      <c r="S584" s="134">
        <v>22.89</v>
      </c>
      <c r="T584" s="151">
        <v>41842</v>
      </c>
      <c r="U584" s="134">
        <v>13.5</v>
      </c>
      <c r="V584" s="151">
        <v>41838</v>
      </c>
      <c r="W584" s="196">
        <v>1</v>
      </c>
      <c r="X584" s="151">
        <v>41829</v>
      </c>
      <c r="Y584" s="134">
        <f t="shared" si="9"/>
        <v>5.8602400000000001</v>
      </c>
      <c r="AC584" s="134">
        <v>45.56</v>
      </c>
      <c r="AD584" s="151">
        <v>41838</v>
      </c>
      <c r="AE584" s="134">
        <v>47.26</v>
      </c>
      <c r="AF584" s="151">
        <v>41838</v>
      </c>
      <c r="AG584" s="197">
        <v>4.5999999999999996</v>
      </c>
      <c r="AH584" s="151">
        <v>41843</v>
      </c>
      <c r="AI584" s="198">
        <v>5</v>
      </c>
      <c r="AJ584" s="151">
        <v>41778</v>
      </c>
      <c r="AK584" s="199">
        <v>5</v>
      </c>
      <c r="AL584" s="151">
        <v>41709</v>
      </c>
      <c r="BE584" s="200">
        <v>5</v>
      </c>
      <c r="BF584" s="201">
        <v>41555</v>
      </c>
      <c r="BG584" s="203">
        <v>-4.0999999999999996</v>
      </c>
      <c r="BH584" s="151">
        <v>41842</v>
      </c>
      <c r="BM584" s="204">
        <v>62.6</v>
      </c>
      <c r="BN584" s="151">
        <v>41842</v>
      </c>
      <c r="BQ584" s="205">
        <v>11.3</v>
      </c>
      <c r="BR584" s="151">
        <v>41842</v>
      </c>
      <c r="BS584" s="206">
        <v>48.4</v>
      </c>
      <c r="BT584" s="151">
        <v>41842</v>
      </c>
      <c r="BU584" s="207">
        <v>12.4</v>
      </c>
      <c r="BV584" s="151">
        <v>41842</v>
      </c>
      <c r="BW584" s="206">
        <v>9.6</v>
      </c>
      <c r="BX584" s="151">
        <v>41842</v>
      </c>
      <c r="BY584" s="210">
        <v>7.09</v>
      </c>
      <c r="BZ584" s="151">
        <v>41842</v>
      </c>
      <c r="CA584" s="206">
        <v>29.2</v>
      </c>
      <c r="CB584" s="151">
        <v>41842</v>
      </c>
      <c r="CC584" s="208">
        <v>5.6</v>
      </c>
      <c r="CD584" s="151">
        <v>41838</v>
      </c>
      <c r="CL584" s="209">
        <v>3</v>
      </c>
      <c r="CM584" s="201">
        <v>41810</v>
      </c>
    </row>
    <row r="585" spans="1:91" ht="15">
      <c r="A585" s="152" t="s">
        <v>8035</v>
      </c>
      <c r="B585" s="110" t="s">
        <v>233</v>
      </c>
      <c r="C585" s="110" t="s">
        <v>8083</v>
      </c>
      <c r="D585" s="110">
        <v>11741</v>
      </c>
      <c r="E585" s="111">
        <v>10</v>
      </c>
      <c r="F585" s="111">
        <v>709</v>
      </c>
      <c r="K585" s="191">
        <v>3</v>
      </c>
      <c r="L585" s="151">
        <v>41701</v>
      </c>
      <c r="M585" s="169">
        <v>3.1</v>
      </c>
      <c r="N585" s="151">
        <v>41838</v>
      </c>
      <c r="Q585" s="497"/>
      <c r="S585" s="134">
        <v>11.57</v>
      </c>
      <c r="T585" s="151">
        <v>41842</v>
      </c>
      <c r="U585" s="134">
        <v>13.5</v>
      </c>
      <c r="V585" s="151">
        <v>41838</v>
      </c>
      <c r="W585" s="196">
        <v>9</v>
      </c>
      <c r="X585" s="151">
        <v>41829</v>
      </c>
      <c r="Y585" s="134">
        <f t="shared" si="9"/>
        <v>3.0489600000000001</v>
      </c>
      <c r="AC585" s="134">
        <v>22.96</v>
      </c>
      <c r="AD585" s="151">
        <v>41838</v>
      </c>
      <c r="AE585" s="134">
        <v>23.82</v>
      </c>
      <c r="AF585" s="151">
        <v>41838</v>
      </c>
      <c r="AG585" s="197">
        <v>5</v>
      </c>
      <c r="AH585" s="151">
        <v>41843</v>
      </c>
      <c r="AI585" s="198">
        <v>5</v>
      </c>
      <c r="AJ585" s="151">
        <v>41778</v>
      </c>
      <c r="AK585" s="199">
        <v>5</v>
      </c>
      <c r="AL585" s="151">
        <v>41709</v>
      </c>
      <c r="BE585" s="200">
        <v>5</v>
      </c>
      <c r="BF585" s="201">
        <v>41555</v>
      </c>
      <c r="BG585" s="203">
        <v>-3.2</v>
      </c>
      <c r="BH585" s="151">
        <v>41842</v>
      </c>
      <c r="BM585" s="204">
        <v>64.900000000000006</v>
      </c>
      <c r="BN585" s="151">
        <v>41842</v>
      </c>
      <c r="BQ585" s="205">
        <v>11.1</v>
      </c>
      <c r="BR585" s="151">
        <v>41842</v>
      </c>
      <c r="BS585" s="206">
        <v>48.6</v>
      </c>
      <c r="BT585" s="151">
        <v>41842</v>
      </c>
      <c r="BU585" s="207">
        <v>12.8</v>
      </c>
      <c r="BV585" s="151">
        <v>41842</v>
      </c>
      <c r="BW585" s="206">
        <v>12.3</v>
      </c>
      <c r="BX585" s="151">
        <v>41842</v>
      </c>
      <c r="BY585" s="210">
        <v>6.84</v>
      </c>
      <c r="BZ585" s="151">
        <v>41842</v>
      </c>
      <c r="CA585" s="206">
        <v>30.2</v>
      </c>
      <c r="CB585" s="151">
        <v>41842</v>
      </c>
      <c r="CC585" s="208">
        <v>5.6</v>
      </c>
      <c r="CD585" s="151">
        <v>41838</v>
      </c>
      <c r="CL585" s="209">
        <v>3</v>
      </c>
      <c r="CM585" s="201">
        <v>41810</v>
      </c>
    </row>
    <row r="586" spans="1:91" ht="15">
      <c r="A586" s="152" t="s">
        <v>8036</v>
      </c>
      <c r="B586" s="110" t="s">
        <v>235</v>
      </c>
      <c r="C586" s="110" t="s">
        <v>8082</v>
      </c>
      <c r="D586" s="110">
        <v>11396</v>
      </c>
      <c r="E586" s="111">
        <v>1</v>
      </c>
      <c r="F586" s="111">
        <v>625</v>
      </c>
      <c r="I586" s="373"/>
      <c r="K586" s="194">
        <v>5</v>
      </c>
      <c r="L586" s="151">
        <v>41701</v>
      </c>
      <c r="M586" s="169">
        <v>5.0999999999999996</v>
      </c>
      <c r="N586" s="151">
        <v>41838</v>
      </c>
      <c r="Q586" s="497"/>
      <c r="S586" s="134">
        <v>17.09</v>
      </c>
      <c r="T586" s="151">
        <v>41842</v>
      </c>
      <c r="U586" s="194">
        <v>13.5</v>
      </c>
      <c r="V586" s="151">
        <v>41838</v>
      </c>
      <c r="W586" s="196">
        <v>1</v>
      </c>
      <c r="X586" s="151">
        <v>41829</v>
      </c>
      <c r="Y586" s="134">
        <f t="shared" si="9"/>
        <v>5.9751200000000004</v>
      </c>
      <c r="AA586" s="194"/>
      <c r="AC586" s="194">
        <v>37.78</v>
      </c>
      <c r="AD586" s="151">
        <v>41838</v>
      </c>
      <c r="AE586" s="137">
        <v>39.31</v>
      </c>
      <c r="AF586" s="151">
        <v>41838</v>
      </c>
      <c r="AG586" s="197">
        <v>4.2</v>
      </c>
      <c r="AH586" s="151">
        <v>41843</v>
      </c>
      <c r="AI586" s="198">
        <v>5</v>
      </c>
      <c r="AJ586" s="151">
        <v>41778</v>
      </c>
      <c r="AK586" s="199">
        <v>5</v>
      </c>
      <c r="AL586" s="151">
        <v>41709</v>
      </c>
      <c r="AM586" s="194"/>
      <c r="BE586" s="200">
        <v>5</v>
      </c>
      <c r="BF586" s="201">
        <v>41555</v>
      </c>
      <c r="BG586" s="203">
        <v>-0.6</v>
      </c>
      <c r="BH586" s="151">
        <v>41842</v>
      </c>
      <c r="BM586" s="204">
        <v>67.2</v>
      </c>
      <c r="BN586" s="151">
        <v>41842</v>
      </c>
      <c r="BQ586" s="205">
        <v>10.7</v>
      </c>
      <c r="BR586" s="151">
        <v>41842</v>
      </c>
      <c r="BS586" s="206">
        <v>43.5</v>
      </c>
      <c r="BT586" s="151">
        <v>41842</v>
      </c>
      <c r="BU586" s="207">
        <v>15.2</v>
      </c>
      <c r="BV586" s="151">
        <v>41842</v>
      </c>
      <c r="BW586" s="206">
        <v>18.3</v>
      </c>
      <c r="BX586" s="151">
        <v>41842</v>
      </c>
      <c r="BY586" s="210">
        <v>8.61</v>
      </c>
      <c r="BZ586" s="151">
        <v>41842</v>
      </c>
      <c r="CA586" s="206">
        <v>32.1</v>
      </c>
      <c r="CB586" s="151">
        <v>41842</v>
      </c>
      <c r="CC586" s="208">
        <v>5.3</v>
      </c>
      <c r="CD586" s="151">
        <v>41838</v>
      </c>
      <c r="CL586" s="209">
        <v>3</v>
      </c>
      <c r="CM586" s="201">
        <v>41810</v>
      </c>
    </row>
    <row r="587" spans="1:91" ht="15">
      <c r="A587" s="152" t="s">
        <v>8036</v>
      </c>
      <c r="B587" s="110" t="s">
        <v>233</v>
      </c>
      <c r="C587" s="110" t="s">
        <v>381</v>
      </c>
      <c r="D587" s="110">
        <v>11091</v>
      </c>
      <c r="E587" s="111">
        <v>4</v>
      </c>
      <c r="F587" s="111">
        <v>553</v>
      </c>
      <c r="K587" s="194">
        <v>7</v>
      </c>
      <c r="L587" s="151">
        <v>41701</v>
      </c>
      <c r="M587" s="169">
        <v>4.4000000000000004</v>
      </c>
      <c r="N587" s="151">
        <v>41838</v>
      </c>
      <c r="Q587" s="497"/>
      <c r="S587" s="134">
        <v>15.51</v>
      </c>
      <c r="T587" s="151">
        <v>41842</v>
      </c>
      <c r="U587" s="134">
        <v>13.5</v>
      </c>
      <c r="V587" s="151">
        <v>41838</v>
      </c>
      <c r="W587" s="196">
        <v>1</v>
      </c>
      <c r="X587" s="151">
        <v>41829</v>
      </c>
      <c r="Y587" s="134">
        <f t="shared" si="9"/>
        <v>4.6076800000000002</v>
      </c>
      <c r="AC587" s="134">
        <v>32.590000000000003</v>
      </c>
      <c r="AD587" s="151">
        <v>41838</v>
      </c>
      <c r="AE587" s="134">
        <v>33.880000000000003</v>
      </c>
      <c r="AF587" s="151">
        <v>41838</v>
      </c>
      <c r="AG587" s="197">
        <v>4</v>
      </c>
      <c r="AH587" s="151">
        <v>41843</v>
      </c>
      <c r="AI587" s="198">
        <v>3</v>
      </c>
      <c r="AJ587" s="151">
        <v>41778</v>
      </c>
      <c r="AK587" s="199">
        <v>5</v>
      </c>
      <c r="AL587" s="151">
        <v>41709</v>
      </c>
      <c r="BE587" s="200">
        <v>5</v>
      </c>
      <c r="BF587" s="201">
        <v>41555</v>
      </c>
      <c r="BG587" s="203">
        <v>-0.4</v>
      </c>
      <c r="BH587" s="151">
        <v>41842</v>
      </c>
      <c r="BM587" s="204">
        <v>69.8</v>
      </c>
      <c r="BN587" s="151">
        <v>41842</v>
      </c>
      <c r="BQ587" s="205">
        <v>9.8000000000000007</v>
      </c>
      <c r="BR587" s="151">
        <v>41842</v>
      </c>
      <c r="BS587" s="206">
        <v>45.8</v>
      </c>
      <c r="BT587" s="151">
        <v>41842</v>
      </c>
      <c r="BU587" s="207">
        <v>13.6</v>
      </c>
      <c r="BV587" s="151">
        <v>41842</v>
      </c>
      <c r="BW587" s="206">
        <v>13.3</v>
      </c>
      <c r="BX587" s="151">
        <v>41842</v>
      </c>
      <c r="BY587" s="210">
        <v>8.2200000000000006</v>
      </c>
      <c r="BZ587" s="151">
        <v>41842</v>
      </c>
      <c r="CA587" s="206">
        <v>30</v>
      </c>
      <c r="CB587" s="151">
        <v>41842</v>
      </c>
      <c r="CC587" s="208">
        <v>5.4</v>
      </c>
      <c r="CD587" s="151">
        <v>41838</v>
      </c>
      <c r="CL587" s="209">
        <v>3</v>
      </c>
      <c r="CM587" s="201">
        <v>41810</v>
      </c>
    </row>
    <row r="588" spans="1:91" ht="15">
      <c r="A588" s="152" t="s">
        <v>8036</v>
      </c>
      <c r="B588" s="110" t="s">
        <v>233</v>
      </c>
      <c r="C588" s="110" t="s">
        <v>8083</v>
      </c>
      <c r="D588" s="110">
        <v>11732</v>
      </c>
      <c r="E588" s="111">
        <v>10</v>
      </c>
      <c r="F588" s="111">
        <v>673</v>
      </c>
      <c r="K588" s="134">
        <v>5</v>
      </c>
      <c r="L588" s="151">
        <v>41701</v>
      </c>
      <c r="M588" s="169">
        <v>2.75</v>
      </c>
      <c r="N588" s="151">
        <v>41838</v>
      </c>
      <c r="Q588" s="497"/>
      <c r="S588" s="134">
        <v>9.6199999999999992</v>
      </c>
      <c r="T588" s="151">
        <v>41842</v>
      </c>
      <c r="U588" s="134">
        <v>13.5</v>
      </c>
      <c r="V588" s="151">
        <v>41838</v>
      </c>
      <c r="W588" s="196">
        <v>9</v>
      </c>
      <c r="X588" s="151">
        <v>41829</v>
      </c>
      <c r="Y588" s="134">
        <f t="shared" si="9"/>
        <v>2.8682400000000001</v>
      </c>
      <c r="AC588" s="134">
        <v>20.37</v>
      </c>
      <c r="AD588" s="151">
        <v>41838</v>
      </c>
      <c r="AE588" s="134">
        <v>21.09</v>
      </c>
      <c r="AF588" s="151">
        <v>41838</v>
      </c>
      <c r="AG588" s="197">
        <v>3.9</v>
      </c>
      <c r="AH588" s="151">
        <v>41843</v>
      </c>
      <c r="AI588" s="198">
        <v>3</v>
      </c>
      <c r="AJ588" s="151">
        <v>41778</v>
      </c>
      <c r="AK588" s="199">
        <v>4</v>
      </c>
      <c r="AL588" s="151">
        <v>41709</v>
      </c>
      <c r="BE588" s="200">
        <v>4</v>
      </c>
      <c r="BF588" s="201">
        <v>41555</v>
      </c>
      <c r="BG588" s="203">
        <v>1.2</v>
      </c>
      <c r="BH588" s="151">
        <v>41842</v>
      </c>
      <c r="BM588" s="204">
        <v>70.2</v>
      </c>
      <c r="BN588" s="151">
        <v>41842</v>
      </c>
      <c r="BQ588" s="205">
        <v>9.4</v>
      </c>
      <c r="BR588" s="151">
        <v>41842</v>
      </c>
      <c r="BS588" s="206">
        <v>45.6</v>
      </c>
      <c r="BT588" s="151">
        <v>41842</v>
      </c>
      <c r="BU588" s="207">
        <v>13.6</v>
      </c>
      <c r="BV588" s="151">
        <v>41842</v>
      </c>
      <c r="BW588" s="206">
        <v>15</v>
      </c>
      <c r="BX588" s="151">
        <v>41842</v>
      </c>
      <c r="BY588" s="210">
        <v>8.06</v>
      </c>
      <c r="BZ588" s="151">
        <v>41842</v>
      </c>
      <c r="CA588" s="206">
        <v>29.8</v>
      </c>
      <c r="CB588" s="151">
        <v>41842</v>
      </c>
      <c r="CC588" s="208">
        <v>5.8</v>
      </c>
      <c r="CD588" s="151">
        <v>41838</v>
      </c>
      <c r="CL588" s="209">
        <v>3</v>
      </c>
      <c r="CM588" s="201">
        <v>41810</v>
      </c>
    </row>
    <row r="589" spans="1:91" ht="15">
      <c r="A589" s="152" t="s">
        <v>8036</v>
      </c>
      <c r="B589" s="110" t="s">
        <v>235</v>
      </c>
      <c r="C589" s="110" t="s">
        <v>8081</v>
      </c>
      <c r="D589" s="110">
        <v>11335</v>
      </c>
      <c r="E589" s="111">
        <v>11</v>
      </c>
      <c r="F589" s="111">
        <v>521</v>
      </c>
      <c r="K589" s="194">
        <v>7</v>
      </c>
      <c r="L589" s="151">
        <v>41701</v>
      </c>
      <c r="M589" s="169">
        <v>5.5</v>
      </c>
      <c r="N589" s="151">
        <v>41838</v>
      </c>
      <c r="Q589" s="497"/>
      <c r="S589" s="134">
        <v>19.13</v>
      </c>
      <c r="T589" s="151">
        <v>41842</v>
      </c>
      <c r="U589" s="134">
        <v>13.5</v>
      </c>
      <c r="V589" s="151">
        <v>41838</v>
      </c>
      <c r="W589" s="196">
        <v>9</v>
      </c>
      <c r="X589" s="151">
        <v>41829</v>
      </c>
      <c r="Y589" s="134">
        <f t="shared" si="9"/>
        <v>5.9289999999999994</v>
      </c>
      <c r="AC589" s="134">
        <v>40.74</v>
      </c>
      <c r="AD589" s="151">
        <v>41838</v>
      </c>
      <c r="AE589" s="134">
        <v>42.35</v>
      </c>
      <c r="AF589" s="151">
        <v>41838</v>
      </c>
      <c r="AG589" s="197">
        <v>3.9</v>
      </c>
      <c r="AH589" s="151">
        <v>41843</v>
      </c>
      <c r="AI589" s="198">
        <v>5</v>
      </c>
      <c r="AJ589" s="151">
        <v>41778</v>
      </c>
      <c r="AK589" s="199">
        <v>5</v>
      </c>
      <c r="AL589" s="151">
        <v>41709</v>
      </c>
      <c r="BE589" s="200">
        <v>5</v>
      </c>
      <c r="BF589" s="201">
        <v>41555</v>
      </c>
      <c r="BG589" s="203">
        <v>-1.1000000000000001</v>
      </c>
      <c r="BH589" s="151">
        <v>41842</v>
      </c>
      <c r="BM589" s="204">
        <v>69.2</v>
      </c>
      <c r="BN589" s="151">
        <v>41842</v>
      </c>
      <c r="BQ589" s="205">
        <v>10.4</v>
      </c>
      <c r="BR589" s="151">
        <v>41842</v>
      </c>
      <c r="BS589" s="206">
        <v>45.2</v>
      </c>
      <c r="BT589" s="151">
        <v>41842</v>
      </c>
      <c r="BU589" s="207">
        <v>14</v>
      </c>
      <c r="BV589" s="151">
        <v>41842</v>
      </c>
      <c r="BW589" s="206">
        <v>14.1</v>
      </c>
      <c r="BX589" s="151">
        <v>41842</v>
      </c>
      <c r="BY589" s="210">
        <v>8.15</v>
      </c>
      <c r="BZ589" s="151">
        <v>41842</v>
      </c>
      <c r="CA589" s="206">
        <v>30.5</v>
      </c>
      <c r="CB589" s="151">
        <v>41842</v>
      </c>
      <c r="CC589" s="208">
        <v>5.4</v>
      </c>
      <c r="CD589" s="151">
        <v>41838</v>
      </c>
      <c r="CL589" s="209">
        <v>3</v>
      </c>
      <c r="CM589" s="201">
        <v>41810</v>
      </c>
    </row>
    <row r="590" spans="1:91" ht="15">
      <c r="A590" s="152" t="s">
        <v>8037</v>
      </c>
      <c r="B590" s="110" t="s">
        <v>235</v>
      </c>
      <c r="C590" s="110" t="s">
        <v>8082</v>
      </c>
      <c r="D590" s="110">
        <v>11435</v>
      </c>
      <c r="E590" s="111">
        <v>2</v>
      </c>
      <c r="F590" s="111">
        <v>637</v>
      </c>
      <c r="K590" s="134">
        <v>5</v>
      </c>
      <c r="L590" s="151">
        <v>41701</v>
      </c>
      <c r="M590" s="169">
        <v>5.75</v>
      </c>
      <c r="N590" s="151">
        <v>41838</v>
      </c>
      <c r="Q590" s="497"/>
      <c r="S590" s="134">
        <v>20.56</v>
      </c>
      <c r="T590" s="151">
        <v>41842</v>
      </c>
      <c r="U590" s="134">
        <v>13.5</v>
      </c>
      <c r="V590" s="151">
        <v>41838</v>
      </c>
      <c r="W590" s="196">
        <v>9</v>
      </c>
      <c r="X590" s="151">
        <v>41829</v>
      </c>
      <c r="Y590" s="134">
        <f t="shared" si="9"/>
        <v>6.1354600000000001</v>
      </c>
      <c r="AC590" s="134">
        <v>42.59</v>
      </c>
      <c r="AD590" s="151">
        <v>41838</v>
      </c>
      <c r="AE590" s="134">
        <v>44.14</v>
      </c>
      <c r="AF590" s="151">
        <v>41838</v>
      </c>
      <c r="AG590" s="197">
        <v>5.2</v>
      </c>
      <c r="AH590" s="151">
        <v>41843</v>
      </c>
      <c r="AI590" s="198">
        <v>5</v>
      </c>
      <c r="AJ590" s="151">
        <v>41778</v>
      </c>
      <c r="AK590" s="199">
        <v>5</v>
      </c>
      <c r="AL590" s="151">
        <v>41709</v>
      </c>
      <c r="BE590" s="200">
        <v>5</v>
      </c>
      <c r="BF590" s="201">
        <v>41555</v>
      </c>
      <c r="BG590" s="203">
        <v>-7.8</v>
      </c>
      <c r="BH590" s="151">
        <v>41842</v>
      </c>
      <c r="BM590" s="204">
        <v>65.3</v>
      </c>
      <c r="BN590" s="151">
        <v>41842</v>
      </c>
      <c r="BQ590" s="205">
        <v>9.6999999999999993</v>
      </c>
      <c r="BR590" s="151">
        <v>41842</v>
      </c>
      <c r="BS590" s="206">
        <v>46.6</v>
      </c>
      <c r="BT590" s="151">
        <v>41842</v>
      </c>
      <c r="BU590" s="207">
        <v>13.9</v>
      </c>
      <c r="BV590" s="151">
        <v>41842</v>
      </c>
      <c r="BW590" s="206">
        <v>18.3</v>
      </c>
      <c r="BX590" s="151">
        <v>41842</v>
      </c>
      <c r="BY590" s="210">
        <v>7.64</v>
      </c>
      <c r="BZ590" s="151">
        <v>41842</v>
      </c>
      <c r="CA590" s="206">
        <v>31.2</v>
      </c>
      <c r="CB590" s="151">
        <v>41842</v>
      </c>
      <c r="CC590" s="208">
        <v>5.7</v>
      </c>
      <c r="CD590" s="151">
        <v>41838</v>
      </c>
      <c r="CL590" s="209">
        <v>3</v>
      </c>
      <c r="CM590" s="201">
        <v>41810</v>
      </c>
    </row>
    <row r="591" spans="1:91" ht="15">
      <c r="A591" s="152" t="s">
        <v>8037</v>
      </c>
      <c r="B591" s="110" t="s">
        <v>233</v>
      </c>
      <c r="C591" s="110" t="s">
        <v>381</v>
      </c>
      <c r="D591" s="110">
        <v>11178</v>
      </c>
      <c r="E591" s="111">
        <v>6</v>
      </c>
      <c r="F591" s="111">
        <v>613</v>
      </c>
      <c r="K591" s="134">
        <v>5</v>
      </c>
      <c r="L591" s="151">
        <v>41701</v>
      </c>
      <c r="M591" s="169">
        <v>4.0999999999999996</v>
      </c>
      <c r="N591" s="151">
        <v>41838</v>
      </c>
      <c r="Q591" s="497"/>
      <c r="S591" s="134">
        <v>15</v>
      </c>
      <c r="T591" s="151">
        <v>41842</v>
      </c>
      <c r="U591" s="134">
        <v>13.5</v>
      </c>
      <c r="V591" s="151">
        <v>41838</v>
      </c>
      <c r="W591" s="196">
        <v>9</v>
      </c>
      <c r="X591" s="151">
        <v>41829</v>
      </c>
      <c r="Y591" s="134">
        <f t="shared" si="9"/>
        <v>4.0064000000000002</v>
      </c>
      <c r="AC591" s="134">
        <v>30.37</v>
      </c>
      <c r="AD591" s="151">
        <v>41838</v>
      </c>
      <c r="AE591" s="134">
        <v>31.3</v>
      </c>
      <c r="AF591" s="151">
        <v>41838</v>
      </c>
      <c r="AG591" s="197">
        <v>5</v>
      </c>
      <c r="AH591" s="151">
        <v>41843</v>
      </c>
      <c r="AI591" s="198">
        <v>3</v>
      </c>
      <c r="AJ591" s="151">
        <v>41778</v>
      </c>
      <c r="AK591" s="199">
        <v>4</v>
      </c>
      <c r="AL591" s="151">
        <v>41709</v>
      </c>
      <c r="BE591" s="200">
        <v>4</v>
      </c>
      <c r="BF591" s="201">
        <v>41555</v>
      </c>
      <c r="BG591" s="203">
        <v>-5.8</v>
      </c>
      <c r="BH591" s="151">
        <v>41842</v>
      </c>
      <c r="BM591" s="204">
        <v>66.3</v>
      </c>
      <c r="BN591" s="151">
        <v>41842</v>
      </c>
      <c r="BQ591" s="205">
        <v>8.6999999999999993</v>
      </c>
      <c r="BR591" s="151">
        <v>41842</v>
      </c>
      <c r="BS591" s="206">
        <v>47.9</v>
      </c>
      <c r="BT591" s="151">
        <v>41842</v>
      </c>
      <c r="BU591" s="207">
        <v>12.8</v>
      </c>
      <c r="BV591" s="151">
        <v>41842</v>
      </c>
      <c r="BW591" s="206">
        <v>16.899999999999999</v>
      </c>
      <c r="BX591" s="151">
        <v>41842</v>
      </c>
      <c r="BY591" s="210">
        <v>7.62</v>
      </c>
      <c r="BZ591" s="151">
        <v>41842</v>
      </c>
      <c r="CA591" s="206">
        <v>29.6</v>
      </c>
      <c r="CB591" s="151">
        <v>41842</v>
      </c>
      <c r="CC591" s="208">
        <v>6.2</v>
      </c>
      <c r="CD591" s="151">
        <v>41838</v>
      </c>
      <c r="CL591" s="209">
        <v>3</v>
      </c>
      <c r="CM591" s="201">
        <v>41810</v>
      </c>
    </row>
    <row r="592" spans="1:91" ht="15">
      <c r="A592" s="152" t="s">
        <v>8037</v>
      </c>
      <c r="B592" s="110" t="s">
        <v>235</v>
      </c>
      <c r="C592" s="110" t="s">
        <v>8081</v>
      </c>
      <c r="D592" s="110">
        <v>11309</v>
      </c>
      <c r="E592" s="111">
        <v>10</v>
      </c>
      <c r="F592" s="111">
        <v>561</v>
      </c>
      <c r="K592" s="191">
        <v>3</v>
      </c>
      <c r="L592" s="151">
        <v>41701</v>
      </c>
      <c r="M592" s="169">
        <v>5.95</v>
      </c>
      <c r="N592" s="151">
        <v>41838</v>
      </c>
      <c r="Q592" s="497"/>
      <c r="S592" s="134">
        <v>21.31</v>
      </c>
      <c r="T592" s="151">
        <v>41842</v>
      </c>
      <c r="U592" s="134">
        <v>13.5</v>
      </c>
      <c r="V592" s="151">
        <v>41838</v>
      </c>
      <c r="W592" s="196">
        <v>9</v>
      </c>
      <c r="X592" s="151">
        <v>41829</v>
      </c>
      <c r="Y592" s="134">
        <f t="shared" si="9"/>
        <v>6.1130800000000001</v>
      </c>
      <c r="AC592" s="134">
        <v>44.07</v>
      </c>
      <c r="AD592" s="151">
        <v>41838</v>
      </c>
      <c r="AE592" s="134">
        <v>45.62</v>
      </c>
      <c r="AF592" s="151">
        <v>41838</v>
      </c>
      <c r="AG592" s="197">
        <v>4.9000000000000004</v>
      </c>
      <c r="AH592" s="151">
        <v>41843</v>
      </c>
      <c r="AI592" s="198">
        <v>5</v>
      </c>
      <c r="AJ592" s="151">
        <v>41778</v>
      </c>
      <c r="AK592" s="199">
        <v>5</v>
      </c>
      <c r="AL592" s="151">
        <v>41709</v>
      </c>
      <c r="BE592" s="200">
        <v>5</v>
      </c>
      <c r="BF592" s="201">
        <v>41555</v>
      </c>
      <c r="BG592" s="203">
        <v>-4.4000000000000004</v>
      </c>
      <c r="BH592" s="151">
        <v>41842</v>
      </c>
      <c r="BM592" s="204">
        <v>67</v>
      </c>
      <c r="BN592" s="151">
        <v>41842</v>
      </c>
      <c r="BQ592" s="205">
        <v>9.1999999999999993</v>
      </c>
      <c r="BR592" s="151">
        <v>41842</v>
      </c>
      <c r="BS592" s="206">
        <v>46.7</v>
      </c>
      <c r="BT592" s="151">
        <v>41842</v>
      </c>
      <c r="BU592" s="207">
        <v>13.4</v>
      </c>
      <c r="BV592" s="151">
        <v>41842</v>
      </c>
      <c r="BW592" s="206">
        <v>15.5</v>
      </c>
      <c r="BX592" s="151">
        <v>41842</v>
      </c>
      <c r="BY592" s="210">
        <v>7.5</v>
      </c>
      <c r="BZ592" s="151">
        <v>41842</v>
      </c>
      <c r="CA592" s="206">
        <v>30.3</v>
      </c>
      <c r="CB592" s="151">
        <v>41842</v>
      </c>
      <c r="CC592" s="208">
        <v>5.8</v>
      </c>
      <c r="CD592" s="151">
        <v>41838</v>
      </c>
      <c r="CL592" s="209">
        <v>3</v>
      </c>
      <c r="CM592" s="201">
        <v>41810</v>
      </c>
    </row>
    <row r="593" spans="1:91" ht="15">
      <c r="A593" s="152" t="s">
        <v>8037</v>
      </c>
      <c r="B593" s="110" t="s">
        <v>233</v>
      </c>
      <c r="C593" s="110" t="s">
        <v>8083</v>
      </c>
      <c r="D593" s="110">
        <v>11788</v>
      </c>
      <c r="E593" s="111">
        <v>11</v>
      </c>
      <c r="F593" s="111">
        <v>753</v>
      </c>
      <c r="K593" s="194">
        <v>7</v>
      </c>
      <c r="L593" s="151">
        <v>41701</v>
      </c>
      <c r="M593" s="169">
        <v>5.4</v>
      </c>
      <c r="N593" s="151">
        <v>41838</v>
      </c>
      <c r="Q593" s="497"/>
      <c r="S593" s="134">
        <v>19.47</v>
      </c>
      <c r="T593" s="151">
        <v>41842</v>
      </c>
      <c r="U593" s="134">
        <v>13.5</v>
      </c>
      <c r="V593" s="151">
        <v>41838</v>
      </c>
      <c r="W593" s="196">
        <v>9</v>
      </c>
      <c r="X593" s="151">
        <v>41829</v>
      </c>
      <c r="Y593" s="134">
        <f t="shared" si="9"/>
        <v>5.3482000000000003</v>
      </c>
      <c r="AC593" s="134">
        <v>40</v>
      </c>
      <c r="AD593" s="151">
        <v>41838</v>
      </c>
      <c r="AE593" s="134">
        <v>41.14</v>
      </c>
      <c r="AF593" s="151">
        <v>41838</v>
      </c>
      <c r="AG593" s="197">
        <v>5.0999999999999996</v>
      </c>
      <c r="AH593" s="151">
        <v>41843</v>
      </c>
      <c r="AI593" s="198">
        <v>5</v>
      </c>
      <c r="AJ593" s="151">
        <v>41778</v>
      </c>
      <c r="AK593" s="199">
        <v>5</v>
      </c>
      <c r="AL593" s="151">
        <v>41709</v>
      </c>
      <c r="BE593" s="200">
        <v>5</v>
      </c>
      <c r="BF593" s="201">
        <v>41555</v>
      </c>
      <c r="BG593" s="203">
        <v>-7.4</v>
      </c>
      <c r="BH593" s="151">
        <v>41842</v>
      </c>
      <c r="BM593" s="204">
        <v>66</v>
      </c>
      <c r="BN593" s="151">
        <v>41842</v>
      </c>
      <c r="BQ593" s="205">
        <v>9</v>
      </c>
      <c r="BR593" s="151">
        <v>41842</v>
      </c>
      <c r="BS593" s="206">
        <v>47.3</v>
      </c>
      <c r="BT593" s="151">
        <v>41842</v>
      </c>
      <c r="BU593" s="207">
        <v>13</v>
      </c>
      <c r="BV593" s="151">
        <v>41842</v>
      </c>
      <c r="BW593" s="206">
        <v>15.6</v>
      </c>
      <c r="BX593" s="151">
        <v>41842</v>
      </c>
      <c r="BY593" s="210">
        <v>7.37</v>
      </c>
      <c r="BZ593" s="151">
        <v>41842</v>
      </c>
      <c r="CA593" s="206">
        <v>29.8</v>
      </c>
      <c r="CB593" s="151">
        <v>41842</v>
      </c>
      <c r="CC593" s="208">
        <v>6.4</v>
      </c>
      <c r="CD593" s="151">
        <v>41838</v>
      </c>
      <c r="CL593" s="209">
        <v>3</v>
      </c>
      <c r="CM593" s="201">
        <v>41810</v>
      </c>
    </row>
    <row r="594" spans="1:91" ht="15">
      <c r="A594" s="152" t="s">
        <v>8038</v>
      </c>
      <c r="B594" s="110" t="s">
        <v>233</v>
      </c>
      <c r="C594" s="110" t="s">
        <v>381</v>
      </c>
      <c r="D594" s="110">
        <v>11139</v>
      </c>
      <c r="E594" s="111">
        <v>5</v>
      </c>
      <c r="F594" s="111">
        <v>601</v>
      </c>
      <c r="K594" s="134">
        <v>5</v>
      </c>
      <c r="L594" s="151">
        <v>41701</v>
      </c>
      <c r="M594" s="169">
        <v>4.05</v>
      </c>
      <c r="N594" s="151">
        <v>41838</v>
      </c>
      <c r="Q594" s="497"/>
      <c r="S594" s="134">
        <v>14.46</v>
      </c>
      <c r="T594" s="151">
        <v>41842</v>
      </c>
      <c r="U594" s="134">
        <v>13.5</v>
      </c>
      <c r="V594" s="151">
        <v>41838</v>
      </c>
      <c r="W594" s="196">
        <v>9</v>
      </c>
      <c r="X594" s="151">
        <v>41829</v>
      </c>
      <c r="Y594" s="134">
        <f t="shared" si="9"/>
        <v>4.0505200000000006</v>
      </c>
      <c r="AC594" s="134">
        <v>30</v>
      </c>
      <c r="AD594" s="151">
        <v>41838</v>
      </c>
      <c r="AE594" s="134">
        <v>30.92</v>
      </c>
      <c r="AF594" s="151">
        <v>41838</v>
      </c>
      <c r="AG594" s="197">
        <v>5.2</v>
      </c>
      <c r="AH594" s="151">
        <v>41843</v>
      </c>
      <c r="AI594" s="198">
        <v>3</v>
      </c>
      <c r="AJ594" s="151">
        <v>41778</v>
      </c>
      <c r="AK594" s="199">
        <v>4</v>
      </c>
      <c r="AL594" s="151">
        <v>41709</v>
      </c>
      <c r="BE594" s="200">
        <v>4</v>
      </c>
      <c r="BF594" s="201">
        <v>41555</v>
      </c>
      <c r="BG594" s="203">
        <v>-2.5</v>
      </c>
      <c r="BH594" s="151">
        <v>41842</v>
      </c>
      <c r="BM594" s="204">
        <v>62.6</v>
      </c>
      <c r="BN594" s="151">
        <v>41842</v>
      </c>
      <c r="BQ594" s="205">
        <v>12.1</v>
      </c>
      <c r="BR594" s="151">
        <v>41842</v>
      </c>
      <c r="BS594" s="206">
        <v>46.8</v>
      </c>
      <c r="BT594" s="151">
        <v>41842</v>
      </c>
      <c r="BU594" s="207">
        <v>13.1</v>
      </c>
      <c r="BV594" s="151">
        <v>41842</v>
      </c>
      <c r="BW594" s="206">
        <v>11</v>
      </c>
      <c r="BX594" s="151">
        <v>41842</v>
      </c>
      <c r="BY594" s="210">
        <v>7.46</v>
      </c>
      <c r="BZ594" s="151">
        <v>41842</v>
      </c>
      <c r="CA594" s="206">
        <v>29.6</v>
      </c>
      <c r="CB594" s="151">
        <v>41842</v>
      </c>
      <c r="CC594" s="208">
        <v>6.2</v>
      </c>
      <c r="CD594" s="151">
        <v>41838</v>
      </c>
      <c r="CL594" s="209">
        <v>3</v>
      </c>
      <c r="CM594" s="201">
        <v>41810</v>
      </c>
    </row>
    <row r="595" spans="1:91" ht="15">
      <c r="A595" s="152" t="s">
        <v>8038</v>
      </c>
      <c r="B595" s="110" t="s">
        <v>235</v>
      </c>
      <c r="C595" s="110" t="s">
        <v>8082</v>
      </c>
      <c r="D595" s="110">
        <v>11598</v>
      </c>
      <c r="E595" s="111">
        <v>6</v>
      </c>
      <c r="F595" s="111">
        <v>713</v>
      </c>
      <c r="K595" s="134">
        <v>5</v>
      </c>
      <c r="L595" s="151">
        <v>41701</v>
      </c>
      <c r="M595" s="169">
        <v>5.35</v>
      </c>
      <c r="N595" s="151">
        <v>41838</v>
      </c>
      <c r="Q595" s="497"/>
      <c r="S595" s="134">
        <v>19.02</v>
      </c>
      <c r="T595" s="151">
        <v>41842</v>
      </c>
      <c r="U595" s="134">
        <v>13.5</v>
      </c>
      <c r="V595" s="151">
        <v>41838</v>
      </c>
      <c r="W595" s="196">
        <v>9</v>
      </c>
      <c r="X595" s="151">
        <v>41829</v>
      </c>
      <c r="Y595" s="134">
        <f t="shared" si="9"/>
        <v>5.5855199999999998</v>
      </c>
      <c r="AC595" s="134">
        <v>39.630000000000003</v>
      </c>
      <c r="AD595" s="151">
        <v>41838</v>
      </c>
      <c r="AE595" s="134">
        <v>41.07</v>
      </c>
      <c r="AF595" s="151">
        <v>41838</v>
      </c>
      <c r="AG595" s="197">
        <v>5.4</v>
      </c>
      <c r="AH595" s="151">
        <v>41843</v>
      </c>
      <c r="AI595" s="198">
        <v>5</v>
      </c>
      <c r="AJ595" s="151">
        <v>41778</v>
      </c>
      <c r="AK595" s="199">
        <v>4</v>
      </c>
      <c r="AL595" s="151">
        <v>41709</v>
      </c>
      <c r="BE595" s="200">
        <v>4</v>
      </c>
      <c r="BF595" s="201">
        <v>41555</v>
      </c>
      <c r="BG595" s="203">
        <v>-4.5999999999999996</v>
      </c>
      <c r="BH595" s="151">
        <v>41842</v>
      </c>
      <c r="BM595" s="204">
        <v>61.5</v>
      </c>
      <c r="BN595" s="151">
        <v>41842</v>
      </c>
      <c r="BQ595" s="205">
        <v>12.2</v>
      </c>
      <c r="BR595" s="151">
        <v>41842</v>
      </c>
      <c r="BS595" s="206">
        <v>46.3</v>
      </c>
      <c r="BT595" s="151">
        <v>41842</v>
      </c>
      <c r="BU595" s="207">
        <v>13.6</v>
      </c>
      <c r="BV595" s="151">
        <v>41842</v>
      </c>
      <c r="BW595" s="206">
        <v>13</v>
      </c>
      <c r="BX595" s="151">
        <v>41842</v>
      </c>
      <c r="BY595" s="210">
        <v>7.35</v>
      </c>
      <c r="BZ595" s="151">
        <v>41842</v>
      </c>
      <c r="CA595" s="206">
        <v>30.3</v>
      </c>
      <c r="CB595" s="151">
        <v>41842</v>
      </c>
      <c r="CC595" s="208">
        <v>5.7</v>
      </c>
      <c r="CD595" s="151">
        <v>41838</v>
      </c>
      <c r="CL595" s="209">
        <v>3</v>
      </c>
      <c r="CM595" s="201">
        <v>41810</v>
      </c>
    </row>
    <row r="596" spans="1:91" ht="15">
      <c r="A596" s="152" t="s">
        <v>8038</v>
      </c>
      <c r="B596" s="110" t="s">
        <v>235</v>
      </c>
      <c r="C596" s="110" t="s">
        <v>8081</v>
      </c>
      <c r="D596" s="110">
        <v>11234</v>
      </c>
      <c r="E596" s="111">
        <v>8</v>
      </c>
      <c r="F596" s="111">
        <v>549</v>
      </c>
      <c r="K596" s="134">
        <v>5</v>
      </c>
      <c r="L596" s="151">
        <v>41701</v>
      </c>
      <c r="M596" s="169">
        <v>5.9</v>
      </c>
      <c r="N596" s="151">
        <v>41838</v>
      </c>
      <c r="Q596" s="497"/>
      <c r="S596" s="134">
        <v>20.71</v>
      </c>
      <c r="T596" s="151">
        <v>41842</v>
      </c>
      <c r="U596" s="134">
        <v>13.5</v>
      </c>
      <c r="V596" s="151">
        <v>41838</v>
      </c>
      <c r="W596" s="196">
        <v>9</v>
      </c>
      <c r="X596" s="151">
        <v>41829</v>
      </c>
      <c r="Y596" s="134">
        <f t="shared" si="9"/>
        <v>6.483620000000001</v>
      </c>
      <c r="AC596" s="134">
        <v>43.7</v>
      </c>
      <c r="AD596" s="151">
        <v>41838</v>
      </c>
      <c r="AE596" s="134">
        <v>45.34</v>
      </c>
      <c r="AF596" s="151">
        <v>41838</v>
      </c>
      <c r="AG596" s="197">
        <v>5</v>
      </c>
      <c r="AH596" s="151">
        <v>41843</v>
      </c>
      <c r="AI596" s="198">
        <v>5</v>
      </c>
      <c r="AJ596" s="151">
        <v>41778</v>
      </c>
      <c r="AK596" s="199">
        <v>4</v>
      </c>
      <c r="AL596" s="151">
        <v>41709</v>
      </c>
      <c r="BE596" s="200">
        <v>4</v>
      </c>
      <c r="BF596" s="201">
        <v>41555</v>
      </c>
      <c r="BG596" s="203">
        <v>-2.6</v>
      </c>
      <c r="BH596" s="151">
        <v>41842</v>
      </c>
      <c r="BM596" s="204">
        <v>61.3</v>
      </c>
      <c r="BN596" s="151">
        <v>41842</v>
      </c>
      <c r="BQ596" s="205">
        <v>13</v>
      </c>
      <c r="BR596" s="151">
        <v>41842</v>
      </c>
      <c r="BS596" s="206">
        <v>45.7</v>
      </c>
      <c r="BT596" s="151">
        <v>41842</v>
      </c>
      <c r="BU596" s="207">
        <v>14.3</v>
      </c>
      <c r="BV596" s="151">
        <v>41842</v>
      </c>
      <c r="BW596" s="206">
        <v>10.8</v>
      </c>
      <c r="BX596" s="151">
        <v>41842</v>
      </c>
      <c r="BY596" s="210">
        <v>7.49</v>
      </c>
      <c r="BZ596" s="151">
        <v>41842</v>
      </c>
      <c r="CA596" s="206">
        <v>31.6</v>
      </c>
      <c r="CB596" s="151">
        <v>41842</v>
      </c>
      <c r="CC596" s="208">
        <v>5.6</v>
      </c>
      <c r="CD596" s="151">
        <v>41838</v>
      </c>
      <c r="CL596" s="209">
        <v>3</v>
      </c>
      <c r="CM596" s="201">
        <v>41810</v>
      </c>
    </row>
    <row r="597" spans="1:91" ht="15">
      <c r="A597" s="152" t="s">
        <v>8038</v>
      </c>
      <c r="B597" s="110" t="s">
        <v>233</v>
      </c>
      <c r="C597" s="110" t="s">
        <v>8083</v>
      </c>
      <c r="D597" s="110">
        <v>11727</v>
      </c>
      <c r="E597" s="111">
        <v>10</v>
      </c>
      <c r="F597" s="111">
        <v>653</v>
      </c>
      <c r="K597" s="134">
        <v>5</v>
      </c>
      <c r="L597" s="151">
        <v>41701</v>
      </c>
      <c r="M597" s="169">
        <v>4.05</v>
      </c>
      <c r="N597" s="151">
        <v>41838</v>
      </c>
      <c r="Q597" s="497"/>
      <c r="S597" s="134">
        <v>14.34</v>
      </c>
      <c r="T597" s="151">
        <v>41842</v>
      </c>
      <c r="U597" s="134">
        <v>13.5</v>
      </c>
      <c r="V597" s="151">
        <v>41838</v>
      </c>
      <c r="W597" s="196">
        <v>9</v>
      </c>
      <c r="X597" s="151">
        <v>41829</v>
      </c>
      <c r="Y597" s="134">
        <f t="shared" si="9"/>
        <v>4.1660599999999999</v>
      </c>
      <c r="AC597" s="134">
        <v>30</v>
      </c>
      <c r="AD597" s="151">
        <v>41838</v>
      </c>
      <c r="AE597" s="134">
        <v>31.09</v>
      </c>
      <c r="AF597" s="151">
        <v>41838</v>
      </c>
      <c r="AG597" s="197">
        <v>5</v>
      </c>
      <c r="AH597" s="151">
        <v>41843</v>
      </c>
      <c r="AI597" s="198">
        <v>3</v>
      </c>
      <c r="AJ597" s="151">
        <v>41778</v>
      </c>
      <c r="AK597" s="199">
        <v>4</v>
      </c>
      <c r="AL597" s="151">
        <v>41709</v>
      </c>
      <c r="BE597" s="200">
        <v>4</v>
      </c>
      <c r="BF597" s="201">
        <v>41555</v>
      </c>
      <c r="BG597" s="203">
        <v>-4.2</v>
      </c>
      <c r="BH597" s="151">
        <v>41842</v>
      </c>
      <c r="BM597" s="204">
        <v>62.1</v>
      </c>
      <c r="BN597" s="151">
        <v>41842</v>
      </c>
      <c r="BQ597" s="205">
        <v>12.2</v>
      </c>
      <c r="BR597" s="151">
        <v>41842</v>
      </c>
      <c r="BS597" s="206">
        <v>46.1</v>
      </c>
      <c r="BT597" s="151">
        <v>41842</v>
      </c>
      <c r="BU597" s="207">
        <v>13.4</v>
      </c>
      <c r="BV597" s="151">
        <v>41842</v>
      </c>
      <c r="BW597" s="206">
        <v>11.1</v>
      </c>
      <c r="BX597" s="151">
        <v>41842</v>
      </c>
      <c r="BY597" s="210">
        <v>7.3</v>
      </c>
      <c r="BZ597" s="151">
        <v>41842</v>
      </c>
      <c r="CA597" s="206">
        <v>29.9</v>
      </c>
      <c r="CB597" s="151">
        <v>41842</v>
      </c>
      <c r="CC597" s="208">
        <v>5.7</v>
      </c>
      <c r="CD597" s="151">
        <v>41838</v>
      </c>
      <c r="CL597" s="209">
        <v>3</v>
      </c>
      <c r="CM597" s="201">
        <v>41810</v>
      </c>
    </row>
    <row r="598" spans="1:91" ht="15">
      <c r="A598" s="152" t="s">
        <v>8039</v>
      </c>
      <c r="B598" s="110" t="s">
        <v>233</v>
      </c>
      <c r="C598" s="110" t="s">
        <v>381</v>
      </c>
      <c r="D598" s="110">
        <v>11013</v>
      </c>
      <c r="E598" s="111">
        <v>2</v>
      </c>
      <c r="F598" s="111">
        <v>529</v>
      </c>
      <c r="I598" s="373"/>
      <c r="K598" s="194">
        <v>5</v>
      </c>
      <c r="L598" s="151">
        <v>41701</v>
      </c>
      <c r="M598" s="169">
        <v>4.7</v>
      </c>
      <c r="N598" s="151">
        <v>41838</v>
      </c>
      <c r="Q598" s="497"/>
      <c r="S598" s="134">
        <v>17.809999999999999</v>
      </c>
      <c r="T598" s="151">
        <v>41842</v>
      </c>
      <c r="U598" s="194">
        <v>13.5</v>
      </c>
      <c r="V598" s="151">
        <v>41838</v>
      </c>
      <c r="W598" s="196">
        <v>9</v>
      </c>
      <c r="X598" s="151">
        <v>41829</v>
      </c>
      <c r="Y598" s="134">
        <f t="shared" si="9"/>
        <v>4.2840000000000007</v>
      </c>
      <c r="AA598" s="194"/>
      <c r="AC598" s="194">
        <v>34.81</v>
      </c>
      <c r="AD598" s="151">
        <v>41838</v>
      </c>
      <c r="AE598" s="137">
        <v>36</v>
      </c>
      <c r="AF598" s="151">
        <v>41838</v>
      </c>
      <c r="AG598" s="197">
        <v>4.9000000000000004</v>
      </c>
      <c r="AH598" s="151">
        <v>41843</v>
      </c>
      <c r="AI598" s="198">
        <v>5</v>
      </c>
      <c r="AJ598" s="151">
        <v>41778</v>
      </c>
      <c r="AK598" s="199">
        <v>5</v>
      </c>
      <c r="AL598" s="151">
        <v>41709</v>
      </c>
      <c r="AM598" s="194"/>
      <c r="BE598" s="200">
        <v>5</v>
      </c>
      <c r="BF598" s="201">
        <v>41555</v>
      </c>
      <c r="BG598" s="203">
        <v>-8.4</v>
      </c>
      <c r="BH598" s="151">
        <v>41842</v>
      </c>
      <c r="BM598" s="204">
        <v>67.400000000000006</v>
      </c>
      <c r="BN598" s="151">
        <v>41842</v>
      </c>
      <c r="BQ598" s="205">
        <v>8.4</v>
      </c>
      <c r="BR598" s="151">
        <v>41842</v>
      </c>
      <c r="BS598" s="206">
        <v>49.5</v>
      </c>
      <c r="BT598" s="151">
        <v>41842</v>
      </c>
      <c r="BU598" s="207">
        <v>11.9</v>
      </c>
      <c r="BV598" s="151">
        <v>41842</v>
      </c>
      <c r="BW598" s="206">
        <v>12.6</v>
      </c>
      <c r="BX598" s="151">
        <v>41842</v>
      </c>
      <c r="BY598" s="210">
        <v>6.37</v>
      </c>
      <c r="BZ598" s="151">
        <v>41842</v>
      </c>
      <c r="CA598" s="206">
        <v>28.6</v>
      </c>
      <c r="CB598" s="151">
        <v>41842</v>
      </c>
      <c r="CC598" s="208">
        <v>5.9</v>
      </c>
      <c r="CD598" s="151">
        <v>41838</v>
      </c>
      <c r="CL598" s="209">
        <v>3</v>
      </c>
      <c r="CM598" s="201">
        <v>41810</v>
      </c>
    </row>
    <row r="599" spans="1:91" ht="15">
      <c r="A599" s="152" t="s">
        <v>8039</v>
      </c>
      <c r="B599" s="110" t="s">
        <v>235</v>
      </c>
      <c r="C599" s="110" t="s">
        <v>8082</v>
      </c>
      <c r="D599" s="110">
        <v>11564</v>
      </c>
      <c r="E599" s="111">
        <v>5</v>
      </c>
      <c r="F599" s="111">
        <v>721</v>
      </c>
      <c r="K599" s="134">
        <v>5</v>
      </c>
      <c r="L599" s="151">
        <v>41701</v>
      </c>
      <c r="M599" s="169">
        <v>5.8</v>
      </c>
      <c r="N599" s="151">
        <v>41838</v>
      </c>
      <c r="Q599" s="497"/>
      <c r="S599" s="134">
        <v>22.11</v>
      </c>
      <c r="T599" s="151">
        <v>41842</v>
      </c>
      <c r="U599" s="134">
        <v>13.5</v>
      </c>
      <c r="V599" s="151">
        <v>41838</v>
      </c>
      <c r="W599" s="196">
        <v>9</v>
      </c>
      <c r="X599" s="151">
        <v>41829</v>
      </c>
      <c r="Y599" s="134">
        <f t="shared" si="9"/>
        <v>5.1924599999999996</v>
      </c>
      <c r="AC599" s="134">
        <v>42.96</v>
      </c>
      <c r="AD599" s="151">
        <v>41838</v>
      </c>
      <c r="AE599" s="134">
        <v>44.38</v>
      </c>
      <c r="AF599" s="151">
        <v>41838</v>
      </c>
      <c r="AG599" s="197">
        <v>5.3</v>
      </c>
      <c r="AH599" s="151">
        <v>41843</v>
      </c>
      <c r="AI599" s="198">
        <v>5</v>
      </c>
      <c r="AJ599" s="151">
        <v>41778</v>
      </c>
      <c r="AK599" s="199">
        <v>5</v>
      </c>
      <c r="AL599" s="151">
        <v>41709</v>
      </c>
      <c r="BE599" s="200">
        <v>5</v>
      </c>
      <c r="BF599" s="201">
        <v>41555</v>
      </c>
      <c r="BG599" s="203">
        <v>-10.4</v>
      </c>
      <c r="BH599" s="151">
        <v>41842</v>
      </c>
      <c r="BM599" s="204">
        <v>68</v>
      </c>
      <c r="BN599" s="151">
        <v>41842</v>
      </c>
      <c r="BQ599" s="205">
        <v>8.1</v>
      </c>
      <c r="BR599" s="151">
        <v>41842</v>
      </c>
      <c r="BS599" s="206">
        <v>49.8</v>
      </c>
      <c r="BT599" s="151">
        <v>41842</v>
      </c>
      <c r="BU599" s="207">
        <v>11.7</v>
      </c>
      <c r="BV599" s="151">
        <v>41842</v>
      </c>
      <c r="BW599" s="206">
        <v>12.4</v>
      </c>
      <c r="BX599" s="151">
        <v>41842</v>
      </c>
      <c r="BY599" s="210">
        <v>6.39</v>
      </c>
      <c r="BZ599" s="151">
        <v>41842</v>
      </c>
      <c r="CA599" s="206">
        <v>28.3</v>
      </c>
      <c r="CB599" s="151">
        <v>41842</v>
      </c>
      <c r="CC599" s="208">
        <v>6</v>
      </c>
      <c r="CD599" s="151">
        <v>41838</v>
      </c>
      <c r="CL599" s="209">
        <v>3</v>
      </c>
      <c r="CM599" s="201">
        <v>41810</v>
      </c>
    </row>
    <row r="600" spans="1:91" ht="15">
      <c r="A600" s="152" t="s">
        <v>8039</v>
      </c>
      <c r="B600" s="110" t="s">
        <v>233</v>
      </c>
      <c r="C600" s="110" t="s">
        <v>8083</v>
      </c>
      <c r="D600" s="110">
        <v>11652</v>
      </c>
      <c r="E600" s="111">
        <v>8</v>
      </c>
      <c r="F600" s="111">
        <v>641</v>
      </c>
      <c r="K600" s="134">
        <v>5</v>
      </c>
      <c r="L600" s="151">
        <v>41701</v>
      </c>
      <c r="M600" s="169">
        <v>4.5</v>
      </c>
      <c r="N600" s="151">
        <v>41838</v>
      </c>
      <c r="Q600" s="497"/>
      <c r="S600" s="134">
        <v>17.45</v>
      </c>
      <c r="T600" s="151">
        <v>41842</v>
      </c>
      <c r="U600" s="134">
        <v>13.5</v>
      </c>
      <c r="V600" s="151">
        <v>41838</v>
      </c>
      <c r="W600" s="196">
        <v>9</v>
      </c>
      <c r="X600" s="151">
        <v>41829</v>
      </c>
      <c r="Y600" s="134">
        <f t="shared" si="9"/>
        <v>3.8081999999999998</v>
      </c>
      <c r="AC600" s="134">
        <v>33.33</v>
      </c>
      <c r="AD600" s="151">
        <v>41838</v>
      </c>
      <c r="AE600" s="134">
        <v>34.619999999999997</v>
      </c>
      <c r="AF600" s="151">
        <v>41838</v>
      </c>
      <c r="AG600" s="197">
        <v>4.9000000000000004</v>
      </c>
      <c r="AH600" s="151">
        <v>41843</v>
      </c>
      <c r="AI600" s="198">
        <v>5</v>
      </c>
      <c r="AJ600" s="151">
        <v>41778</v>
      </c>
      <c r="AK600" s="199">
        <v>5</v>
      </c>
      <c r="AL600" s="151">
        <v>41709</v>
      </c>
      <c r="BE600" s="200">
        <v>5</v>
      </c>
      <c r="BF600" s="201">
        <v>41555</v>
      </c>
      <c r="BG600" s="203">
        <v>-10.1</v>
      </c>
      <c r="BH600" s="151">
        <v>41842</v>
      </c>
      <c r="BM600" s="204">
        <v>68.2</v>
      </c>
      <c r="BN600" s="151">
        <v>41842</v>
      </c>
      <c r="BQ600" s="205">
        <v>8.6999999999999993</v>
      </c>
      <c r="BR600" s="151">
        <v>41842</v>
      </c>
      <c r="BS600" s="206">
        <v>50.4</v>
      </c>
      <c r="BT600" s="151">
        <v>41842</v>
      </c>
      <c r="BU600" s="207">
        <v>11</v>
      </c>
      <c r="BV600" s="151">
        <v>41842</v>
      </c>
      <c r="BW600" s="206">
        <v>11.1</v>
      </c>
      <c r="BX600" s="151">
        <v>41842</v>
      </c>
      <c r="BY600" s="210">
        <v>6.15</v>
      </c>
      <c r="BZ600" s="151">
        <v>41842</v>
      </c>
      <c r="CA600" s="206">
        <v>27</v>
      </c>
      <c r="CB600" s="151">
        <v>41842</v>
      </c>
      <c r="CC600" s="208">
        <v>5.5</v>
      </c>
      <c r="CD600" s="151">
        <v>41838</v>
      </c>
      <c r="CL600" s="209">
        <v>3</v>
      </c>
      <c r="CM600" s="201">
        <v>41810</v>
      </c>
    </row>
    <row r="601" spans="1:91" ht="15">
      <c r="A601" s="152" t="s">
        <v>8039</v>
      </c>
      <c r="B601" s="110" t="s">
        <v>235</v>
      </c>
      <c r="C601" s="110" t="s">
        <v>8081</v>
      </c>
      <c r="D601" s="110">
        <v>11390</v>
      </c>
      <c r="E601" s="111">
        <v>12</v>
      </c>
      <c r="F601" s="111">
        <v>597</v>
      </c>
      <c r="K601" s="134">
        <v>5</v>
      </c>
      <c r="L601" s="151">
        <v>41701</v>
      </c>
      <c r="M601" s="169">
        <v>6.15</v>
      </c>
      <c r="N601" s="151">
        <v>41838</v>
      </c>
      <c r="Q601" s="497"/>
      <c r="S601" s="134">
        <v>22.88</v>
      </c>
      <c r="T601" s="151">
        <v>41842</v>
      </c>
      <c r="U601" s="134">
        <v>13.5</v>
      </c>
      <c r="V601" s="151">
        <v>41838</v>
      </c>
      <c r="W601" s="196">
        <v>1</v>
      </c>
      <c r="X601" s="151">
        <v>41829</v>
      </c>
      <c r="Y601" s="134">
        <f t="shared" si="9"/>
        <v>5.9295600000000004</v>
      </c>
      <c r="AC601" s="134">
        <v>45.56</v>
      </c>
      <c r="AD601" s="151">
        <v>41838</v>
      </c>
      <c r="AE601" s="134">
        <v>47.06</v>
      </c>
      <c r="AF601" s="151">
        <v>41838</v>
      </c>
      <c r="AG601" s="197">
        <v>4.8</v>
      </c>
      <c r="AH601" s="151">
        <v>41843</v>
      </c>
      <c r="AI601" s="198">
        <v>5</v>
      </c>
      <c r="AJ601" s="151">
        <v>41778</v>
      </c>
      <c r="AK601" s="199">
        <v>5</v>
      </c>
      <c r="AL601" s="151">
        <v>41709</v>
      </c>
      <c r="BE601" s="200">
        <v>5</v>
      </c>
      <c r="BF601" s="201">
        <v>41555</v>
      </c>
      <c r="BG601" s="203">
        <v>-8.3000000000000007</v>
      </c>
      <c r="BH601" s="151">
        <v>41842</v>
      </c>
      <c r="BM601" s="204">
        <v>67</v>
      </c>
      <c r="BN601" s="151">
        <v>41842</v>
      </c>
      <c r="BQ601" s="205">
        <v>8.6</v>
      </c>
      <c r="BR601" s="151">
        <v>41842</v>
      </c>
      <c r="BS601" s="206">
        <v>48.6</v>
      </c>
      <c r="BT601" s="151">
        <v>41842</v>
      </c>
      <c r="BU601" s="207">
        <v>12.6</v>
      </c>
      <c r="BV601" s="151">
        <v>41842</v>
      </c>
      <c r="BW601" s="206">
        <v>11.3</v>
      </c>
      <c r="BX601" s="151">
        <v>41842</v>
      </c>
      <c r="BY601" s="210">
        <v>6.51</v>
      </c>
      <c r="BZ601" s="151">
        <v>41842</v>
      </c>
      <c r="CA601" s="206">
        <v>29.8</v>
      </c>
      <c r="CB601" s="151">
        <v>41842</v>
      </c>
      <c r="CC601" s="208">
        <v>6</v>
      </c>
      <c r="CD601" s="151">
        <v>41838</v>
      </c>
      <c r="CL601" s="209">
        <v>3</v>
      </c>
      <c r="CM601" s="201">
        <v>41810</v>
      </c>
    </row>
    <row r="602" spans="1:91" ht="15">
      <c r="A602" s="152" t="s">
        <v>8040</v>
      </c>
      <c r="B602" s="110" t="s">
        <v>235</v>
      </c>
      <c r="C602" s="110" t="s">
        <v>8082</v>
      </c>
      <c r="D602" s="110">
        <v>11457</v>
      </c>
      <c r="E602" s="111">
        <v>2</v>
      </c>
      <c r="F602" s="111">
        <v>725</v>
      </c>
      <c r="K602" s="134">
        <v>5</v>
      </c>
      <c r="L602" s="151">
        <v>41701</v>
      </c>
      <c r="M602" s="169">
        <v>5.4</v>
      </c>
      <c r="N602" s="151">
        <v>41838</v>
      </c>
      <c r="Q602" s="497"/>
      <c r="S602" s="134">
        <v>20.079999999999998</v>
      </c>
      <c r="T602" s="151">
        <v>41842</v>
      </c>
      <c r="U602" s="134">
        <v>13.5</v>
      </c>
      <c r="V602" s="151">
        <v>41838</v>
      </c>
      <c r="W602" s="196">
        <v>9</v>
      </c>
      <c r="X602" s="151">
        <v>41829</v>
      </c>
      <c r="Y602" s="134">
        <f t="shared" si="9"/>
        <v>5.3070599999999999</v>
      </c>
      <c r="AC602" s="134">
        <v>40</v>
      </c>
      <c r="AD602" s="151">
        <v>41838</v>
      </c>
      <c r="AE602" s="134">
        <v>41.14</v>
      </c>
      <c r="AF602" s="151">
        <v>41838</v>
      </c>
      <c r="AG602" s="197">
        <v>4.2</v>
      </c>
      <c r="AH602" s="151">
        <v>41843</v>
      </c>
      <c r="AI602" s="198">
        <v>5</v>
      </c>
      <c r="AJ602" s="151">
        <v>41778</v>
      </c>
      <c r="AK602" s="199">
        <v>5</v>
      </c>
      <c r="AL602" s="151">
        <v>41709</v>
      </c>
      <c r="BE602" s="200">
        <v>5</v>
      </c>
      <c r="BF602" s="201">
        <v>41555</v>
      </c>
      <c r="BG602" s="203">
        <v>-8.3000000000000007</v>
      </c>
      <c r="BH602" s="151">
        <v>41842</v>
      </c>
      <c r="BM602" s="204">
        <v>63.4</v>
      </c>
      <c r="BN602" s="151">
        <v>41842</v>
      </c>
      <c r="BQ602" s="205">
        <v>10.9</v>
      </c>
      <c r="BR602" s="151">
        <v>41842</v>
      </c>
      <c r="BS602" s="206">
        <v>48.8</v>
      </c>
      <c r="BT602" s="151">
        <v>41842</v>
      </c>
      <c r="BU602" s="207">
        <v>12.9</v>
      </c>
      <c r="BV602" s="151">
        <v>41842</v>
      </c>
      <c r="BW602" s="206">
        <v>12.2</v>
      </c>
      <c r="BX602" s="151">
        <v>41842</v>
      </c>
      <c r="BY602" s="210">
        <v>7.28</v>
      </c>
      <c r="BZ602" s="151">
        <v>41842</v>
      </c>
      <c r="CA602" s="206">
        <v>30.5</v>
      </c>
      <c r="CB602" s="151">
        <v>41842</v>
      </c>
      <c r="CC602" s="208">
        <v>6.4</v>
      </c>
      <c r="CD602" s="151">
        <v>41838</v>
      </c>
      <c r="CL602" s="209">
        <v>3</v>
      </c>
      <c r="CM602" s="201">
        <v>41810</v>
      </c>
    </row>
    <row r="603" spans="1:91" ht="15">
      <c r="A603" s="152" t="s">
        <v>8040</v>
      </c>
      <c r="B603" s="110" t="s">
        <v>233</v>
      </c>
      <c r="C603" s="110" t="s">
        <v>381</v>
      </c>
      <c r="D603" s="110">
        <v>11122</v>
      </c>
      <c r="E603" s="111">
        <v>5</v>
      </c>
      <c r="F603" s="111">
        <v>533</v>
      </c>
      <c r="K603" s="134">
        <v>5</v>
      </c>
      <c r="L603" s="151">
        <v>41701</v>
      </c>
      <c r="M603" s="169">
        <v>3.75</v>
      </c>
      <c r="N603" s="151">
        <v>41838</v>
      </c>
      <c r="Q603" s="497"/>
      <c r="S603" s="134">
        <v>14.5</v>
      </c>
      <c r="T603" s="151">
        <v>41842</v>
      </c>
      <c r="U603" s="134">
        <v>13.5</v>
      </c>
      <c r="V603" s="151">
        <v>41838</v>
      </c>
      <c r="W603" s="196">
        <v>9</v>
      </c>
      <c r="X603" s="151">
        <v>41829</v>
      </c>
      <c r="Y603" s="134">
        <f t="shared" si="9"/>
        <v>3.1526000000000001</v>
      </c>
      <c r="AC603" s="134">
        <v>27.78</v>
      </c>
      <c r="AD603" s="151">
        <v>41838</v>
      </c>
      <c r="AE603" s="134">
        <v>28.66</v>
      </c>
      <c r="AF603" s="151">
        <v>41838</v>
      </c>
      <c r="AG603" s="197">
        <v>4.3</v>
      </c>
      <c r="AH603" s="151">
        <v>41843</v>
      </c>
      <c r="AI603" s="198">
        <v>3</v>
      </c>
      <c r="AJ603" s="151">
        <v>41778</v>
      </c>
      <c r="AK603" s="199">
        <v>5</v>
      </c>
      <c r="AL603" s="151">
        <v>41709</v>
      </c>
      <c r="BE603" s="200">
        <v>5</v>
      </c>
      <c r="BF603" s="201">
        <v>41555</v>
      </c>
      <c r="BG603" s="203">
        <v>-9.4</v>
      </c>
      <c r="BH603" s="151">
        <v>41842</v>
      </c>
      <c r="BM603" s="204">
        <v>66.2</v>
      </c>
      <c r="BN603" s="151">
        <v>41842</v>
      </c>
      <c r="BQ603" s="205">
        <v>10</v>
      </c>
      <c r="BR603" s="151">
        <v>41842</v>
      </c>
      <c r="BS603" s="206">
        <v>50.6</v>
      </c>
      <c r="BT603" s="151">
        <v>41842</v>
      </c>
      <c r="BU603" s="207">
        <v>11</v>
      </c>
      <c r="BV603" s="151">
        <v>41842</v>
      </c>
      <c r="BW603" s="206">
        <v>10.1</v>
      </c>
      <c r="BX603" s="151">
        <v>41842</v>
      </c>
      <c r="BY603" s="210">
        <v>6.93</v>
      </c>
      <c r="BZ603" s="151">
        <v>41842</v>
      </c>
      <c r="CA603" s="206">
        <v>27.1</v>
      </c>
      <c r="CB603" s="151">
        <v>41842</v>
      </c>
      <c r="CC603" s="208">
        <v>6.1</v>
      </c>
      <c r="CD603" s="151">
        <v>41838</v>
      </c>
      <c r="CL603" s="209">
        <v>3</v>
      </c>
      <c r="CM603" s="201">
        <v>41810</v>
      </c>
    </row>
    <row r="604" spans="1:91" ht="15">
      <c r="A604" s="152" t="s">
        <v>8040</v>
      </c>
      <c r="B604" s="110" t="s">
        <v>235</v>
      </c>
      <c r="C604" s="110" t="s">
        <v>8081</v>
      </c>
      <c r="D604" s="110">
        <v>11356</v>
      </c>
      <c r="E604" s="111">
        <v>11</v>
      </c>
      <c r="F604" s="111">
        <v>605</v>
      </c>
      <c r="K604" s="134">
        <v>5</v>
      </c>
      <c r="L604" s="151">
        <v>41701</v>
      </c>
      <c r="M604" s="169">
        <v>5.25</v>
      </c>
      <c r="N604" s="151">
        <v>41838</v>
      </c>
      <c r="Q604" s="497"/>
      <c r="S604" s="134">
        <v>19.95</v>
      </c>
      <c r="T604" s="151">
        <v>41842</v>
      </c>
      <c r="U604" s="134">
        <v>13.5</v>
      </c>
      <c r="V604" s="151">
        <v>41838</v>
      </c>
      <c r="W604" s="196">
        <v>9</v>
      </c>
      <c r="X604" s="151">
        <v>41829</v>
      </c>
      <c r="Y604" s="134">
        <f t="shared" si="9"/>
        <v>4.6643599999999994</v>
      </c>
      <c r="AC604" s="134">
        <v>38.89</v>
      </c>
      <c r="AD604" s="151">
        <v>41838</v>
      </c>
      <c r="AE604" s="134">
        <v>40.21</v>
      </c>
      <c r="AF604" s="151">
        <v>41838</v>
      </c>
      <c r="AG604" s="197">
        <v>3.9</v>
      </c>
      <c r="AH604" s="151">
        <v>41843</v>
      </c>
      <c r="AI604" s="198">
        <v>7</v>
      </c>
      <c r="AJ604" s="151">
        <v>41778</v>
      </c>
      <c r="AK604" s="199">
        <v>5</v>
      </c>
      <c r="AL604" s="151">
        <v>41709</v>
      </c>
      <c r="BE604" s="200">
        <v>5</v>
      </c>
      <c r="BF604" s="201">
        <v>41555</v>
      </c>
      <c r="BG604" s="203">
        <v>-8.9</v>
      </c>
      <c r="BH604" s="151">
        <v>41842</v>
      </c>
      <c r="BM604" s="204">
        <v>65</v>
      </c>
      <c r="BN604" s="151">
        <v>41842</v>
      </c>
      <c r="BQ604" s="205">
        <v>10.1</v>
      </c>
      <c r="BR604" s="151">
        <v>41842</v>
      </c>
      <c r="BS604" s="206">
        <v>49.6</v>
      </c>
      <c r="BT604" s="151">
        <v>41842</v>
      </c>
      <c r="BU604" s="207">
        <v>11.6</v>
      </c>
      <c r="BV604" s="151">
        <v>41842</v>
      </c>
      <c r="BW604" s="206">
        <v>10.3</v>
      </c>
      <c r="BX604" s="151">
        <v>41842</v>
      </c>
      <c r="BY604" s="210">
        <v>6.99</v>
      </c>
      <c r="BZ604" s="151">
        <v>41842</v>
      </c>
      <c r="CA604" s="206">
        <v>27.9</v>
      </c>
      <c r="CB604" s="151">
        <v>41842</v>
      </c>
      <c r="CC604" s="208">
        <v>5.9</v>
      </c>
      <c r="CD604" s="151">
        <v>41838</v>
      </c>
      <c r="CL604" s="209">
        <v>3</v>
      </c>
      <c r="CM604" s="201">
        <v>41810</v>
      </c>
    </row>
    <row r="605" spans="1:91" ht="15">
      <c r="A605" s="152" t="s">
        <v>8040</v>
      </c>
      <c r="B605" s="110" t="s">
        <v>233</v>
      </c>
      <c r="C605" s="110" t="s">
        <v>8083</v>
      </c>
      <c r="D605" s="110">
        <v>11758</v>
      </c>
      <c r="E605" s="111">
        <v>11</v>
      </c>
      <c r="F605" s="111">
        <v>633</v>
      </c>
      <c r="K605" s="191">
        <v>3</v>
      </c>
      <c r="L605" s="151">
        <v>41701</v>
      </c>
      <c r="M605" s="169">
        <v>4.5</v>
      </c>
      <c r="N605" s="151">
        <v>41838</v>
      </c>
      <c r="Q605" s="497"/>
      <c r="S605" s="134">
        <v>16.920000000000002</v>
      </c>
      <c r="T605" s="151">
        <v>41842</v>
      </c>
      <c r="U605" s="134">
        <v>13.5</v>
      </c>
      <c r="V605" s="151">
        <v>41838</v>
      </c>
      <c r="W605" s="196">
        <v>9</v>
      </c>
      <c r="X605" s="151">
        <v>41829</v>
      </c>
      <c r="Y605" s="134">
        <f t="shared" si="9"/>
        <v>4.3967399999999994</v>
      </c>
      <c r="AC605" s="134">
        <v>33.33</v>
      </c>
      <c r="AD605" s="151">
        <v>41838</v>
      </c>
      <c r="AE605" s="134">
        <v>34.619999999999997</v>
      </c>
      <c r="AF605" s="151">
        <v>41838</v>
      </c>
      <c r="AG605" s="197">
        <v>4.4000000000000004</v>
      </c>
      <c r="AH605" s="151">
        <v>41843</v>
      </c>
      <c r="AI605" s="198">
        <v>5</v>
      </c>
      <c r="AJ605" s="151">
        <v>41778</v>
      </c>
      <c r="AK605" s="199">
        <v>5</v>
      </c>
      <c r="AL605" s="151">
        <v>41709</v>
      </c>
      <c r="BE605" s="200">
        <v>5</v>
      </c>
      <c r="BF605" s="201">
        <v>41555</v>
      </c>
      <c r="BG605" s="203">
        <v>-7.6</v>
      </c>
      <c r="BH605" s="151">
        <v>41842</v>
      </c>
      <c r="BM605" s="204">
        <v>64.5</v>
      </c>
      <c r="BN605" s="151">
        <v>41842</v>
      </c>
      <c r="BQ605" s="205">
        <v>11.1</v>
      </c>
      <c r="BR605" s="151">
        <v>41842</v>
      </c>
      <c r="BS605" s="206">
        <v>48.9</v>
      </c>
      <c r="BT605" s="151">
        <v>41842</v>
      </c>
      <c r="BU605" s="207">
        <v>12.7</v>
      </c>
      <c r="BV605" s="151">
        <v>41842</v>
      </c>
      <c r="BW605" s="206">
        <v>12.3</v>
      </c>
      <c r="BX605" s="151">
        <v>41842</v>
      </c>
      <c r="BY605" s="210">
        <v>6.96</v>
      </c>
      <c r="BZ605" s="151">
        <v>41842</v>
      </c>
      <c r="CA605" s="206">
        <v>30.2</v>
      </c>
      <c r="CB605" s="151">
        <v>41842</v>
      </c>
      <c r="CC605" s="208">
        <v>5.5</v>
      </c>
      <c r="CD605" s="151">
        <v>41838</v>
      </c>
      <c r="CL605" s="209">
        <v>3</v>
      </c>
      <c r="CM605" s="201">
        <v>41810</v>
      </c>
    </row>
    <row r="606" spans="1:91" ht="15">
      <c r="A606" s="152" t="s">
        <v>8041</v>
      </c>
      <c r="B606" s="110" t="s">
        <v>235</v>
      </c>
      <c r="C606" s="110" t="s">
        <v>8082</v>
      </c>
      <c r="D606" s="110">
        <v>11510</v>
      </c>
      <c r="E606" s="111">
        <v>4</v>
      </c>
      <c r="F606" s="111">
        <v>649</v>
      </c>
      <c r="K606" s="194">
        <v>7</v>
      </c>
      <c r="L606" s="151">
        <v>41701</v>
      </c>
      <c r="M606" s="169">
        <v>6.05</v>
      </c>
      <c r="N606" s="151">
        <v>41838</v>
      </c>
      <c r="Q606" s="497"/>
      <c r="S606" s="134">
        <v>22.5</v>
      </c>
      <c r="T606" s="151">
        <v>41842</v>
      </c>
      <c r="U606" s="134">
        <v>13.5</v>
      </c>
      <c r="V606" s="151">
        <v>41838</v>
      </c>
      <c r="W606" s="196">
        <v>9</v>
      </c>
      <c r="X606" s="151">
        <v>41829</v>
      </c>
      <c r="Y606" s="134">
        <f t="shared" si="9"/>
        <v>5.8978799999999989</v>
      </c>
      <c r="AC606" s="134">
        <v>44.81</v>
      </c>
      <c r="AD606" s="151">
        <v>41838</v>
      </c>
      <c r="AE606" s="134">
        <v>46.44</v>
      </c>
      <c r="AF606" s="151">
        <v>41838</v>
      </c>
      <c r="AG606" s="197">
        <v>4.9000000000000004</v>
      </c>
      <c r="AH606" s="151">
        <v>41843</v>
      </c>
      <c r="AI606" s="198">
        <v>7</v>
      </c>
      <c r="AJ606" s="151">
        <v>41778</v>
      </c>
      <c r="AK606" s="199">
        <v>5</v>
      </c>
      <c r="AL606" s="151">
        <v>41709</v>
      </c>
      <c r="BE606" s="200">
        <v>5</v>
      </c>
      <c r="BF606" s="201">
        <v>41555</v>
      </c>
      <c r="BG606" s="203">
        <v>-9.3000000000000007</v>
      </c>
      <c r="BH606" s="151">
        <v>41842</v>
      </c>
      <c r="BM606" s="204">
        <v>66.3</v>
      </c>
      <c r="BN606" s="151">
        <v>41842</v>
      </c>
      <c r="BQ606" s="205">
        <v>9.9</v>
      </c>
      <c r="BR606" s="151">
        <v>41842</v>
      </c>
      <c r="BS606" s="206">
        <v>48.5</v>
      </c>
      <c r="BT606" s="151">
        <v>41842</v>
      </c>
      <c r="BU606" s="207">
        <v>12.7</v>
      </c>
      <c r="BV606" s="151">
        <v>41842</v>
      </c>
      <c r="BW606" s="206">
        <v>14.1</v>
      </c>
      <c r="BX606" s="151">
        <v>41842</v>
      </c>
      <c r="BY606" s="210">
        <v>6.98</v>
      </c>
      <c r="BZ606" s="151">
        <v>41842</v>
      </c>
      <c r="CA606" s="206">
        <v>29.9</v>
      </c>
      <c r="CB606" s="151">
        <v>41842</v>
      </c>
      <c r="CC606" s="208">
        <v>5.7</v>
      </c>
      <c r="CD606" s="151">
        <v>41838</v>
      </c>
      <c r="CL606" s="209">
        <v>3</v>
      </c>
      <c r="CM606" s="201">
        <v>41810</v>
      </c>
    </row>
    <row r="607" spans="1:91" ht="15">
      <c r="A607" s="152" t="s">
        <v>8041</v>
      </c>
      <c r="B607" s="110" t="s">
        <v>233</v>
      </c>
      <c r="C607" s="110" t="s">
        <v>381</v>
      </c>
      <c r="D607" s="110">
        <v>11143</v>
      </c>
      <c r="E607" s="111">
        <v>5</v>
      </c>
      <c r="F607" s="111">
        <v>617</v>
      </c>
      <c r="K607" s="134">
        <v>5</v>
      </c>
      <c r="L607" s="151">
        <v>41701</v>
      </c>
      <c r="M607" s="169">
        <v>4.5</v>
      </c>
      <c r="N607" s="151">
        <v>41838</v>
      </c>
      <c r="Q607" s="497"/>
      <c r="S607" s="134">
        <v>16.52</v>
      </c>
      <c r="T607" s="151">
        <v>41842</v>
      </c>
      <c r="U607" s="134">
        <v>13.5</v>
      </c>
      <c r="V607" s="151">
        <v>41838</v>
      </c>
      <c r="W607" s="196">
        <v>1</v>
      </c>
      <c r="X607" s="151">
        <v>41829</v>
      </c>
      <c r="Y607" s="134">
        <f t="shared" si="9"/>
        <v>4.3446699999999998</v>
      </c>
      <c r="AC607" s="134">
        <v>33.33</v>
      </c>
      <c r="AD607" s="151">
        <v>41838</v>
      </c>
      <c r="AE607" s="134">
        <v>34.21</v>
      </c>
      <c r="AF607" s="151">
        <v>41838</v>
      </c>
      <c r="AG607" s="197">
        <v>4.8</v>
      </c>
      <c r="AH607" s="151">
        <v>41843</v>
      </c>
      <c r="AI607" s="198">
        <v>5</v>
      </c>
      <c r="AJ607" s="151">
        <v>41778</v>
      </c>
      <c r="AK607" s="199">
        <v>5</v>
      </c>
      <c r="AL607" s="151">
        <v>41709</v>
      </c>
      <c r="BE607" s="200">
        <v>5</v>
      </c>
      <c r="BF607" s="201">
        <v>41555</v>
      </c>
      <c r="BG607" s="203">
        <v>-6.2</v>
      </c>
      <c r="BH607" s="151">
        <v>41842</v>
      </c>
      <c r="BM607" s="204">
        <v>66.599999999999994</v>
      </c>
      <c r="BN607" s="151">
        <v>41842</v>
      </c>
      <c r="BQ607" s="205">
        <v>9</v>
      </c>
      <c r="BR607" s="151">
        <v>41842</v>
      </c>
      <c r="BS607" s="206">
        <v>48.3</v>
      </c>
      <c r="BT607" s="151">
        <v>41842</v>
      </c>
      <c r="BU607" s="207">
        <v>12.7</v>
      </c>
      <c r="BV607" s="151">
        <v>41842</v>
      </c>
      <c r="BW607" s="206">
        <v>13.5</v>
      </c>
      <c r="BX607" s="151">
        <v>41842</v>
      </c>
      <c r="BY607" s="210">
        <v>7.08</v>
      </c>
      <c r="BZ607" s="151">
        <v>41842</v>
      </c>
      <c r="CA607" s="206">
        <v>29.6</v>
      </c>
      <c r="CB607" s="151">
        <v>41842</v>
      </c>
      <c r="CC607" s="208">
        <v>6.6</v>
      </c>
      <c r="CD607" s="151">
        <v>41838</v>
      </c>
      <c r="CL607" s="209">
        <v>3</v>
      </c>
      <c r="CM607" s="201">
        <v>41810</v>
      </c>
    </row>
    <row r="608" spans="1:91" ht="15">
      <c r="A608" s="152" t="s">
        <v>8041</v>
      </c>
      <c r="B608" s="110" t="s">
        <v>235</v>
      </c>
      <c r="C608" s="110" t="s">
        <v>8081</v>
      </c>
      <c r="D608" s="110">
        <v>11218</v>
      </c>
      <c r="E608" s="111">
        <v>8</v>
      </c>
      <c r="F608" s="111">
        <v>485</v>
      </c>
      <c r="K608" s="194">
        <v>7</v>
      </c>
      <c r="L608" s="151">
        <v>41701</v>
      </c>
      <c r="M608" s="169">
        <v>5.25</v>
      </c>
      <c r="N608" s="151">
        <v>41838</v>
      </c>
      <c r="Q608" s="497"/>
      <c r="S608" s="134">
        <v>19.14</v>
      </c>
      <c r="T608" s="151">
        <v>41842</v>
      </c>
      <c r="U608" s="134">
        <v>13.5</v>
      </c>
      <c r="V608" s="151">
        <v>41838</v>
      </c>
      <c r="W608" s="196">
        <v>9</v>
      </c>
      <c r="X608" s="151">
        <v>41829</v>
      </c>
      <c r="Y608" s="134">
        <f t="shared" si="9"/>
        <v>5.5144800000000007</v>
      </c>
      <c r="AC608" s="134">
        <v>38.89</v>
      </c>
      <c r="AD608" s="151">
        <v>41838</v>
      </c>
      <c r="AE608" s="134">
        <v>39.96</v>
      </c>
      <c r="AF608" s="151">
        <v>41838</v>
      </c>
      <c r="AG608" s="197">
        <v>4.5999999999999996</v>
      </c>
      <c r="AH608" s="151">
        <v>41843</v>
      </c>
      <c r="AI608" s="198">
        <v>7</v>
      </c>
      <c r="AJ608" s="151">
        <v>41778</v>
      </c>
      <c r="AK608" s="199">
        <v>5</v>
      </c>
      <c r="AL608" s="151">
        <v>41709</v>
      </c>
      <c r="BE608" s="200">
        <v>5</v>
      </c>
      <c r="BF608" s="201">
        <v>41555</v>
      </c>
      <c r="BG608" s="203">
        <v>-6</v>
      </c>
      <c r="BH608" s="151">
        <v>41842</v>
      </c>
      <c r="BM608" s="204">
        <v>66.599999999999994</v>
      </c>
      <c r="BN608" s="151">
        <v>41842</v>
      </c>
      <c r="BQ608" s="205">
        <v>9.1999999999999993</v>
      </c>
      <c r="BR608" s="151">
        <v>41842</v>
      </c>
      <c r="BS608" s="206">
        <v>47.9</v>
      </c>
      <c r="BT608" s="151">
        <v>41842</v>
      </c>
      <c r="BU608" s="207">
        <v>13.8</v>
      </c>
      <c r="BV608" s="151">
        <v>41842</v>
      </c>
      <c r="BW608" s="206">
        <v>15.3</v>
      </c>
      <c r="BX608" s="151">
        <v>41842</v>
      </c>
      <c r="BY608" s="210">
        <v>7.08</v>
      </c>
      <c r="BZ608" s="151">
        <v>41842</v>
      </c>
      <c r="CA608" s="206">
        <v>31.9</v>
      </c>
      <c r="CB608" s="151">
        <v>41842</v>
      </c>
      <c r="CC608" s="208">
        <v>6.5</v>
      </c>
      <c r="CD608" s="151">
        <v>41838</v>
      </c>
      <c r="CL608" s="209">
        <v>3</v>
      </c>
      <c r="CM608" s="201">
        <v>41810</v>
      </c>
    </row>
    <row r="609" spans="1:91" ht="15">
      <c r="A609" s="152" t="s">
        <v>8041</v>
      </c>
      <c r="B609" s="110" t="s">
        <v>233</v>
      </c>
      <c r="C609" s="110" t="s">
        <v>8083</v>
      </c>
      <c r="D609" s="110">
        <v>11766</v>
      </c>
      <c r="E609" s="111">
        <v>11</v>
      </c>
      <c r="F609" s="111">
        <v>665</v>
      </c>
      <c r="K609" s="134">
        <v>5</v>
      </c>
      <c r="L609" s="151">
        <v>41701</v>
      </c>
      <c r="M609" s="169">
        <v>3.85</v>
      </c>
      <c r="N609" s="151">
        <v>41838</v>
      </c>
      <c r="Q609" s="497"/>
      <c r="S609" s="134">
        <v>14.23</v>
      </c>
      <c r="T609" s="151">
        <v>41842</v>
      </c>
      <c r="U609" s="134">
        <v>13.5</v>
      </c>
      <c r="V609" s="151">
        <v>41838</v>
      </c>
      <c r="W609" s="196">
        <v>9</v>
      </c>
      <c r="X609" s="151">
        <v>41829</v>
      </c>
      <c r="Y609" s="134">
        <f t="shared" si="9"/>
        <v>3.77088</v>
      </c>
      <c r="AC609" s="134">
        <v>28.52</v>
      </c>
      <c r="AD609" s="151">
        <v>41838</v>
      </c>
      <c r="AE609" s="134">
        <v>29.46</v>
      </c>
      <c r="AF609" s="151">
        <v>41838</v>
      </c>
      <c r="AG609" s="197">
        <v>4.8</v>
      </c>
      <c r="AH609" s="151">
        <v>41843</v>
      </c>
      <c r="AI609" s="198">
        <v>7</v>
      </c>
      <c r="AJ609" s="151">
        <v>41778</v>
      </c>
      <c r="AK609" s="199">
        <v>5</v>
      </c>
      <c r="AL609" s="151">
        <v>41709</v>
      </c>
      <c r="BE609" s="200">
        <v>5</v>
      </c>
      <c r="BF609" s="201">
        <v>41555</v>
      </c>
      <c r="BG609" s="203">
        <v>-4.5</v>
      </c>
      <c r="BH609" s="151">
        <v>41842</v>
      </c>
      <c r="BM609" s="204">
        <v>66.8</v>
      </c>
      <c r="BN609" s="151">
        <v>41842</v>
      </c>
      <c r="BQ609" s="205">
        <v>9.1999999999999993</v>
      </c>
      <c r="BR609" s="151">
        <v>41842</v>
      </c>
      <c r="BS609" s="206">
        <v>48.3</v>
      </c>
      <c r="BT609" s="151">
        <v>41842</v>
      </c>
      <c r="BU609" s="207">
        <v>12.8</v>
      </c>
      <c r="BV609" s="151">
        <v>41842</v>
      </c>
      <c r="BW609" s="206">
        <v>13.5</v>
      </c>
      <c r="BX609" s="151">
        <v>41842</v>
      </c>
      <c r="BY609" s="210">
        <v>6.85</v>
      </c>
      <c r="BZ609" s="151">
        <v>41842</v>
      </c>
      <c r="CA609" s="206">
        <v>29.9</v>
      </c>
      <c r="CB609" s="151">
        <v>41842</v>
      </c>
      <c r="CC609" s="208">
        <v>6</v>
      </c>
      <c r="CD609" s="151">
        <v>41838</v>
      </c>
      <c r="CL609" s="209">
        <v>3</v>
      </c>
      <c r="CM609" s="201">
        <v>41810</v>
      </c>
    </row>
    <row r="610" spans="1:91" ht="15">
      <c r="A610" s="152" t="s">
        <v>8042</v>
      </c>
      <c r="B610" s="110" t="s">
        <v>235</v>
      </c>
      <c r="C610" s="110" t="s">
        <v>8082</v>
      </c>
      <c r="D610" s="110">
        <v>11426</v>
      </c>
      <c r="E610" s="111">
        <v>1</v>
      </c>
      <c r="F610" s="111">
        <v>745</v>
      </c>
      <c r="I610" s="373"/>
      <c r="K610" s="194">
        <v>5</v>
      </c>
      <c r="L610" s="151">
        <v>41701</v>
      </c>
      <c r="M610" s="169">
        <v>5.85</v>
      </c>
      <c r="N610" s="151">
        <v>41838</v>
      </c>
      <c r="Q610" s="497"/>
      <c r="S610" s="134">
        <v>20.89</v>
      </c>
      <c r="T610" s="151">
        <v>41842</v>
      </c>
      <c r="U610" s="194">
        <v>13.5</v>
      </c>
      <c r="V610" s="151">
        <v>41838</v>
      </c>
      <c r="W610" s="196">
        <v>9</v>
      </c>
      <c r="X610" s="151">
        <v>41829</v>
      </c>
      <c r="Y610" s="134">
        <f t="shared" si="9"/>
        <v>5.8203300000000002</v>
      </c>
      <c r="AA610" s="194"/>
      <c r="AC610" s="194">
        <v>43.33</v>
      </c>
      <c r="AD610" s="151">
        <v>41838</v>
      </c>
      <c r="AE610" s="137">
        <v>44.43</v>
      </c>
      <c r="AF610" s="151">
        <v>41838</v>
      </c>
      <c r="AG610" s="197">
        <v>4.8</v>
      </c>
      <c r="AH610" s="151">
        <v>41843</v>
      </c>
      <c r="AI610" s="198">
        <v>5</v>
      </c>
      <c r="AJ610" s="151">
        <v>41778</v>
      </c>
      <c r="AK610" s="199">
        <v>5</v>
      </c>
      <c r="AL610" s="151">
        <v>41709</v>
      </c>
      <c r="AM610" s="194"/>
      <c r="BE610" s="200">
        <v>5</v>
      </c>
      <c r="BF610" s="201">
        <v>41555</v>
      </c>
      <c r="BG610" s="203">
        <v>-7.5</v>
      </c>
      <c r="BH610" s="151">
        <v>41842</v>
      </c>
      <c r="BM610" s="204">
        <v>62.4</v>
      </c>
      <c r="BN610" s="151">
        <v>41842</v>
      </c>
      <c r="BQ610" s="205">
        <v>11.1</v>
      </c>
      <c r="BR610" s="151">
        <v>41842</v>
      </c>
      <c r="BS610" s="206">
        <v>47</v>
      </c>
      <c r="BT610" s="151">
        <v>41842</v>
      </c>
      <c r="BU610" s="207">
        <v>13.1</v>
      </c>
      <c r="BV610" s="151">
        <v>41842</v>
      </c>
      <c r="BW610" s="206">
        <v>7.8</v>
      </c>
      <c r="BX610" s="151">
        <v>41842</v>
      </c>
      <c r="BY610" s="210">
        <v>6.8</v>
      </c>
      <c r="BZ610" s="151">
        <v>41842</v>
      </c>
      <c r="CA610" s="206">
        <v>29.7</v>
      </c>
      <c r="CB610" s="151">
        <v>41842</v>
      </c>
      <c r="CC610" s="208">
        <v>6.7</v>
      </c>
      <c r="CD610" s="151">
        <v>41838</v>
      </c>
      <c r="CL610" s="209">
        <v>3</v>
      </c>
      <c r="CM610" s="201">
        <v>41810</v>
      </c>
    </row>
    <row r="611" spans="1:91" ht="15">
      <c r="A611" s="152" t="s">
        <v>8042</v>
      </c>
      <c r="B611" s="110" t="s">
        <v>233</v>
      </c>
      <c r="C611" s="110" t="s">
        <v>381</v>
      </c>
      <c r="D611" s="110">
        <v>11159</v>
      </c>
      <c r="E611" s="111">
        <v>6</v>
      </c>
      <c r="F611" s="111">
        <v>537</v>
      </c>
      <c r="K611" s="134">
        <v>5</v>
      </c>
      <c r="L611" s="151">
        <v>41701</v>
      </c>
      <c r="M611" s="169">
        <v>4.7</v>
      </c>
      <c r="N611" s="151">
        <v>41838</v>
      </c>
      <c r="Q611" s="497"/>
      <c r="S611" s="134">
        <v>17.47</v>
      </c>
      <c r="T611" s="151">
        <v>41842</v>
      </c>
      <c r="U611" s="134">
        <v>13.5</v>
      </c>
      <c r="V611" s="151">
        <v>41838</v>
      </c>
      <c r="W611" s="196">
        <v>9</v>
      </c>
      <c r="X611" s="151">
        <v>41829</v>
      </c>
      <c r="Y611" s="134">
        <f t="shared" si="9"/>
        <v>4.4066399999999994</v>
      </c>
      <c r="AC611" s="134">
        <v>34.81</v>
      </c>
      <c r="AD611" s="151">
        <v>41838</v>
      </c>
      <c r="AE611" s="134">
        <v>36.119999999999997</v>
      </c>
      <c r="AF611" s="151">
        <v>41838</v>
      </c>
      <c r="AG611" s="197">
        <v>4.7</v>
      </c>
      <c r="AH611" s="151">
        <v>41843</v>
      </c>
      <c r="AI611" s="198">
        <v>5</v>
      </c>
      <c r="AJ611" s="151">
        <v>41778</v>
      </c>
      <c r="AK611" s="199">
        <v>5</v>
      </c>
      <c r="AL611" s="151">
        <v>41709</v>
      </c>
      <c r="BE611" s="200">
        <v>5</v>
      </c>
      <c r="BF611" s="201">
        <v>41555</v>
      </c>
      <c r="BG611" s="203">
        <v>-5.7</v>
      </c>
      <c r="BH611" s="151">
        <v>41842</v>
      </c>
      <c r="BM611" s="204">
        <v>63.8</v>
      </c>
      <c r="BN611" s="151">
        <v>41842</v>
      </c>
      <c r="BQ611" s="205">
        <v>10.8</v>
      </c>
      <c r="BR611" s="151">
        <v>41842</v>
      </c>
      <c r="BS611" s="206">
        <v>48.4</v>
      </c>
      <c r="BT611" s="151">
        <v>41842</v>
      </c>
      <c r="BU611" s="207">
        <v>12.2</v>
      </c>
      <c r="BV611" s="151">
        <v>41842</v>
      </c>
      <c r="BW611" s="206">
        <v>7.5</v>
      </c>
      <c r="BX611" s="151">
        <v>41842</v>
      </c>
      <c r="BY611" s="210">
        <v>6.69</v>
      </c>
      <c r="BZ611" s="151">
        <v>41842</v>
      </c>
      <c r="CA611" s="206">
        <v>28.5</v>
      </c>
      <c r="CB611" s="151">
        <v>41842</v>
      </c>
      <c r="CC611" s="208">
        <v>5.6</v>
      </c>
      <c r="CD611" s="151">
        <v>41838</v>
      </c>
      <c r="CL611" s="209">
        <v>3</v>
      </c>
      <c r="CM611" s="201">
        <v>41810</v>
      </c>
    </row>
    <row r="612" spans="1:91" ht="15">
      <c r="A612" s="152" t="s">
        <v>8042</v>
      </c>
      <c r="B612" s="110" t="s">
        <v>235</v>
      </c>
      <c r="C612" s="110" t="s">
        <v>8081</v>
      </c>
      <c r="D612" s="110">
        <v>11321</v>
      </c>
      <c r="E612" s="111">
        <v>10</v>
      </c>
      <c r="F612" s="111">
        <v>609</v>
      </c>
      <c r="K612" s="194">
        <v>7</v>
      </c>
      <c r="L612" s="151">
        <v>41701</v>
      </c>
      <c r="M612" s="169">
        <v>5.8</v>
      </c>
      <c r="N612" s="151">
        <v>41838</v>
      </c>
      <c r="Q612" s="497"/>
      <c r="S612" s="134">
        <v>21.47</v>
      </c>
      <c r="T612" s="151">
        <v>41842</v>
      </c>
      <c r="U612" s="134">
        <v>13.5</v>
      </c>
      <c r="V612" s="151">
        <v>41838</v>
      </c>
      <c r="W612" s="196">
        <v>1</v>
      </c>
      <c r="X612" s="151">
        <v>41829</v>
      </c>
      <c r="Y612" s="134">
        <f t="shared" si="9"/>
        <v>5.4464399999999999</v>
      </c>
      <c r="AC612" s="134">
        <v>42.96</v>
      </c>
      <c r="AD612" s="151">
        <v>41838</v>
      </c>
      <c r="AE612" s="134">
        <v>44.28</v>
      </c>
      <c r="AF612" s="151">
        <v>41838</v>
      </c>
      <c r="AG612" s="197">
        <v>4.7</v>
      </c>
      <c r="AH612" s="151">
        <v>41843</v>
      </c>
      <c r="AI612" s="198">
        <v>7</v>
      </c>
      <c r="AJ612" s="151">
        <v>41778</v>
      </c>
      <c r="AK612" s="199">
        <v>5</v>
      </c>
      <c r="AL612" s="151">
        <v>41709</v>
      </c>
      <c r="BE612" s="200">
        <v>5</v>
      </c>
      <c r="BF612" s="201">
        <v>41555</v>
      </c>
      <c r="BG612" s="203">
        <v>-6.6</v>
      </c>
      <c r="BH612" s="151">
        <v>41842</v>
      </c>
      <c r="BM612" s="204">
        <v>63.9</v>
      </c>
      <c r="BN612" s="151">
        <v>41842</v>
      </c>
      <c r="BQ612" s="205">
        <v>10.4</v>
      </c>
      <c r="BR612" s="151">
        <v>41842</v>
      </c>
      <c r="BS612" s="206">
        <v>48.5</v>
      </c>
      <c r="BT612" s="151">
        <v>41842</v>
      </c>
      <c r="BU612" s="207">
        <v>12.3</v>
      </c>
      <c r="BV612" s="151">
        <v>41842</v>
      </c>
      <c r="BW612" s="206">
        <v>6.9</v>
      </c>
      <c r="BX612" s="151">
        <v>41842</v>
      </c>
      <c r="BY612" s="210">
        <v>6.45</v>
      </c>
      <c r="BZ612" s="151">
        <v>41842</v>
      </c>
      <c r="CA612" s="206">
        <v>28.8</v>
      </c>
      <c r="CB612" s="151">
        <v>41842</v>
      </c>
      <c r="CC612" s="208">
        <v>6.2</v>
      </c>
      <c r="CD612" s="151">
        <v>41838</v>
      </c>
      <c r="CL612" s="209">
        <v>3</v>
      </c>
      <c r="CM612" s="201">
        <v>41810</v>
      </c>
    </row>
    <row r="613" spans="1:91" ht="15">
      <c r="A613" s="152" t="s">
        <v>8042</v>
      </c>
      <c r="B613" s="110" t="s">
        <v>233</v>
      </c>
      <c r="C613" s="110" t="s">
        <v>8083</v>
      </c>
      <c r="D613" s="110">
        <v>11730</v>
      </c>
      <c r="E613" s="111">
        <v>10</v>
      </c>
      <c r="F613" s="111">
        <v>665</v>
      </c>
      <c r="K613" s="191">
        <v>3</v>
      </c>
      <c r="L613" s="151">
        <v>41701</v>
      </c>
      <c r="M613" s="169">
        <v>3.95</v>
      </c>
      <c r="N613" s="151">
        <v>41838</v>
      </c>
      <c r="Q613" s="497"/>
      <c r="S613" s="134">
        <v>14.48</v>
      </c>
      <c r="T613" s="151">
        <v>41842</v>
      </c>
      <c r="U613" s="134">
        <v>13.5</v>
      </c>
      <c r="V613" s="151">
        <v>41838</v>
      </c>
      <c r="W613" s="196">
        <v>9</v>
      </c>
      <c r="X613" s="151">
        <v>41829</v>
      </c>
      <c r="Y613" s="134">
        <f t="shared" si="9"/>
        <v>3.9982799999999998</v>
      </c>
      <c r="AC613" s="134">
        <v>29.26</v>
      </c>
      <c r="AD613" s="151">
        <v>41838</v>
      </c>
      <c r="AE613" s="134">
        <v>30.29</v>
      </c>
      <c r="AF613" s="151">
        <v>41838</v>
      </c>
      <c r="AG613" s="197">
        <v>4.7</v>
      </c>
      <c r="AH613" s="151">
        <v>41843</v>
      </c>
      <c r="AI613" s="198">
        <v>5</v>
      </c>
      <c r="AJ613" s="151">
        <v>41778</v>
      </c>
      <c r="AK613" s="199">
        <v>5</v>
      </c>
      <c r="AL613" s="151">
        <v>41709</v>
      </c>
      <c r="BE613" s="200">
        <v>5</v>
      </c>
      <c r="BF613" s="201">
        <v>41555</v>
      </c>
      <c r="BG613" s="203">
        <v>-1.5</v>
      </c>
      <c r="BH613" s="151">
        <v>41842</v>
      </c>
      <c r="BM613" s="204">
        <v>65</v>
      </c>
      <c r="BN613" s="151">
        <v>41842</v>
      </c>
      <c r="BQ613" s="205">
        <v>10</v>
      </c>
      <c r="BR613" s="151">
        <v>41842</v>
      </c>
      <c r="BS613" s="206">
        <v>47.8</v>
      </c>
      <c r="BT613" s="151">
        <v>41842</v>
      </c>
      <c r="BU613" s="207">
        <v>13.2</v>
      </c>
      <c r="BV613" s="151">
        <v>41842</v>
      </c>
      <c r="BW613" s="206">
        <v>13.5</v>
      </c>
      <c r="BX613" s="151">
        <v>41842</v>
      </c>
      <c r="BY613" s="210">
        <v>6.6</v>
      </c>
      <c r="BZ613" s="151">
        <v>41842</v>
      </c>
      <c r="CA613" s="206">
        <v>30.5</v>
      </c>
      <c r="CB613" s="151">
        <v>41842</v>
      </c>
      <c r="CC613" s="208">
        <v>5.8</v>
      </c>
      <c r="CD613" s="151">
        <v>41838</v>
      </c>
      <c r="CL613" s="209">
        <v>3</v>
      </c>
      <c r="CM613" s="201">
        <v>41810</v>
      </c>
    </row>
    <row r="614" spans="1:91" ht="15">
      <c r="A614" s="152" t="s">
        <v>8043</v>
      </c>
      <c r="B614" s="110" t="s">
        <v>233</v>
      </c>
      <c r="C614" s="110" t="s">
        <v>381</v>
      </c>
      <c r="D614" s="110">
        <v>11115</v>
      </c>
      <c r="E614" s="111">
        <v>5</v>
      </c>
      <c r="F614" s="111">
        <v>505</v>
      </c>
      <c r="K614" s="134">
        <v>5</v>
      </c>
      <c r="L614" s="151">
        <v>41701</v>
      </c>
      <c r="M614" s="169">
        <v>4.1500000000000004</v>
      </c>
      <c r="N614" s="151">
        <v>41838</v>
      </c>
      <c r="Q614" s="497"/>
      <c r="S614" s="134">
        <v>15.55</v>
      </c>
      <c r="T614" s="151">
        <v>41842</v>
      </c>
      <c r="U614" s="134">
        <v>13.5</v>
      </c>
      <c r="V614" s="151">
        <v>41838</v>
      </c>
      <c r="W614" s="196">
        <v>9</v>
      </c>
      <c r="X614" s="151">
        <v>41829</v>
      </c>
      <c r="Y614" s="134">
        <f t="shared" si="9"/>
        <v>3.5877500000000002</v>
      </c>
      <c r="AC614" s="134">
        <v>30.74</v>
      </c>
      <c r="AD614" s="151">
        <v>41838</v>
      </c>
      <c r="AE614" s="134">
        <v>31.75</v>
      </c>
      <c r="AF614" s="151">
        <v>41838</v>
      </c>
      <c r="AG614" s="197">
        <v>5.0999999999999996</v>
      </c>
      <c r="AH614" s="151">
        <v>41843</v>
      </c>
      <c r="AI614" s="198">
        <v>5</v>
      </c>
      <c r="AJ614" s="151">
        <v>41778</v>
      </c>
      <c r="AK614" s="199">
        <v>5</v>
      </c>
      <c r="AL614" s="151">
        <v>41709</v>
      </c>
      <c r="BE614" s="200">
        <v>5</v>
      </c>
      <c r="BF614" s="201">
        <v>41555</v>
      </c>
      <c r="BG614" s="203">
        <v>-7.6</v>
      </c>
      <c r="BH614" s="151">
        <v>41842</v>
      </c>
      <c r="BM614" s="204">
        <v>66.8</v>
      </c>
      <c r="BN614" s="151">
        <v>41842</v>
      </c>
      <c r="BQ614" s="205">
        <v>10.9</v>
      </c>
      <c r="BR614" s="151">
        <v>41842</v>
      </c>
      <c r="BS614" s="206">
        <v>49</v>
      </c>
      <c r="BT614" s="151">
        <v>41842</v>
      </c>
      <c r="BU614" s="207">
        <v>11.3</v>
      </c>
      <c r="BV614" s="151">
        <v>41842</v>
      </c>
      <c r="BW614" s="206">
        <v>11.7</v>
      </c>
      <c r="BX614" s="151">
        <v>41842</v>
      </c>
      <c r="BY614" s="210">
        <v>7.27</v>
      </c>
      <c r="BZ614" s="151">
        <v>41842</v>
      </c>
      <c r="CA614" s="206">
        <v>26.9</v>
      </c>
      <c r="CB614" s="151">
        <v>41842</v>
      </c>
      <c r="CC614" s="208">
        <v>6</v>
      </c>
      <c r="CD614" s="151">
        <v>41838</v>
      </c>
      <c r="CL614" s="209">
        <v>5</v>
      </c>
      <c r="CM614" s="201">
        <v>41810</v>
      </c>
    </row>
    <row r="615" spans="1:91" ht="15">
      <c r="A615" s="152" t="s">
        <v>8043</v>
      </c>
      <c r="B615" s="110" t="s">
        <v>235</v>
      </c>
      <c r="C615" s="110" t="s">
        <v>8082</v>
      </c>
      <c r="D615" s="110">
        <v>11580</v>
      </c>
      <c r="E615" s="111">
        <v>6</v>
      </c>
      <c r="F615" s="111">
        <v>641</v>
      </c>
      <c r="J615" s="187"/>
      <c r="K615" s="134">
        <v>5</v>
      </c>
      <c r="L615" s="151">
        <v>41701</v>
      </c>
      <c r="M615" s="169">
        <v>4.95</v>
      </c>
      <c r="N615" s="151">
        <v>41838</v>
      </c>
      <c r="Q615" s="497"/>
      <c r="S615" s="134">
        <v>18.07</v>
      </c>
      <c r="T615" s="151">
        <v>41842</v>
      </c>
      <c r="U615" s="134">
        <v>13.5</v>
      </c>
      <c r="V615" s="151">
        <v>41838</v>
      </c>
      <c r="W615" s="196">
        <v>9</v>
      </c>
      <c r="X615" s="151">
        <v>41829</v>
      </c>
      <c r="Y615" s="134">
        <f t="shared" si="9"/>
        <v>4.9451999999999998</v>
      </c>
      <c r="AC615" s="134">
        <v>36.67</v>
      </c>
      <c r="AD615" s="151">
        <v>41838</v>
      </c>
      <c r="AE615" s="134">
        <v>38.04</v>
      </c>
      <c r="AF615" s="151">
        <v>41838</v>
      </c>
      <c r="AG615" s="197">
        <v>5.4</v>
      </c>
      <c r="AH615" s="151">
        <v>41843</v>
      </c>
      <c r="AI615" s="198">
        <v>5</v>
      </c>
      <c r="AJ615" s="151">
        <v>41778</v>
      </c>
      <c r="AK615" s="199">
        <v>5</v>
      </c>
      <c r="AL615" s="151">
        <v>41709</v>
      </c>
      <c r="BE615" s="200">
        <v>5</v>
      </c>
      <c r="BF615" s="201">
        <v>41555</v>
      </c>
      <c r="BG615" s="203">
        <v>-3.9</v>
      </c>
      <c r="BH615" s="151">
        <v>41842</v>
      </c>
      <c r="BM615" s="204">
        <v>65.3</v>
      </c>
      <c r="BN615" s="151">
        <v>41842</v>
      </c>
      <c r="BQ615" s="205">
        <v>11.1</v>
      </c>
      <c r="BR615" s="151">
        <v>41842</v>
      </c>
      <c r="BS615" s="206">
        <v>47.5</v>
      </c>
      <c r="BT615" s="151">
        <v>41842</v>
      </c>
      <c r="BU615" s="207">
        <v>13</v>
      </c>
      <c r="BV615" s="151">
        <v>41842</v>
      </c>
      <c r="BW615" s="206">
        <v>14.8</v>
      </c>
      <c r="BX615" s="151">
        <v>41842</v>
      </c>
      <c r="BY615" s="210">
        <v>7.43</v>
      </c>
      <c r="BZ615" s="151">
        <v>41842</v>
      </c>
      <c r="CA615" s="206">
        <v>29.8</v>
      </c>
      <c r="CB615" s="151">
        <v>41842</v>
      </c>
      <c r="CC615" s="208">
        <v>5.6</v>
      </c>
      <c r="CD615" s="151">
        <v>41838</v>
      </c>
      <c r="CL615" s="209">
        <v>3</v>
      </c>
      <c r="CM615" s="201">
        <v>41810</v>
      </c>
    </row>
    <row r="616" spans="1:91" ht="15">
      <c r="A616" s="152" t="s">
        <v>8043</v>
      </c>
      <c r="B616" s="110" t="s">
        <v>235</v>
      </c>
      <c r="C616" s="110" t="s">
        <v>8081</v>
      </c>
      <c r="D616" s="110">
        <v>11232</v>
      </c>
      <c r="E616" s="111">
        <v>8</v>
      </c>
      <c r="F616" s="111">
        <v>541</v>
      </c>
      <c r="K616" s="134">
        <v>5</v>
      </c>
      <c r="L616" s="151">
        <v>41701</v>
      </c>
      <c r="M616" s="169">
        <v>5.75</v>
      </c>
      <c r="N616" s="151">
        <v>41838</v>
      </c>
      <c r="Q616" s="497"/>
      <c r="S616" s="134">
        <v>20.86</v>
      </c>
      <c r="T616" s="151">
        <v>41842</v>
      </c>
      <c r="U616" s="134">
        <v>13.5</v>
      </c>
      <c r="V616" s="151">
        <v>41838</v>
      </c>
      <c r="W616" s="196">
        <v>9</v>
      </c>
      <c r="X616" s="151">
        <v>41829</v>
      </c>
      <c r="Y616" s="134">
        <f t="shared" si="9"/>
        <v>5.5616399999999997</v>
      </c>
      <c r="AC616" s="134">
        <v>42.59</v>
      </c>
      <c r="AD616" s="151">
        <v>41838</v>
      </c>
      <c r="AE616" s="134">
        <v>44.14</v>
      </c>
      <c r="AF616" s="151">
        <v>41838</v>
      </c>
      <c r="AG616" s="197">
        <v>5.2</v>
      </c>
      <c r="AH616" s="151">
        <v>41843</v>
      </c>
      <c r="AI616" s="198">
        <v>5</v>
      </c>
      <c r="AJ616" s="151">
        <v>41778</v>
      </c>
      <c r="AK616" s="199">
        <v>5</v>
      </c>
      <c r="AL616" s="151">
        <v>41709</v>
      </c>
      <c r="BE616" s="200">
        <v>5</v>
      </c>
      <c r="BF616" s="201">
        <v>41555</v>
      </c>
      <c r="BG616" s="203">
        <v>-7.9</v>
      </c>
      <c r="BH616" s="151">
        <v>41842</v>
      </c>
      <c r="BM616" s="204">
        <v>64.7</v>
      </c>
      <c r="BN616" s="151">
        <v>41842</v>
      </c>
      <c r="BQ616" s="205">
        <v>11.6</v>
      </c>
      <c r="BR616" s="151">
        <v>41842</v>
      </c>
      <c r="BS616" s="206">
        <v>47.3</v>
      </c>
      <c r="BT616" s="151">
        <v>41842</v>
      </c>
      <c r="BU616" s="207">
        <v>12.6</v>
      </c>
      <c r="BV616" s="151">
        <v>41842</v>
      </c>
      <c r="BW616" s="206">
        <v>13.9</v>
      </c>
      <c r="BX616" s="151">
        <v>41842</v>
      </c>
      <c r="BY616" s="210">
        <v>6.86</v>
      </c>
      <c r="BZ616" s="151">
        <v>41842</v>
      </c>
      <c r="CA616" s="206">
        <v>28.9</v>
      </c>
      <c r="CB616" s="151">
        <v>41842</v>
      </c>
      <c r="CC616" s="208">
        <v>5.7</v>
      </c>
      <c r="CD616" s="151">
        <v>41838</v>
      </c>
      <c r="CL616" s="209">
        <v>3</v>
      </c>
      <c r="CM616" s="201">
        <v>41810</v>
      </c>
    </row>
    <row r="617" spans="1:91" ht="15">
      <c r="A617" s="152" t="s">
        <v>8043</v>
      </c>
      <c r="B617" s="110" t="s">
        <v>233</v>
      </c>
      <c r="C617" s="110" t="s">
        <v>8083</v>
      </c>
      <c r="D617" s="110">
        <v>11733</v>
      </c>
      <c r="E617" s="111">
        <v>10</v>
      </c>
      <c r="F617" s="111">
        <v>677</v>
      </c>
      <c r="K617" s="134">
        <v>5</v>
      </c>
      <c r="L617" s="151">
        <v>41701</v>
      </c>
      <c r="M617" s="169">
        <v>3.8</v>
      </c>
      <c r="N617" s="151">
        <v>41838</v>
      </c>
      <c r="Q617" s="497"/>
      <c r="S617" s="134">
        <v>14.18</v>
      </c>
      <c r="T617" s="151">
        <v>41842</v>
      </c>
      <c r="U617" s="134">
        <v>13.5</v>
      </c>
      <c r="V617" s="151">
        <v>41838</v>
      </c>
      <c r="W617" s="196">
        <v>9</v>
      </c>
      <c r="X617" s="151">
        <v>41829</v>
      </c>
      <c r="Y617" s="134">
        <f t="shared" si="9"/>
        <v>3.5004000000000004</v>
      </c>
      <c r="AC617" s="134">
        <v>28.15</v>
      </c>
      <c r="AD617" s="151">
        <v>41838</v>
      </c>
      <c r="AE617" s="134">
        <v>29.17</v>
      </c>
      <c r="AF617" s="151">
        <v>41838</v>
      </c>
      <c r="AG617" s="197">
        <v>5.3</v>
      </c>
      <c r="AH617" s="151">
        <v>41843</v>
      </c>
      <c r="AI617" s="198">
        <v>5</v>
      </c>
      <c r="AJ617" s="151">
        <v>41778</v>
      </c>
      <c r="AK617" s="199">
        <v>5</v>
      </c>
      <c r="AL617" s="151">
        <v>41709</v>
      </c>
      <c r="BE617" s="200">
        <v>5</v>
      </c>
      <c r="BF617" s="201">
        <v>41555</v>
      </c>
      <c r="BG617" s="203">
        <v>-6.5</v>
      </c>
      <c r="BH617" s="151">
        <v>41842</v>
      </c>
      <c r="BM617" s="204">
        <v>66.3</v>
      </c>
      <c r="BN617" s="151">
        <v>41842</v>
      </c>
      <c r="BQ617" s="205">
        <v>11.1</v>
      </c>
      <c r="BR617" s="151">
        <v>41842</v>
      </c>
      <c r="BS617" s="206">
        <v>48.6</v>
      </c>
      <c r="BT617" s="151">
        <v>41842</v>
      </c>
      <c r="BU617" s="207">
        <v>12</v>
      </c>
      <c r="BV617" s="151">
        <v>41842</v>
      </c>
      <c r="BW617" s="206">
        <v>12.7</v>
      </c>
      <c r="BX617" s="151">
        <v>41842</v>
      </c>
      <c r="BY617" s="210">
        <v>6.9</v>
      </c>
      <c r="BZ617" s="151">
        <v>41842</v>
      </c>
      <c r="CA617" s="206">
        <v>28.2</v>
      </c>
      <c r="CB617" s="151">
        <v>41842</v>
      </c>
      <c r="CC617" s="208">
        <v>5.7</v>
      </c>
      <c r="CD617" s="151">
        <v>41838</v>
      </c>
      <c r="CL617" s="209">
        <v>3</v>
      </c>
      <c r="CM617" s="201">
        <v>41810</v>
      </c>
    </row>
    <row r="618" spans="1:91" ht="15">
      <c r="A618" s="152" t="s">
        <v>8044</v>
      </c>
      <c r="B618" s="110" t="s">
        <v>235</v>
      </c>
      <c r="C618" s="110" t="s">
        <v>8082</v>
      </c>
      <c r="D618" s="110">
        <v>11411</v>
      </c>
      <c r="E618" s="111">
        <v>1</v>
      </c>
      <c r="F618" s="111">
        <v>685</v>
      </c>
      <c r="I618" s="373"/>
      <c r="K618" s="194">
        <v>5</v>
      </c>
      <c r="L618" s="151">
        <v>41701</v>
      </c>
      <c r="M618" s="169">
        <v>5.8</v>
      </c>
      <c r="N618" s="151">
        <v>41838</v>
      </c>
      <c r="Q618" s="497"/>
      <c r="S618" s="134">
        <v>19.75</v>
      </c>
      <c r="T618" s="151">
        <v>41842</v>
      </c>
      <c r="U618" s="194">
        <v>13.5</v>
      </c>
      <c r="V618" s="151">
        <v>41838</v>
      </c>
      <c r="W618" s="196">
        <v>9</v>
      </c>
      <c r="X618" s="151">
        <v>41829</v>
      </c>
      <c r="Y618" s="134">
        <f t="shared" si="9"/>
        <v>6.3592100000000009</v>
      </c>
      <c r="AA618" s="194"/>
      <c r="AC618" s="194">
        <v>42.96</v>
      </c>
      <c r="AD618" s="151">
        <v>41838</v>
      </c>
      <c r="AE618" s="137">
        <v>44.47</v>
      </c>
      <c r="AF618" s="151">
        <v>41838</v>
      </c>
      <c r="AG618" s="197">
        <v>5.0999999999999996</v>
      </c>
      <c r="AH618" s="151">
        <v>41843</v>
      </c>
      <c r="AI618" s="198">
        <v>5</v>
      </c>
      <c r="AJ618" s="151">
        <v>41778</v>
      </c>
      <c r="AK618" s="199">
        <v>5</v>
      </c>
      <c r="AL618" s="151">
        <v>41709</v>
      </c>
      <c r="AM618" s="194"/>
      <c r="BE618" s="200">
        <v>5</v>
      </c>
      <c r="BF618" s="201">
        <v>41555</v>
      </c>
      <c r="BG618" s="203">
        <v>-2.6</v>
      </c>
      <c r="BH618" s="151">
        <v>41842</v>
      </c>
      <c r="BM618" s="204">
        <v>64.8</v>
      </c>
      <c r="BN618" s="151">
        <v>41842</v>
      </c>
      <c r="BQ618" s="205">
        <v>10.6</v>
      </c>
      <c r="BR618" s="151">
        <v>41842</v>
      </c>
      <c r="BS618" s="206">
        <v>44.4</v>
      </c>
      <c r="BT618" s="151">
        <v>41842</v>
      </c>
      <c r="BU618" s="207">
        <v>14.3</v>
      </c>
      <c r="BV618" s="151">
        <v>41842</v>
      </c>
      <c r="BW618" s="206">
        <v>12.7</v>
      </c>
      <c r="BX618" s="151">
        <v>41842</v>
      </c>
      <c r="BY618" s="210">
        <v>7.98</v>
      </c>
      <c r="BZ618" s="151">
        <v>41842</v>
      </c>
      <c r="CA618" s="206">
        <v>30.6</v>
      </c>
      <c r="CB618" s="151">
        <v>41842</v>
      </c>
      <c r="CC618" s="208">
        <v>5.8</v>
      </c>
      <c r="CD618" s="151">
        <v>41838</v>
      </c>
      <c r="CL618" s="209">
        <v>5</v>
      </c>
      <c r="CM618" s="201">
        <v>41810</v>
      </c>
    </row>
    <row r="619" spans="1:91" ht="15">
      <c r="A619" s="152" t="s">
        <v>8044</v>
      </c>
      <c r="B619" s="110" t="s">
        <v>233</v>
      </c>
      <c r="C619" s="110" t="s">
        <v>381</v>
      </c>
      <c r="D619" s="110">
        <v>11053</v>
      </c>
      <c r="E619" s="111">
        <v>3</v>
      </c>
      <c r="F619" s="111">
        <v>545</v>
      </c>
      <c r="K619" s="134">
        <v>5</v>
      </c>
      <c r="L619" s="151">
        <v>41701</v>
      </c>
      <c r="M619" s="169">
        <v>4.8</v>
      </c>
      <c r="N619" s="151">
        <v>41838</v>
      </c>
      <c r="Q619" s="497"/>
      <c r="S619" s="134">
        <v>16.91</v>
      </c>
      <c r="T619" s="151">
        <v>41842</v>
      </c>
      <c r="U619" s="134">
        <v>13.5</v>
      </c>
      <c r="V619" s="151">
        <v>41838</v>
      </c>
      <c r="W619" s="196">
        <v>9</v>
      </c>
      <c r="X619" s="151">
        <v>41829</v>
      </c>
      <c r="Y619" s="134">
        <f t="shared" si="9"/>
        <v>4.7853000000000003</v>
      </c>
      <c r="AC619" s="134">
        <v>35.56</v>
      </c>
      <c r="AD619" s="151">
        <v>41838</v>
      </c>
      <c r="AE619" s="134">
        <v>36.81</v>
      </c>
      <c r="AF619" s="151">
        <v>41838</v>
      </c>
      <c r="AG619" s="197">
        <v>5.2</v>
      </c>
      <c r="AH619" s="151">
        <v>41843</v>
      </c>
      <c r="AI619" s="198">
        <v>7</v>
      </c>
      <c r="AJ619" s="151">
        <v>41778</v>
      </c>
      <c r="AK619" s="199">
        <v>5</v>
      </c>
      <c r="AL619" s="151">
        <v>41709</v>
      </c>
      <c r="BE619" s="200">
        <v>5</v>
      </c>
      <c r="BF619" s="201">
        <v>41555</v>
      </c>
      <c r="BG619" s="203">
        <v>0.6</v>
      </c>
      <c r="BH619" s="151">
        <v>41842</v>
      </c>
      <c r="BM619" s="204">
        <v>66.099999999999994</v>
      </c>
      <c r="BN619" s="151">
        <v>41842</v>
      </c>
      <c r="BQ619" s="205">
        <v>9.1999999999999993</v>
      </c>
      <c r="BR619" s="151">
        <v>41842</v>
      </c>
      <c r="BS619" s="206">
        <v>45.9</v>
      </c>
      <c r="BT619" s="151">
        <v>41842</v>
      </c>
      <c r="BU619" s="207">
        <v>13</v>
      </c>
      <c r="BV619" s="151">
        <v>41842</v>
      </c>
      <c r="BW619" s="206">
        <v>16</v>
      </c>
      <c r="BX619" s="151">
        <v>41842</v>
      </c>
      <c r="BY619" s="210">
        <v>7.76</v>
      </c>
      <c r="BZ619" s="151">
        <v>41842</v>
      </c>
      <c r="CA619" s="206">
        <v>28.8</v>
      </c>
      <c r="CB619" s="151">
        <v>41842</v>
      </c>
      <c r="CC619" s="208">
        <v>5.8</v>
      </c>
      <c r="CD619" s="151">
        <v>41838</v>
      </c>
      <c r="CL619" s="209">
        <v>3</v>
      </c>
      <c r="CM619" s="201">
        <v>41810</v>
      </c>
    </row>
    <row r="620" spans="1:91" ht="15">
      <c r="A620" s="152" t="s">
        <v>8044</v>
      </c>
      <c r="B620" s="110" t="s">
        <v>233</v>
      </c>
      <c r="C620" s="110" t="s">
        <v>8083</v>
      </c>
      <c r="D620" s="110">
        <v>11654</v>
      </c>
      <c r="E620" s="111">
        <v>8</v>
      </c>
      <c r="F620" s="111">
        <v>649</v>
      </c>
      <c r="K620" s="134">
        <v>5</v>
      </c>
      <c r="L620" s="151">
        <v>41701</v>
      </c>
      <c r="M620" s="169">
        <v>4.0999999999999996</v>
      </c>
      <c r="N620" s="151">
        <v>41838</v>
      </c>
      <c r="Q620" s="497"/>
      <c r="S620" s="134">
        <v>14.77</v>
      </c>
      <c r="T620" s="151">
        <v>41842</v>
      </c>
      <c r="U620" s="134">
        <v>13.5</v>
      </c>
      <c r="V620" s="151">
        <v>41838</v>
      </c>
      <c r="W620" s="196">
        <v>9</v>
      </c>
      <c r="X620" s="151">
        <v>41829</v>
      </c>
      <c r="Y620" s="134">
        <f t="shared" si="9"/>
        <v>3.8078699999999999</v>
      </c>
      <c r="AC620" s="134">
        <v>30.37</v>
      </c>
      <c r="AD620" s="151">
        <v>41838</v>
      </c>
      <c r="AE620" s="134">
        <v>31.47</v>
      </c>
      <c r="AF620" s="151">
        <v>41838</v>
      </c>
      <c r="AG620" s="197">
        <v>5.0999999999999996</v>
      </c>
      <c r="AH620" s="151">
        <v>41843</v>
      </c>
      <c r="AI620" s="198">
        <v>5</v>
      </c>
      <c r="AJ620" s="151">
        <v>41778</v>
      </c>
      <c r="AK620" s="199">
        <v>5</v>
      </c>
      <c r="AL620" s="151">
        <v>41709</v>
      </c>
      <c r="BE620" s="200">
        <v>5</v>
      </c>
      <c r="BF620" s="201">
        <v>41555</v>
      </c>
      <c r="BG620" s="203">
        <v>-5.9</v>
      </c>
      <c r="BH620" s="151">
        <v>41842</v>
      </c>
      <c r="BM620" s="204">
        <v>67.599999999999994</v>
      </c>
      <c r="BN620" s="151">
        <v>41842</v>
      </c>
      <c r="BQ620" s="205">
        <v>9.4</v>
      </c>
      <c r="BR620" s="151">
        <v>41842</v>
      </c>
      <c r="BS620" s="206">
        <v>46.9</v>
      </c>
      <c r="BT620" s="151">
        <v>41842</v>
      </c>
      <c r="BU620" s="207">
        <v>12.1</v>
      </c>
      <c r="BV620" s="151">
        <v>41842</v>
      </c>
      <c r="BW620" s="206">
        <v>12.4</v>
      </c>
      <c r="BX620" s="151">
        <v>41842</v>
      </c>
      <c r="BY620" s="210">
        <v>7.07</v>
      </c>
      <c r="BZ620" s="151">
        <v>41842</v>
      </c>
      <c r="CA620" s="206">
        <v>27.4</v>
      </c>
      <c r="CB620" s="151">
        <v>41842</v>
      </c>
      <c r="CC620" s="208">
        <v>5.7</v>
      </c>
      <c r="CD620" s="151">
        <v>41838</v>
      </c>
      <c r="CL620" s="209">
        <v>3</v>
      </c>
      <c r="CM620" s="201">
        <v>41810</v>
      </c>
    </row>
    <row r="621" spans="1:91" ht="15">
      <c r="A621" s="152" t="s">
        <v>8044</v>
      </c>
      <c r="B621" s="110" t="s">
        <v>235</v>
      </c>
      <c r="C621" s="110" t="s">
        <v>8081</v>
      </c>
      <c r="D621" s="110">
        <v>11287</v>
      </c>
      <c r="E621" s="111">
        <v>9</v>
      </c>
      <c r="F621" s="111">
        <v>617</v>
      </c>
      <c r="K621" s="134">
        <v>5</v>
      </c>
      <c r="L621" s="151">
        <v>41701</v>
      </c>
      <c r="M621" s="169">
        <v>5.25</v>
      </c>
      <c r="N621" s="151">
        <v>41838</v>
      </c>
      <c r="Q621" s="497"/>
      <c r="S621" s="134">
        <v>18.559999999999999</v>
      </c>
      <c r="T621" s="151">
        <v>41842</v>
      </c>
      <c r="U621" s="134">
        <v>13.5</v>
      </c>
      <c r="V621" s="151">
        <v>41838</v>
      </c>
      <c r="W621" s="196">
        <v>9</v>
      </c>
      <c r="X621" s="151">
        <v>41829</v>
      </c>
      <c r="Y621" s="134">
        <f t="shared" si="9"/>
        <v>5.28</v>
      </c>
      <c r="AC621" s="134">
        <v>38.89</v>
      </c>
      <c r="AD621" s="151">
        <v>41838</v>
      </c>
      <c r="AE621" s="134">
        <v>40</v>
      </c>
      <c r="AF621" s="151">
        <v>41838</v>
      </c>
      <c r="AG621" s="197">
        <v>4.9000000000000004</v>
      </c>
      <c r="AH621" s="151">
        <v>41843</v>
      </c>
      <c r="AI621" s="198">
        <v>5</v>
      </c>
      <c r="AJ621" s="151">
        <v>41778</v>
      </c>
      <c r="AK621" s="199">
        <v>5</v>
      </c>
      <c r="AL621" s="151">
        <v>41709</v>
      </c>
      <c r="BE621" s="200">
        <v>5</v>
      </c>
      <c r="BF621" s="201">
        <v>41555</v>
      </c>
      <c r="BG621" s="203">
        <v>0.8</v>
      </c>
      <c r="BH621" s="151">
        <v>41842</v>
      </c>
      <c r="BM621" s="204">
        <v>67.099999999999994</v>
      </c>
      <c r="BN621" s="151">
        <v>41842</v>
      </c>
      <c r="BQ621" s="205">
        <v>9.3000000000000007</v>
      </c>
      <c r="BR621" s="151">
        <v>41842</v>
      </c>
      <c r="BS621" s="206">
        <v>46.4</v>
      </c>
      <c r="BT621" s="151">
        <v>41842</v>
      </c>
      <c r="BU621" s="207">
        <v>13.2</v>
      </c>
      <c r="BV621" s="151">
        <v>41842</v>
      </c>
      <c r="BW621" s="206">
        <v>14.1</v>
      </c>
      <c r="BX621" s="151">
        <v>41842</v>
      </c>
      <c r="BY621" s="210">
        <v>7.43</v>
      </c>
      <c r="BZ621" s="151">
        <v>41842</v>
      </c>
      <c r="CA621" s="206">
        <v>29.5</v>
      </c>
      <c r="CB621" s="151">
        <v>41842</v>
      </c>
      <c r="CC621" s="208">
        <v>6.4</v>
      </c>
      <c r="CD621" s="151">
        <v>41838</v>
      </c>
      <c r="CL621" s="209">
        <v>3</v>
      </c>
      <c r="CM621" s="201">
        <v>41810</v>
      </c>
    </row>
    <row r="622" spans="1:91" ht="15">
      <c r="A622" s="152" t="s">
        <v>8045</v>
      </c>
      <c r="B622" s="110" t="s">
        <v>235</v>
      </c>
      <c r="C622" s="110" t="s">
        <v>8082</v>
      </c>
      <c r="D622" s="110">
        <v>11505</v>
      </c>
      <c r="E622" s="111">
        <v>4</v>
      </c>
      <c r="F622" s="111">
        <v>629</v>
      </c>
      <c r="K622" s="194">
        <v>7</v>
      </c>
      <c r="L622" s="151">
        <v>41701</v>
      </c>
      <c r="M622" s="169">
        <v>5.9</v>
      </c>
      <c r="N622" s="151">
        <v>41838</v>
      </c>
      <c r="Q622" s="497"/>
      <c r="S622" s="134">
        <v>20.93</v>
      </c>
      <c r="T622" s="151">
        <v>41842</v>
      </c>
      <c r="U622" s="134">
        <v>13.5</v>
      </c>
      <c r="V622" s="151">
        <v>41838</v>
      </c>
      <c r="W622" s="196">
        <v>9</v>
      </c>
      <c r="X622" s="151">
        <v>41829</v>
      </c>
      <c r="Y622" s="134">
        <f t="shared" si="9"/>
        <v>6.2883599999999999</v>
      </c>
      <c r="AC622" s="134">
        <v>43.7</v>
      </c>
      <c r="AD622" s="151">
        <v>41838</v>
      </c>
      <c r="AE622" s="134">
        <v>45.24</v>
      </c>
      <c r="AF622" s="151">
        <v>41838</v>
      </c>
      <c r="AG622" s="197">
        <v>4.8</v>
      </c>
      <c r="AH622" s="151">
        <v>41843</v>
      </c>
      <c r="AI622" s="198">
        <v>7</v>
      </c>
      <c r="AJ622" s="151">
        <v>41778</v>
      </c>
      <c r="AK622" s="199">
        <v>5</v>
      </c>
      <c r="AL622" s="151">
        <v>41709</v>
      </c>
      <c r="BE622" s="200">
        <v>5</v>
      </c>
      <c r="BF622" s="201">
        <v>41555</v>
      </c>
      <c r="BG622" s="203">
        <v>-3.7</v>
      </c>
      <c r="BH622" s="151">
        <v>41842</v>
      </c>
      <c r="BM622" s="204">
        <v>66.8</v>
      </c>
      <c r="BN622" s="151">
        <v>41842</v>
      </c>
      <c r="BQ622" s="205">
        <v>10</v>
      </c>
      <c r="BR622" s="151">
        <v>41842</v>
      </c>
      <c r="BS622" s="206">
        <v>46.3</v>
      </c>
      <c r="BT622" s="151">
        <v>41842</v>
      </c>
      <c r="BU622" s="207">
        <v>13.9</v>
      </c>
      <c r="BV622" s="151">
        <v>41842</v>
      </c>
      <c r="BW622" s="206">
        <v>13.8</v>
      </c>
      <c r="BX622" s="151">
        <v>41842</v>
      </c>
      <c r="BY622" s="210">
        <v>7.85</v>
      </c>
      <c r="BZ622" s="151">
        <v>41842</v>
      </c>
      <c r="CA622" s="206">
        <v>31.1</v>
      </c>
      <c r="CB622" s="151">
        <v>41842</v>
      </c>
      <c r="CC622" s="208">
        <v>5.8</v>
      </c>
      <c r="CD622" s="151">
        <v>41838</v>
      </c>
      <c r="CL622" s="209">
        <v>3</v>
      </c>
      <c r="CM622" s="201">
        <v>41810</v>
      </c>
    </row>
    <row r="623" spans="1:91" ht="15">
      <c r="A623" s="152" t="s">
        <v>8045</v>
      </c>
      <c r="B623" s="110" t="s">
        <v>233</v>
      </c>
      <c r="C623" s="110" t="s">
        <v>381</v>
      </c>
      <c r="D623" s="110">
        <v>11136</v>
      </c>
      <c r="E623" s="111">
        <v>5</v>
      </c>
      <c r="F623" s="111">
        <v>589</v>
      </c>
      <c r="K623" s="134">
        <v>5</v>
      </c>
      <c r="L623" s="151">
        <v>41701</v>
      </c>
      <c r="M623" s="169">
        <v>4.5</v>
      </c>
      <c r="N623" s="151">
        <v>41838</v>
      </c>
      <c r="Q623" s="497"/>
      <c r="S623" s="134">
        <v>16.45</v>
      </c>
      <c r="T623" s="151">
        <v>41842</v>
      </c>
      <c r="U623" s="134">
        <v>13.5</v>
      </c>
      <c r="V623" s="151">
        <v>41838</v>
      </c>
      <c r="W623" s="196">
        <v>9</v>
      </c>
      <c r="X623" s="151">
        <v>41829</v>
      </c>
      <c r="Y623" s="134">
        <f t="shared" si="9"/>
        <v>4.3432199999999996</v>
      </c>
      <c r="AC623" s="134">
        <v>33.33</v>
      </c>
      <c r="AD623" s="151">
        <v>41838</v>
      </c>
      <c r="AE623" s="134">
        <v>34.47</v>
      </c>
      <c r="AF623" s="151">
        <v>41838</v>
      </c>
      <c r="AG623" s="197">
        <v>4.8</v>
      </c>
      <c r="AH623" s="151">
        <v>41843</v>
      </c>
      <c r="AI623" s="198">
        <v>5</v>
      </c>
      <c r="AJ623" s="151">
        <v>41778</v>
      </c>
      <c r="AK623" s="199">
        <v>5</v>
      </c>
      <c r="AL623" s="151">
        <v>41709</v>
      </c>
      <c r="BE623" s="200">
        <v>5</v>
      </c>
      <c r="BF623" s="201">
        <v>41555</v>
      </c>
      <c r="BG623" s="203">
        <v>-3.9</v>
      </c>
      <c r="BH623" s="151">
        <v>41842</v>
      </c>
      <c r="BM623" s="204">
        <v>68.400000000000006</v>
      </c>
      <c r="BN623" s="151">
        <v>41842</v>
      </c>
      <c r="BQ623" s="205">
        <v>9.1999999999999993</v>
      </c>
      <c r="BR623" s="151">
        <v>41842</v>
      </c>
      <c r="BS623" s="206">
        <v>47.7</v>
      </c>
      <c r="BT623" s="151">
        <v>41842</v>
      </c>
      <c r="BU623" s="207">
        <v>12.6</v>
      </c>
      <c r="BV623" s="151">
        <v>41842</v>
      </c>
      <c r="BW623" s="206">
        <v>15</v>
      </c>
      <c r="BX623" s="151">
        <v>41842</v>
      </c>
      <c r="BY623" s="210">
        <v>7.49</v>
      </c>
      <c r="BZ623" s="151">
        <v>41842</v>
      </c>
      <c r="CA623" s="206">
        <v>29.1</v>
      </c>
      <c r="CB623" s="151">
        <v>41842</v>
      </c>
      <c r="CC623" s="208">
        <v>5.9</v>
      </c>
      <c r="CD623" s="151">
        <v>41838</v>
      </c>
      <c r="CL623" s="209">
        <v>3</v>
      </c>
      <c r="CM623" s="201">
        <v>41810</v>
      </c>
    </row>
    <row r="624" spans="1:91" ht="15">
      <c r="A624" s="152" t="s">
        <v>8045</v>
      </c>
      <c r="B624" s="110" t="s">
        <v>235</v>
      </c>
      <c r="C624" s="110" t="s">
        <v>8081</v>
      </c>
      <c r="D624" s="110">
        <v>11277</v>
      </c>
      <c r="E624" s="111">
        <v>9</v>
      </c>
      <c r="F624" s="111">
        <v>577</v>
      </c>
      <c r="K624" s="194">
        <v>7</v>
      </c>
      <c r="L624" s="151">
        <v>41701</v>
      </c>
      <c r="M624" s="169">
        <v>4.95</v>
      </c>
      <c r="N624" s="151">
        <v>41838</v>
      </c>
      <c r="Q624" s="497"/>
      <c r="S624" s="134">
        <v>17.940000000000001</v>
      </c>
      <c r="T624" s="151">
        <v>41842</v>
      </c>
      <c r="U624" s="134">
        <v>13.5</v>
      </c>
      <c r="V624" s="151">
        <v>41838</v>
      </c>
      <c r="W624" s="196">
        <v>9</v>
      </c>
      <c r="X624" s="151">
        <v>41829</v>
      </c>
      <c r="Y624" s="134">
        <f t="shared" si="9"/>
        <v>4.9296000000000006</v>
      </c>
      <c r="AC624" s="134">
        <v>36.67</v>
      </c>
      <c r="AD624" s="151">
        <v>41838</v>
      </c>
      <c r="AE624" s="134">
        <v>37.92</v>
      </c>
      <c r="AF624" s="151">
        <v>41838</v>
      </c>
      <c r="AG624" s="197">
        <v>4.3</v>
      </c>
      <c r="AH624" s="151">
        <v>41843</v>
      </c>
      <c r="AI624" s="198">
        <v>7</v>
      </c>
      <c r="AJ624" s="151">
        <v>41778</v>
      </c>
      <c r="AK624" s="199">
        <v>5</v>
      </c>
      <c r="AL624" s="151">
        <v>41709</v>
      </c>
      <c r="BE624" s="200">
        <v>5</v>
      </c>
      <c r="BF624" s="201">
        <v>41555</v>
      </c>
      <c r="BG624" s="203">
        <v>-3.2</v>
      </c>
      <c r="BH624" s="151">
        <v>41842</v>
      </c>
      <c r="BM624" s="204">
        <v>67.599999999999994</v>
      </c>
      <c r="BN624" s="151">
        <v>41842</v>
      </c>
      <c r="BQ624" s="205">
        <v>8.5</v>
      </c>
      <c r="BR624" s="151">
        <v>41842</v>
      </c>
      <c r="BS624" s="206">
        <v>47.3</v>
      </c>
      <c r="BT624" s="151">
        <v>41842</v>
      </c>
      <c r="BU624" s="207">
        <v>13</v>
      </c>
      <c r="BV624" s="151">
        <v>41842</v>
      </c>
      <c r="BW624" s="206">
        <v>12.2</v>
      </c>
      <c r="BX624" s="151">
        <v>41842</v>
      </c>
      <c r="BY624" s="210">
        <v>7.38</v>
      </c>
      <c r="BZ624" s="151">
        <v>41842</v>
      </c>
      <c r="CA624" s="206">
        <v>29.8</v>
      </c>
      <c r="CB624" s="151">
        <v>41842</v>
      </c>
      <c r="CC624" s="208">
        <v>5.9</v>
      </c>
      <c r="CD624" s="151">
        <v>41838</v>
      </c>
      <c r="CL624" s="209">
        <v>3</v>
      </c>
      <c r="CM624" s="201">
        <v>41810</v>
      </c>
    </row>
    <row r="625" spans="1:91" ht="15">
      <c r="A625" s="152" t="s">
        <v>8045</v>
      </c>
      <c r="B625" s="110" t="s">
        <v>233</v>
      </c>
      <c r="C625" s="110" t="s">
        <v>8083</v>
      </c>
      <c r="D625" s="110">
        <v>11783</v>
      </c>
      <c r="E625" s="111">
        <v>11</v>
      </c>
      <c r="F625" s="111">
        <v>733</v>
      </c>
      <c r="K625" s="134">
        <v>5</v>
      </c>
      <c r="L625" s="151">
        <v>41701</v>
      </c>
      <c r="M625" s="169">
        <v>4.05</v>
      </c>
      <c r="N625" s="151">
        <v>41838</v>
      </c>
      <c r="Q625" s="497"/>
      <c r="S625" s="134">
        <v>14.79</v>
      </c>
      <c r="T625" s="151">
        <v>41842</v>
      </c>
      <c r="U625" s="134">
        <v>13.5</v>
      </c>
      <c r="V625" s="151">
        <v>41838</v>
      </c>
      <c r="W625" s="196">
        <v>9</v>
      </c>
      <c r="X625" s="151">
        <v>41829</v>
      </c>
      <c r="Y625" s="134">
        <f t="shared" si="9"/>
        <v>3.7340599999999999</v>
      </c>
      <c r="AC625" s="134">
        <v>30</v>
      </c>
      <c r="AD625" s="151">
        <v>41838</v>
      </c>
      <c r="AE625" s="134">
        <v>30.86</v>
      </c>
      <c r="AF625" s="151">
        <v>41838</v>
      </c>
      <c r="AG625" s="197">
        <v>4.8</v>
      </c>
      <c r="AH625" s="151">
        <v>41843</v>
      </c>
      <c r="AI625" s="198">
        <v>5</v>
      </c>
      <c r="AJ625" s="151">
        <v>41778</v>
      </c>
      <c r="AK625" s="199">
        <v>5</v>
      </c>
      <c r="AL625" s="151">
        <v>41709</v>
      </c>
      <c r="BE625" s="200">
        <v>5</v>
      </c>
      <c r="BF625" s="201">
        <v>41555</v>
      </c>
      <c r="BG625" s="203">
        <v>-4.9000000000000004</v>
      </c>
      <c r="BH625" s="151">
        <v>41842</v>
      </c>
      <c r="BM625" s="204">
        <v>69.2</v>
      </c>
      <c r="BN625" s="151">
        <v>41842</v>
      </c>
      <c r="BQ625" s="205">
        <v>9</v>
      </c>
      <c r="BR625" s="151">
        <v>41842</v>
      </c>
      <c r="BS625" s="206">
        <v>47.9</v>
      </c>
      <c r="BT625" s="151">
        <v>41842</v>
      </c>
      <c r="BU625" s="207">
        <v>12.1</v>
      </c>
      <c r="BV625" s="151">
        <v>41842</v>
      </c>
      <c r="BW625" s="206">
        <v>12.1</v>
      </c>
      <c r="BX625" s="151">
        <v>41842</v>
      </c>
      <c r="BY625" s="210">
        <v>7.36</v>
      </c>
      <c r="BZ625" s="151">
        <v>41842</v>
      </c>
      <c r="CA625" s="206">
        <v>28</v>
      </c>
      <c r="CB625" s="151">
        <v>41842</v>
      </c>
      <c r="CC625" s="208">
        <v>6.4</v>
      </c>
      <c r="CD625" s="151">
        <v>41838</v>
      </c>
      <c r="CL625" s="209">
        <v>3</v>
      </c>
      <c r="CM625" s="201">
        <v>41810</v>
      </c>
    </row>
    <row r="626" spans="1:91" ht="15">
      <c r="A626" s="152" t="s">
        <v>8046</v>
      </c>
      <c r="B626" s="110" t="s">
        <v>235</v>
      </c>
      <c r="C626" s="110" t="s">
        <v>8082</v>
      </c>
      <c r="D626" s="110">
        <v>11421</v>
      </c>
      <c r="E626" s="111">
        <v>1</v>
      </c>
      <c r="F626" s="111">
        <v>725</v>
      </c>
      <c r="I626" s="373"/>
      <c r="K626" s="194">
        <v>5</v>
      </c>
      <c r="L626" s="151">
        <v>41701</v>
      </c>
      <c r="M626" s="169">
        <v>5.45</v>
      </c>
      <c r="N626" s="151">
        <v>41838</v>
      </c>
      <c r="Q626" s="497"/>
      <c r="S626" s="134">
        <v>19.43</v>
      </c>
      <c r="T626" s="151">
        <v>41842</v>
      </c>
      <c r="U626" s="194">
        <v>13.5</v>
      </c>
      <c r="V626" s="151">
        <v>41838</v>
      </c>
      <c r="W626" s="196">
        <v>1</v>
      </c>
      <c r="X626" s="151">
        <v>41829</v>
      </c>
      <c r="Y626" s="134">
        <f t="shared" si="9"/>
        <v>5.5168399999999993</v>
      </c>
      <c r="AA626" s="194"/>
      <c r="AC626" s="194">
        <v>40.369999999999997</v>
      </c>
      <c r="AD626" s="151">
        <v>41838</v>
      </c>
      <c r="AE626" s="137">
        <v>41.48</v>
      </c>
      <c r="AF626" s="151">
        <v>41838</v>
      </c>
      <c r="AG626" s="197">
        <v>4.5999999999999996</v>
      </c>
      <c r="AH626" s="151">
        <v>41843</v>
      </c>
      <c r="AI626" s="198">
        <v>5</v>
      </c>
      <c r="AJ626" s="151">
        <v>41778</v>
      </c>
      <c r="AK626" s="199">
        <v>5</v>
      </c>
      <c r="AL626" s="151">
        <v>41709</v>
      </c>
      <c r="AM626" s="194"/>
      <c r="BE626" s="200">
        <v>5</v>
      </c>
      <c r="BF626" s="201">
        <v>41555</v>
      </c>
      <c r="BG626" s="203">
        <v>-5</v>
      </c>
      <c r="BH626" s="151">
        <v>41842</v>
      </c>
      <c r="BM626" s="204">
        <v>64.8</v>
      </c>
      <c r="BN626" s="151">
        <v>41842</v>
      </c>
      <c r="BQ626" s="205">
        <v>10</v>
      </c>
      <c r="BR626" s="151">
        <v>41842</v>
      </c>
      <c r="BS626" s="206">
        <v>46.8</v>
      </c>
      <c r="BT626" s="151">
        <v>41842</v>
      </c>
      <c r="BU626" s="207">
        <v>13.3</v>
      </c>
      <c r="BV626" s="151">
        <v>41842</v>
      </c>
      <c r="BW626" s="206">
        <v>13.6</v>
      </c>
      <c r="BX626" s="151">
        <v>41842</v>
      </c>
      <c r="BY626" s="210">
        <v>7.21</v>
      </c>
      <c r="BZ626" s="151">
        <v>41842</v>
      </c>
      <c r="CA626" s="206">
        <v>30.2</v>
      </c>
      <c r="CB626" s="151">
        <v>41842</v>
      </c>
      <c r="CC626" s="208">
        <v>6.5</v>
      </c>
      <c r="CD626" s="151">
        <v>41838</v>
      </c>
      <c r="CL626" s="209">
        <v>3</v>
      </c>
      <c r="CM626" s="201">
        <v>41810</v>
      </c>
    </row>
    <row r="627" spans="1:91" ht="15">
      <c r="A627" s="152" t="s">
        <v>8046</v>
      </c>
      <c r="B627" s="110" t="s">
        <v>233</v>
      </c>
      <c r="C627" s="110" t="s">
        <v>381</v>
      </c>
      <c r="D627" s="110">
        <v>11108</v>
      </c>
      <c r="E627" s="111">
        <v>5</v>
      </c>
      <c r="F627" s="111">
        <v>477</v>
      </c>
      <c r="K627" s="134">
        <v>5</v>
      </c>
      <c r="L627" s="151">
        <v>41701</v>
      </c>
      <c r="M627" s="169">
        <v>3.55</v>
      </c>
      <c r="N627" s="151">
        <v>41838</v>
      </c>
      <c r="Q627" s="497"/>
      <c r="S627" s="134">
        <v>12.71</v>
      </c>
      <c r="T627" s="151">
        <v>41842</v>
      </c>
      <c r="U627" s="134">
        <v>13.5</v>
      </c>
      <c r="V627" s="151">
        <v>41838</v>
      </c>
      <c r="W627" s="196">
        <v>9</v>
      </c>
      <c r="X627" s="151">
        <v>41829</v>
      </c>
      <c r="Y627" s="134">
        <f t="shared" si="9"/>
        <v>3.5396199999999998</v>
      </c>
      <c r="AC627" s="134">
        <v>26.3</v>
      </c>
      <c r="AD627" s="151">
        <v>41838</v>
      </c>
      <c r="AE627" s="134">
        <v>27.02</v>
      </c>
      <c r="AF627" s="151">
        <v>41838</v>
      </c>
      <c r="AG627" s="197">
        <v>4.5</v>
      </c>
      <c r="AH627" s="151">
        <v>41843</v>
      </c>
      <c r="AI627" s="198">
        <v>5</v>
      </c>
      <c r="AJ627" s="151">
        <v>41778</v>
      </c>
      <c r="AK627" s="199">
        <v>5</v>
      </c>
      <c r="AL627" s="151">
        <v>41709</v>
      </c>
      <c r="BE627" s="200">
        <v>5</v>
      </c>
      <c r="BF627" s="201">
        <v>41555</v>
      </c>
      <c r="BG627" s="203">
        <v>-2.2000000000000002</v>
      </c>
      <c r="BH627" s="151">
        <v>41842</v>
      </c>
      <c r="BM627" s="204">
        <v>65</v>
      </c>
      <c r="BN627" s="151">
        <v>41842</v>
      </c>
      <c r="BQ627" s="205">
        <v>9.9</v>
      </c>
      <c r="BR627" s="151">
        <v>41842</v>
      </c>
      <c r="BS627" s="206">
        <v>47</v>
      </c>
      <c r="BT627" s="151">
        <v>41842</v>
      </c>
      <c r="BU627" s="207">
        <v>13.1</v>
      </c>
      <c r="BV627" s="151">
        <v>41842</v>
      </c>
      <c r="BW627" s="206">
        <v>10.9</v>
      </c>
      <c r="BX627" s="151">
        <v>41842</v>
      </c>
      <c r="BY627" s="210">
        <v>7.34</v>
      </c>
      <c r="BZ627" s="151">
        <v>41842</v>
      </c>
      <c r="CA627" s="206">
        <v>29.8</v>
      </c>
      <c r="CB627" s="151">
        <v>41842</v>
      </c>
      <c r="CC627" s="208">
        <v>6.5</v>
      </c>
      <c r="CD627" s="151">
        <v>41838</v>
      </c>
      <c r="CL627" s="209">
        <v>3</v>
      </c>
      <c r="CM627" s="201">
        <v>41810</v>
      </c>
    </row>
    <row r="628" spans="1:91" ht="15">
      <c r="A628" s="152" t="s">
        <v>8046</v>
      </c>
      <c r="B628" s="110" t="s">
        <v>235</v>
      </c>
      <c r="C628" s="110" t="s">
        <v>8081</v>
      </c>
      <c r="D628" s="110">
        <v>11389</v>
      </c>
      <c r="E628" s="111">
        <v>12</v>
      </c>
      <c r="F628" s="111">
        <v>593</v>
      </c>
      <c r="K628" s="134">
        <v>5</v>
      </c>
      <c r="L628" s="151">
        <v>41701</v>
      </c>
      <c r="M628" s="169">
        <v>5.15</v>
      </c>
      <c r="N628" s="151">
        <v>41838</v>
      </c>
      <c r="Q628" s="497"/>
      <c r="S628" s="134">
        <v>18.489999999999998</v>
      </c>
      <c r="T628" s="151">
        <v>41842</v>
      </c>
      <c r="U628" s="134">
        <v>13.5</v>
      </c>
      <c r="V628" s="151">
        <v>41838</v>
      </c>
      <c r="W628" s="196">
        <v>1</v>
      </c>
      <c r="X628" s="151">
        <v>41829</v>
      </c>
      <c r="Y628" s="134">
        <f t="shared" si="9"/>
        <v>5.2468500000000002</v>
      </c>
      <c r="AC628" s="134">
        <v>38.15</v>
      </c>
      <c r="AD628" s="151">
        <v>41838</v>
      </c>
      <c r="AE628" s="134">
        <v>39.450000000000003</v>
      </c>
      <c r="AF628" s="151">
        <v>41838</v>
      </c>
      <c r="AG628" s="197">
        <v>4.4000000000000004</v>
      </c>
      <c r="AH628" s="151">
        <v>41843</v>
      </c>
      <c r="AI628" s="198">
        <v>5</v>
      </c>
      <c r="AJ628" s="151">
        <v>41778</v>
      </c>
      <c r="AK628" s="199">
        <v>5</v>
      </c>
      <c r="AL628" s="151">
        <v>41709</v>
      </c>
      <c r="BE628" s="200">
        <v>5</v>
      </c>
      <c r="BF628" s="201">
        <v>41555</v>
      </c>
      <c r="BG628" s="203">
        <v>-3</v>
      </c>
      <c r="BH628" s="151">
        <v>41842</v>
      </c>
      <c r="BM628" s="204">
        <v>65.7</v>
      </c>
      <c r="BN628" s="151">
        <v>41842</v>
      </c>
      <c r="BQ628" s="205">
        <v>9.5</v>
      </c>
      <c r="BR628" s="151">
        <v>41842</v>
      </c>
      <c r="BS628" s="206">
        <v>46.9</v>
      </c>
      <c r="BT628" s="151">
        <v>41842</v>
      </c>
      <c r="BU628" s="207">
        <v>13.3</v>
      </c>
      <c r="BV628" s="151">
        <v>41842</v>
      </c>
      <c r="BW628" s="206">
        <v>11.6</v>
      </c>
      <c r="BX628" s="151">
        <v>41842</v>
      </c>
      <c r="BY628" s="210">
        <v>7.1</v>
      </c>
      <c r="BZ628" s="151">
        <v>41842</v>
      </c>
      <c r="CA628" s="206">
        <v>30.1</v>
      </c>
      <c r="CB628" s="151">
        <v>41842</v>
      </c>
      <c r="CC628" s="208">
        <v>5.9</v>
      </c>
      <c r="CD628" s="151">
        <v>41838</v>
      </c>
      <c r="CL628" s="209">
        <v>3</v>
      </c>
      <c r="CM628" s="201">
        <v>41810</v>
      </c>
    </row>
    <row r="629" spans="1:91" ht="15">
      <c r="A629" s="152" t="s">
        <v>8046</v>
      </c>
      <c r="B629" s="110" t="s">
        <v>233</v>
      </c>
      <c r="C629" s="110" t="s">
        <v>8083</v>
      </c>
      <c r="D629" s="110">
        <v>11821</v>
      </c>
      <c r="E629" s="111">
        <v>12</v>
      </c>
      <c r="F629" s="111">
        <v>741</v>
      </c>
      <c r="K629" s="191">
        <v>3</v>
      </c>
      <c r="L629" s="151">
        <v>41701</v>
      </c>
      <c r="M629" s="169">
        <v>3.25</v>
      </c>
      <c r="N629" s="151">
        <v>41838</v>
      </c>
      <c r="Q629" s="497"/>
      <c r="S629" s="134">
        <v>11.42</v>
      </c>
      <c r="T629" s="151">
        <v>41842</v>
      </c>
      <c r="U629" s="134">
        <v>13.5</v>
      </c>
      <c r="V629" s="151">
        <v>41838</v>
      </c>
      <c r="W629" s="196">
        <v>9</v>
      </c>
      <c r="X629" s="151">
        <v>41829</v>
      </c>
      <c r="Y629" s="134">
        <f t="shared" si="9"/>
        <v>3.3852699999999998</v>
      </c>
      <c r="AC629" s="134">
        <v>24.07</v>
      </c>
      <c r="AD629" s="151">
        <v>41838</v>
      </c>
      <c r="AE629" s="134">
        <v>24.71</v>
      </c>
      <c r="AF629" s="151">
        <v>41838</v>
      </c>
      <c r="AG629" s="197">
        <v>4.8</v>
      </c>
      <c r="AH629" s="151">
        <v>41843</v>
      </c>
      <c r="AI629" s="198">
        <v>5</v>
      </c>
      <c r="AJ629" s="151">
        <v>41778</v>
      </c>
      <c r="AK629" s="199">
        <v>5</v>
      </c>
      <c r="AL629" s="151">
        <v>41709</v>
      </c>
      <c r="BE629" s="200">
        <v>5</v>
      </c>
      <c r="BF629" s="201">
        <v>41555</v>
      </c>
      <c r="BG629" s="203">
        <v>-4.4000000000000004</v>
      </c>
      <c r="BH629" s="151">
        <v>41842</v>
      </c>
      <c r="BM629" s="204">
        <v>65</v>
      </c>
      <c r="BN629" s="151">
        <v>41842</v>
      </c>
      <c r="BQ629" s="205">
        <v>10.3</v>
      </c>
      <c r="BR629" s="151">
        <v>41842</v>
      </c>
      <c r="BS629" s="206">
        <v>46.2</v>
      </c>
      <c r="BT629" s="151">
        <v>41842</v>
      </c>
      <c r="BU629" s="207">
        <v>13.7</v>
      </c>
      <c r="BV629" s="151">
        <v>41842</v>
      </c>
      <c r="BW629" s="206">
        <v>14.1</v>
      </c>
      <c r="BX629" s="151">
        <v>41842</v>
      </c>
      <c r="BY629" s="210">
        <v>7.32</v>
      </c>
      <c r="BZ629" s="151">
        <v>41842</v>
      </c>
      <c r="CA629" s="206">
        <v>30.5</v>
      </c>
      <c r="CB629" s="151">
        <v>41842</v>
      </c>
      <c r="CC629" s="208">
        <v>6.6</v>
      </c>
      <c r="CD629" s="151">
        <v>41838</v>
      </c>
      <c r="CL629" s="209">
        <v>3</v>
      </c>
      <c r="CM629" s="201">
        <v>41810</v>
      </c>
    </row>
    <row r="630" spans="1:91" ht="15">
      <c r="A630" s="152" t="s">
        <v>8047</v>
      </c>
      <c r="B630" s="110" t="s">
        <v>233</v>
      </c>
      <c r="C630" s="110" t="s">
        <v>381</v>
      </c>
      <c r="D630" s="110">
        <v>10974</v>
      </c>
      <c r="E630" s="111">
        <v>1</v>
      </c>
      <c r="F630" s="111">
        <v>517</v>
      </c>
      <c r="I630" s="373"/>
      <c r="K630" s="194">
        <v>5</v>
      </c>
      <c r="L630" s="151">
        <v>41701</v>
      </c>
      <c r="M630" s="169">
        <v>4.5999999999999996</v>
      </c>
      <c r="N630" s="151">
        <v>41838</v>
      </c>
      <c r="Q630" s="497"/>
      <c r="S630" s="134">
        <v>16.690000000000001</v>
      </c>
      <c r="T630" s="151">
        <v>41842</v>
      </c>
      <c r="U630" s="194">
        <v>13.5</v>
      </c>
      <c r="V630" s="151">
        <v>41838</v>
      </c>
      <c r="W630" s="196">
        <v>9</v>
      </c>
      <c r="X630" s="151">
        <v>41829</v>
      </c>
      <c r="Y630" s="134">
        <f t="shared" si="9"/>
        <v>4.4602399999999998</v>
      </c>
      <c r="AA630" s="194"/>
      <c r="AC630" s="194">
        <v>34.07</v>
      </c>
      <c r="AD630" s="151">
        <v>41838</v>
      </c>
      <c r="AE630" s="137">
        <v>35.119999999999997</v>
      </c>
      <c r="AF630" s="151">
        <v>41838</v>
      </c>
      <c r="AG630" s="197">
        <v>5.3</v>
      </c>
      <c r="AH630" s="151">
        <v>41843</v>
      </c>
      <c r="AI630" s="198">
        <v>7</v>
      </c>
      <c r="AJ630" s="151">
        <v>41778</v>
      </c>
      <c r="AK630" s="199">
        <v>5</v>
      </c>
      <c r="AL630" s="151">
        <v>41709</v>
      </c>
      <c r="AM630" s="194"/>
      <c r="BE630" s="200">
        <v>5</v>
      </c>
      <c r="BF630" s="201">
        <v>41555</v>
      </c>
      <c r="BG630" s="203">
        <v>-3.4</v>
      </c>
      <c r="BH630" s="151">
        <v>41842</v>
      </c>
      <c r="BM630" s="204">
        <v>68</v>
      </c>
      <c r="BN630" s="151">
        <v>41842</v>
      </c>
      <c r="BQ630" s="205">
        <v>9.8000000000000007</v>
      </c>
      <c r="BR630" s="151">
        <v>41842</v>
      </c>
      <c r="BS630" s="206">
        <v>47.5</v>
      </c>
      <c r="BT630" s="151">
        <v>41842</v>
      </c>
      <c r="BU630" s="207">
        <v>12.7</v>
      </c>
      <c r="BV630" s="151">
        <v>41842</v>
      </c>
      <c r="BW630" s="206">
        <v>14.7</v>
      </c>
      <c r="BX630" s="151">
        <v>41842</v>
      </c>
      <c r="BY630" s="210">
        <v>7.64</v>
      </c>
      <c r="BZ630" s="151">
        <v>41842</v>
      </c>
      <c r="CA630" s="206">
        <v>29.2</v>
      </c>
      <c r="CB630" s="151">
        <v>41842</v>
      </c>
      <c r="CC630" s="208">
        <v>6.2</v>
      </c>
      <c r="CD630" s="151">
        <v>41838</v>
      </c>
      <c r="CL630" s="209">
        <v>3</v>
      </c>
      <c r="CM630" s="201">
        <v>41810</v>
      </c>
    </row>
    <row r="631" spans="1:91" ht="15">
      <c r="A631" s="152" t="s">
        <v>8047</v>
      </c>
      <c r="B631" s="110" t="s">
        <v>235</v>
      </c>
      <c r="C631" s="110" t="s">
        <v>8082</v>
      </c>
      <c r="D631" s="110">
        <v>11486</v>
      </c>
      <c r="E631" s="111">
        <v>3</v>
      </c>
      <c r="F631" s="111">
        <v>697</v>
      </c>
      <c r="K631" s="134">
        <v>5</v>
      </c>
      <c r="L631" s="151">
        <v>41701</v>
      </c>
      <c r="M631" s="169">
        <v>5.9</v>
      </c>
      <c r="N631" s="151">
        <v>41838</v>
      </c>
      <c r="Q631" s="497"/>
      <c r="S631" s="134">
        <v>20.79</v>
      </c>
      <c r="T631" s="151">
        <v>41842</v>
      </c>
      <c r="U631" s="134">
        <v>13.5</v>
      </c>
      <c r="V631" s="151">
        <v>41838</v>
      </c>
      <c r="W631" s="196">
        <v>9</v>
      </c>
      <c r="X631" s="151">
        <v>41829</v>
      </c>
      <c r="Y631" s="134">
        <f t="shared" si="9"/>
        <v>6.3196000000000003</v>
      </c>
      <c r="AC631" s="134">
        <v>43.7</v>
      </c>
      <c r="AD631" s="151">
        <v>41838</v>
      </c>
      <c r="AE631" s="134">
        <v>45.14</v>
      </c>
      <c r="AF631" s="151">
        <v>41838</v>
      </c>
      <c r="AG631" s="197">
        <v>5.3</v>
      </c>
      <c r="AH631" s="151">
        <v>41843</v>
      </c>
      <c r="AI631" s="198">
        <v>7</v>
      </c>
      <c r="AJ631" s="151">
        <v>41778</v>
      </c>
      <c r="AK631" s="199">
        <v>5</v>
      </c>
      <c r="AL631" s="151">
        <v>41709</v>
      </c>
      <c r="BE631" s="200">
        <v>5</v>
      </c>
      <c r="BF631" s="201">
        <v>41555</v>
      </c>
      <c r="BG631" s="203">
        <v>-6.5</v>
      </c>
      <c r="BH631" s="151">
        <v>41842</v>
      </c>
      <c r="BM631" s="204">
        <v>67.3</v>
      </c>
      <c r="BN631" s="151">
        <v>41842</v>
      </c>
      <c r="BQ631" s="205">
        <v>9.6999999999999993</v>
      </c>
      <c r="BR631" s="151">
        <v>41842</v>
      </c>
      <c r="BS631" s="206">
        <v>46.1</v>
      </c>
      <c r="BT631" s="151">
        <v>41842</v>
      </c>
      <c r="BU631" s="207">
        <v>14</v>
      </c>
      <c r="BV631" s="151">
        <v>41842</v>
      </c>
      <c r="BW631" s="206">
        <v>17.3</v>
      </c>
      <c r="BX631" s="151">
        <v>41842</v>
      </c>
      <c r="BY631" s="210">
        <v>7.86</v>
      </c>
      <c r="BZ631" s="151">
        <v>41842</v>
      </c>
      <c r="CA631" s="206">
        <v>31.2</v>
      </c>
      <c r="CB631" s="151">
        <v>41842</v>
      </c>
      <c r="CC631" s="208">
        <v>6</v>
      </c>
      <c r="CD631" s="151">
        <v>41838</v>
      </c>
      <c r="CL631" s="209">
        <v>3</v>
      </c>
      <c r="CM631" s="201">
        <v>41810</v>
      </c>
    </row>
    <row r="632" spans="1:91" ht="15">
      <c r="A632" s="152" t="s">
        <v>8047</v>
      </c>
      <c r="B632" s="110" t="s">
        <v>233</v>
      </c>
      <c r="C632" s="110" t="s">
        <v>8083</v>
      </c>
      <c r="D632" s="110">
        <v>11640</v>
      </c>
      <c r="E632" s="111">
        <v>7</v>
      </c>
      <c r="F632" s="111">
        <v>737</v>
      </c>
      <c r="K632" s="134">
        <v>5</v>
      </c>
      <c r="L632" s="151">
        <v>41701</v>
      </c>
      <c r="M632" s="169">
        <v>4.25</v>
      </c>
      <c r="N632" s="151">
        <v>41838</v>
      </c>
      <c r="Q632" s="497"/>
      <c r="S632" s="134">
        <v>15.72</v>
      </c>
      <c r="T632" s="151">
        <v>41842</v>
      </c>
      <c r="U632" s="134">
        <v>13.5</v>
      </c>
      <c r="V632" s="151">
        <v>41838</v>
      </c>
      <c r="W632" s="196">
        <v>9</v>
      </c>
      <c r="X632" s="151">
        <v>41829</v>
      </c>
      <c r="Y632" s="134">
        <f t="shared" si="9"/>
        <v>3.8291000000000008</v>
      </c>
      <c r="AC632" s="134">
        <v>31.48</v>
      </c>
      <c r="AD632" s="151">
        <v>41838</v>
      </c>
      <c r="AE632" s="134">
        <v>32.450000000000003</v>
      </c>
      <c r="AF632" s="151">
        <v>41838</v>
      </c>
      <c r="AG632" s="197">
        <v>5.2</v>
      </c>
      <c r="AH632" s="151">
        <v>41843</v>
      </c>
      <c r="AI632" s="198">
        <v>5</v>
      </c>
      <c r="AJ632" s="151">
        <v>41778</v>
      </c>
      <c r="AK632" s="199">
        <v>5</v>
      </c>
      <c r="AL632" s="151">
        <v>41709</v>
      </c>
      <c r="BE632" s="200">
        <v>5</v>
      </c>
      <c r="BF632" s="201">
        <v>41555</v>
      </c>
      <c r="BG632" s="203">
        <v>-6.1</v>
      </c>
      <c r="BH632" s="151">
        <v>41842</v>
      </c>
      <c r="BM632" s="204">
        <v>69</v>
      </c>
      <c r="BN632" s="151">
        <v>41842</v>
      </c>
      <c r="BQ632" s="205">
        <v>9</v>
      </c>
      <c r="BR632" s="151">
        <v>41842</v>
      </c>
      <c r="BS632" s="206">
        <v>48.4</v>
      </c>
      <c r="BT632" s="151">
        <v>41842</v>
      </c>
      <c r="BU632" s="207">
        <v>11.8</v>
      </c>
      <c r="BV632" s="151">
        <v>41842</v>
      </c>
      <c r="BW632" s="206">
        <v>16.7</v>
      </c>
      <c r="BX632" s="151">
        <v>41842</v>
      </c>
      <c r="BY632" s="210">
        <v>7.29</v>
      </c>
      <c r="BZ632" s="151">
        <v>41842</v>
      </c>
      <c r="CA632" s="206">
        <v>27.7</v>
      </c>
      <c r="CB632" s="151">
        <v>41842</v>
      </c>
      <c r="CC632" s="208">
        <v>6.2</v>
      </c>
      <c r="CD632" s="151">
        <v>41838</v>
      </c>
      <c r="CL632" s="209">
        <v>3</v>
      </c>
      <c r="CM632" s="201">
        <v>41810</v>
      </c>
    </row>
    <row r="633" spans="1:91" ht="15">
      <c r="A633" s="152" t="s">
        <v>8047</v>
      </c>
      <c r="B633" s="110" t="s">
        <v>235</v>
      </c>
      <c r="C633" s="110" t="s">
        <v>8081</v>
      </c>
      <c r="D633" s="110">
        <v>11286</v>
      </c>
      <c r="E633" s="111">
        <v>9</v>
      </c>
      <c r="F633" s="111">
        <v>613</v>
      </c>
      <c r="K633" s="134">
        <v>5</v>
      </c>
      <c r="L633" s="151">
        <v>41701</v>
      </c>
      <c r="M633" s="169">
        <v>6.25</v>
      </c>
      <c r="N633" s="151">
        <v>41838</v>
      </c>
      <c r="Q633" s="497"/>
      <c r="S633" s="134">
        <v>22.52</v>
      </c>
      <c r="T633" s="151">
        <v>41842</v>
      </c>
      <c r="U633" s="134">
        <v>13.5</v>
      </c>
      <c r="V633" s="151">
        <v>41838</v>
      </c>
      <c r="W633" s="196">
        <v>9</v>
      </c>
      <c r="X633" s="151">
        <v>41829</v>
      </c>
      <c r="Y633" s="134">
        <f t="shared" si="9"/>
        <v>6.1017600000000005</v>
      </c>
      <c r="AC633" s="134">
        <v>46.3</v>
      </c>
      <c r="AD633" s="151">
        <v>41838</v>
      </c>
      <c r="AE633" s="134">
        <v>47.67</v>
      </c>
      <c r="AF633" s="151">
        <v>41838</v>
      </c>
      <c r="AG633" s="197">
        <v>5</v>
      </c>
      <c r="AH633" s="151">
        <v>41843</v>
      </c>
      <c r="AI633" s="198">
        <v>5</v>
      </c>
      <c r="AJ633" s="151">
        <v>41778</v>
      </c>
      <c r="AK633" s="199">
        <v>5</v>
      </c>
      <c r="AL633" s="151">
        <v>41709</v>
      </c>
      <c r="BE633" s="200">
        <v>5</v>
      </c>
      <c r="BF633" s="201">
        <v>41555</v>
      </c>
      <c r="BG633" s="203">
        <v>-5.2</v>
      </c>
      <c r="BH633" s="151">
        <v>41842</v>
      </c>
      <c r="BM633" s="204">
        <v>68.099999999999994</v>
      </c>
      <c r="BN633" s="151">
        <v>41842</v>
      </c>
      <c r="BQ633" s="205">
        <v>9.1999999999999993</v>
      </c>
      <c r="BR633" s="151">
        <v>41842</v>
      </c>
      <c r="BS633" s="206">
        <v>47.3</v>
      </c>
      <c r="BT633" s="151">
        <v>41842</v>
      </c>
      <c r="BU633" s="207">
        <v>12.8</v>
      </c>
      <c r="BV633" s="151">
        <v>41842</v>
      </c>
      <c r="BW633" s="206">
        <v>16.8</v>
      </c>
      <c r="BX633" s="151">
        <v>41842</v>
      </c>
      <c r="BY633" s="210">
        <v>7.45</v>
      </c>
      <c r="BZ633" s="151">
        <v>41842</v>
      </c>
      <c r="CA633" s="206">
        <v>29.2</v>
      </c>
      <c r="CB633" s="151">
        <v>41842</v>
      </c>
      <c r="CC633" s="208">
        <v>6.3</v>
      </c>
      <c r="CD633" s="151">
        <v>41838</v>
      </c>
      <c r="CL633" s="209">
        <v>3</v>
      </c>
      <c r="CM633" s="201">
        <v>41810</v>
      </c>
    </row>
    <row r="634" spans="1:91" ht="15">
      <c r="A634" s="152" t="s">
        <v>8048</v>
      </c>
      <c r="B634" s="110" t="s">
        <v>233</v>
      </c>
      <c r="C634" s="110" t="s">
        <v>381</v>
      </c>
      <c r="D634" s="110">
        <v>11041</v>
      </c>
      <c r="E634" s="111">
        <v>3</v>
      </c>
      <c r="F634" s="111">
        <v>497</v>
      </c>
      <c r="K634" s="134">
        <v>5</v>
      </c>
      <c r="L634" s="151">
        <v>41701</v>
      </c>
      <c r="M634" s="169">
        <v>4.5</v>
      </c>
      <c r="N634" s="151">
        <v>41838</v>
      </c>
      <c r="Q634" s="497"/>
      <c r="S634" s="134">
        <v>16.41</v>
      </c>
      <c r="T634" s="151">
        <v>41842</v>
      </c>
      <c r="U634" s="134">
        <v>13.5</v>
      </c>
      <c r="V634" s="151">
        <v>41838</v>
      </c>
      <c r="W634" s="196">
        <v>9</v>
      </c>
      <c r="X634" s="151">
        <v>41829</v>
      </c>
      <c r="Y634" s="134">
        <f t="shared" si="9"/>
        <v>4.3929600000000004</v>
      </c>
      <c r="AC634" s="134">
        <v>33.33</v>
      </c>
      <c r="AD634" s="151">
        <v>41838</v>
      </c>
      <c r="AE634" s="134">
        <v>34.32</v>
      </c>
      <c r="AF634" s="151">
        <v>41838</v>
      </c>
      <c r="AG634" s="197">
        <v>4.5</v>
      </c>
      <c r="AH634" s="151">
        <v>41843</v>
      </c>
      <c r="AI634" s="198">
        <v>5</v>
      </c>
      <c r="AJ634" s="151">
        <v>41778</v>
      </c>
      <c r="AK634" s="199">
        <v>5</v>
      </c>
      <c r="AL634" s="151">
        <v>41709</v>
      </c>
      <c r="BE634" s="200">
        <v>5</v>
      </c>
      <c r="BF634" s="201">
        <v>41555</v>
      </c>
      <c r="BG634" s="203">
        <v>-2.1</v>
      </c>
      <c r="BH634" s="151">
        <v>41842</v>
      </c>
      <c r="BM634" s="204">
        <v>65</v>
      </c>
      <c r="BN634" s="151">
        <v>41842</v>
      </c>
      <c r="BQ634" s="205">
        <v>10.8</v>
      </c>
      <c r="BR634" s="151">
        <v>41842</v>
      </c>
      <c r="BS634" s="206">
        <v>47.8</v>
      </c>
      <c r="BT634" s="151">
        <v>41842</v>
      </c>
      <c r="BU634" s="207">
        <v>12.8</v>
      </c>
      <c r="BV634" s="151">
        <v>41842</v>
      </c>
      <c r="BW634" s="206">
        <v>7.8</v>
      </c>
      <c r="BX634" s="151">
        <v>41842</v>
      </c>
      <c r="BY634" s="210">
        <v>7.23</v>
      </c>
      <c r="BZ634" s="151">
        <v>41842</v>
      </c>
      <c r="CA634" s="206">
        <v>29.6</v>
      </c>
      <c r="CB634" s="151">
        <v>41842</v>
      </c>
      <c r="CC634" s="208">
        <v>6.3</v>
      </c>
      <c r="CD634" s="151">
        <v>41838</v>
      </c>
      <c r="CL634" s="209">
        <v>3</v>
      </c>
      <c r="CM634" s="201">
        <v>41810</v>
      </c>
    </row>
    <row r="635" spans="1:91" ht="15">
      <c r="A635" s="152" t="s">
        <v>8048</v>
      </c>
      <c r="B635" s="110" t="s">
        <v>235</v>
      </c>
      <c r="C635" s="110" t="s">
        <v>8082</v>
      </c>
      <c r="D635" s="110">
        <v>11526</v>
      </c>
      <c r="E635" s="111">
        <v>4</v>
      </c>
      <c r="F635" s="111">
        <v>713</v>
      </c>
      <c r="K635" s="134">
        <v>5</v>
      </c>
      <c r="L635" s="151">
        <v>41701</v>
      </c>
      <c r="M635" s="169">
        <v>5.15</v>
      </c>
      <c r="N635" s="151">
        <v>41838</v>
      </c>
      <c r="Q635" s="497"/>
      <c r="S635" s="134">
        <v>18.690000000000001</v>
      </c>
      <c r="T635" s="151">
        <v>41842</v>
      </c>
      <c r="U635" s="134">
        <v>13.5</v>
      </c>
      <c r="V635" s="151">
        <v>41838</v>
      </c>
      <c r="W635" s="196">
        <v>9</v>
      </c>
      <c r="X635" s="151">
        <v>41829</v>
      </c>
      <c r="Y635" s="134">
        <f t="shared" si="9"/>
        <v>5.4496200000000012</v>
      </c>
      <c r="AC635" s="134">
        <v>38.15</v>
      </c>
      <c r="AD635" s="151">
        <v>41838</v>
      </c>
      <c r="AE635" s="134">
        <v>39.49</v>
      </c>
      <c r="AF635" s="151">
        <v>41838</v>
      </c>
      <c r="AG635" s="197">
        <v>4.5</v>
      </c>
      <c r="AH635" s="151">
        <v>41843</v>
      </c>
      <c r="AI635" s="198">
        <v>5</v>
      </c>
      <c r="AJ635" s="151">
        <v>41778</v>
      </c>
      <c r="AK635" s="199">
        <v>7</v>
      </c>
      <c r="AL635" s="151">
        <v>41709</v>
      </c>
      <c r="BE635" s="200">
        <v>7</v>
      </c>
      <c r="BF635" s="201">
        <v>41555</v>
      </c>
      <c r="BG635" s="203">
        <v>-0.9</v>
      </c>
      <c r="BH635" s="151">
        <v>41842</v>
      </c>
      <c r="BM635" s="204">
        <v>64.599999999999994</v>
      </c>
      <c r="BN635" s="151">
        <v>41842</v>
      </c>
      <c r="BQ635" s="205">
        <v>10.7</v>
      </c>
      <c r="BR635" s="151">
        <v>41842</v>
      </c>
      <c r="BS635" s="206">
        <v>47.3</v>
      </c>
      <c r="BT635" s="151">
        <v>41842</v>
      </c>
      <c r="BU635" s="207">
        <v>13.8</v>
      </c>
      <c r="BV635" s="151">
        <v>41842</v>
      </c>
      <c r="BW635" s="206">
        <v>13.1</v>
      </c>
      <c r="BX635" s="151">
        <v>41842</v>
      </c>
      <c r="BY635" s="210">
        <v>7.58</v>
      </c>
      <c r="BZ635" s="151">
        <v>41842</v>
      </c>
      <c r="CA635" s="206">
        <v>31.7</v>
      </c>
      <c r="CB635" s="151">
        <v>41842</v>
      </c>
      <c r="CC635" s="208">
        <v>5.8</v>
      </c>
      <c r="CD635" s="151">
        <v>41838</v>
      </c>
      <c r="CL635" s="209">
        <v>3</v>
      </c>
      <c r="CM635" s="201">
        <v>41810</v>
      </c>
    </row>
    <row r="636" spans="1:91" ht="15">
      <c r="A636" s="152" t="s">
        <v>8048</v>
      </c>
      <c r="B636" s="110" t="s">
        <v>233</v>
      </c>
      <c r="C636" s="110" t="s">
        <v>8083</v>
      </c>
      <c r="D636" s="110">
        <v>11754</v>
      </c>
      <c r="E636" s="111">
        <v>10</v>
      </c>
      <c r="F636" s="111">
        <v>761</v>
      </c>
      <c r="K636" s="191">
        <v>3</v>
      </c>
      <c r="L636" s="151">
        <v>41701</v>
      </c>
      <c r="M636" s="169">
        <v>3.35</v>
      </c>
      <c r="N636" s="151">
        <v>41838</v>
      </c>
      <c r="Q636" s="497"/>
      <c r="S636" s="134">
        <v>12.3</v>
      </c>
      <c r="T636" s="151">
        <v>41842</v>
      </c>
      <c r="U636" s="134">
        <v>13.5</v>
      </c>
      <c r="V636" s="151">
        <v>41838</v>
      </c>
      <c r="W636" s="196">
        <v>9</v>
      </c>
      <c r="X636" s="151">
        <v>41829</v>
      </c>
      <c r="Y636" s="134">
        <f t="shared" si="9"/>
        <v>3.1582799999999995</v>
      </c>
      <c r="AC636" s="134">
        <v>24.81</v>
      </c>
      <c r="AD636" s="151">
        <v>41838</v>
      </c>
      <c r="AE636" s="134">
        <v>25.47</v>
      </c>
      <c r="AF636" s="151">
        <v>41838</v>
      </c>
      <c r="AG636" s="197">
        <v>4.5999999999999996</v>
      </c>
      <c r="AH636" s="151">
        <v>41843</v>
      </c>
      <c r="AI636" s="198">
        <v>3</v>
      </c>
      <c r="AJ636" s="151">
        <v>41778</v>
      </c>
      <c r="AK636" s="199">
        <v>4</v>
      </c>
      <c r="AL636" s="151">
        <v>41709</v>
      </c>
      <c r="BE636" s="200">
        <v>4</v>
      </c>
      <c r="BF636" s="201">
        <v>41555</v>
      </c>
      <c r="BG636" s="203">
        <v>-5.4</v>
      </c>
      <c r="BH636" s="151">
        <v>41842</v>
      </c>
      <c r="BM636" s="204">
        <v>65.5</v>
      </c>
      <c r="BN636" s="151">
        <v>41842</v>
      </c>
      <c r="BQ636" s="205">
        <v>11.1</v>
      </c>
      <c r="BR636" s="151">
        <v>41842</v>
      </c>
      <c r="BS636" s="206">
        <v>48.3</v>
      </c>
      <c r="BT636" s="151">
        <v>41842</v>
      </c>
      <c r="BU636" s="207">
        <v>12.4</v>
      </c>
      <c r="BV636" s="151">
        <v>41842</v>
      </c>
      <c r="BW636" s="206">
        <v>7.3</v>
      </c>
      <c r="BX636" s="151">
        <v>41842</v>
      </c>
      <c r="BY636" s="210">
        <v>6.92</v>
      </c>
      <c r="BZ636" s="151">
        <v>41842</v>
      </c>
      <c r="CA636" s="206">
        <v>29.1</v>
      </c>
      <c r="CB636" s="151">
        <v>41842</v>
      </c>
      <c r="CC636" s="208">
        <v>6.6</v>
      </c>
      <c r="CD636" s="151">
        <v>41838</v>
      </c>
      <c r="CL636" s="209">
        <v>3</v>
      </c>
      <c r="CM636" s="201">
        <v>41810</v>
      </c>
    </row>
    <row r="637" spans="1:91" ht="15">
      <c r="A637" s="152" t="s">
        <v>8048</v>
      </c>
      <c r="B637" s="110" t="s">
        <v>235</v>
      </c>
      <c r="C637" s="110" t="s">
        <v>8081</v>
      </c>
      <c r="D637" s="110">
        <v>11388</v>
      </c>
      <c r="E637" s="111">
        <v>12</v>
      </c>
      <c r="F637" s="111">
        <v>589</v>
      </c>
      <c r="K637" s="134">
        <v>5</v>
      </c>
      <c r="L637" s="151">
        <v>41701</v>
      </c>
      <c r="M637" s="169">
        <v>5.6</v>
      </c>
      <c r="N637" s="151">
        <v>41838</v>
      </c>
      <c r="Q637" s="497"/>
      <c r="S637" s="134">
        <v>20.170000000000002</v>
      </c>
      <c r="T637" s="151">
        <v>41842</v>
      </c>
      <c r="U637" s="134">
        <v>13.5</v>
      </c>
      <c r="V637" s="151">
        <v>41838</v>
      </c>
      <c r="W637" s="196">
        <v>1</v>
      </c>
      <c r="X637" s="151">
        <v>41829</v>
      </c>
      <c r="Y637" s="134">
        <f t="shared" si="9"/>
        <v>5.6185900000000002</v>
      </c>
      <c r="AC637" s="134">
        <v>41.48</v>
      </c>
      <c r="AD637" s="151">
        <v>41838</v>
      </c>
      <c r="AE637" s="134">
        <v>42.89</v>
      </c>
      <c r="AF637" s="151">
        <v>41838</v>
      </c>
      <c r="AG637" s="197">
        <v>4.4000000000000004</v>
      </c>
      <c r="AH637" s="151">
        <v>41843</v>
      </c>
      <c r="AI637" s="198">
        <v>5</v>
      </c>
      <c r="AJ637" s="151">
        <v>41778</v>
      </c>
      <c r="AK637" s="199">
        <v>5</v>
      </c>
      <c r="AL637" s="151">
        <v>41709</v>
      </c>
      <c r="BE637" s="200">
        <v>5</v>
      </c>
      <c r="BF637" s="201">
        <v>41555</v>
      </c>
      <c r="BG637" s="203">
        <v>-4.0999999999999996</v>
      </c>
      <c r="BH637" s="151">
        <v>41842</v>
      </c>
      <c r="BM637" s="204">
        <v>63.7</v>
      </c>
      <c r="BN637" s="151">
        <v>41842</v>
      </c>
      <c r="BQ637" s="205">
        <v>10.7</v>
      </c>
      <c r="BR637" s="151">
        <v>41842</v>
      </c>
      <c r="BS637" s="206">
        <v>47</v>
      </c>
      <c r="BT637" s="151">
        <v>41842</v>
      </c>
      <c r="BU637" s="207">
        <v>13.1</v>
      </c>
      <c r="BV637" s="151">
        <v>41842</v>
      </c>
      <c r="BW637" s="206">
        <v>8.8000000000000007</v>
      </c>
      <c r="BX637" s="151">
        <v>41842</v>
      </c>
      <c r="BY637" s="210">
        <v>7.05</v>
      </c>
      <c r="BZ637" s="151">
        <v>41842</v>
      </c>
      <c r="CA637" s="206">
        <v>29.7</v>
      </c>
      <c r="CB637" s="151">
        <v>41842</v>
      </c>
      <c r="CC637" s="208">
        <v>5.9</v>
      </c>
      <c r="CD637" s="151">
        <v>41838</v>
      </c>
      <c r="CL637" s="209">
        <v>3</v>
      </c>
      <c r="CM637" s="201">
        <v>41810</v>
      </c>
    </row>
    <row r="638" spans="1:91" ht="15">
      <c r="A638" s="152" t="s">
        <v>8049</v>
      </c>
      <c r="B638" s="110" t="s">
        <v>235</v>
      </c>
      <c r="C638" s="110" t="s">
        <v>8082</v>
      </c>
      <c r="D638" s="110">
        <v>11427</v>
      </c>
      <c r="E638" s="111">
        <v>1</v>
      </c>
      <c r="F638" s="111">
        <v>749</v>
      </c>
      <c r="I638" s="373"/>
      <c r="K638" s="194">
        <v>5</v>
      </c>
      <c r="L638" s="151">
        <v>41701</v>
      </c>
      <c r="M638" s="169">
        <v>5.2</v>
      </c>
      <c r="N638" s="151">
        <v>41838</v>
      </c>
      <c r="Q638" s="497"/>
      <c r="S638" s="134">
        <v>18.89</v>
      </c>
      <c r="T638" s="151">
        <v>41842</v>
      </c>
      <c r="U638" s="194">
        <v>13.5</v>
      </c>
      <c r="V638" s="151">
        <v>41838</v>
      </c>
      <c r="W638" s="196">
        <v>1</v>
      </c>
      <c r="X638" s="151">
        <v>41829</v>
      </c>
      <c r="Y638" s="134">
        <f t="shared" si="9"/>
        <v>5.0598400000000003</v>
      </c>
      <c r="AA638" s="194"/>
      <c r="AC638" s="194">
        <v>38.520000000000003</v>
      </c>
      <c r="AD638" s="151">
        <v>41838</v>
      </c>
      <c r="AE638" s="137">
        <v>39.53</v>
      </c>
      <c r="AF638" s="151">
        <v>41838</v>
      </c>
      <c r="AG638" s="197">
        <v>4.4000000000000004</v>
      </c>
      <c r="AH638" s="151">
        <v>41843</v>
      </c>
      <c r="AI638" s="198">
        <v>5</v>
      </c>
      <c r="AJ638" s="151">
        <v>41778</v>
      </c>
      <c r="AK638" s="199">
        <v>5</v>
      </c>
      <c r="AL638" s="151">
        <v>41709</v>
      </c>
      <c r="AM638" s="194"/>
      <c r="BE638" s="200">
        <v>5</v>
      </c>
      <c r="BF638" s="201">
        <v>41555</v>
      </c>
      <c r="BG638" s="203">
        <v>-3.6</v>
      </c>
      <c r="BH638" s="151">
        <v>41842</v>
      </c>
      <c r="BM638" s="204">
        <v>66.3</v>
      </c>
      <c r="BN638" s="151">
        <v>41842</v>
      </c>
      <c r="BQ638" s="205">
        <v>10.1</v>
      </c>
      <c r="BR638" s="151">
        <v>41842</v>
      </c>
      <c r="BS638" s="206">
        <v>47.8</v>
      </c>
      <c r="BT638" s="151">
        <v>41842</v>
      </c>
      <c r="BU638" s="207">
        <v>12.8</v>
      </c>
      <c r="BV638" s="151">
        <v>41842</v>
      </c>
      <c r="BW638" s="206">
        <v>8.6999999999999993</v>
      </c>
      <c r="BX638" s="151">
        <v>41842</v>
      </c>
      <c r="BY638" s="210">
        <v>7.46</v>
      </c>
      <c r="BZ638" s="151">
        <v>41842</v>
      </c>
      <c r="CA638" s="206">
        <v>29.6</v>
      </c>
      <c r="CB638" s="151">
        <v>41842</v>
      </c>
      <c r="CC638" s="208">
        <v>6.6</v>
      </c>
      <c r="CD638" s="151">
        <v>41838</v>
      </c>
      <c r="CL638" s="209">
        <v>3</v>
      </c>
      <c r="CM638" s="201">
        <v>41810</v>
      </c>
    </row>
    <row r="639" spans="1:91" ht="15">
      <c r="A639" s="152" t="s">
        <v>8049</v>
      </c>
      <c r="B639" s="110" t="s">
        <v>233</v>
      </c>
      <c r="C639" s="110" t="s">
        <v>381</v>
      </c>
      <c r="D639" s="110">
        <v>11151</v>
      </c>
      <c r="E639" s="111">
        <v>6</v>
      </c>
      <c r="F639" s="111">
        <v>505</v>
      </c>
      <c r="K639" s="134">
        <v>5</v>
      </c>
      <c r="L639" s="151">
        <v>41701</v>
      </c>
      <c r="M639" s="169">
        <v>3.55</v>
      </c>
      <c r="N639" s="151">
        <v>41838</v>
      </c>
      <c r="Q639" s="497"/>
      <c r="S639" s="134">
        <v>12.99</v>
      </c>
      <c r="T639" s="151">
        <v>41842</v>
      </c>
      <c r="U639" s="134">
        <v>13.5</v>
      </c>
      <c r="V639" s="151">
        <v>41838</v>
      </c>
      <c r="W639" s="196">
        <v>1</v>
      </c>
      <c r="X639" s="151">
        <v>41829</v>
      </c>
      <c r="Y639" s="134">
        <f t="shared" si="9"/>
        <v>3.57368</v>
      </c>
      <c r="AC639" s="134">
        <v>26.3</v>
      </c>
      <c r="AD639" s="151">
        <v>41838</v>
      </c>
      <c r="AE639" s="134">
        <v>27.28</v>
      </c>
      <c r="AF639" s="151">
        <v>41838</v>
      </c>
      <c r="AG639" s="197">
        <v>4.5999999999999996</v>
      </c>
      <c r="AH639" s="151">
        <v>41843</v>
      </c>
      <c r="AI639" s="198">
        <v>5</v>
      </c>
      <c r="AJ639" s="151">
        <v>41778</v>
      </c>
      <c r="AK639" s="199">
        <v>5</v>
      </c>
      <c r="AL639" s="151">
        <v>41709</v>
      </c>
      <c r="BE639" s="200">
        <v>5</v>
      </c>
      <c r="BF639" s="201">
        <v>41555</v>
      </c>
      <c r="BG639" s="203">
        <v>0.4</v>
      </c>
      <c r="BH639" s="151">
        <v>41842</v>
      </c>
      <c r="BM639" s="204">
        <v>67.2</v>
      </c>
      <c r="BN639" s="151">
        <v>41842</v>
      </c>
      <c r="BQ639" s="205">
        <v>10</v>
      </c>
      <c r="BR639" s="151">
        <v>41842</v>
      </c>
      <c r="BS639" s="206">
        <v>47.6</v>
      </c>
      <c r="BT639" s="151">
        <v>41842</v>
      </c>
      <c r="BU639" s="207">
        <v>13.1</v>
      </c>
      <c r="BV639" s="151">
        <v>41842</v>
      </c>
      <c r="BW639" s="206">
        <v>10</v>
      </c>
      <c r="BX639" s="151">
        <v>41842</v>
      </c>
      <c r="BY639" s="210">
        <v>7.48</v>
      </c>
      <c r="BZ639" s="151">
        <v>41842</v>
      </c>
      <c r="CA639" s="206">
        <v>30.2</v>
      </c>
      <c r="CB639" s="151">
        <v>41842</v>
      </c>
      <c r="CC639" s="208">
        <v>5.6</v>
      </c>
      <c r="CD639" s="151">
        <v>41838</v>
      </c>
      <c r="CL639" s="209">
        <v>3</v>
      </c>
      <c r="CM639" s="201">
        <v>41810</v>
      </c>
    </row>
    <row r="640" spans="1:91" ht="15">
      <c r="A640" s="152" t="s">
        <v>8049</v>
      </c>
      <c r="B640" s="110" t="s">
        <v>233</v>
      </c>
      <c r="C640" s="110" t="s">
        <v>8083</v>
      </c>
      <c r="D640" s="110">
        <v>11670</v>
      </c>
      <c r="E640" s="111">
        <v>8</v>
      </c>
      <c r="F640" s="111">
        <v>713</v>
      </c>
      <c r="K640" s="134">
        <v>5</v>
      </c>
      <c r="L640" s="151">
        <v>41701</v>
      </c>
      <c r="M640" s="169">
        <v>3.75</v>
      </c>
      <c r="N640" s="151">
        <v>41838</v>
      </c>
      <c r="Q640" s="497"/>
      <c r="S640" s="134">
        <v>13.89</v>
      </c>
      <c r="T640" s="151">
        <v>41842</v>
      </c>
      <c r="U640" s="134">
        <v>13.5</v>
      </c>
      <c r="V640" s="151">
        <v>41838</v>
      </c>
      <c r="W640" s="196">
        <v>9</v>
      </c>
      <c r="X640" s="151">
        <v>41829</v>
      </c>
      <c r="Y640" s="134">
        <f t="shared" si="9"/>
        <v>3.6677599999999995</v>
      </c>
      <c r="AC640" s="134">
        <v>27.78</v>
      </c>
      <c r="AD640" s="151">
        <v>41838</v>
      </c>
      <c r="AE640" s="134">
        <v>28.88</v>
      </c>
      <c r="AF640" s="151">
        <v>41838</v>
      </c>
      <c r="AG640" s="197">
        <v>4.5</v>
      </c>
      <c r="AH640" s="151">
        <v>41843</v>
      </c>
      <c r="AI640" s="198">
        <v>5</v>
      </c>
      <c r="AJ640" s="151">
        <v>41778</v>
      </c>
      <c r="AK640" s="199">
        <v>5</v>
      </c>
      <c r="AL640" s="151">
        <v>41709</v>
      </c>
      <c r="BE640" s="200">
        <v>5</v>
      </c>
      <c r="BF640" s="201">
        <v>41555</v>
      </c>
      <c r="BG640" s="203">
        <v>-2.5</v>
      </c>
      <c r="BH640" s="151">
        <v>41842</v>
      </c>
      <c r="BM640" s="204">
        <v>67</v>
      </c>
      <c r="BN640" s="151">
        <v>41842</v>
      </c>
      <c r="BQ640" s="205">
        <v>9.8000000000000007</v>
      </c>
      <c r="BR640" s="151">
        <v>41842</v>
      </c>
      <c r="BS640" s="206">
        <v>48.1</v>
      </c>
      <c r="BT640" s="151">
        <v>41842</v>
      </c>
      <c r="BU640" s="207">
        <v>12.7</v>
      </c>
      <c r="BV640" s="151">
        <v>41842</v>
      </c>
      <c r="BW640" s="206">
        <v>9</v>
      </c>
      <c r="BX640" s="151">
        <v>41842</v>
      </c>
      <c r="BY640" s="210">
        <v>7.27</v>
      </c>
      <c r="BZ640" s="151">
        <v>41842</v>
      </c>
      <c r="CA640" s="206">
        <v>29.6</v>
      </c>
      <c r="CB640" s="151">
        <v>41842</v>
      </c>
      <c r="CC640" s="208">
        <v>5.4</v>
      </c>
      <c r="CD640" s="151">
        <v>41838</v>
      </c>
      <c r="CL640" s="209">
        <v>3</v>
      </c>
      <c r="CM640" s="201">
        <v>41810</v>
      </c>
    </row>
    <row r="641" spans="1:91" ht="15">
      <c r="A641" s="152" t="s">
        <v>8049</v>
      </c>
      <c r="B641" s="110" t="s">
        <v>235</v>
      </c>
      <c r="C641" s="110" t="s">
        <v>8081</v>
      </c>
      <c r="D641" s="110">
        <v>11343</v>
      </c>
      <c r="E641" s="111">
        <v>11</v>
      </c>
      <c r="F641" s="111">
        <v>553</v>
      </c>
      <c r="K641" s="134">
        <v>5</v>
      </c>
      <c r="L641" s="151">
        <v>41701</v>
      </c>
      <c r="M641" s="169">
        <v>5.7</v>
      </c>
      <c r="N641" s="151">
        <v>41838</v>
      </c>
      <c r="Q641" s="497"/>
      <c r="S641" s="134">
        <v>20.74</v>
      </c>
      <c r="T641" s="151">
        <v>41842</v>
      </c>
      <c r="U641" s="134">
        <v>13.5</v>
      </c>
      <c r="V641" s="151">
        <v>41838</v>
      </c>
      <c r="W641" s="196">
        <v>9</v>
      </c>
      <c r="X641" s="151">
        <v>41829</v>
      </c>
      <c r="Y641" s="134">
        <f t="shared" si="9"/>
        <v>6.1828499999999993</v>
      </c>
      <c r="AC641" s="134">
        <v>42.22</v>
      </c>
      <c r="AD641" s="151">
        <v>41838</v>
      </c>
      <c r="AE641" s="134">
        <v>43.85</v>
      </c>
      <c r="AF641" s="151">
        <v>41838</v>
      </c>
      <c r="AG641" s="197">
        <v>4.4000000000000004</v>
      </c>
      <c r="AH641" s="151">
        <v>41843</v>
      </c>
      <c r="AI641" s="198">
        <v>7</v>
      </c>
      <c r="AJ641" s="151">
        <v>41778</v>
      </c>
      <c r="AK641" s="199">
        <v>4</v>
      </c>
      <c r="AL641" s="151">
        <v>41709</v>
      </c>
      <c r="BE641" s="200">
        <v>4</v>
      </c>
      <c r="BF641" s="201">
        <v>41555</v>
      </c>
      <c r="BG641" s="203">
        <v>-0.9</v>
      </c>
      <c r="BH641" s="151">
        <v>41842</v>
      </c>
      <c r="BM641" s="204">
        <v>65.2</v>
      </c>
      <c r="BN641" s="151">
        <v>41842</v>
      </c>
      <c r="BQ641" s="205">
        <v>9.8000000000000007</v>
      </c>
      <c r="BR641" s="151">
        <v>41842</v>
      </c>
      <c r="BS641" s="206">
        <v>47.3</v>
      </c>
      <c r="BT641" s="151">
        <v>41842</v>
      </c>
      <c r="BU641" s="207">
        <v>14.1</v>
      </c>
      <c r="BV641" s="151">
        <v>41842</v>
      </c>
      <c r="BW641" s="206">
        <v>8.3000000000000007</v>
      </c>
      <c r="BX641" s="151">
        <v>41842</v>
      </c>
      <c r="BY641" s="210">
        <v>7.08</v>
      </c>
      <c r="BZ641" s="151">
        <v>41842</v>
      </c>
      <c r="CA641" s="206">
        <v>32.200000000000003</v>
      </c>
      <c r="CB641" s="151">
        <v>41842</v>
      </c>
      <c r="CC641" s="208">
        <v>5.5</v>
      </c>
      <c r="CD641" s="151">
        <v>41838</v>
      </c>
      <c r="CL641" s="209">
        <v>3</v>
      </c>
      <c r="CM641" s="201">
        <v>41810</v>
      </c>
    </row>
    <row r="642" spans="1:91" ht="15">
      <c r="A642" s="152" t="s">
        <v>8050</v>
      </c>
      <c r="B642" s="110" t="s">
        <v>235</v>
      </c>
      <c r="C642" s="110" t="s">
        <v>8082</v>
      </c>
      <c r="D642" s="110">
        <v>11473</v>
      </c>
      <c r="E642" s="111">
        <v>3</v>
      </c>
      <c r="F642" s="111">
        <v>645</v>
      </c>
      <c r="K642" s="194">
        <v>7</v>
      </c>
      <c r="L642" s="151">
        <v>41701</v>
      </c>
      <c r="M642" s="169"/>
      <c r="N642" s="151">
        <v>41838</v>
      </c>
      <c r="Q642" s="497"/>
      <c r="T642" s="151">
        <v>41842</v>
      </c>
      <c r="U642" s="134">
        <v>13.5</v>
      </c>
      <c r="V642" s="151">
        <v>41838</v>
      </c>
      <c r="W642" s="196">
        <v>9</v>
      </c>
      <c r="X642" s="151">
        <v>41829</v>
      </c>
      <c r="Y642" s="134">
        <f t="shared" si="9"/>
        <v>0</v>
      </c>
      <c r="AD642" s="151">
        <v>41838</v>
      </c>
      <c r="AF642" s="151">
        <v>41838</v>
      </c>
      <c r="AG642" s="197"/>
      <c r="AH642" s="151">
        <v>41843</v>
      </c>
      <c r="AI642" s="198">
        <v>7</v>
      </c>
      <c r="AJ642" s="151">
        <v>41778</v>
      </c>
      <c r="AK642" s="199">
        <v>5</v>
      </c>
      <c r="AL642" s="151">
        <v>41709</v>
      </c>
      <c r="BE642" s="200">
        <v>5</v>
      </c>
      <c r="BF642" s="201">
        <v>41555</v>
      </c>
      <c r="BG642" s="203"/>
      <c r="BH642" s="151">
        <v>41842</v>
      </c>
      <c r="BM642" s="204"/>
      <c r="BN642" s="151">
        <v>41842</v>
      </c>
      <c r="BQ642" s="205"/>
      <c r="BR642" s="151">
        <v>41842</v>
      </c>
      <c r="BS642" s="206"/>
      <c r="BT642" s="151">
        <v>41842</v>
      </c>
      <c r="BU642" s="207"/>
      <c r="BV642" s="151">
        <v>41842</v>
      </c>
      <c r="BW642" s="206"/>
      <c r="BX642" s="151">
        <v>41842</v>
      </c>
      <c r="BY642" s="210"/>
      <c r="BZ642" s="151">
        <v>41842</v>
      </c>
      <c r="CA642" s="206"/>
      <c r="CB642" s="151">
        <v>41842</v>
      </c>
      <c r="CC642" s="208"/>
      <c r="CD642" s="151">
        <v>41838</v>
      </c>
      <c r="CL642" s="209">
        <v>5</v>
      </c>
      <c r="CM642" s="201">
        <v>41810</v>
      </c>
    </row>
    <row r="643" spans="1:91" ht="15">
      <c r="A643" s="152" t="s">
        <v>8050</v>
      </c>
      <c r="B643" s="110" t="s">
        <v>233</v>
      </c>
      <c r="C643" s="110" t="s">
        <v>381</v>
      </c>
      <c r="D643" s="110">
        <v>11114</v>
      </c>
      <c r="E643" s="111">
        <v>5</v>
      </c>
      <c r="F643" s="111">
        <v>501</v>
      </c>
      <c r="K643" s="134">
        <v>5</v>
      </c>
      <c r="L643" s="151">
        <v>41701</v>
      </c>
      <c r="M643" s="169">
        <v>4.8499999999999996</v>
      </c>
      <c r="N643" s="151">
        <v>41838</v>
      </c>
      <c r="Q643" s="497"/>
      <c r="S643" s="134">
        <v>17.39</v>
      </c>
      <c r="T643" s="151">
        <v>41842</v>
      </c>
      <c r="U643" s="134">
        <v>13.5</v>
      </c>
      <c r="V643" s="151">
        <v>41838</v>
      </c>
      <c r="W643" s="196">
        <v>9</v>
      </c>
      <c r="X643" s="151">
        <v>41829</v>
      </c>
      <c r="Y643" s="134">
        <f t="shared" ref="Y643:Y706" si="10">(AE643*BU643)/100</f>
        <v>5.0197599999999998</v>
      </c>
      <c r="AC643" s="134">
        <v>35.93</v>
      </c>
      <c r="AD643" s="151">
        <v>41838</v>
      </c>
      <c r="AE643" s="134">
        <v>36.909999999999997</v>
      </c>
      <c r="AF643" s="151">
        <v>41838</v>
      </c>
      <c r="AG643" s="197">
        <v>5.3</v>
      </c>
      <c r="AH643" s="151">
        <v>41843</v>
      </c>
      <c r="AI643" s="198">
        <v>5</v>
      </c>
      <c r="AJ643" s="151">
        <v>41778</v>
      </c>
      <c r="AK643" s="199">
        <v>5</v>
      </c>
      <c r="AL643" s="151">
        <v>41709</v>
      </c>
      <c r="BE643" s="200">
        <v>5</v>
      </c>
      <c r="BF643" s="201">
        <v>41555</v>
      </c>
      <c r="BG643" s="203">
        <v>-4.5999999999999996</v>
      </c>
      <c r="BH643" s="151">
        <v>41842</v>
      </c>
      <c r="BM643" s="204">
        <v>64.900000000000006</v>
      </c>
      <c r="BN643" s="151">
        <v>41842</v>
      </c>
      <c r="BQ643" s="205">
        <v>10</v>
      </c>
      <c r="BR643" s="151">
        <v>41842</v>
      </c>
      <c r="BS643" s="206">
        <v>47.1</v>
      </c>
      <c r="BT643" s="151">
        <v>41842</v>
      </c>
      <c r="BU643" s="207">
        <v>13.6</v>
      </c>
      <c r="BV643" s="151">
        <v>41842</v>
      </c>
      <c r="BW643" s="206">
        <v>9</v>
      </c>
      <c r="BX643" s="151">
        <v>41842</v>
      </c>
      <c r="BY643" s="210">
        <v>7.3</v>
      </c>
      <c r="BZ643" s="151">
        <v>41842</v>
      </c>
      <c r="CA643" s="206">
        <v>30.9</v>
      </c>
      <c r="CB643" s="151">
        <v>41842</v>
      </c>
      <c r="CC643" s="208">
        <v>6.5</v>
      </c>
      <c r="CD643" s="151">
        <v>41838</v>
      </c>
      <c r="CL643" s="209">
        <v>3</v>
      </c>
      <c r="CM643" s="201">
        <v>41810</v>
      </c>
    </row>
    <row r="644" spans="1:91" ht="15">
      <c r="A644" s="152" t="s">
        <v>8050</v>
      </c>
      <c r="B644" s="110" t="s">
        <v>235</v>
      </c>
      <c r="C644" s="110" t="s">
        <v>8081</v>
      </c>
      <c r="D644" s="110">
        <v>11318</v>
      </c>
      <c r="E644" s="111">
        <v>10</v>
      </c>
      <c r="F644" s="111">
        <v>597</v>
      </c>
      <c r="K644" s="134">
        <v>5</v>
      </c>
      <c r="L644" s="151">
        <v>41701</v>
      </c>
      <c r="M644" s="169">
        <v>6.05</v>
      </c>
      <c r="N644" s="151">
        <v>41838</v>
      </c>
      <c r="Q644" s="497"/>
      <c r="S644" s="134">
        <v>21.67</v>
      </c>
      <c r="T644" s="151">
        <v>41842</v>
      </c>
      <c r="U644" s="134">
        <v>13.5</v>
      </c>
      <c r="V644" s="151">
        <v>41838</v>
      </c>
      <c r="W644" s="196">
        <v>9</v>
      </c>
      <c r="X644" s="151">
        <v>41829</v>
      </c>
      <c r="Y644" s="134">
        <f t="shared" si="10"/>
        <v>6.1827600000000009</v>
      </c>
      <c r="AC644" s="134">
        <v>44.81</v>
      </c>
      <c r="AD644" s="151">
        <v>41838</v>
      </c>
      <c r="AE644" s="134">
        <v>46.14</v>
      </c>
      <c r="AF644" s="151">
        <v>41838</v>
      </c>
      <c r="AG644" s="197">
        <v>4.9000000000000004</v>
      </c>
      <c r="AH644" s="151">
        <v>41843</v>
      </c>
      <c r="AI644" s="198">
        <v>7</v>
      </c>
      <c r="AJ644" s="151">
        <v>41778</v>
      </c>
      <c r="AK644" s="199">
        <v>5</v>
      </c>
      <c r="AL644" s="151">
        <v>41709</v>
      </c>
      <c r="BE644" s="200">
        <v>5</v>
      </c>
      <c r="BF644" s="201">
        <v>41555</v>
      </c>
      <c r="BG644" s="203">
        <v>-2.7</v>
      </c>
      <c r="BH644" s="151">
        <v>41842</v>
      </c>
      <c r="BM644" s="204">
        <v>65</v>
      </c>
      <c r="BN644" s="151">
        <v>41842</v>
      </c>
      <c r="BQ644" s="205">
        <v>10.5</v>
      </c>
      <c r="BR644" s="151">
        <v>41842</v>
      </c>
      <c r="BS644" s="206">
        <v>47</v>
      </c>
      <c r="BT644" s="151">
        <v>41842</v>
      </c>
      <c r="BU644" s="207">
        <v>13.4</v>
      </c>
      <c r="BV644" s="151">
        <v>41842</v>
      </c>
      <c r="BW644" s="206">
        <v>11</v>
      </c>
      <c r="BX644" s="151">
        <v>41842</v>
      </c>
      <c r="BY644" s="210">
        <v>7.22</v>
      </c>
      <c r="BZ644" s="151">
        <v>41842</v>
      </c>
      <c r="CA644" s="206">
        <v>30.4</v>
      </c>
      <c r="CB644" s="151">
        <v>41842</v>
      </c>
      <c r="CC644" s="208">
        <v>6.3</v>
      </c>
      <c r="CD644" s="151">
        <v>41838</v>
      </c>
      <c r="CL644" s="209">
        <v>3</v>
      </c>
      <c r="CM644" s="201">
        <v>41810</v>
      </c>
    </row>
    <row r="645" spans="1:91" ht="15">
      <c r="A645" s="152" t="s">
        <v>8050</v>
      </c>
      <c r="B645" s="110" t="s">
        <v>233</v>
      </c>
      <c r="C645" s="110" t="s">
        <v>8083</v>
      </c>
      <c r="D645" s="110">
        <v>11809</v>
      </c>
      <c r="E645" s="111">
        <v>12</v>
      </c>
      <c r="F645" s="111">
        <v>693</v>
      </c>
      <c r="K645" s="191">
        <v>3</v>
      </c>
      <c r="L645" s="151">
        <v>41701</v>
      </c>
      <c r="M645" s="169">
        <v>4.3499999999999996</v>
      </c>
      <c r="N645" s="151">
        <v>41838</v>
      </c>
      <c r="Q645" s="497"/>
      <c r="S645" s="134">
        <v>15.47</v>
      </c>
      <c r="T645" s="151">
        <v>41842</v>
      </c>
      <c r="U645" s="134">
        <v>13.5</v>
      </c>
      <c r="V645" s="151">
        <v>41838</v>
      </c>
      <c r="W645" s="196">
        <v>9</v>
      </c>
      <c r="X645" s="151">
        <v>41829</v>
      </c>
      <c r="Y645" s="134">
        <f t="shared" si="10"/>
        <v>4.7314400000000001</v>
      </c>
      <c r="AC645" s="134">
        <v>32.22</v>
      </c>
      <c r="AD645" s="151">
        <v>41838</v>
      </c>
      <c r="AE645" s="134">
        <v>33.32</v>
      </c>
      <c r="AF645" s="151">
        <v>41838</v>
      </c>
      <c r="AG645" s="197">
        <v>5.3</v>
      </c>
      <c r="AH645" s="151">
        <v>41843</v>
      </c>
      <c r="AI645" s="198">
        <v>5</v>
      </c>
      <c r="AJ645" s="151">
        <v>41778</v>
      </c>
      <c r="AK645" s="199">
        <v>7</v>
      </c>
      <c r="AL645" s="151">
        <v>41709</v>
      </c>
      <c r="BE645" s="200">
        <v>7</v>
      </c>
      <c r="BF645" s="201">
        <v>41555</v>
      </c>
      <c r="BG645" s="203">
        <v>-4.3</v>
      </c>
      <c r="BH645" s="151">
        <v>41842</v>
      </c>
      <c r="BM645" s="204">
        <v>65</v>
      </c>
      <c r="BN645" s="151">
        <v>41842</v>
      </c>
      <c r="BQ645" s="205">
        <v>10.8</v>
      </c>
      <c r="BR645" s="151">
        <v>41842</v>
      </c>
      <c r="BS645" s="206">
        <v>46.4</v>
      </c>
      <c r="BT645" s="151">
        <v>41842</v>
      </c>
      <c r="BU645" s="207">
        <v>14.2</v>
      </c>
      <c r="BV645" s="151">
        <v>41842</v>
      </c>
      <c r="BW645" s="206">
        <v>8.6999999999999993</v>
      </c>
      <c r="BX645" s="151">
        <v>41842</v>
      </c>
      <c r="BY645" s="210">
        <v>7.28</v>
      </c>
      <c r="BZ645" s="151">
        <v>41842</v>
      </c>
      <c r="CA645" s="206">
        <v>31.8</v>
      </c>
      <c r="CB645" s="151">
        <v>41842</v>
      </c>
      <c r="CC645" s="208">
        <v>5.9</v>
      </c>
      <c r="CD645" s="151">
        <v>41838</v>
      </c>
      <c r="CL645" s="209">
        <v>3</v>
      </c>
      <c r="CM645" s="201">
        <v>41810</v>
      </c>
    </row>
    <row r="646" spans="1:91" ht="15">
      <c r="A646" s="152" t="s">
        <v>8051</v>
      </c>
      <c r="B646" s="110" t="s">
        <v>235</v>
      </c>
      <c r="C646" s="110" t="s">
        <v>8082</v>
      </c>
      <c r="D646" s="110">
        <v>11431</v>
      </c>
      <c r="E646" s="111">
        <v>1</v>
      </c>
      <c r="F646" s="111">
        <v>765</v>
      </c>
      <c r="I646" s="373"/>
      <c r="K646" s="194">
        <v>7</v>
      </c>
      <c r="L646" s="151">
        <v>41701</v>
      </c>
      <c r="M646" s="169">
        <v>5.8</v>
      </c>
      <c r="N646" s="151">
        <v>41838</v>
      </c>
      <c r="Q646" s="497"/>
      <c r="S646" s="134">
        <v>20.38</v>
      </c>
      <c r="T646" s="151">
        <v>41842</v>
      </c>
      <c r="U646" s="194">
        <v>13.5</v>
      </c>
      <c r="V646" s="151">
        <v>41838</v>
      </c>
      <c r="W646" s="196">
        <v>1</v>
      </c>
      <c r="X646" s="151">
        <v>41829</v>
      </c>
      <c r="Y646" s="134">
        <f t="shared" si="10"/>
        <v>6.2434799999999999</v>
      </c>
      <c r="AA646" s="194"/>
      <c r="AC646" s="194">
        <v>42.96</v>
      </c>
      <c r="AD646" s="151">
        <v>41838</v>
      </c>
      <c r="AE646" s="137">
        <v>44.28</v>
      </c>
      <c r="AF646" s="151">
        <v>41838</v>
      </c>
      <c r="AG646" s="197">
        <v>4.5</v>
      </c>
      <c r="AH646" s="151">
        <v>41843</v>
      </c>
      <c r="AI646" s="198">
        <v>5</v>
      </c>
      <c r="AJ646" s="151">
        <v>41778</v>
      </c>
      <c r="AK646" s="199">
        <v>7</v>
      </c>
      <c r="AL646" s="151">
        <v>41709</v>
      </c>
      <c r="AM646" s="194"/>
      <c r="BE646" s="200">
        <v>7</v>
      </c>
      <c r="BF646" s="201">
        <v>41555</v>
      </c>
      <c r="BG646" s="203">
        <v>-4.0999999999999996</v>
      </c>
      <c r="BH646" s="151">
        <v>41842</v>
      </c>
      <c r="BM646" s="204">
        <v>62.9</v>
      </c>
      <c r="BN646" s="151">
        <v>41842</v>
      </c>
      <c r="BQ646" s="205">
        <v>11.7</v>
      </c>
      <c r="BR646" s="151">
        <v>41842</v>
      </c>
      <c r="BS646" s="206">
        <v>46</v>
      </c>
      <c r="BT646" s="151">
        <v>41842</v>
      </c>
      <c r="BU646" s="207">
        <v>14.1</v>
      </c>
      <c r="BV646" s="151">
        <v>41842</v>
      </c>
      <c r="BW646" s="206">
        <v>18.8</v>
      </c>
      <c r="BX646" s="151">
        <v>41842</v>
      </c>
      <c r="BY646" s="210">
        <v>7.19</v>
      </c>
      <c r="BZ646" s="151">
        <v>41842</v>
      </c>
      <c r="CA646" s="206">
        <v>31.3</v>
      </c>
      <c r="CB646" s="151">
        <v>41842</v>
      </c>
      <c r="CC646" s="208">
        <v>6.2</v>
      </c>
      <c r="CD646" s="151">
        <v>41838</v>
      </c>
      <c r="CL646" s="209">
        <v>3</v>
      </c>
      <c r="CM646" s="201">
        <v>41810</v>
      </c>
    </row>
    <row r="647" spans="1:91" ht="15">
      <c r="A647" s="152" t="s">
        <v>8051</v>
      </c>
      <c r="B647" s="110" t="s">
        <v>233</v>
      </c>
      <c r="C647" s="110" t="s">
        <v>381</v>
      </c>
      <c r="D647" s="110">
        <v>11124</v>
      </c>
      <c r="E647" s="111">
        <v>5</v>
      </c>
      <c r="F647" s="111">
        <v>541</v>
      </c>
      <c r="K647" s="134">
        <v>5</v>
      </c>
      <c r="L647" s="151">
        <v>41701</v>
      </c>
      <c r="M647" s="169">
        <v>4</v>
      </c>
      <c r="N647" s="151">
        <v>41838</v>
      </c>
      <c r="Q647" s="497"/>
      <c r="S647" s="134">
        <v>14.65</v>
      </c>
      <c r="T647" s="151">
        <v>41842</v>
      </c>
      <c r="U647" s="134">
        <v>13.5</v>
      </c>
      <c r="V647" s="151">
        <v>41838</v>
      </c>
      <c r="W647" s="196">
        <v>9</v>
      </c>
      <c r="X647" s="151">
        <v>41829</v>
      </c>
      <c r="Y647" s="134">
        <f t="shared" si="10"/>
        <v>3.7146999999999997</v>
      </c>
      <c r="AC647" s="134">
        <v>29.63</v>
      </c>
      <c r="AD647" s="151">
        <v>41838</v>
      </c>
      <c r="AE647" s="134">
        <v>30.7</v>
      </c>
      <c r="AF647" s="151">
        <v>41838</v>
      </c>
      <c r="AG647" s="197">
        <v>4.5999999999999996</v>
      </c>
      <c r="AH647" s="151">
        <v>41843</v>
      </c>
      <c r="AI647" s="198">
        <v>5</v>
      </c>
      <c r="AJ647" s="151">
        <v>41778</v>
      </c>
      <c r="AK647" s="199">
        <v>7</v>
      </c>
      <c r="AL647" s="151">
        <v>41709</v>
      </c>
      <c r="BE647" s="200">
        <v>7</v>
      </c>
      <c r="BF647" s="201">
        <v>41555</v>
      </c>
      <c r="BG647" s="203">
        <v>-0.5</v>
      </c>
      <c r="BH647" s="151">
        <v>41842</v>
      </c>
      <c r="BM647" s="204">
        <v>65.8</v>
      </c>
      <c r="BN647" s="151">
        <v>41842</v>
      </c>
      <c r="BQ647" s="205">
        <v>10.5</v>
      </c>
      <c r="BR647" s="151">
        <v>41842</v>
      </c>
      <c r="BS647" s="206">
        <v>47.7</v>
      </c>
      <c r="BT647" s="151">
        <v>41842</v>
      </c>
      <c r="BU647" s="207">
        <v>12.1</v>
      </c>
      <c r="BV647" s="151">
        <v>41842</v>
      </c>
      <c r="BW647" s="206">
        <v>19.5</v>
      </c>
      <c r="BX647" s="151">
        <v>41842</v>
      </c>
      <c r="BY647" s="210">
        <v>7.14</v>
      </c>
      <c r="BZ647" s="151">
        <v>41842</v>
      </c>
      <c r="CA647" s="206">
        <v>28</v>
      </c>
      <c r="CB647" s="151">
        <v>41842</v>
      </c>
      <c r="CC647" s="208">
        <v>5.7</v>
      </c>
      <c r="CD647" s="151">
        <v>41838</v>
      </c>
      <c r="CL647" s="209">
        <v>3</v>
      </c>
      <c r="CM647" s="201">
        <v>41810</v>
      </c>
    </row>
    <row r="648" spans="1:91" ht="15">
      <c r="A648" s="152" t="s">
        <v>8051</v>
      </c>
      <c r="B648" s="110" t="s">
        <v>233</v>
      </c>
      <c r="C648" s="110" t="s">
        <v>8083</v>
      </c>
      <c r="D648" s="110">
        <v>11705</v>
      </c>
      <c r="E648" s="111">
        <v>9</v>
      </c>
      <c r="F648" s="111">
        <v>709</v>
      </c>
      <c r="K648" s="134">
        <v>5</v>
      </c>
      <c r="L648" s="151">
        <v>41701</v>
      </c>
      <c r="M648" s="169">
        <v>3.45</v>
      </c>
      <c r="N648" s="151">
        <v>41838</v>
      </c>
      <c r="Q648" s="497"/>
      <c r="S648" s="134">
        <v>12.7</v>
      </c>
      <c r="T648" s="151">
        <v>41842</v>
      </c>
      <c r="U648" s="134">
        <v>13.5</v>
      </c>
      <c r="V648" s="151">
        <v>41838</v>
      </c>
      <c r="W648" s="196">
        <v>9</v>
      </c>
      <c r="X648" s="151">
        <v>41829</v>
      </c>
      <c r="Y648" s="134">
        <f t="shared" si="10"/>
        <v>3.3440400000000001</v>
      </c>
      <c r="AC648" s="134">
        <v>25.56</v>
      </c>
      <c r="AD648" s="151">
        <v>41838</v>
      </c>
      <c r="AE648" s="134">
        <v>26.54</v>
      </c>
      <c r="AF648" s="151">
        <v>41838</v>
      </c>
      <c r="AG648" s="197">
        <v>4.7</v>
      </c>
      <c r="AH648" s="151">
        <v>41843</v>
      </c>
      <c r="AI648" s="198">
        <v>5</v>
      </c>
      <c r="AJ648" s="151">
        <v>41778</v>
      </c>
      <c r="AK648" s="199">
        <v>7</v>
      </c>
      <c r="AL648" s="151">
        <v>41709</v>
      </c>
      <c r="BE648" s="200">
        <v>7</v>
      </c>
      <c r="BF648" s="201">
        <v>41555</v>
      </c>
      <c r="BG648" s="203">
        <v>-3.8</v>
      </c>
      <c r="BH648" s="151">
        <v>41842</v>
      </c>
      <c r="BM648" s="204">
        <v>65</v>
      </c>
      <c r="BN648" s="151">
        <v>41842</v>
      </c>
      <c r="BQ648" s="205">
        <v>10.1</v>
      </c>
      <c r="BR648" s="151">
        <v>41842</v>
      </c>
      <c r="BS648" s="206">
        <v>47.9</v>
      </c>
      <c r="BT648" s="151">
        <v>41842</v>
      </c>
      <c r="BU648" s="207">
        <v>12.6</v>
      </c>
      <c r="BV648" s="151">
        <v>41842</v>
      </c>
      <c r="BW648" s="206">
        <v>18.399999999999999</v>
      </c>
      <c r="BX648" s="151">
        <v>41842</v>
      </c>
      <c r="BY648" s="210">
        <v>7.08</v>
      </c>
      <c r="BZ648" s="151">
        <v>41842</v>
      </c>
      <c r="CA648" s="206">
        <v>29.1</v>
      </c>
      <c r="CB648" s="151">
        <v>41842</v>
      </c>
      <c r="CC648" s="208">
        <v>5.5</v>
      </c>
      <c r="CD648" s="151">
        <v>41838</v>
      </c>
      <c r="CL648" s="209">
        <v>3</v>
      </c>
      <c r="CM648" s="201">
        <v>41810</v>
      </c>
    </row>
    <row r="649" spans="1:91" ht="15">
      <c r="A649" s="152" t="s">
        <v>8051</v>
      </c>
      <c r="B649" s="110" t="s">
        <v>235</v>
      </c>
      <c r="C649" s="110" t="s">
        <v>8081</v>
      </c>
      <c r="D649" s="110">
        <v>11387</v>
      </c>
      <c r="E649" s="111">
        <v>12</v>
      </c>
      <c r="F649" s="111">
        <v>585</v>
      </c>
      <c r="J649" s="187"/>
      <c r="K649" s="134">
        <v>5</v>
      </c>
      <c r="L649" s="151">
        <v>41701</v>
      </c>
      <c r="M649" s="169">
        <v>5.25</v>
      </c>
      <c r="N649" s="151">
        <v>41838</v>
      </c>
      <c r="Q649" s="497"/>
      <c r="S649" s="134">
        <v>18.829999999999998</v>
      </c>
      <c r="T649" s="151">
        <v>41842</v>
      </c>
      <c r="U649" s="134">
        <v>13.5</v>
      </c>
      <c r="V649" s="151">
        <v>41838</v>
      </c>
      <c r="W649" s="196">
        <v>1</v>
      </c>
      <c r="X649" s="151">
        <v>41829</v>
      </c>
      <c r="Y649" s="134">
        <f t="shared" si="10"/>
        <v>5.4753599999999993</v>
      </c>
      <c r="AC649" s="134">
        <v>38.89</v>
      </c>
      <c r="AD649" s="151">
        <v>41838</v>
      </c>
      <c r="AE649" s="134">
        <v>40.26</v>
      </c>
      <c r="AF649" s="151">
        <v>41838</v>
      </c>
      <c r="AG649" s="197">
        <v>4.4000000000000004</v>
      </c>
      <c r="AH649" s="151">
        <v>41843</v>
      </c>
      <c r="AI649" s="198">
        <v>5</v>
      </c>
      <c r="AJ649" s="151">
        <v>41778</v>
      </c>
      <c r="AK649" s="199">
        <v>7</v>
      </c>
      <c r="AL649" s="151">
        <v>41709</v>
      </c>
      <c r="BE649" s="200">
        <v>7</v>
      </c>
      <c r="BF649" s="201">
        <v>41555</v>
      </c>
      <c r="BG649" s="203">
        <v>-2.6</v>
      </c>
      <c r="BH649" s="151">
        <v>41842</v>
      </c>
      <c r="BM649" s="204">
        <v>63.1</v>
      </c>
      <c r="BN649" s="151">
        <v>41842</v>
      </c>
      <c r="BQ649" s="205">
        <v>10.9</v>
      </c>
      <c r="BR649" s="151">
        <v>41842</v>
      </c>
      <c r="BS649" s="206">
        <v>46.8</v>
      </c>
      <c r="BT649" s="151">
        <v>41842</v>
      </c>
      <c r="BU649" s="207">
        <v>13.6</v>
      </c>
      <c r="BV649" s="151">
        <v>41842</v>
      </c>
      <c r="BW649" s="206">
        <v>16.100000000000001</v>
      </c>
      <c r="BX649" s="151">
        <v>41842</v>
      </c>
      <c r="BY649" s="210">
        <v>7.12</v>
      </c>
      <c r="BZ649" s="151">
        <v>41842</v>
      </c>
      <c r="CA649" s="206">
        <v>30.8</v>
      </c>
      <c r="CB649" s="151">
        <v>41842</v>
      </c>
      <c r="CC649" s="208">
        <v>5.8</v>
      </c>
      <c r="CD649" s="151">
        <v>41838</v>
      </c>
      <c r="CL649" s="209">
        <v>3</v>
      </c>
      <c r="CM649" s="201">
        <v>41810</v>
      </c>
    </row>
    <row r="650" spans="1:91" ht="15">
      <c r="A650" s="152" t="s">
        <v>8052</v>
      </c>
      <c r="B650" s="110" t="s">
        <v>233</v>
      </c>
      <c r="C650" s="110" t="s">
        <v>381</v>
      </c>
      <c r="D650" s="110">
        <v>11094</v>
      </c>
      <c r="E650" s="111">
        <v>4</v>
      </c>
      <c r="F650" s="111">
        <v>565</v>
      </c>
      <c r="K650" s="194">
        <v>7</v>
      </c>
      <c r="L650" s="151">
        <v>41701</v>
      </c>
      <c r="M650" s="169">
        <v>6.1</v>
      </c>
      <c r="N650" s="151">
        <v>41838</v>
      </c>
      <c r="Q650" s="497"/>
      <c r="S650" s="134">
        <v>22.69</v>
      </c>
      <c r="T650" s="151">
        <v>41842</v>
      </c>
      <c r="U650" s="134">
        <v>13.5</v>
      </c>
      <c r="V650" s="151">
        <v>41838</v>
      </c>
      <c r="W650" s="196">
        <v>9</v>
      </c>
      <c r="X650" s="151">
        <v>41829</v>
      </c>
      <c r="Y650" s="134">
        <f t="shared" si="10"/>
        <v>5.1447000000000003</v>
      </c>
      <c r="AC650" s="134">
        <v>45.19</v>
      </c>
      <c r="AD650" s="151">
        <v>41838</v>
      </c>
      <c r="AE650" s="134">
        <v>46.77</v>
      </c>
      <c r="AF650" s="151">
        <v>41838</v>
      </c>
      <c r="AG650" s="197">
        <v>5</v>
      </c>
      <c r="AH650" s="151">
        <v>41843</v>
      </c>
      <c r="AI650" s="198">
        <v>5</v>
      </c>
      <c r="AJ650" s="151">
        <v>41778</v>
      </c>
      <c r="AK650" s="199">
        <v>7</v>
      </c>
      <c r="AL650" s="151">
        <v>41709</v>
      </c>
      <c r="BE650" s="200">
        <v>7</v>
      </c>
      <c r="BF650" s="201">
        <v>41555</v>
      </c>
      <c r="BG650" s="203">
        <v>-9.5</v>
      </c>
      <c r="BH650" s="151">
        <v>41842</v>
      </c>
      <c r="BM650" s="204">
        <v>65.400000000000006</v>
      </c>
      <c r="BN650" s="151">
        <v>41842</v>
      </c>
      <c r="BQ650" s="205">
        <v>8.9</v>
      </c>
      <c r="BR650" s="151">
        <v>41842</v>
      </c>
      <c r="BS650" s="206">
        <v>48.5</v>
      </c>
      <c r="BT650" s="151">
        <v>41842</v>
      </c>
      <c r="BU650" s="207">
        <v>11</v>
      </c>
      <c r="BV650" s="151">
        <v>41842</v>
      </c>
      <c r="BW650" s="206">
        <v>12.8</v>
      </c>
      <c r="BX650" s="151">
        <v>41842</v>
      </c>
      <c r="BY650" s="210">
        <v>6.64</v>
      </c>
      <c r="BZ650" s="151">
        <v>41842</v>
      </c>
      <c r="CA650" s="206">
        <v>26</v>
      </c>
      <c r="CB650" s="151">
        <v>41842</v>
      </c>
      <c r="CC650" s="208">
        <v>5.8</v>
      </c>
      <c r="CD650" s="151">
        <v>41838</v>
      </c>
      <c r="CL650" s="209">
        <v>3</v>
      </c>
      <c r="CM650" s="201">
        <v>41810</v>
      </c>
    </row>
    <row r="651" spans="1:91" ht="15">
      <c r="A651" s="152" t="s">
        <v>8052</v>
      </c>
      <c r="B651" s="110" t="s">
        <v>235</v>
      </c>
      <c r="C651" s="110" t="s">
        <v>8082</v>
      </c>
      <c r="D651" s="110">
        <v>11574</v>
      </c>
      <c r="E651" s="111">
        <v>5</v>
      </c>
      <c r="F651" s="111">
        <v>761</v>
      </c>
      <c r="K651" s="194">
        <v>7</v>
      </c>
      <c r="L651" s="151">
        <v>41701</v>
      </c>
      <c r="M651" s="169">
        <v>6.25</v>
      </c>
      <c r="N651" s="151">
        <v>41838</v>
      </c>
      <c r="Q651" s="497"/>
      <c r="S651" s="134">
        <v>22.29</v>
      </c>
      <c r="T651" s="151">
        <v>41842</v>
      </c>
      <c r="U651" s="134">
        <v>13.5</v>
      </c>
      <c r="V651" s="151">
        <v>41838</v>
      </c>
      <c r="W651" s="196">
        <v>9</v>
      </c>
      <c r="X651" s="151">
        <v>41829</v>
      </c>
      <c r="Y651" s="134">
        <f t="shared" si="10"/>
        <v>6.27264</v>
      </c>
      <c r="AC651" s="134">
        <v>46.3</v>
      </c>
      <c r="AD651" s="151">
        <v>41838</v>
      </c>
      <c r="AE651" s="134">
        <v>47.52</v>
      </c>
      <c r="AF651" s="151">
        <v>41838</v>
      </c>
      <c r="AG651" s="197">
        <v>5.4</v>
      </c>
      <c r="AH651" s="151">
        <v>41843</v>
      </c>
      <c r="AI651" s="198">
        <v>7</v>
      </c>
      <c r="AJ651" s="151">
        <v>41778</v>
      </c>
      <c r="AK651" s="199">
        <v>5</v>
      </c>
      <c r="AL651" s="151">
        <v>41709</v>
      </c>
      <c r="BE651" s="200">
        <v>5</v>
      </c>
      <c r="BF651" s="201">
        <v>41555</v>
      </c>
      <c r="BG651" s="203">
        <v>-8.6</v>
      </c>
      <c r="BH651" s="151">
        <v>41842</v>
      </c>
      <c r="BM651" s="204">
        <v>63.3</v>
      </c>
      <c r="BN651" s="151">
        <v>41842</v>
      </c>
      <c r="BQ651" s="205">
        <v>10.6</v>
      </c>
      <c r="BR651" s="151">
        <v>41842</v>
      </c>
      <c r="BS651" s="206">
        <v>46.9</v>
      </c>
      <c r="BT651" s="151">
        <v>41842</v>
      </c>
      <c r="BU651" s="207">
        <v>13.2</v>
      </c>
      <c r="BV651" s="151">
        <v>41842</v>
      </c>
      <c r="BW651" s="206">
        <v>13.6</v>
      </c>
      <c r="BX651" s="151">
        <v>41842</v>
      </c>
      <c r="BY651" s="210">
        <v>6.7</v>
      </c>
      <c r="BZ651" s="151">
        <v>41842</v>
      </c>
      <c r="CA651" s="206">
        <v>29.8</v>
      </c>
      <c r="CB651" s="151">
        <v>41842</v>
      </c>
      <c r="CC651" s="208">
        <v>6.6</v>
      </c>
      <c r="CD651" s="151">
        <v>41838</v>
      </c>
      <c r="CL651" s="209">
        <v>5</v>
      </c>
      <c r="CM651" s="201">
        <v>41810</v>
      </c>
    </row>
    <row r="652" spans="1:91" ht="15">
      <c r="A652" s="152" t="s">
        <v>8052</v>
      </c>
      <c r="B652" s="110" t="s">
        <v>233</v>
      </c>
      <c r="C652" s="110" t="s">
        <v>8083</v>
      </c>
      <c r="D652" s="110">
        <v>11743</v>
      </c>
      <c r="E652" s="111">
        <v>10</v>
      </c>
      <c r="F652" s="111">
        <v>717</v>
      </c>
      <c r="K652" s="134">
        <v>5</v>
      </c>
      <c r="L652" s="151">
        <v>41701</v>
      </c>
      <c r="M652" s="169">
        <v>3.75</v>
      </c>
      <c r="N652" s="151">
        <v>41838</v>
      </c>
      <c r="Q652" s="497"/>
      <c r="S652" s="134">
        <v>13.88</v>
      </c>
      <c r="T652" s="151">
        <v>41842</v>
      </c>
      <c r="U652" s="134">
        <v>13.5</v>
      </c>
      <c r="V652" s="151">
        <v>41838</v>
      </c>
      <c r="W652" s="196">
        <v>9</v>
      </c>
      <c r="X652" s="151">
        <v>41829</v>
      </c>
      <c r="Y652" s="134">
        <f t="shared" si="10"/>
        <v>3.3783400000000001</v>
      </c>
      <c r="AC652" s="134">
        <v>27.78</v>
      </c>
      <c r="AD652" s="151">
        <v>41838</v>
      </c>
      <c r="AE652" s="134">
        <v>28.63</v>
      </c>
      <c r="AF652" s="151">
        <v>41838</v>
      </c>
      <c r="AG652" s="197">
        <v>5.5</v>
      </c>
      <c r="AH652" s="151">
        <v>41843</v>
      </c>
      <c r="AI652" s="198">
        <v>5</v>
      </c>
      <c r="AJ652" s="151">
        <v>41778</v>
      </c>
      <c r="AK652" s="199">
        <v>5</v>
      </c>
      <c r="AL652" s="151">
        <v>41709</v>
      </c>
      <c r="BE652" s="200">
        <v>5</v>
      </c>
      <c r="BF652" s="201">
        <v>41555</v>
      </c>
      <c r="BG652" s="203">
        <v>-5.5</v>
      </c>
      <c r="BH652" s="151">
        <v>41842</v>
      </c>
      <c r="BM652" s="204">
        <v>66.599999999999994</v>
      </c>
      <c r="BN652" s="151">
        <v>41842</v>
      </c>
      <c r="BQ652" s="205">
        <v>9.6</v>
      </c>
      <c r="BR652" s="151">
        <v>41842</v>
      </c>
      <c r="BS652" s="206">
        <v>48.5</v>
      </c>
      <c r="BT652" s="151">
        <v>41842</v>
      </c>
      <c r="BU652" s="207">
        <v>11.8</v>
      </c>
      <c r="BV652" s="151">
        <v>41842</v>
      </c>
      <c r="BW652" s="206">
        <v>13.1</v>
      </c>
      <c r="BX652" s="151">
        <v>41842</v>
      </c>
      <c r="BY652" s="210">
        <v>6.45</v>
      </c>
      <c r="BZ652" s="151">
        <v>41842</v>
      </c>
      <c r="CA652" s="206">
        <v>27.7</v>
      </c>
      <c r="CB652" s="151">
        <v>41842</v>
      </c>
      <c r="CC652" s="208">
        <v>6.2</v>
      </c>
      <c r="CD652" s="151">
        <v>41838</v>
      </c>
      <c r="CL652" s="209">
        <v>3</v>
      </c>
      <c r="CM652" s="201">
        <v>41810</v>
      </c>
    </row>
    <row r="653" spans="1:91" ht="15">
      <c r="A653" s="152" t="s">
        <v>8052</v>
      </c>
      <c r="B653" s="110" t="s">
        <v>235</v>
      </c>
      <c r="C653" s="110" t="s">
        <v>8081</v>
      </c>
      <c r="D653" s="110">
        <v>11371</v>
      </c>
      <c r="E653" s="111">
        <v>12</v>
      </c>
      <c r="F653" s="111">
        <v>521</v>
      </c>
      <c r="K653" s="134">
        <v>5</v>
      </c>
      <c r="L653" s="151">
        <v>41701</v>
      </c>
      <c r="M653" s="169">
        <v>6.05</v>
      </c>
      <c r="N653" s="151">
        <v>41838</v>
      </c>
      <c r="Q653" s="497"/>
      <c r="S653" s="134">
        <v>21.75</v>
      </c>
      <c r="T653" s="151">
        <v>41842</v>
      </c>
      <c r="U653" s="134">
        <v>13.5</v>
      </c>
      <c r="V653" s="151">
        <v>41838</v>
      </c>
      <c r="W653" s="196">
        <v>9</v>
      </c>
      <c r="X653" s="151">
        <v>41829</v>
      </c>
      <c r="Y653" s="134">
        <f t="shared" si="10"/>
        <v>6.0770899999999992</v>
      </c>
      <c r="AC653" s="134">
        <v>44.81</v>
      </c>
      <c r="AD653" s="151">
        <v>41838</v>
      </c>
      <c r="AE653" s="134">
        <v>46.39</v>
      </c>
      <c r="AF653" s="151">
        <v>41838</v>
      </c>
      <c r="AG653" s="197">
        <v>5.0999999999999996</v>
      </c>
      <c r="AH653" s="151">
        <v>41843</v>
      </c>
      <c r="AI653" s="198">
        <v>5</v>
      </c>
      <c r="AJ653" s="151">
        <v>41778</v>
      </c>
      <c r="AK653" s="199">
        <v>7</v>
      </c>
      <c r="AL653" s="151">
        <v>41709</v>
      </c>
      <c r="BE653" s="200">
        <v>7</v>
      </c>
      <c r="BF653" s="201">
        <v>41555</v>
      </c>
      <c r="BG653" s="203">
        <v>-8.3000000000000007</v>
      </c>
      <c r="BH653" s="151">
        <v>41842</v>
      </c>
      <c r="BM653" s="204">
        <v>63.1</v>
      </c>
      <c r="BN653" s="151">
        <v>41842</v>
      </c>
      <c r="BQ653" s="205">
        <v>10.9</v>
      </c>
      <c r="BR653" s="151">
        <v>41842</v>
      </c>
      <c r="BS653" s="206">
        <v>46.9</v>
      </c>
      <c r="BT653" s="151">
        <v>41842</v>
      </c>
      <c r="BU653" s="207">
        <v>13.1</v>
      </c>
      <c r="BV653" s="151">
        <v>41842</v>
      </c>
      <c r="BW653" s="206">
        <v>15.2</v>
      </c>
      <c r="BX653" s="151">
        <v>41842</v>
      </c>
      <c r="BY653" s="210">
        <v>6.58</v>
      </c>
      <c r="BZ653" s="151">
        <v>41842</v>
      </c>
      <c r="CA653" s="206">
        <v>29.6</v>
      </c>
      <c r="CB653" s="151">
        <v>41842</v>
      </c>
      <c r="CC653" s="208">
        <v>5.8</v>
      </c>
      <c r="CD653" s="151">
        <v>41838</v>
      </c>
      <c r="CL653" s="209">
        <v>3</v>
      </c>
      <c r="CM653" s="201">
        <v>41810</v>
      </c>
    </row>
    <row r="654" spans="1:91" ht="15">
      <c r="A654" s="152" t="s">
        <v>8053</v>
      </c>
      <c r="B654" s="110" t="s">
        <v>233</v>
      </c>
      <c r="C654" s="110" t="s">
        <v>381</v>
      </c>
      <c r="D654" s="110">
        <v>10973</v>
      </c>
      <c r="E654" s="111">
        <v>1</v>
      </c>
      <c r="F654" s="111">
        <v>513</v>
      </c>
      <c r="I654" s="373"/>
      <c r="K654" s="194">
        <v>5</v>
      </c>
      <c r="L654" s="151">
        <v>41701</v>
      </c>
      <c r="M654" s="169">
        <v>5.05</v>
      </c>
      <c r="N654" s="151">
        <v>41838</v>
      </c>
      <c r="Q654" s="497"/>
      <c r="S654" s="134">
        <v>18.690000000000001</v>
      </c>
      <c r="T654" s="151">
        <v>41842</v>
      </c>
      <c r="U654" s="194">
        <v>13.5</v>
      </c>
      <c r="V654" s="151">
        <v>41838</v>
      </c>
      <c r="W654" s="196">
        <v>9</v>
      </c>
      <c r="X654" s="151">
        <v>41829</v>
      </c>
      <c r="Y654" s="134">
        <f t="shared" si="10"/>
        <v>4.6415999999999995</v>
      </c>
      <c r="AA654" s="194"/>
      <c r="AC654" s="194">
        <v>37.409999999999997</v>
      </c>
      <c r="AD654" s="151">
        <v>41838</v>
      </c>
      <c r="AE654" s="137">
        <v>38.68</v>
      </c>
      <c r="AF654" s="151">
        <v>41838</v>
      </c>
      <c r="AG654" s="197">
        <v>4.7</v>
      </c>
      <c r="AH654" s="151">
        <v>41843</v>
      </c>
      <c r="AI654" s="198">
        <v>5</v>
      </c>
      <c r="AJ654" s="151">
        <v>41778</v>
      </c>
      <c r="AK654" s="199">
        <v>5</v>
      </c>
      <c r="AL654" s="151">
        <v>41709</v>
      </c>
      <c r="AM654" s="194"/>
      <c r="BE654" s="200">
        <v>5</v>
      </c>
      <c r="BF654" s="201">
        <v>41555</v>
      </c>
      <c r="BG654" s="203">
        <v>-4.8</v>
      </c>
      <c r="BH654" s="151">
        <v>41842</v>
      </c>
      <c r="BM654" s="204">
        <v>66.8</v>
      </c>
      <c r="BN654" s="151">
        <v>41842</v>
      </c>
      <c r="BQ654" s="205">
        <v>8.6999999999999993</v>
      </c>
      <c r="BR654" s="151">
        <v>41842</v>
      </c>
      <c r="BS654" s="206">
        <v>48.3</v>
      </c>
      <c r="BT654" s="151">
        <v>41842</v>
      </c>
      <c r="BU654" s="207">
        <v>12</v>
      </c>
      <c r="BV654" s="151">
        <v>41842</v>
      </c>
      <c r="BW654" s="206">
        <v>12.5</v>
      </c>
      <c r="BX654" s="151">
        <v>41842</v>
      </c>
      <c r="BY654" s="210">
        <v>7.67</v>
      </c>
      <c r="BZ654" s="151">
        <v>41842</v>
      </c>
      <c r="CA654" s="206">
        <v>28.1</v>
      </c>
      <c r="CB654" s="151">
        <v>41842</v>
      </c>
      <c r="CC654" s="208">
        <v>5.9</v>
      </c>
      <c r="CD654" s="151">
        <v>41838</v>
      </c>
      <c r="CL654" s="209">
        <v>3</v>
      </c>
      <c r="CM654" s="201">
        <v>41810</v>
      </c>
    </row>
    <row r="655" spans="1:91" ht="15">
      <c r="A655" s="152" t="s">
        <v>8053</v>
      </c>
      <c r="B655" s="110" t="s">
        <v>235</v>
      </c>
      <c r="C655" s="110" t="s">
        <v>8082</v>
      </c>
      <c r="D655" s="110">
        <v>11591</v>
      </c>
      <c r="E655" s="111">
        <v>6</v>
      </c>
      <c r="F655" s="111">
        <v>685</v>
      </c>
      <c r="K655" s="134">
        <v>5</v>
      </c>
      <c r="L655" s="151">
        <v>41701</v>
      </c>
      <c r="M655" s="169">
        <v>6.15</v>
      </c>
      <c r="N655" s="151">
        <v>41838</v>
      </c>
      <c r="Q655" s="497"/>
      <c r="S655" s="134">
        <v>22.71</v>
      </c>
      <c r="T655" s="151">
        <v>41842</v>
      </c>
      <c r="U655" s="134">
        <v>13.5</v>
      </c>
      <c r="V655" s="151">
        <v>41838</v>
      </c>
      <c r="W655" s="196">
        <v>9</v>
      </c>
      <c r="X655" s="151">
        <v>41829</v>
      </c>
      <c r="Y655" s="134">
        <f t="shared" si="10"/>
        <v>6.0492799999999995</v>
      </c>
      <c r="AC655" s="134">
        <v>45.56</v>
      </c>
      <c r="AD655" s="151">
        <v>41838</v>
      </c>
      <c r="AE655" s="134">
        <v>47.26</v>
      </c>
      <c r="AF655" s="151">
        <v>41838</v>
      </c>
      <c r="AG655" s="197">
        <v>4.5</v>
      </c>
      <c r="AH655" s="151">
        <v>41843</v>
      </c>
      <c r="AI655" s="198">
        <v>5</v>
      </c>
      <c r="AJ655" s="151">
        <v>41778</v>
      </c>
      <c r="AK655" s="199">
        <v>5</v>
      </c>
      <c r="AL655" s="151">
        <v>41709</v>
      </c>
      <c r="BE655" s="200">
        <v>5</v>
      </c>
      <c r="BF655" s="201">
        <v>41555</v>
      </c>
      <c r="BG655" s="203">
        <v>-8.4</v>
      </c>
      <c r="BH655" s="151">
        <v>41842</v>
      </c>
      <c r="BM655" s="204">
        <v>65.099999999999994</v>
      </c>
      <c r="BN655" s="151">
        <v>41842</v>
      </c>
      <c r="BQ655" s="205">
        <v>10.199999999999999</v>
      </c>
      <c r="BR655" s="151">
        <v>41842</v>
      </c>
      <c r="BS655" s="206">
        <v>48.1</v>
      </c>
      <c r="BT655" s="151">
        <v>41842</v>
      </c>
      <c r="BU655" s="207">
        <v>12.8</v>
      </c>
      <c r="BV655" s="151">
        <v>41842</v>
      </c>
      <c r="BW655" s="206">
        <v>12.1</v>
      </c>
      <c r="BX655" s="151">
        <v>41842</v>
      </c>
      <c r="BY655" s="210">
        <v>7.46</v>
      </c>
      <c r="BZ655" s="151">
        <v>41842</v>
      </c>
      <c r="CA655" s="206">
        <v>29.8</v>
      </c>
      <c r="CB655" s="151">
        <v>41842</v>
      </c>
      <c r="CC655" s="208">
        <v>5.6</v>
      </c>
      <c r="CD655" s="151">
        <v>41838</v>
      </c>
      <c r="CL655" s="209">
        <v>3</v>
      </c>
      <c r="CM655" s="201">
        <v>41810</v>
      </c>
    </row>
    <row r="656" spans="1:91" ht="15">
      <c r="A656" s="152" t="s">
        <v>8053</v>
      </c>
      <c r="B656" s="110" t="s">
        <v>233</v>
      </c>
      <c r="C656" s="110" t="s">
        <v>8083</v>
      </c>
      <c r="D656" s="110">
        <v>11639</v>
      </c>
      <c r="E656" s="111">
        <v>7</v>
      </c>
      <c r="F656" s="111">
        <v>733</v>
      </c>
      <c r="K656" s="134">
        <v>5</v>
      </c>
      <c r="L656" s="151">
        <v>41701</v>
      </c>
      <c r="M656" s="169">
        <v>4.5</v>
      </c>
      <c r="N656" s="151">
        <v>41838</v>
      </c>
      <c r="Q656" s="497"/>
      <c r="S656" s="134">
        <v>16.739999999999998</v>
      </c>
      <c r="T656" s="151">
        <v>41842</v>
      </c>
      <c r="U656" s="134">
        <v>13.5</v>
      </c>
      <c r="V656" s="151">
        <v>41838</v>
      </c>
      <c r="W656" s="196">
        <v>9</v>
      </c>
      <c r="X656" s="151">
        <v>41829</v>
      </c>
      <c r="Y656" s="134">
        <f t="shared" si="10"/>
        <v>4.1967999999999996</v>
      </c>
      <c r="AC656" s="134">
        <v>33.33</v>
      </c>
      <c r="AD656" s="151">
        <v>41838</v>
      </c>
      <c r="AE656" s="134">
        <v>34.4</v>
      </c>
      <c r="AF656" s="151">
        <v>41838</v>
      </c>
      <c r="AG656" s="197">
        <v>4.7</v>
      </c>
      <c r="AH656" s="151">
        <v>41843</v>
      </c>
      <c r="AI656" s="198">
        <v>5</v>
      </c>
      <c r="AJ656" s="151">
        <v>41778</v>
      </c>
      <c r="AK656" s="199">
        <v>5</v>
      </c>
      <c r="AL656" s="151">
        <v>41709</v>
      </c>
      <c r="BE656" s="200">
        <v>5</v>
      </c>
      <c r="BF656" s="201">
        <v>41555</v>
      </c>
      <c r="BG656" s="203">
        <v>-2.6</v>
      </c>
      <c r="BH656" s="151">
        <v>41842</v>
      </c>
      <c r="BM656" s="204">
        <v>68</v>
      </c>
      <c r="BN656" s="151">
        <v>41842</v>
      </c>
      <c r="BQ656" s="205">
        <v>8.6</v>
      </c>
      <c r="BR656" s="151">
        <v>41842</v>
      </c>
      <c r="BS656" s="206">
        <v>48.7</v>
      </c>
      <c r="BT656" s="151">
        <v>41842</v>
      </c>
      <c r="BU656" s="207">
        <v>12.2</v>
      </c>
      <c r="BV656" s="151">
        <v>41842</v>
      </c>
      <c r="BW656" s="206">
        <v>15.1</v>
      </c>
      <c r="BX656" s="151">
        <v>41842</v>
      </c>
      <c r="BY656" s="210">
        <v>7.2</v>
      </c>
      <c r="BZ656" s="151">
        <v>41842</v>
      </c>
      <c r="CA656" s="206">
        <v>28.8</v>
      </c>
      <c r="CB656" s="151">
        <v>41842</v>
      </c>
      <c r="CC656" s="208">
        <v>6.1</v>
      </c>
      <c r="CD656" s="151">
        <v>41838</v>
      </c>
      <c r="CL656" s="209">
        <v>3</v>
      </c>
      <c r="CM656" s="201">
        <v>41810</v>
      </c>
    </row>
    <row r="657" spans="1:91" ht="15">
      <c r="A657" s="152" t="s">
        <v>8053</v>
      </c>
      <c r="B657" s="110" t="s">
        <v>235</v>
      </c>
      <c r="C657" s="110" t="s">
        <v>8081</v>
      </c>
      <c r="D657" s="110">
        <v>11352</v>
      </c>
      <c r="E657" s="111">
        <v>11</v>
      </c>
      <c r="F657" s="111">
        <v>589</v>
      </c>
      <c r="K657" s="134">
        <v>5</v>
      </c>
      <c r="L657" s="151">
        <v>41701</v>
      </c>
      <c r="M657" s="169">
        <v>5.9</v>
      </c>
      <c r="N657" s="151">
        <v>41838</v>
      </c>
      <c r="Q657" s="497"/>
      <c r="S657" s="134">
        <v>21.48</v>
      </c>
      <c r="T657" s="151">
        <v>41842</v>
      </c>
      <c r="U657" s="134">
        <v>13.5</v>
      </c>
      <c r="V657" s="151">
        <v>41838</v>
      </c>
      <c r="W657" s="196">
        <v>9</v>
      </c>
      <c r="X657" s="151">
        <v>41829</v>
      </c>
      <c r="Y657" s="134">
        <f t="shared" si="10"/>
        <v>6.0102700000000002</v>
      </c>
      <c r="AC657" s="134">
        <v>43.7</v>
      </c>
      <c r="AD657" s="151">
        <v>41838</v>
      </c>
      <c r="AE657" s="134">
        <v>45.19</v>
      </c>
      <c r="AF657" s="151">
        <v>41838</v>
      </c>
      <c r="AG657" s="197">
        <v>4.4000000000000004</v>
      </c>
      <c r="AH657" s="151">
        <v>41843</v>
      </c>
      <c r="AI657" s="198">
        <v>7</v>
      </c>
      <c r="AJ657" s="151">
        <v>41778</v>
      </c>
      <c r="AK657" s="199">
        <v>5</v>
      </c>
      <c r="AL657" s="151">
        <v>41709</v>
      </c>
      <c r="BE657" s="200">
        <v>5</v>
      </c>
      <c r="BF657" s="201">
        <v>41555</v>
      </c>
      <c r="BG657" s="203">
        <v>-7.3</v>
      </c>
      <c r="BH657" s="151">
        <v>41842</v>
      </c>
      <c r="BM657" s="204">
        <v>65.099999999999994</v>
      </c>
      <c r="BN657" s="151">
        <v>41842</v>
      </c>
      <c r="BQ657" s="205">
        <v>9.6</v>
      </c>
      <c r="BR657" s="151">
        <v>41842</v>
      </c>
      <c r="BS657" s="206">
        <v>47.5</v>
      </c>
      <c r="BT657" s="151">
        <v>41842</v>
      </c>
      <c r="BU657" s="207">
        <v>13.3</v>
      </c>
      <c r="BV657" s="151">
        <v>41842</v>
      </c>
      <c r="BW657" s="206">
        <v>12.7</v>
      </c>
      <c r="BX657" s="151">
        <v>41842</v>
      </c>
      <c r="BY657" s="210">
        <v>7.22</v>
      </c>
      <c r="BZ657" s="151">
        <v>41842</v>
      </c>
      <c r="CA657" s="206">
        <v>30.6</v>
      </c>
      <c r="CB657" s="151">
        <v>41842</v>
      </c>
      <c r="CC657" s="208">
        <v>5.9</v>
      </c>
      <c r="CD657" s="151">
        <v>41838</v>
      </c>
      <c r="CL657" s="209">
        <v>3</v>
      </c>
      <c r="CM657" s="201">
        <v>41810</v>
      </c>
    </row>
    <row r="658" spans="1:91" ht="15">
      <c r="A658" s="152" t="s">
        <v>8054</v>
      </c>
      <c r="B658" s="110" t="s">
        <v>233</v>
      </c>
      <c r="C658" s="110" t="s">
        <v>381</v>
      </c>
      <c r="D658" s="110">
        <v>11086</v>
      </c>
      <c r="E658" s="111">
        <v>4</v>
      </c>
      <c r="F658" s="111">
        <v>533</v>
      </c>
      <c r="K658" s="134">
        <v>5</v>
      </c>
      <c r="L658" s="151">
        <v>41701</v>
      </c>
      <c r="M658" s="169">
        <v>4.05</v>
      </c>
      <c r="N658" s="151">
        <v>41838</v>
      </c>
      <c r="Q658" s="497"/>
      <c r="S658" s="134">
        <v>14.66</v>
      </c>
      <c r="T658" s="151">
        <v>41842</v>
      </c>
      <c r="U658" s="134">
        <v>13.5</v>
      </c>
      <c r="V658" s="151">
        <v>41838</v>
      </c>
      <c r="W658" s="196">
        <v>1</v>
      </c>
      <c r="X658" s="151">
        <v>41829</v>
      </c>
      <c r="Y658" s="134">
        <f t="shared" si="10"/>
        <v>4.3343999999999996</v>
      </c>
      <c r="AC658" s="134">
        <v>30</v>
      </c>
      <c r="AD658" s="151">
        <v>41838</v>
      </c>
      <c r="AE658" s="134">
        <v>30.96</v>
      </c>
      <c r="AF658" s="151">
        <v>41838</v>
      </c>
      <c r="AG658" s="197">
        <v>5.6</v>
      </c>
      <c r="AH658" s="151">
        <v>41843</v>
      </c>
      <c r="AI658" s="198">
        <v>3</v>
      </c>
      <c r="AJ658" s="151">
        <v>41778</v>
      </c>
      <c r="AK658" s="199">
        <v>7</v>
      </c>
      <c r="AL658" s="151">
        <v>41709</v>
      </c>
      <c r="BE658" s="200">
        <v>7</v>
      </c>
      <c r="BF658" s="201">
        <v>41555</v>
      </c>
      <c r="BG658" s="203">
        <v>-4.3</v>
      </c>
      <c r="BH658" s="151">
        <v>41842</v>
      </c>
      <c r="BM658" s="204">
        <v>64.599999999999994</v>
      </c>
      <c r="BN658" s="151">
        <v>41842</v>
      </c>
      <c r="BQ658" s="205">
        <v>11</v>
      </c>
      <c r="BR658" s="151">
        <v>41842</v>
      </c>
      <c r="BS658" s="206">
        <v>47.4</v>
      </c>
      <c r="BT658" s="151">
        <v>41842</v>
      </c>
      <c r="BU658" s="207">
        <v>14</v>
      </c>
      <c r="BV658" s="151">
        <v>41842</v>
      </c>
      <c r="BW658" s="206">
        <v>13.4</v>
      </c>
      <c r="BX658" s="151">
        <v>41842</v>
      </c>
      <c r="BY658" s="210">
        <v>7.62</v>
      </c>
      <c r="BZ658" s="151">
        <v>41842</v>
      </c>
      <c r="CA658" s="206">
        <v>32.200000000000003</v>
      </c>
      <c r="CB658" s="151">
        <v>41842</v>
      </c>
      <c r="CC658" s="208">
        <v>6.1</v>
      </c>
      <c r="CD658" s="151">
        <v>41838</v>
      </c>
      <c r="CL658" s="209">
        <v>3</v>
      </c>
      <c r="CM658" s="201">
        <v>41810</v>
      </c>
    </row>
    <row r="659" spans="1:91" ht="15">
      <c r="A659" s="152" t="s">
        <v>8054</v>
      </c>
      <c r="B659" s="110" t="s">
        <v>235</v>
      </c>
      <c r="C659" s="110" t="s">
        <v>8082</v>
      </c>
      <c r="D659" s="110">
        <v>11521</v>
      </c>
      <c r="E659" s="111">
        <v>4</v>
      </c>
      <c r="F659" s="111">
        <v>693</v>
      </c>
      <c r="K659" s="194">
        <v>7</v>
      </c>
      <c r="L659" s="151">
        <v>41701</v>
      </c>
      <c r="M659" s="169">
        <v>5</v>
      </c>
      <c r="N659" s="151">
        <v>41838</v>
      </c>
      <c r="Q659" s="497"/>
      <c r="S659" s="134">
        <v>18.22</v>
      </c>
      <c r="T659" s="151">
        <v>41842</v>
      </c>
      <c r="U659" s="134">
        <v>13.5</v>
      </c>
      <c r="V659" s="151">
        <v>41838</v>
      </c>
      <c r="W659" s="196">
        <v>1</v>
      </c>
      <c r="X659" s="151">
        <v>41829</v>
      </c>
      <c r="Y659" s="134">
        <f t="shared" si="10"/>
        <v>5.5152000000000001</v>
      </c>
      <c r="AC659" s="134">
        <v>37.04</v>
      </c>
      <c r="AD659" s="151">
        <v>41838</v>
      </c>
      <c r="AE659" s="134">
        <v>38.299999999999997</v>
      </c>
      <c r="AF659" s="151">
        <v>41838</v>
      </c>
      <c r="AG659" s="197">
        <v>5.4</v>
      </c>
      <c r="AH659" s="151">
        <v>41843</v>
      </c>
      <c r="AI659" s="198">
        <v>5</v>
      </c>
      <c r="AJ659" s="151">
        <v>41778</v>
      </c>
      <c r="AK659" s="199">
        <v>5</v>
      </c>
      <c r="AL659" s="151">
        <v>41709</v>
      </c>
      <c r="BE659" s="200">
        <v>5</v>
      </c>
      <c r="BF659" s="201">
        <v>41555</v>
      </c>
      <c r="BG659" s="203">
        <v>-5.2</v>
      </c>
      <c r="BH659" s="151">
        <v>41842</v>
      </c>
      <c r="BM659" s="204">
        <v>64</v>
      </c>
      <c r="BN659" s="151">
        <v>41842</v>
      </c>
      <c r="BQ659" s="205">
        <v>10.9</v>
      </c>
      <c r="BR659" s="151">
        <v>41842</v>
      </c>
      <c r="BS659" s="206">
        <v>47.6</v>
      </c>
      <c r="BT659" s="151">
        <v>41842</v>
      </c>
      <c r="BU659" s="207">
        <v>14.4</v>
      </c>
      <c r="BV659" s="151">
        <v>41842</v>
      </c>
      <c r="BW659" s="206">
        <v>14</v>
      </c>
      <c r="BX659" s="151">
        <v>41842</v>
      </c>
      <c r="BY659" s="210">
        <v>7.59</v>
      </c>
      <c r="BZ659" s="151">
        <v>41842</v>
      </c>
      <c r="CA659" s="206">
        <v>33.200000000000003</v>
      </c>
      <c r="CB659" s="151">
        <v>41842</v>
      </c>
      <c r="CC659" s="208">
        <v>5.9</v>
      </c>
      <c r="CD659" s="151">
        <v>41838</v>
      </c>
      <c r="CL659" s="209">
        <v>3</v>
      </c>
      <c r="CM659" s="201">
        <v>41810</v>
      </c>
    </row>
    <row r="660" spans="1:91" ht="15">
      <c r="A660" s="152" t="s">
        <v>8054</v>
      </c>
      <c r="B660" s="110" t="s">
        <v>235</v>
      </c>
      <c r="C660" s="110" t="s">
        <v>8081</v>
      </c>
      <c r="D660" s="110">
        <v>11199</v>
      </c>
      <c r="E660" s="111">
        <v>7</v>
      </c>
      <c r="F660" s="111">
        <v>553</v>
      </c>
      <c r="K660" s="194">
        <v>7</v>
      </c>
      <c r="L660" s="151">
        <v>41701</v>
      </c>
      <c r="M660" s="169">
        <v>5.35</v>
      </c>
      <c r="N660" s="151">
        <v>41838</v>
      </c>
      <c r="Q660" s="497"/>
      <c r="S660" s="134">
        <v>19.329999999999998</v>
      </c>
      <c r="T660" s="151">
        <v>41842</v>
      </c>
      <c r="U660" s="134">
        <v>13.5</v>
      </c>
      <c r="V660" s="151">
        <v>41838</v>
      </c>
      <c r="W660" s="196">
        <v>9</v>
      </c>
      <c r="X660" s="151">
        <v>41829</v>
      </c>
      <c r="Y660" s="134">
        <f t="shared" si="10"/>
        <v>5.9830800000000002</v>
      </c>
      <c r="AC660" s="134">
        <v>39.630000000000003</v>
      </c>
      <c r="AD660" s="151">
        <v>41838</v>
      </c>
      <c r="AE660" s="134">
        <v>40.98</v>
      </c>
      <c r="AF660" s="151">
        <v>41838</v>
      </c>
      <c r="AG660" s="197">
        <v>5.6</v>
      </c>
      <c r="AH660" s="151">
        <v>41843</v>
      </c>
      <c r="AI660" s="198">
        <v>3</v>
      </c>
      <c r="AJ660" s="151">
        <v>41778</v>
      </c>
      <c r="AK660" s="199">
        <v>7</v>
      </c>
      <c r="AL660" s="151">
        <v>41709</v>
      </c>
      <c r="BE660" s="200">
        <v>7</v>
      </c>
      <c r="BF660" s="201">
        <v>41555</v>
      </c>
      <c r="BG660" s="203">
        <v>-4.4000000000000004</v>
      </c>
      <c r="BH660" s="151">
        <v>41842</v>
      </c>
      <c r="BM660" s="204">
        <v>64.3</v>
      </c>
      <c r="BN660" s="151">
        <v>41842</v>
      </c>
      <c r="BQ660" s="205">
        <v>10.7</v>
      </c>
      <c r="BR660" s="151">
        <v>41842</v>
      </c>
      <c r="BS660" s="206">
        <v>47.2</v>
      </c>
      <c r="BT660" s="151">
        <v>41842</v>
      </c>
      <c r="BU660" s="207">
        <v>14.6</v>
      </c>
      <c r="BV660" s="151">
        <v>41842</v>
      </c>
      <c r="BW660" s="206">
        <v>13.5</v>
      </c>
      <c r="BX660" s="151">
        <v>41842</v>
      </c>
      <c r="BY660" s="210">
        <v>7.3</v>
      </c>
      <c r="BZ660" s="151">
        <v>41842</v>
      </c>
      <c r="CA660" s="206">
        <v>33.299999999999997</v>
      </c>
      <c r="CB660" s="151">
        <v>41842</v>
      </c>
      <c r="CC660" s="208">
        <v>5.9</v>
      </c>
      <c r="CD660" s="151">
        <v>41838</v>
      </c>
      <c r="CL660" s="209">
        <v>3</v>
      </c>
      <c r="CM660" s="201">
        <v>41810</v>
      </c>
    </row>
    <row r="661" spans="1:91" ht="15">
      <c r="A661" s="152" t="s">
        <v>8054</v>
      </c>
      <c r="B661" s="110" t="s">
        <v>233</v>
      </c>
      <c r="C661" s="110" t="s">
        <v>8083</v>
      </c>
      <c r="D661" s="110">
        <v>11680</v>
      </c>
      <c r="E661" s="111">
        <v>8</v>
      </c>
      <c r="F661" s="111">
        <v>753</v>
      </c>
      <c r="K661" s="134">
        <v>5</v>
      </c>
      <c r="L661" s="151">
        <v>41701</v>
      </c>
      <c r="M661" s="169">
        <v>3.3</v>
      </c>
      <c r="N661" s="151">
        <v>41838</v>
      </c>
      <c r="Q661" s="497"/>
      <c r="S661" s="134">
        <v>11.79</v>
      </c>
      <c r="T661" s="151">
        <v>41842</v>
      </c>
      <c r="U661" s="134">
        <v>13.5</v>
      </c>
      <c r="V661" s="151">
        <v>41838</v>
      </c>
      <c r="W661" s="196">
        <v>1</v>
      </c>
      <c r="X661" s="151">
        <v>41829</v>
      </c>
      <c r="Y661" s="134">
        <f t="shared" si="10"/>
        <v>3.5678500000000004</v>
      </c>
      <c r="AC661" s="134">
        <v>24.44</v>
      </c>
      <c r="AD661" s="151">
        <v>41838</v>
      </c>
      <c r="AE661" s="134">
        <v>24.95</v>
      </c>
      <c r="AF661" s="151">
        <v>41838</v>
      </c>
      <c r="AG661" s="197">
        <v>6.1</v>
      </c>
      <c r="AH661" s="151">
        <v>41843</v>
      </c>
      <c r="AI661" s="198">
        <v>3</v>
      </c>
      <c r="AJ661" s="151">
        <v>41778</v>
      </c>
      <c r="AK661" s="199">
        <v>5</v>
      </c>
      <c r="AL661" s="151">
        <v>41709</v>
      </c>
      <c r="BE661" s="200">
        <v>5</v>
      </c>
      <c r="BF661" s="201">
        <v>41555</v>
      </c>
      <c r="BG661" s="203">
        <v>-4</v>
      </c>
      <c r="BH661" s="151">
        <v>41842</v>
      </c>
      <c r="BM661" s="204">
        <v>65.099999999999994</v>
      </c>
      <c r="BN661" s="151">
        <v>41842</v>
      </c>
      <c r="BQ661" s="205">
        <v>11.2</v>
      </c>
      <c r="BR661" s="151">
        <v>41842</v>
      </c>
      <c r="BS661" s="206">
        <v>47.3</v>
      </c>
      <c r="BT661" s="151">
        <v>41842</v>
      </c>
      <c r="BU661" s="207">
        <v>14.3</v>
      </c>
      <c r="BV661" s="151">
        <v>41842</v>
      </c>
      <c r="BW661" s="206">
        <v>16.100000000000001</v>
      </c>
      <c r="BX661" s="151">
        <v>41842</v>
      </c>
      <c r="BY661" s="210">
        <v>7.43</v>
      </c>
      <c r="BZ661" s="151">
        <v>41842</v>
      </c>
      <c r="CA661" s="206">
        <v>32.700000000000003</v>
      </c>
      <c r="CB661" s="151">
        <v>41842</v>
      </c>
      <c r="CC661" s="208">
        <v>7.1</v>
      </c>
      <c r="CD661" s="151">
        <v>41838</v>
      </c>
      <c r="CL661" s="209">
        <v>3</v>
      </c>
      <c r="CM661" s="201">
        <v>41810</v>
      </c>
    </row>
    <row r="662" spans="1:91" ht="15">
      <c r="A662" s="152" t="s">
        <v>8055</v>
      </c>
      <c r="B662" s="110" t="s">
        <v>235</v>
      </c>
      <c r="C662" s="110" t="s">
        <v>8082</v>
      </c>
      <c r="D662" s="110">
        <v>11459</v>
      </c>
      <c r="E662" s="111">
        <v>2</v>
      </c>
      <c r="F662" s="111">
        <v>733</v>
      </c>
      <c r="K662" s="134">
        <v>5</v>
      </c>
      <c r="L662" s="151">
        <v>41701</v>
      </c>
      <c r="M662" s="169">
        <v>5.75</v>
      </c>
      <c r="N662" s="151">
        <v>41838</v>
      </c>
      <c r="Q662" s="497"/>
      <c r="S662" s="134">
        <v>20.68</v>
      </c>
      <c r="T662" s="151">
        <v>41842</v>
      </c>
      <c r="U662" s="134">
        <v>13.5</v>
      </c>
      <c r="V662" s="151">
        <v>41838</v>
      </c>
      <c r="W662" s="196">
        <v>9</v>
      </c>
      <c r="X662" s="151">
        <v>41829</v>
      </c>
      <c r="Y662" s="134">
        <f t="shared" si="10"/>
        <v>6.5941700000000001</v>
      </c>
      <c r="AC662" s="134">
        <v>42.59</v>
      </c>
      <c r="AD662" s="151">
        <v>41838</v>
      </c>
      <c r="AE662" s="134">
        <v>43.67</v>
      </c>
      <c r="AF662" s="151">
        <v>41838</v>
      </c>
      <c r="AG662" s="197">
        <v>5.0999999999999996</v>
      </c>
      <c r="AH662" s="151">
        <v>41843</v>
      </c>
      <c r="AI662" s="198">
        <v>7</v>
      </c>
      <c r="AJ662" s="151">
        <v>41778</v>
      </c>
      <c r="AK662" s="199">
        <v>5</v>
      </c>
      <c r="AL662" s="151">
        <v>41709</v>
      </c>
      <c r="BE662" s="200">
        <v>5</v>
      </c>
      <c r="BF662" s="201">
        <v>41555</v>
      </c>
      <c r="BG662" s="203">
        <v>-7.2</v>
      </c>
      <c r="BH662" s="151">
        <v>41842</v>
      </c>
      <c r="BM662" s="204">
        <v>62.8</v>
      </c>
      <c r="BN662" s="151">
        <v>41842</v>
      </c>
      <c r="BQ662" s="205">
        <v>10.8</v>
      </c>
      <c r="BR662" s="151">
        <v>41842</v>
      </c>
      <c r="BS662" s="206">
        <v>47.4</v>
      </c>
      <c r="BT662" s="151">
        <v>41842</v>
      </c>
      <c r="BU662" s="207">
        <v>15.1</v>
      </c>
      <c r="BV662" s="151">
        <v>41842</v>
      </c>
      <c r="BW662" s="206">
        <v>12.1</v>
      </c>
      <c r="BX662" s="151">
        <v>41842</v>
      </c>
      <c r="BY662" s="210">
        <v>7.16</v>
      </c>
      <c r="BZ662" s="151">
        <v>41842</v>
      </c>
      <c r="CA662" s="206">
        <v>34.5</v>
      </c>
      <c r="CB662" s="151">
        <v>41842</v>
      </c>
      <c r="CC662" s="208">
        <v>6.7</v>
      </c>
      <c r="CD662" s="151">
        <v>41838</v>
      </c>
      <c r="CL662" s="209">
        <v>3</v>
      </c>
      <c r="CM662" s="201">
        <v>41810</v>
      </c>
    </row>
    <row r="663" spans="1:91" ht="15">
      <c r="A663" s="152" t="s">
        <v>8055</v>
      </c>
      <c r="B663" s="110" t="s">
        <v>233</v>
      </c>
      <c r="C663" s="110" t="s">
        <v>381</v>
      </c>
      <c r="D663" s="110">
        <v>11063</v>
      </c>
      <c r="E663" s="111">
        <v>3</v>
      </c>
      <c r="F663" s="111">
        <v>585</v>
      </c>
      <c r="K663" s="134">
        <v>5</v>
      </c>
      <c r="L663" s="151">
        <v>41701</v>
      </c>
      <c r="M663" s="169">
        <v>4.25</v>
      </c>
      <c r="N663" s="151">
        <v>41838</v>
      </c>
      <c r="Q663" s="497"/>
      <c r="S663" s="134">
        <v>15.81</v>
      </c>
      <c r="T663" s="151">
        <v>41842</v>
      </c>
      <c r="U663" s="134">
        <v>13.5</v>
      </c>
      <c r="V663" s="151">
        <v>41838</v>
      </c>
      <c r="W663" s="196">
        <v>9</v>
      </c>
      <c r="X663" s="151">
        <v>41829</v>
      </c>
      <c r="Y663" s="134">
        <f t="shared" si="10"/>
        <v>4.3251600000000003</v>
      </c>
      <c r="AC663" s="134">
        <v>31.48</v>
      </c>
      <c r="AD663" s="151">
        <v>41838</v>
      </c>
      <c r="AE663" s="134">
        <v>32.520000000000003</v>
      </c>
      <c r="AF663" s="151">
        <v>41838</v>
      </c>
      <c r="AG663" s="197">
        <v>4.9000000000000004</v>
      </c>
      <c r="AH663" s="151">
        <v>41843</v>
      </c>
      <c r="AI663" s="198">
        <v>5</v>
      </c>
      <c r="AJ663" s="151">
        <v>41778</v>
      </c>
      <c r="AK663" s="199">
        <v>5</v>
      </c>
      <c r="AL663" s="151">
        <v>41709</v>
      </c>
      <c r="BE663" s="200">
        <v>5</v>
      </c>
      <c r="BF663" s="201">
        <v>41555</v>
      </c>
      <c r="BG663" s="203">
        <v>-7.3</v>
      </c>
      <c r="BH663" s="151">
        <v>41842</v>
      </c>
      <c r="BM663" s="204">
        <v>63.6</v>
      </c>
      <c r="BN663" s="151">
        <v>41842</v>
      </c>
      <c r="BQ663" s="205">
        <v>10.4</v>
      </c>
      <c r="BR663" s="151">
        <v>41842</v>
      </c>
      <c r="BS663" s="206">
        <v>48.6</v>
      </c>
      <c r="BT663" s="151">
        <v>41842</v>
      </c>
      <c r="BU663" s="207">
        <v>13.3</v>
      </c>
      <c r="BV663" s="151">
        <v>41842</v>
      </c>
      <c r="BW663" s="206">
        <v>11.8</v>
      </c>
      <c r="BX663" s="151">
        <v>41842</v>
      </c>
      <c r="BY663" s="210">
        <v>7.05</v>
      </c>
      <c r="BZ663" s="151">
        <v>41842</v>
      </c>
      <c r="CA663" s="206">
        <v>31.4</v>
      </c>
      <c r="CB663" s="151">
        <v>41842</v>
      </c>
      <c r="CC663" s="208">
        <v>6</v>
      </c>
      <c r="CD663" s="151">
        <v>41838</v>
      </c>
      <c r="CL663" s="209">
        <v>3</v>
      </c>
      <c r="CM663" s="201">
        <v>41810</v>
      </c>
    </row>
    <row r="664" spans="1:91" ht="15">
      <c r="A664" s="152" t="s">
        <v>8055</v>
      </c>
      <c r="B664" s="110" t="s">
        <v>235</v>
      </c>
      <c r="C664" s="110" t="s">
        <v>8081</v>
      </c>
      <c r="D664" s="110">
        <v>11241</v>
      </c>
      <c r="E664" s="111">
        <v>8</v>
      </c>
      <c r="F664" s="111">
        <v>577</v>
      </c>
      <c r="K664" s="134">
        <v>5</v>
      </c>
      <c r="L664" s="151">
        <v>41701</v>
      </c>
      <c r="M664" s="169">
        <v>5.95</v>
      </c>
      <c r="N664" s="151">
        <v>41838</v>
      </c>
      <c r="Q664" s="497"/>
      <c r="S664" s="134">
        <v>22.24</v>
      </c>
      <c r="T664" s="151">
        <v>41842</v>
      </c>
      <c r="U664" s="134">
        <v>13.5</v>
      </c>
      <c r="V664" s="151">
        <v>41838</v>
      </c>
      <c r="W664" s="196">
        <v>9</v>
      </c>
      <c r="X664" s="151">
        <v>41829</v>
      </c>
      <c r="Y664" s="134">
        <f t="shared" si="10"/>
        <v>6.2444599999999992</v>
      </c>
      <c r="AC664" s="134">
        <v>44.07</v>
      </c>
      <c r="AD664" s="151">
        <v>41838</v>
      </c>
      <c r="AE664" s="134">
        <v>45.58</v>
      </c>
      <c r="AF664" s="151">
        <v>41838</v>
      </c>
      <c r="AG664" s="197">
        <v>4.8</v>
      </c>
      <c r="AH664" s="151">
        <v>41843</v>
      </c>
      <c r="AI664" s="198">
        <v>5</v>
      </c>
      <c r="AJ664" s="151">
        <v>41778</v>
      </c>
      <c r="AK664" s="199">
        <v>5</v>
      </c>
      <c r="AL664" s="151">
        <v>41709</v>
      </c>
      <c r="BE664" s="200">
        <v>5</v>
      </c>
      <c r="BF664" s="201">
        <v>41555</v>
      </c>
      <c r="BG664" s="203">
        <v>-3.5</v>
      </c>
      <c r="BH664" s="151">
        <v>41842</v>
      </c>
      <c r="BM664" s="204">
        <v>64.5</v>
      </c>
      <c r="BN664" s="151">
        <v>41842</v>
      </c>
      <c r="BQ664" s="205">
        <v>10</v>
      </c>
      <c r="BR664" s="151">
        <v>41842</v>
      </c>
      <c r="BS664" s="206">
        <v>48.8</v>
      </c>
      <c r="BT664" s="151">
        <v>41842</v>
      </c>
      <c r="BU664" s="207">
        <v>13.7</v>
      </c>
      <c r="BV664" s="151">
        <v>41842</v>
      </c>
      <c r="BW664" s="206">
        <v>13.1</v>
      </c>
      <c r="BX664" s="151">
        <v>41842</v>
      </c>
      <c r="BY664" s="210">
        <v>6.77</v>
      </c>
      <c r="BZ664" s="151">
        <v>41842</v>
      </c>
      <c r="CA664" s="206">
        <v>32.4</v>
      </c>
      <c r="CB664" s="151">
        <v>41842</v>
      </c>
      <c r="CC664" s="208">
        <v>5.9</v>
      </c>
      <c r="CD664" s="151">
        <v>41838</v>
      </c>
      <c r="CL664" s="209">
        <v>3</v>
      </c>
      <c r="CM664" s="201">
        <v>41810</v>
      </c>
    </row>
    <row r="665" spans="1:91" ht="15">
      <c r="A665" s="152" t="s">
        <v>8055</v>
      </c>
      <c r="B665" s="110" t="s">
        <v>233</v>
      </c>
      <c r="C665" s="110" t="s">
        <v>8083</v>
      </c>
      <c r="D665" s="110">
        <v>11814</v>
      </c>
      <c r="E665" s="111">
        <v>12</v>
      </c>
      <c r="F665" s="111">
        <v>713</v>
      </c>
      <c r="K665" s="191">
        <v>3</v>
      </c>
      <c r="L665" s="151">
        <v>41701</v>
      </c>
      <c r="M665" s="169">
        <v>3.7</v>
      </c>
      <c r="N665" s="151">
        <v>41838</v>
      </c>
      <c r="Q665" s="497"/>
      <c r="S665" s="134">
        <v>13.75</v>
      </c>
      <c r="T665" s="151">
        <v>41842</v>
      </c>
      <c r="U665" s="134">
        <v>13.5</v>
      </c>
      <c r="V665" s="151">
        <v>41838</v>
      </c>
      <c r="W665" s="196">
        <v>9</v>
      </c>
      <c r="X665" s="151">
        <v>41829</v>
      </c>
      <c r="Y665" s="134">
        <f t="shared" si="10"/>
        <v>3.8420000000000001</v>
      </c>
      <c r="AC665" s="134">
        <v>27.41</v>
      </c>
      <c r="AD665" s="151">
        <v>41838</v>
      </c>
      <c r="AE665" s="134">
        <v>28.25</v>
      </c>
      <c r="AF665" s="151">
        <v>41838</v>
      </c>
      <c r="AG665" s="197">
        <v>5.2</v>
      </c>
      <c r="AH665" s="151">
        <v>41843</v>
      </c>
      <c r="AI665" s="198">
        <v>7</v>
      </c>
      <c r="AJ665" s="151">
        <v>41778</v>
      </c>
      <c r="AK665" s="199">
        <v>5</v>
      </c>
      <c r="AL665" s="151">
        <v>41709</v>
      </c>
      <c r="BE665" s="200">
        <v>5</v>
      </c>
      <c r="BF665" s="201">
        <v>41555</v>
      </c>
      <c r="BG665" s="203">
        <v>-10.1</v>
      </c>
      <c r="BH665" s="151">
        <v>41842</v>
      </c>
      <c r="BM665" s="204">
        <v>63.2</v>
      </c>
      <c r="BN665" s="151">
        <v>41842</v>
      </c>
      <c r="BQ665" s="205">
        <v>10.7</v>
      </c>
      <c r="BR665" s="151">
        <v>41842</v>
      </c>
      <c r="BS665" s="206">
        <v>48.7</v>
      </c>
      <c r="BT665" s="151">
        <v>41842</v>
      </c>
      <c r="BU665" s="207">
        <v>13.6</v>
      </c>
      <c r="BV665" s="151">
        <v>41842</v>
      </c>
      <c r="BW665" s="206">
        <v>10.5</v>
      </c>
      <c r="BX665" s="151">
        <v>41842</v>
      </c>
      <c r="BY665" s="210">
        <v>6.84</v>
      </c>
      <c r="BZ665" s="151">
        <v>41842</v>
      </c>
      <c r="CA665" s="206">
        <v>32.1</v>
      </c>
      <c r="CB665" s="151">
        <v>41842</v>
      </c>
      <c r="CC665" s="208">
        <v>6.2</v>
      </c>
      <c r="CD665" s="151">
        <v>41838</v>
      </c>
      <c r="CL665" s="209">
        <v>3</v>
      </c>
      <c r="CM665" s="201">
        <v>41810</v>
      </c>
    </row>
    <row r="666" spans="1:91" ht="15">
      <c r="A666" s="152" t="s">
        <v>8056</v>
      </c>
      <c r="B666" s="110" t="s">
        <v>233</v>
      </c>
      <c r="C666" s="110" t="s">
        <v>381</v>
      </c>
      <c r="D666" s="110">
        <v>11157</v>
      </c>
      <c r="E666" s="111">
        <v>6</v>
      </c>
      <c r="F666" s="111">
        <v>529</v>
      </c>
      <c r="K666" s="134">
        <v>5</v>
      </c>
      <c r="L666" s="151">
        <v>41701</v>
      </c>
      <c r="M666" s="169">
        <v>4.55</v>
      </c>
      <c r="N666" s="151">
        <v>41838</v>
      </c>
      <c r="Q666" s="497"/>
      <c r="S666" s="134">
        <v>16.93</v>
      </c>
      <c r="T666" s="151">
        <v>41842</v>
      </c>
      <c r="U666" s="134">
        <v>13.5</v>
      </c>
      <c r="V666" s="151">
        <v>41838</v>
      </c>
      <c r="W666" s="196">
        <v>9</v>
      </c>
      <c r="X666" s="151">
        <v>41829</v>
      </c>
      <c r="Y666" s="134">
        <f t="shared" si="10"/>
        <v>4.2865500000000001</v>
      </c>
      <c r="AC666" s="134">
        <v>33.700000000000003</v>
      </c>
      <c r="AD666" s="151">
        <v>41838</v>
      </c>
      <c r="AE666" s="134">
        <v>34.85</v>
      </c>
      <c r="AF666" s="151">
        <v>41838</v>
      </c>
      <c r="AG666" s="197">
        <v>5</v>
      </c>
      <c r="AH666" s="151">
        <v>41843</v>
      </c>
      <c r="AI666" s="198">
        <v>3</v>
      </c>
      <c r="AJ666" s="151">
        <v>41778</v>
      </c>
      <c r="AK666" s="199">
        <v>5</v>
      </c>
      <c r="AL666" s="151">
        <v>41709</v>
      </c>
      <c r="BE666" s="200">
        <v>5</v>
      </c>
      <c r="BF666" s="201">
        <v>41555</v>
      </c>
      <c r="BG666" s="203">
        <v>-4.2</v>
      </c>
      <c r="BH666" s="151">
        <v>41842</v>
      </c>
      <c r="BM666" s="204">
        <v>65</v>
      </c>
      <c r="BN666" s="151">
        <v>41842</v>
      </c>
      <c r="BQ666" s="205">
        <v>9.6999999999999993</v>
      </c>
      <c r="BR666" s="151">
        <v>41842</v>
      </c>
      <c r="BS666" s="206">
        <v>48.6</v>
      </c>
      <c r="BT666" s="151">
        <v>41842</v>
      </c>
      <c r="BU666" s="207">
        <v>12.3</v>
      </c>
      <c r="BV666" s="151">
        <v>41842</v>
      </c>
      <c r="BW666" s="206">
        <v>14.1</v>
      </c>
      <c r="BX666" s="151">
        <v>41842</v>
      </c>
      <c r="BY666" s="210">
        <v>7.29</v>
      </c>
      <c r="BZ666" s="151">
        <v>41842</v>
      </c>
      <c r="CA666" s="206">
        <v>29</v>
      </c>
      <c r="CB666" s="151">
        <v>41842</v>
      </c>
      <c r="CC666" s="208">
        <v>5.9</v>
      </c>
      <c r="CD666" s="151">
        <v>41838</v>
      </c>
      <c r="CL666" s="209">
        <v>3</v>
      </c>
      <c r="CM666" s="201">
        <v>41810</v>
      </c>
    </row>
    <row r="667" spans="1:91" ht="15">
      <c r="A667" s="152" t="s">
        <v>8056</v>
      </c>
      <c r="B667" s="110" t="s">
        <v>235</v>
      </c>
      <c r="C667" s="110" t="s">
        <v>8082</v>
      </c>
      <c r="D667" s="110">
        <v>11583</v>
      </c>
      <c r="E667" s="111">
        <v>6</v>
      </c>
      <c r="F667" s="111">
        <v>653</v>
      </c>
      <c r="K667" s="134">
        <v>5</v>
      </c>
      <c r="L667" s="151">
        <v>41701</v>
      </c>
      <c r="M667" s="169">
        <v>5.8</v>
      </c>
      <c r="N667" s="151">
        <v>41838</v>
      </c>
      <c r="Q667" s="497"/>
      <c r="S667" s="134">
        <v>21.15</v>
      </c>
      <c r="T667" s="151">
        <v>41842</v>
      </c>
      <c r="U667" s="134">
        <v>13.5</v>
      </c>
      <c r="V667" s="151">
        <v>41838</v>
      </c>
      <c r="W667" s="196">
        <v>1</v>
      </c>
      <c r="X667" s="151">
        <v>41829</v>
      </c>
      <c r="Y667" s="134">
        <f t="shared" si="10"/>
        <v>5.8203300000000002</v>
      </c>
      <c r="AC667" s="134">
        <v>42.96</v>
      </c>
      <c r="AD667" s="151">
        <v>41838</v>
      </c>
      <c r="AE667" s="134">
        <v>44.43</v>
      </c>
      <c r="AF667" s="151">
        <v>41838</v>
      </c>
      <c r="AG667" s="197">
        <v>5.3</v>
      </c>
      <c r="AH667" s="151">
        <v>41843</v>
      </c>
      <c r="AI667" s="198">
        <v>5</v>
      </c>
      <c r="AJ667" s="151">
        <v>41778</v>
      </c>
      <c r="AK667" s="199">
        <v>4</v>
      </c>
      <c r="AL667" s="151">
        <v>41709</v>
      </c>
      <c r="BE667" s="200">
        <v>4</v>
      </c>
      <c r="BF667" s="201">
        <v>41555</v>
      </c>
      <c r="BG667" s="203">
        <v>-6.8</v>
      </c>
      <c r="BH667" s="151">
        <v>41842</v>
      </c>
      <c r="BM667" s="204">
        <v>63.9</v>
      </c>
      <c r="BN667" s="151">
        <v>41842</v>
      </c>
      <c r="BQ667" s="205">
        <v>10.4</v>
      </c>
      <c r="BR667" s="151">
        <v>41842</v>
      </c>
      <c r="BS667" s="206">
        <v>47.6</v>
      </c>
      <c r="BT667" s="151">
        <v>41842</v>
      </c>
      <c r="BU667" s="207">
        <v>13.1</v>
      </c>
      <c r="BV667" s="151">
        <v>41842</v>
      </c>
      <c r="BW667" s="206">
        <v>12.7</v>
      </c>
      <c r="BX667" s="151">
        <v>41842</v>
      </c>
      <c r="BY667" s="210">
        <v>7.52</v>
      </c>
      <c r="BZ667" s="151">
        <v>41842</v>
      </c>
      <c r="CA667" s="206">
        <v>30.2</v>
      </c>
      <c r="CB667" s="151">
        <v>41842</v>
      </c>
      <c r="CC667" s="208">
        <v>5.9</v>
      </c>
      <c r="CD667" s="151">
        <v>41838</v>
      </c>
      <c r="CL667" s="209">
        <v>3</v>
      </c>
      <c r="CM667" s="201">
        <v>41810</v>
      </c>
    </row>
    <row r="668" spans="1:91" ht="15">
      <c r="A668" s="152" t="s">
        <v>8056</v>
      </c>
      <c r="B668" s="110" t="s">
        <v>235</v>
      </c>
      <c r="C668" s="110" t="s">
        <v>8081</v>
      </c>
      <c r="D668" s="110">
        <v>11236</v>
      </c>
      <c r="E668" s="111">
        <v>8</v>
      </c>
      <c r="F668" s="111">
        <v>557</v>
      </c>
      <c r="K668" s="134">
        <v>5</v>
      </c>
      <c r="L668" s="151">
        <v>41701</v>
      </c>
      <c r="M668" s="169">
        <v>5.85</v>
      </c>
      <c r="N668" s="151">
        <v>41838</v>
      </c>
      <c r="Q668" s="497"/>
      <c r="S668" s="134">
        <v>21.31</v>
      </c>
      <c r="T668" s="151">
        <v>41842</v>
      </c>
      <c r="U668" s="134">
        <v>13.5</v>
      </c>
      <c r="V668" s="151">
        <v>41838</v>
      </c>
      <c r="W668" s="196">
        <v>9</v>
      </c>
      <c r="X668" s="151">
        <v>41829</v>
      </c>
      <c r="Y668" s="134">
        <f t="shared" si="10"/>
        <v>6.1009599999999997</v>
      </c>
      <c r="AC668" s="134">
        <v>43.33</v>
      </c>
      <c r="AD668" s="151">
        <v>41838</v>
      </c>
      <c r="AE668" s="134">
        <v>44.86</v>
      </c>
      <c r="AF668" s="151">
        <v>41838</v>
      </c>
      <c r="AG668" s="197">
        <v>4.5999999999999996</v>
      </c>
      <c r="AH668" s="151">
        <v>41843</v>
      </c>
      <c r="AI668" s="198">
        <v>5</v>
      </c>
      <c r="AJ668" s="151">
        <v>41778</v>
      </c>
      <c r="AK668" s="199">
        <v>5</v>
      </c>
      <c r="AL668" s="151">
        <v>41709</v>
      </c>
      <c r="BE668" s="200">
        <v>5</v>
      </c>
      <c r="BF668" s="201">
        <v>41555</v>
      </c>
      <c r="BG668" s="203">
        <v>-2.8</v>
      </c>
      <c r="BH668" s="151">
        <v>41842</v>
      </c>
      <c r="BM668" s="204">
        <v>65.099999999999994</v>
      </c>
      <c r="BN668" s="151">
        <v>41842</v>
      </c>
      <c r="BQ668" s="205">
        <v>10.5</v>
      </c>
      <c r="BR668" s="151">
        <v>41842</v>
      </c>
      <c r="BS668" s="206">
        <v>47.5</v>
      </c>
      <c r="BT668" s="151">
        <v>41842</v>
      </c>
      <c r="BU668" s="207">
        <v>13.6</v>
      </c>
      <c r="BV668" s="151">
        <v>41842</v>
      </c>
      <c r="BW668" s="206">
        <v>14</v>
      </c>
      <c r="BX668" s="151">
        <v>41842</v>
      </c>
      <c r="BY668" s="210">
        <v>6.99</v>
      </c>
      <c r="BZ668" s="151">
        <v>41842</v>
      </c>
      <c r="CA668" s="206">
        <v>31.2</v>
      </c>
      <c r="CB668" s="151">
        <v>41842</v>
      </c>
      <c r="CC668" s="208">
        <v>5.8</v>
      </c>
      <c r="CD668" s="151">
        <v>41838</v>
      </c>
      <c r="CL668" s="209">
        <v>3</v>
      </c>
      <c r="CM668" s="201">
        <v>41810</v>
      </c>
    </row>
    <row r="669" spans="1:91" ht="15">
      <c r="A669" s="152" t="s">
        <v>8056</v>
      </c>
      <c r="B669" s="110" t="s">
        <v>233</v>
      </c>
      <c r="C669" s="110" t="s">
        <v>8083</v>
      </c>
      <c r="D669" s="110">
        <v>11753</v>
      </c>
      <c r="E669" s="111">
        <v>10</v>
      </c>
      <c r="F669" s="111">
        <v>757</v>
      </c>
      <c r="J669" s="187"/>
      <c r="K669" s="191">
        <v>3</v>
      </c>
      <c r="L669" s="151">
        <v>41701</v>
      </c>
      <c r="M669" s="169">
        <v>3.4</v>
      </c>
      <c r="N669" s="151">
        <v>41838</v>
      </c>
      <c r="Q669" s="497"/>
      <c r="S669" s="134">
        <v>12.55</v>
      </c>
      <c r="T669" s="151">
        <v>41842</v>
      </c>
      <c r="U669" s="134">
        <v>13.5</v>
      </c>
      <c r="V669" s="151">
        <v>41838</v>
      </c>
      <c r="W669" s="196">
        <v>9</v>
      </c>
      <c r="X669" s="151">
        <v>41829</v>
      </c>
      <c r="Y669" s="134">
        <f t="shared" si="10"/>
        <v>3.2892999999999994</v>
      </c>
      <c r="AC669" s="134">
        <v>25.19</v>
      </c>
      <c r="AD669" s="151">
        <v>41838</v>
      </c>
      <c r="AE669" s="134">
        <v>25.9</v>
      </c>
      <c r="AF669" s="151">
        <v>41838</v>
      </c>
      <c r="AG669" s="197">
        <v>5</v>
      </c>
      <c r="AH669" s="151">
        <v>41843</v>
      </c>
      <c r="AI669" s="198">
        <v>5</v>
      </c>
      <c r="AJ669" s="151">
        <v>41778</v>
      </c>
      <c r="AK669" s="199">
        <v>5</v>
      </c>
      <c r="AL669" s="151">
        <v>41709</v>
      </c>
      <c r="BE669" s="200">
        <v>5</v>
      </c>
      <c r="BF669" s="201">
        <v>41555</v>
      </c>
      <c r="BG669" s="203">
        <v>-6.1</v>
      </c>
      <c r="BH669" s="151">
        <v>41842</v>
      </c>
      <c r="BM669" s="204">
        <v>64.8</v>
      </c>
      <c r="BN669" s="151">
        <v>41842</v>
      </c>
      <c r="BQ669" s="205">
        <v>10.6</v>
      </c>
      <c r="BR669" s="151">
        <v>41842</v>
      </c>
      <c r="BS669" s="206">
        <v>48.4</v>
      </c>
      <c r="BT669" s="151">
        <v>41842</v>
      </c>
      <c r="BU669" s="207">
        <v>12.7</v>
      </c>
      <c r="BV669" s="151">
        <v>41842</v>
      </c>
      <c r="BW669" s="206">
        <v>15.4</v>
      </c>
      <c r="BX669" s="151">
        <v>41842</v>
      </c>
      <c r="BY669" s="210">
        <v>7.01</v>
      </c>
      <c r="BZ669" s="151">
        <v>41842</v>
      </c>
      <c r="CA669" s="206">
        <v>29.7</v>
      </c>
      <c r="CB669" s="151">
        <v>41842</v>
      </c>
      <c r="CC669" s="208">
        <v>6.4</v>
      </c>
      <c r="CD669" s="151">
        <v>41838</v>
      </c>
      <c r="CL669" s="209">
        <v>3</v>
      </c>
      <c r="CM669" s="201">
        <v>41810</v>
      </c>
    </row>
    <row r="670" spans="1:91" ht="15">
      <c r="A670" s="152" t="s">
        <v>8057</v>
      </c>
      <c r="B670" s="110" t="s">
        <v>233</v>
      </c>
      <c r="C670" s="110" t="s">
        <v>381</v>
      </c>
      <c r="D670" s="110">
        <v>11096</v>
      </c>
      <c r="E670" s="111">
        <v>4</v>
      </c>
      <c r="F670" s="111">
        <v>573</v>
      </c>
      <c r="K670" s="134">
        <v>5</v>
      </c>
      <c r="L670" s="151">
        <v>41701</v>
      </c>
      <c r="M670" s="169">
        <v>4.7</v>
      </c>
      <c r="N670" s="151">
        <v>41838</v>
      </c>
      <c r="Q670" s="497"/>
      <c r="S670" s="134">
        <v>17.329999999999998</v>
      </c>
      <c r="T670" s="151">
        <v>41842</v>
      </c>
      <c r="U670" s="134">
        <v>13.5</v>
      </c>
      <c r="V670" s="151">
        <v>41838</v>
      </c>
      <c r="W670" s="196">
        <v>9</v>
      </c>
      <c r="X670" s="151">
        <v>41829</v>
      </c>
      <c r="Y670" s="134">
        <f t="shared" si="10"/>
        <v>4.32</v>
      </c>
      <c r="AC670" s="134">
        <v>34.81</v>
      </c>
      <c r="AD670" s="151">
        <v>41838</v>
      </c>
      <c r="AE670" s="134">
        <v>36</v>
      </c>
      <c r="AF670" s="151">
        <v>41838</v>
      </c>
      <c r="AG670" s="197">
        <v>5.2</v>
      </c>
      <c r="AH670" s="151">
        <v>41843</v>
      </c>
      <c r="AI670" s="198">
        <v>5</v>
      </c>
      <c r="AJ670" s="151">
        <v>41778</v>
      </c>
      <c r="AK670" s="199">
        <v>5</v>
      </c>
      <c r="AL670" s="151">
        <v>41709</v>
      </c>
      <c r="BE670" s="200">
        <v>5</v>
      </c>
      <c r="BF670" s="201">
        <v>41555</v>
      </c>
      <c r="BG670" s="203">
        <v>-7.4</v>
      </c>
      <c r="BH670" s="151">
        <v>41842</v>
      </c>
      <c r="BM670" s="204">
        <v>66.2</v>
      </c>
      <c r="BN670" s="151">
        <v>41842</v>
      </c>
      <c r="BQ670" s="205">
        <v>9.5</v>
      </c>
      <c r="BR670" s="151">
        <v>41842</v>
      </c>
      <c r="BS670" s="206">
        <v>48.1</v>
      </c>
      <c r="BT670" s="151">
        <v>41842</v>
      </c>
      <c r="BU670" s="207">
        <v>12</v>
      </c>
      <c r="BV670" s="151">
        <v>41842</v>
      </c>
      <c r="BW670" s="206">
        <v>11.2</v>
      </c>
      <c r="BX670" s="151">
        <v>41842</v>
      </c>
      <c r="BY670" s="210">
        <v>6.75</v>
      </c>
      <c r="BZ670" s="151">
        <v>41842</v>
      </c>
      <c r="CA670" s="206">
        <v>28</v>
      </c>
      <c r="CB670" s="151">
        <v>41842</v>
      </c>
      <c r="CC670" s="208">
        <v>5.9</v>
      </c>
      <c r="CD670" s="151">
        <v>41838</v>
      </c>
      <c r="CL670" s="209">
        <v>3</v>
      </c>
      <c r="CM670" s="201">
        <v>41810</v>
      </c>
    </row>
    <row r="671" spans="1:91" ht="15">
      <c r="A671" s="152" t="s">
        <v>8057</v>
      </c>
      <c r="B671" s="110" t="s">
        <v>235</v>
      </c>
      <c r="C671" s="110" t="s">
        <v>8082</v>
      </c>
      <c r="D671" s="110">
        <v>11609</v>
      </c>
      <c r="E671" s="111">
        <v>6</v>
      </c>
      <c r="F671" s="111">
        <v>757</v>
      </c>
      <c r="K671" s="134">
        <v>5</v>
      </c>
      <c r="L671" s="151">
        <v>41701</v>
      </c>
      <c r="M671" s="169">
        <v>4.95</v>
      </c>
      <c r="N671" s="151">
        <v>41838</v>
      </c>
      <c r="Q671" s="497"/>
      <c r="S671" s="134">
        <v>17.95</v>
      </c>
      <c r="T671" s="151">
        <v>41842</v>
      </c>
      <c r="U671" s="134">
        <v>13.5</v>
      </c>
      <c r="V671" s="151">
        <v>41838</v>
      </c>
      <c r="W671" s="196">
        <v>9</v>
      </c>
      <c r="X671" s="151">
        <v>41829</v>
      </c>
      <c r="Y671" s="134">
        <f t="shared" si="10"/>
        <v>4.8749099999999999</v>
      </c>
      <c r="AC671" s="134">
        <v>36.67</v>
      </c>
      <c r="AD671" s="151">
        <v>41838</v>
      </c>
      <c r="AE671" s="134">
        <v>37.79</v>
      </c>
      <c r="AF671" s="151">
        <v>41838</v>
      </c>
      <c r="AG671" s="197">
        <v>5.0999999999999996</v>
      </c>
      <c r="AH671" s="151">
        <v>41843</v>
      </c>
      <c r="AI671" s="198">
        <v>5</v>
      </c>
      <c r="AJ671" s="151">
        <v>41778</v>
      </c>
      <c r="AK671" s="199">
        <v>4</v>
      </c>
      <c r="AL671" s="151">
        <v>41709</v>
      </c>
      <c r="BE671" s="200">
        <v>4</v>
      </c>
      <c r="BF671" s="201">
        <v>41555</v>
      </c>
      <c r="BG671" s="203">
        <v>-8.9</v>
      </c>
      <c r="BH671" s="151">
        <v>41842</v>
      </c>
      <c r="BM671" s="204">
        <v>64.599999999999994</v>
      </c>
      <c r="BN671" s="151">
        <v>41842</v>
      </c>
      <c r="BQ671" s="205">
        <v>10.3</v>
      </c>
      <c r="BR671" s="151">
        <v>41842</v>
      </c>
      <c r="BS671" s="206">
        <v>47.5</v>
      </c>
      <c r="BT671" s="151">
        <v>41842</v>
      </c>
      <c r="BU671" s="207">
        <v>12.9</v>
      </c>
      <c r="BV671" s="151">
        <v>41842</v>
      </c>
      <c r="BW671" s="206">
        <v>11.7</v>
      </c>
      <c r="BX671" s="151">
        <v>41842</v>
      </c>
      <c r="BY671" s="210">
        <v>6.76</v>
      </c>
      <c r="BZ671" s="151">
        <v>41842</v>
      </c>
      <c r="CA671" s="206">
        <v>29.6</v>
      </c>
      <c r="CB671" s="151">
        <v>41842</v>
      </c>
      <c r="CC671" s="208">
        <v>6.2</v>
      </c>
      <c r="CD671" s="151">
        <v>41838</v>
      </c>
      <c r="CL671" s="209">
        <v>3</v>
      </c>
      <c r="CM671" s="201">
        <v>41810</v>
      </c>
    </row>
    <row r="672" spans="1:91" ht="15">
      <c r="A672" s="152" t="s">
        <v>8057</v>
      </c>
      <c r="B672" s="110" t="s">
        <v>233</v>
      </c>
      <c r="C672" s="110" t="s">
        <v>8083</v>
      </c>
      <c r="D672" s="110">
        <v>11614</v>
      </c>
      <c r="E672" s="111">
        <v>7</v>
      </c>
      <c r="F672" s="111">
        <v>633</v>
      </c>
      <c r="K672" s="134">
        <v>5</v>
      </c>
      <c r="L672" s="151">
        <v>41701</v>
      </c>
      <c r="M672" s="169">
        <v>4.2</v>
      </c>
      <c r="N672" s="151">
        <v>41838</v>
      </c>
      <c r="Q672" s="497"/>
      <c r="S672" s="134">
        <v>15.38</v>
      </c>
      <c r="T672" s="151">
        <v>41842</v>
      </c>
      <c r="U672" s="134">
        <v>13.5</v>
      </c>
      <c r="V672" s="151">
        <v>41838</v>
      </c>
      <c r="W672" s="196">
        <v>9</v>
      </c>
      <c r="X672" s="151">
        <v>41829</v>
      </c>
      <c r="Y672" s="134">
        <f t="shared" si="10"/>
        <v>4.0944799999999999</v>
      </c>
      <c r="AC672" s="134">
        <v>31.11</v>
      </c>
      <c r="AD672" s="151">
        <v>41838</v>
      </c>
      <c r="AE672" s="134">
        <v>32.24</v>
      </c>
      <c r="AF672" s="151">
        <v>41838</v>
      </c>
      <c r="AG672" s="197">
        <v>5.0999999999999996</v>
      </c>
      <c r="AH672" s="151">
        <v>41843</v>
      </c>
      <c r="AI672" s="198">
        <v>5</v>
      </c>
      <c r="AJ672" s="151">
        <v>41778</v>
      </c>
      <c r="AK672" s="199">
        <v>4</v>
      </c>
      <c r="AL672" s="151">
        <v>41709</v>
      </c>
      <c r="BE672" s="200">
        <v>4</v>
      </c>
      <c r="BF672" s="201">
        <v>41555</v>
      </c>
      <c r="BG672" s="203">
        <v>-6.3</v>
      </c>
      <c r="BH672" s="151">
        <v>41842</v>
      </c>
      <c r="BM672" s="204">
        <v>65.400000000000006</v>
      </c>
      <c r="BN672" s="151">
        <v>41842</v>
      </c>
      <c r="BQ672" s="205">
        <v>9.8000000000000007</v>
      </c>
      <c r="BR672" s="151">
        <v>41842</v>
      </c>
      <c r="BS672" s="206">
        <v>47.7</v>
      </c>
      <c r="BT672" s="151">
        <v>41842</v>
      </c>
      <c r="BU672" s="207">
        <v>12.7</v>
      </c>
      <c r="BV672" s="151">
        <v>41842</v>
      </c>
      <c r="BW672" s="206">
        <v>12</v>
      </c>
      <c r="BX672" s="151">
        <v>41842</v>
      </c>
      <c r="BY672" s="210">
        <v>6.65</v>
      </c>
      <c r="BZ672" s="151">
        <v>41842</v>
      </c>
      <c r="CA672" s="206">
        <v>29.3</v>
      </c>
      <c r="CB672" s="151">
        <v>41842</v>
      </c>
      <c r="CC672" s="208">
        <v>5.7</v>
      </c>
      <c r="CD672" s="151">
        <v>41838</v>
      </c>
      <c r="CL672" s="209">
        <v>3</v>
      </c>
      <c r="CM672" s="201">
        <v>41810</v>
      </c>
    </row>
    <row r="673" spans="1:91" ht="15">
      <c r="A673" s="152" t="s">
        <v>8057</v>
      </c>
      <c r="B673" s="110" t="s">
        <v>235</v>
      </c>
      <c r="C673" s="110" t="s">
        <v>8081</v>
      </c>
      <c r="D673" s="110">
        <v>11295</v>
      </c>
      <c r="E673" s="111">
        <v>10</v>
      </c>
      <c r="F673" s="111">
        <v>505</v>
      </c>
      <c r="K673" s="134">
        <v>5</v>
      </c>
      <c r="L673" s="151">
        <v>41701</v>
      </c>
      <c r="M673" s="169">
        <v>6.15</v>
      </c>
      <c r="N673" s="151">
        <v>41838</v>
      </c>
      <c r="Q673" s="497"/>
      <c r="S673" s="134">
        <v>22.01</v>
      </c>
      <c r="T673" s="151">
        <v>41842</v>
      </c>
      <c r="U673" s="134">
        <v>13.5</v>
      </c>
      <c r="V673" s="151">
        <v>41838</v>
      </c>
      <c r="W673" s="196">
        <v>9</v>
      </c>
      <c r="X673" s="151">
        <v>41829</v>
      </c>
      <c r="Y673" s="134">
        <f t="shared" si="10"/>
        <v>6.1583099999999993</v>
      </c>
      <c r="AC673" s="134">
        <v>45.56</v>
      </c>
      <c r="AD673" s="151">
        <v>41838</v>
      </c>
      <c r="AE673" s="134">
        <v>47.01</v>
      </c>
      <c r="AF673" s="151">
        <v>41838</v>
      </c>
      <c r="AG673" s="197">
        <v>5</v>
      </c>
      <c r="AH673" s="151">
        <v>41843</v>
      </c>
      <c r="AI673" s="198">
        <v>7</v>
      </c>
      <c r="AJ673" s="151">
        <v>41778</v>
      </c>
      <c r="AK673" s="199">
        <v>5</v>
      </c>
      <c r="AL673" s="151">
        <v>41709</v>
      </c>
      <c r="BE673" s="200">
        <v>5</v>
      </c>
      <c r="BF673" s="201">
        <v>41555</v>
      </c>
      <c r="BG673" s="203">
        <v>-5.3</v>
      </c>
      <c r="BH673" s="151">
        <v>41842</v>
      </c>
      <c r="BM673" s="204">
        <v>66.099999999999994</v>
      </c>
      <c r="BN673" s="151">
        <v>41842</v>
      </c>
      <c r="BQ673" s="205">
        <v>9.8000000000000007</v>
      </c>
      <c r="BR673" s="151">
        <v>41842</v>
      </c>
      <c r="BS673" s="206">
        <v>46.8</v>
      </c>
      <c r="BT673" s="151">
        <v>41842</v>
      </c>
      <c r="BU673" s="207">
        <v>13.1</v>
      </c>
      <c r="BV673" s="151">
        <v>41842</v>
      </c>
      <c r="BW673" s="206">
        <v>10.8</v>
      </c>
      <c r="BX673" s="151">
        <v>41842</v>
      </c>
      <c r="BY673" s="210">
        <v>6.85</v>
      </c>
      <c r="BZ673" s="151">
        <v>41842</v>
      </c>
      <c r="CA673" s="206">
        <v>29.7</v>
      </c>
      <c r="CB673" s="151">
        <v>41842</v>
      </c>
      <c r="CC673" s="208">
        <v>6.1</v>
      </c>
      <c r="CD673" s="151">
        <v>41838</v>
      </c>
      <c r="CL673" s="209">
        <v>3</v>
      </c>
      <c r="CM673" s="201">
        <v>41810</v>
      </c>
    </row>
    <row r="674" spans="1:91" ht="15">
      <c r="A674" s="152" t="s">
        <v>8058</v>
      </c>
      <c r="B674" s="110" t="s">
        <v>233</v>
      </c>
      <c r="C674" s="110" t="s">
        <v>381</v>
      </c>
      <c r="D674" s="110">
        <v>11037</v>
      </c>
      <c r="E674" s="111">
        <v>3</v>
      </c>
      <c r="F674" s="111">
        <v>481</v>
      </c>
      <c r="K674" s="134">
        <v>5</v>
      </c>
      <c r="L674" s="151">
        <v>41701</v>
      </c>
      <c r="M674" s="169">
        <v>4.4000000000000004</v>
      </c>
      <c r="N674" s="151">
        <v>41838</v>
      </c>
      <c r="Q674" s="497"/>
      <c r="S674" s="134">
        <v>16.13</v>
      </c>
      <c r="T674" s="151">
        <v>41842</v>
      </c>
      <c r="U674" s="134">
        <v>13.5</v>
      </c>
      <c r="V674" s="151">
        <v>41838</v>
      </c>
      <c r="W674" s="196">
        <v>1</v>
      </c>
      <c r="X674" s="151">
        <v>41829</v>
      </c>
      <c r="Y674" s="134">
        <f t="shared" si="10"/>
        <v>4.1862500000000002</v>
      </c>
      <c r="AC674" s="134">
        <v>32.590000000000003</v>
      </c>
      <c r="AD674" s="151">
        <v>41838</v>
      </c>
      <c r="AE674" s="134">
        <v>33.49</v>
      </c>
      <c r="AF674" s="151">
        <v>41838</v>
      </c>
      <c r="AG674" s="197">
        <v>5.3</v>
      </c>
      <c r="AH674" s="151">
        <v>41843</v>
      </c>
      <c r="AI674" s="198">
        <v>5</v>
      </c>
      <c r="AJ674" s="151">
        <v>41778</v>
      </c>
      <c r="AK674" s="199">
        <v>7</v>
      </c>
      <c r="AL674" s="151">
        <v>41709</v>
      </c>
      <c r="BE674" s="200">
        <v>7</v>
      </c>
      <c r="BF674" s="201">
        <v>41555</v>
      </c>
      <c r="BG674" s="203">
        <v>-9</v>
      </c>
      <c r="BH674" s="151">
        <v>41842</v>
      </c>
      <c r="BM674" s="204">
        <v>65.599999999999994</v>
      </c>
      <c r="BN674" s="151">
        <v>41842</v>
      </c>
      <c r="BQ674" s="205">
        <v>9.4</v>
      </c>
      <c r="BR674" s="151">
        <v>41842</v>
      </c>
      <c r="BS674" s="206">
        <v>48.2</v>
      </c>
      <c r="BT674" s="151">
        <v>41842</v>
      </c>
      <c r="BU674" s="207">
        <v>12.5</v>
      </c>
      <c r="BV674" s="151">
        <v>41842</v>
      </c>
      <c r="BW674" s="206">
        <v>9.1999999999999993</v>
      </c>
      <c r="BX674" s="151">
        <v>41842</v>
      </c>
      <c r="BY674" s="210">
        <v>7.27</v>
      </c>
      <c r="BZ674" s="151">
        <v>41842</v>
      </c>
      <c r="CA674" s="206">
        <v>29.1</v>
      </c>
      <c r="CB674" s="151">
        <v>41842</v>
      </c>
      <c r="CC674" s="208">
        <v>6.5</v>
      </c>
      <c r="CD674" s="151">
        <v>41838</v>
      </c>
      <c r="CL674" s="209">
        <v>3</v>
      </c>
      <c r="CM674" s="201">
        <v>41810</v>
      </c>
    </row>
    <row r="675" spans="1:91" ht="15">
      <c r="A675" s="152" t="s">
        <v>8058</v>
      </c>
      <c r="B675" s="110" t="s">
        <v>235</v>
      </c>
      <c r="C675" s="110" t="s">
        <v>8082</v>
      </c>
      <c r="D675" s="110">
        <v>11571</v>
      </c>
      <c r="E675" s="111">
        <v>5</v>
      </c>
      <c r="F675" s="111">
        <v>749</v>
      </c>
      <c r="K675" s="194">
        <v>7</v>
      </c>
      <c r="L675" s="151">
        <v>41701</v>
      </c>
      <c r="M675" s="169">
        <v>6.65</v>
      </c>
      <c r="N675" s="151">
        <v>41838</v>
      </c>
      <c r="Q675" s="497"/>
      <c r="S675" s="134">
        <v>23.96</v>
      </c>
      <c r="T675" s="151">
        <v>41842</v>
      </c>
      <c r="U675" s="134">
        <v>13.5</v>
      </c>
      <c r="V675" s="151">
        <v>41838</v>
      </c>
      <c r="W675" s="196">
        <v>1</v>
      </c>
      <c r="X675" s="151">
        <v>41829</v>
      </c>
      <c r="Y675" s="134">
        <f t="shared" si="10"/>
        <v>6.6233599999999999</v>
      </c>
      <c r="AC675" s="134">
        <v>49.26</v>
      </c>
      <c r="AD675" s="151">
        <v>41838</v>
      </c>
      <c r="AE675" s="134">
        <v>50.56</v>
      </c>
      <c r="AF675" s="151">
        <v>41838</v>
      </c>
      <c r="AG675" s="197">
        <v>5.0999999999999996</v>
      </c>
      <c r="AH675" s="151">
        <v>41843</v>
      </c>
      <c r="AI675" s="198">
        <v>7</v>
      </c>
      <c r="AJ675" s="151">
        <v>41778</v>
      </c>
      <c r="AK675" s="199">
        <v>5</v>
      </c>
      <c r="AL675" s="151">
        <v>41709</v>
      </c>
      <c r="BE675" s="200">
        <v>5</v>
      </c>
      <c r="BF675" s="201">
        <v>41555</v>
      </c>
      <c r="BG675" s="203">
        <v>-8.5</v>
      </c>
      <c r="BH675" s="151">
        <v>41842</v>
      </c>
      <c r="BM675" s="204">
        <v>66.599999999999994</v>
      </c>
      <c r="BN675" s="151">
        <v>41842</v>
      </c>
      <c r="BQ675" s="205">
        <v>9.6</v>
      </c>
      <c r="BR675" s="151">
        <v>41842</v>
      </c>
      <c r="BS675" s="206">
        <v>47.4</v>
      </c>
      <c r="BT675" s="151">
        <v>41842</v>
      </c>
      <c r="BU675" s="207">
        <v>13.1</v>
      </c>
      <c r="BV675" s="151">
        <v>41842</v>
      </c>
      <c r="BW675" s="206">
        <v>8.5</v>
      </c>
      <c r="BX675" s="151">
        <v>41842</v>
      </c>
      <c r="BY675" s="210">
        <v>7.35</v>
      </c>
      <c r="BZ675" s="151">
        <v>41842</v>
      </c>
      <c r="CA675" s="206">
        <v>29.9</v>
      </c>
      <c r="CB675" s="151">
        <v>41842</v>
      </c>
      <c r="CC675" s="208">
        <v>6.6</v>
      </c>
      <c r="CD675" s="151">
        <v>41838</v>
      </c>
      <c r="CL675" s="209">
        <v>3</v>
      </c>
      <c r="CM675" s="201">
        <v>41810</v>
      </c>
    </row>
    <row r="676" spans="1:91" ht="15">
      <c r="A676" s="152" t="s">
        <v>8058</v>
      </c>
      <c r="B676" s="110" t="s">
        <v>235</v>
      </c>
      <c r="C676" s="110" t="s">
        <v>8081</v>
      </c>
      <c r="D676" s="110">
        <v>11282</v>
      </c>
      <c r="E676" s="111">
        <v>9</v>
      </c>
      <c r="F676" s="111">
        <v>597</v>
      </c>
      <c r="K676" s="134">
        <v>5</v>
      </c>
      <c r="L676" s="151">
        <v>41701</v>
      </c>
      <c r="M676" s="169">
        <v>6.05</v>
      </c>
      <c r="N676" s="151">
        <v>41838</v>
      </c>
      <c r="Q676" s="497"/>
      <c r="S676" s="134">
        <v>22.06</v>
      </c>
      <c r="T676" s="151">
        <v>41842</v>
      </c>
      <c r="U676" s="134">
        <v>13.5</v>
      </c>
      <c r="V676" s="151">
        <v>41838</v>
      </c>
      <c r="W676" s="196">
        <v>9</v>
      </c>
      <c r="X676" s="151">
        <v>41829</v>
      </c>
      <c r="Y676" s="134">
        <f t="shared" si="10"/>
        <v>5.7737499999999997</v>
      </c>
      <c r="AC676" s="134">
        <v>44.81</v>
      </c>
      <c r="AD676" s="151">
        <v>41838</v>
      </c>
      <c r="AE676" s="134">
        <v>46.19</v>
      </c>
      <c r="AF676" s="151">
        <v>41838</v>
      </c>
      <c r="AG676" s="197">
        <v>5</v>
      </c>
      <c r="AH676" s="151">
        <v>41843</v>
      </c>
      <c r="AI676" s="198">
        <v>7</v>
      </c>
      <c r="AJ676" s="151">
        <v>41778</v>
      </c>
      <c r="AK676" s="199">
        <v>5</v>
      </c>
      <c r="AL676" s="151">
        <v>41709</v>
      </c>
      <c r="BE676" s="200">
        <v>5</v>
      </c>
      <c r="BF676" s="201">
        <v>41555</v>
      </c>
      <c r="BG676" s="203">
        <v>-7.2</v>
      </c>
      <c r="BH676" s="151">
        <v>41842</v>
      </c>
      <c r="BM676" s="204">
        <v>67.099999999999994</v>
      </c>
      <c r="BN676" s="151">
        <v>41842</v>
      </c>
      <c r="BQ676" s="205">
        <v>9.1999999999999993</v>
      </c>
      <c r="BR676" s="151">
        <v>41842</v>
      </c>
      <c r="BS676" s="206">
        <v>47.8</v>
      </c>
      <c r="BT676" s="151">
        <v>41842</v>
      </c>
      <c r="BU676" s="207">
        <v>12.5</v>
      </c>
      <c r="BV676" s="151">
        <v>41842</v>
      </c>
      <c r="BW676" s="206">
        <v>8</v>
      </c>
      <c r="BX676" s="151">
        <v>41842</v>
      </c>
      <c r="BY676" s="210">
        <v>7.01</v>
      </c>
      <c r="BZ676" s="151">
        <v>41842</v>
      </c>
      <c r="CA676" s="206">
        <v>28.8</v>
      </c>
      <c r="CB676" s="151">
        <v>41842</v>
      </c>
      <c r="CC676" s="208">
        <v>6.2</v>
      </c>
      <c r="CD676" s="151">
        <v>41838</v>
      </c>
      <c r="CL676" s="209">
        <v>3</v>
      </c>
      <c r="CM676" s="201">
        <v>41810</v>
      </c>
    </row>
    <row r="677" spans="1:91" ht="15">
      <c r="A677" s="152" t="s">
        <v>8058</v>
      </c>
      <c r="B677" s="110" t="s">
        <v>233</v>
      </c>
      <c r="C677" s="110" t="s">
        <v>8083</v>
      </c>
      <c r="D677" s="110">
        <v>11720</v>
      </c>
      <c r="E677" s="111">
        <v>10</v>
      </c>
      <c r="F677" s="111">
        <v>625</v>
      </c>
      <c r="K677" s="134">
        <v>5</v>
      </c>
      <c r="L677" s="151">
        <v>41701</v>
      </c>
      <c r="M677" s="169">
        <v>6.55</v>
      </c>
      <c r="N677" s="151">
        <v>41838</v>
      </c>
      <c r="Q677" s="497"/>
      <c r="S677" s="134">
        <v>24</v>
      </c>
      <c r="T677" s="151">
        <v>41842</v>
      </c>
      <c r="U677" s="134">
        <v>13.5</v>
      </c>
      <c r="V677" s="151">
        <v>41838</v>
      </c>
      <c r="W677" s="196">
        <v>9</v>
      </c>
      <c r="X677" s="151">
        <v>41829</v>
      </c>
      <c r="Y677" s="134">
        <f t="shared" si="10"/>
        <v>6.4861200000000006</v>
      </c>
      <c r="AC677" s="134">
        <v>48.52</v>
      </c>
      <c r="AD677" s="151">
        <v>41838</v>
      </c>
      <c r="AE677" s="134">
        <v>50.28</v>
      </c>
      <c r="AF677" s="151">
        <v>41838</v>
      </c>
      <c r="AG677" s="197">
        <v>5</v>
      </c>
      <c r="AH677" s="151">
        <v>41843</v>
      </c>
      <c r="AI677" s="198">
        <v>9</v>
      </c>
      <c r="AJ677" s="151">
        <v>41778</v>
      </c>
      <c r="AK677" s="199">
        <v>7</v>
      </c>
      <c r="AL677" s="151">
        <v>41709</v>
      </c>
      <c r="BE677" s="200">
        <v>7</v>
      </c>
      <c r="BF677" s="201">
        <v>41555</v>
      </c>
      <c r="BG677" s="203">
        <v>-7.6</v>
      </c>
      <c r="BH677" s="151">
        <v>41842</v>
      </c>
      <c r="BM677" s="204">
        <v>67.2</v>
      </c>
      <c r="BN677" s="151">
        <v>41842</v>
      </c>
      <c r="BQ677" s="205">
        <v>9.5</v>
      </c>
      <c r="BR677" s="151">
        <v>41842</v>
      </c>
      <c r="BS677" s="206">
        <v>47.7</v>
      </c>
      <c r="BT677" s="151">
        <v>41842</v>
      </c>
      <c r="BU677" s="207">
        <v>12.9</v>
      </c>
      <c r="BV677" s="151">
        <v>41842</v>
      </c>
      <c r="BW677" s="206">
        <v>12.1</v>
      </c>
      <c r="BX677" s="151">
        <v>41842</v>
      </c>
      <c r="BY677" s="210">
        <v>7.14</v>
      </c>
      <c r="BZ677" s="151">
        <v>41842</v>
      </c>
      <c r="CA677" s="206">
        <v>29.8</v>
      </c>
      <c r="CB677" s="151">
        <v>41842</v>
      </c>
      <c r="CC677" s="208">
        <v>5.7</v>
      </c>
      <c r="CD677" s="151">
        <v>41838</v>
      </c>
      <c r="CL677" s="209">
        <v>3</v>
      </c>
      <c r="CM677" s="201">
        <v>41810</v>
      </c>
    </row>
    <row r="678" spans="1:91" ht="15">
      <c r="A678" s="152" t="s">
        <v>8059</v>
      </c>
      <c r="B678" s="110" t="s">
        <v>235</v>
      </c>
      <c r="C678" s="110" t="s">
        <v>8082</v>
      </c>
      <c r="D678" s="110">
        <v>11458</v>
      </c>
      <c r="E678" s="111">
        <v>2</v>
      </c>
      <c r="F678" s="111">
        <v>729</v>
      </c>
      <c r="K678" s="134">
        <v>5</v>
      </c>
      <c r="L678" s="151">
        <v>41701</v>
      </c>
      <c r="M678" s="169">
        <v>5.6</v>
      </c>
      <c r="N678" s="151">
        <v>41838</v>
      </c>
      <c r="Q678" s="497"/>
      <c r="S678" s="134">
        <v>19.579999999999998</v>
      </c>
      <c r="T678" s="151">
        <v>41842</v>
      </c>
      <c r="U678" s="134">
        <v>13.5</v>
      </c>
      <c r="V678" s="151">
        <v>41838</v>
      </c>
      <c r="W678" s="196">
        <v>9</v>
      </c>
      <c r="X678" s="151">
        <v>41829</v>
      </c>
      <c r="Y678" s="134">
        <f t="shared" si="10"/>
        <v>6.4492100000000008</v>
      </c>
      <c r="AC678" s="134">
        <v>41.48</v>
      </c>
      <c r="AD678" s="151">
        <v>41838</v>
      </c>
      <c r="AE678" s="134">
        <v>42.71</v>
      </c>
      <c r="AF678" s="151">
        <v>41838</v>
      </c>
      <c r="AG678" s="197">
        <v>4.9000000000000004</v>
      </c>
      <c r="AH678" s="151">
        <v>41843</v>
      </c>
      <c r="AI678" s="198">
        <v>5</v>
      </c>
      <c r="AJ678" s="151">
        <v>41778</v>
      </c>
      <c r="AK678" s="199">
        <v>5</v>
      </c>
      <c r="AL678" s="151">
        <v>41709</v>
      </c>
      <c r="BE678" s="200">
        <v>5</v>
      </c>
      <c r="BF678" s="201">
        <v>41555</v>
      </c>
      <c r="BG678" s="203">
        <v>-4</v>
      </c>
      <c r="BH678" s="151">
        <v>41842</v>
      </c>
      <c r="BM678" s="204">
        <v>65.5</v>
      </c>
      <c r="BN678" s="151">
        <v>41842</v>
      </c>
      <c r="BQ678" s="205">
        <v>9.6999999999999993</v>
      </c>
      <c r="BR678" s="151">
        <v>41842</v>
      </c>
      <c r="BS678" s="206">
        <v>45.8</v>
      </c>
      <c r="BT678" s="151">
        <v>41842</v>
      </c>
      <c r="BU678" s="207">
        <v>15.1</v>
      </c>
      <c r="BV678" s="151">
        <v>41842</v>
      </c>
      <c r="BW678" s="206">
        <v>14.2</v>
      </c>
      <c r="BX678" s="151">
        <v>41842</v>
      </c>
      <c r="BY678" s="210">
        <v>7.69</v>
      </c>
      <c r="BZ678" s="151">
        <v>41842</v>
      </c>
      <c r="CA678" s="206">
        <v>33.4</v>
      </c>
      <c r="CB678" s="151">
        <v>41842</v>
      </c>
      <c r="CC678" s="208">
        <v>6.3</v>
      </c>
      <c r="CD678" s="151">
        <v>41838</v>
      </c>
      <c r="CL678" s="209">
        <v>3</v>
      </c>
      <c r="CM678" s="201">
        <v>41810</v>
      </c>
    </row>
    <row r="679" spans="1:91" ht="15">
      <c r="A679" s="152" t="s">
        <v>8059</v>
      </c>
      <c r="B679" s="110" t="s">
        <v>233</v>
      </c>
      <c r="C679" s="110" t="s">
        <v>381</v>
      </c>
      <c r="D679" s="110">
        <v>11088</v>
      </c>
      <c r="E679" s="111">
        <v>4</v>
      </c>
      <c r="F679" s="111">
        <v>541</v>
      </c>
      <c r="K679" s="134">
        <v>5</v>
      </c>
      <c r="L679" s="151">
        <v>41701</v>
      </c>
      <c r="M679" s="169">
        <v>4.3</v>
      </c>
      <c r="N679" s="151">
        <v>41838</v>
      </c>
      <c r="Q679" s="497"/>
      <c r="S679" s="134">
        <v>15.35</v>
      </c>
      <c r="T679" s="151">
        <v>41842</v>
      </c>
      <c r="U679" s="134">
        <v>13.5</v>
      </c>
      <c r="V679" s="151">
        <v>41838</v>
      </c>
      <c r="W679" s="196">
        <v>9</v>
      </c>
      <c r="X679" s="151">
        <v>41829</v>
      </c>
      <c r="Y679" s="134">
        <f t="shared" si="10"/>
        <v>4.8362999999999996</v>
      </c>
      <c r="AC679" s="134">
        <v>31.85</v>
      </c>
      <c r="AD679" s="151">
        <v>41838</v>
      </c>
      <c r="AE679" s="134">
        <v>32.9</v>
      </c>
      <c r="AF679" s="151">
        <v>41838</v>
      </c>
      <c r="AG679" s="197">
        <v>4.9000000000000004</v>
      </c>
      <c r="AH679" s="151">
        <v>41843</v>
      </c>
      <c r="AI679" s="198">
        <v>5</v>
      </c>
      <c r="AJ679" s="151">
        <v>41778</v>
      </c>
      <c r="AK679" s="199">
        <v>5</v>
      </c>
      <c r="AL679" s="151">
        <v>41709</v>
      </c>
      <c r="BE679" s="200">
        <v>5</v>
      </c>
      <c r="BF679" s="201">
        <v>41555</v>
      </c>
      <c r="BG679" s="203">
        <v>-2.1</v>
      </c>
      <c r="BH679" s="151">
        <v>41842</v>
      </c>
      <c r="BM679" s="204">
        <v>66.400000000000006</v>
      </c>
      <c r="BN679" s="151">
        <v>41842</v>
      </c>
      <c r="BQ679" s="205">
        <v>9.8000000000000007</v>
      </c>
      <c r="BR679" s="151">
        <v>41842</v>
      </c>
      <c r="BS679" s="206">
        <v>46.6</v>
      </c>
      <c r="BT679" s="151">
        <v>41842</v>
      </c>
      <c r="BU679" s="207">
        <v>14.7</v>
      </c>
      <c r="BV679" s="151">
        <v>41842</v>
      </c>
      <c r="BW679" s="206">
        <v>14.8</v>
      </c>
      <c r="BX679" s="151">
        <v>41842</v>
      </c>
      <c r="BY679" s="210">
        <v>7.55</v>
      </c>
      <c r="BZ679" s="151">
        <v>41842</v>
      </c>
      <c r="CA679" s="206">
        <v>33.1</v>
      </c>
      <c r="CB679" s="151">
        <v>41842</v>
      </c>
      <c r="CC679" s="208">
        <v>6</v>
      </c>
      <c r="CD679" s="151">
        <v>41838</v>
      </c>
      <c r="CL679" s="209">
        <v>3</v>
      </c>
      <c r="CM679" s="201">
        <v>41810</v>
      </c>
    </row>
    <row r="680" spans="1:91" ht="15">
      <c r="A680" s="152" t="s">
        <v>8059</v>
      </c>
      <c r="B680" s="110" t="s">
        <v>233</v>
      </c>
      <c r="C680" s="110" t="s">
        <v>8083</v>
      </c>
      <c r="D680" s="110">
        <v>11655</v>
      </c>
      <c r="E680" s="111">
        <v>8</v>
      </c>
      <c r="F680" s="111">
        <v>653</v>
      </c>
      <c r="K680" s="134">
        <v>5</v>
      </c>
      <c r="L680" s="151">
        <v>41701</v>
      </c>
      <c r="M680" s="169">
        <v>4.0999999999999996</v>
      </c>
      <c r="N680" s="151">
        <v>41838</v>
      </c>
      <c r="Q680" s="497"/>
      <c r="S680" s="134">
        <v>14.76</v>
      </c>
      <c r="T680" s="151">
        <v>41842</v>
      </c>
      <c r="U680" s="134">
        <v>13.5</v>
      </c>
      <c r="V680" s="151">
        <v>41838</v>
      </c>
      <c r="W680" s="196">
        <v>9</v>
      </c>
      <c r="X680" s="151">
        <v>41829</v>
      </c>
      <c r="Y680" s="134">
        <f t="shared" si="10"/>
        <v>4.4602199999999996</v>
      </c>
      <c r="AC680" s="134">
        <v>30.37</v>
      </c>
      <c r="AD680" s="151">
        <v>41838</v>
      </c>
      <c r="AE680" s="134">
        <v>31.41</v>
      </c>
      <c r="AF680" s="151">
        <v>41838</v>
      </c>
      <c r="AG680" s="197">
        <v>5.2</v>
      </c>
      <c r="AH680" s="151">
        <v>41843</v>
      </c>
      <c r="AI680" s="198">
        <v>5</v>
      </c>
      <c r="AJ680" s="151">
        <v>41778</v>
      </c>
      <c r="AK680" s="199">
        <v>4</v>
      </c>
      <c r="AL680" s="151">
        <v>41709</v>
      </c>
      <c r="BE680" s="200">
        <v>4</v>
      </c>
      <c r="BF680" s="201">
        <v>41555</v>
      </c>
      <c r="BG680" s="203">
        <v>-2.8</v>
      </c>
      <c r="BH680" s="151">
        <v>41842</v>
      </c>
      <c r="BM680" s="204">
        <v>67.099999999999994</v>
      </c>
      <c r="BN680" s="151">
        <v>41842</v>
      </c>
      <c r="BQ680" s="205">
        <v>9.6</v>
      </c>
      <c r="BR680" s="151">
        <v>41842</v>
      </c>
      <c r="BS680" s="206">
        <v>47</v>
      </c>
      <c r="BT680" s="151">
        <v>41842</v>
      </c>
      <c r="BU680" s="207">
        <v>14.2</v>
      </c>
      <c r="BV680" s="151">
        <v>41842</v>
      </c>
      <c r="BW680" s="206">
        <v>13.6</v>
      </c>
      <c r="BX680" s="151">
        <v>41842</v>
      </c>
      <c r="BY680" s="210">
        <v>7.04</v>
      </c>
      <c r="BZ680" s="151">
        <v>41842</v>
      </c>
      <c r="CA680" s="206">
        <v>32.299999999999997</v>
      </c>
      <c r="CB680" s="151">
        <v>41842</v>
      </c>
      <c r="CC680" s="208">
        <v>5.9</v>
      </c>
      <c r="CD680" s="151">
        <v>41838</v>
      </c>
      <c r="CL680" s="209">
        <v>3</v>
      </c>
      <c r="CM680" s="201">
        <v>41810</v>
      </c>
    </row>
    <row r="681" spans="1:91" ht="15">
      <c r="A681" s="152" t="s">
        <v>8059</v>
      </c>
      <c r="B681" s="110" t="s">
        <v>235</v>
      </c>
      <c r="C681" s="110" t="s">
        <v>8081</v>
      </c>
      <c r="D681" s="110">
        <v>11383</v>
      </c>
      <c r="E681" s="111">
        <v>12</v>
      </c>
      <c r="F681" s="111">
        <v>569</v>
      </c>
      <c r="K681" s="134">
        <v>5</v>
      </c>
      <c r="L681" s="151">
        <v>41701</v>
      </c>
      <c r="M681" s="169">
        <v>5.75</v>
      </c>
      <c r="N681" s="151">
        <v>41838</v>
      </c>
      <c r="Q681" s="497"/>
      <c r="S681" s="134">
        <v>20.420000000000002</v>
      </c>
      <c r="T681" s="151">
        <v>41842</v>
      </c>
      <c r="U681" s="134">
        <v>13.5</v>
      </c>
      <c r="V681" s="151">
        <v>41838</v>
      </c>
      <c r="W681" s="196">
        <v>9</v>
      </c>
      <c r="X681" s="151">
        <v>41829</v>
      </c>
      <c r="Y681" s="134">
        <f t="shared" si="10"/>
        <v>6.468</v>
      </c>
      <c r="AC681" s="134">
        <v>42.59</v>
      </c>
      <c r="AD681" s="151">
        <v>41838</v>
      </c>
      <c r="AE681" s="134">
        <v>44</v>
      </c>
      <c r="AF681" s="151">
        <v>41838</v>
      </c>
      <c r="AG681" s="197">
        <v>4.9000000000000004</v>
      </c>
      <c r="AH681" s="151">
        <v>41843</v>
      </c>
      <c r="AI681" s="198">
        <v>7</v>
      </c>
      <c r="AJ681" s="151">
        <v>41778</v>
      </c>
      <c r="AK681" s="199">
        <v>5</v>
      </c>
      <c r="AL681" s="151">
        <v>41709</v>
      </c>
      <c r="BE681" s="200">
        <v>5</v>
      </c>
      <c r="BF681" s="201">
        <v>41555</v>
      </c>
      <c r="BG681" s="203">
        <v>-2.2999999999999998</v>
      </c>
      <c r="BH681" s="151">
        <v>41842</v>
      </c>
      <c r="BM681" s="204">
        <v>66.3</v>
      </c>
      <c r="BN681" s="151">
        <v>41842</v>
      </c>
      <c r="BQ681" s="205">
        <v>9.4</v>
      </c>
      <c r="BR681" s="151">
        <v>41842</v>
      </c>
      <c r="BS681" s="206">
        <v>46.4</v>
      </c>
      <c r="BT681" s="151">
        <v>41842</v>
      </c>
      <c r="BU681" s="207">
        <v>14.7</v>
      </c>
      <c r="BV681" s="151">
        <v>41842</v>
      </c>
      <c r="BW681" s="206">
        <v>11.3</v>
      </c>
      <c r="BX681" s="151">
        <v>41842</v>
      </c>
      <c r="BY681" s="210">
        <v>7.37</v>
      </c>
      <c r="BZ681" s="151">
        <v>41842</v>
      </c>
      <c r="CA681" s="206">
        <v>33</v>
      </c>
      <c r="CB681" s="151">
        <v>41842</v>
      </c>
      <c r="CC681" s="208">
        <v>6</v>
      </c>
      <c r="CD681" s="151">
        <v>41838</v>
      </c>
      <c r="CL681" s="209">
        <v>3</v>
      </c>
      <c r="CM681" s="201">
        <v>41810</v>
      </c>
    </row>
    <row r="682" spans="1:91" ht="15">
      <c r="A682" s="152" t="s">
        <v>8060</v>
      </c>
      <c r="B682" s="110" t="s">
        <v>233</v>
      </c>
      <c r="C682" s="110" t="s">
        <v>381</v>
      </c>
      <c r="D682" s="110">
        <v>11073</v>
      </c>
      <c r="E682" s="111">
        <v>4</v>
      </c>
      <c r="F682" s="111">
        <v>481</v>
      </c>
      <c r="K682" s="134">
        <v>5</v>
      </c>
      <c r="L682" s="151">
        <v>41701</v>
      </c>
      <c r="M682" s="169">
        <v>6.1</v>
      </c>
      <c r="N682" s="151">
        <v>41838</v>
      </c>
      <c r="Q682" s="497"/>
      <c r="S682" s="134">
        <v>22.43</v>
      </c>
      <c r="T682" s="151">
        <v>41842</v>
      </c>
      <c r="U682" s="134">
        <v>13.5</v>
      </c>
      <c r="V682" s="151">
        <v>41838</v>
      </c>
      <c r="W682" s="196">
        <v>1</v>
      </c>
      <c r="X682" s="151">
        <v>41829</v>
      </c>
      <c r="Y682" s="134">
        <f t="shared" si="10"/>
        <v>5.7293399999999997</v>
      </c>
      <c r="AC682" s="134">
        <v>45.19</v>
      </c>
      <c r="AD682" s="151">
        <v>41838</v>
      </c>
      <c r="AE682" s="134">
        <v>46.58</v>
      </c>
      <c r="AF682" s="151">
        <v>41838</v>
      </c>
      <c r="AG682" s="197">
        <v>4.7</v>
      </c>
      <c r="AH682" s="151">
        <v>41843</v>
      </c>
      <c r="AI682" s="198">
        <v>5</v>
      </c>
      <c r="AJ682" s="151">
        <v>41778</v>
      </c>
      <c r="AK682" s="199">
        <v>7</v>
      </c>
      <c r="AL682" s="151">
        <v>41709</v>
      </c>
      <c r="BE682" s="200">
        <v>7</v>
      </c>
      <c r="BF682" s="201">
        <v>41555</v>
      </c>
      <c r="BG682" s="203">
        <v>-5.3</v>
      </c>
      <c r="BH682" s="151">
        <v>41842</v>
      </c>
      <c r="BM682" s="204">
        <v>66.599999999999994</v>
      </c>
      <c r="BN682" s="151">
        <v>41842</v>
      </c>
      <c r="BQ682" s="205">
        <v>9.3000000000000007</v>
      </c>
      <c r="BR682" s="151">
        <v>41842</v>
      </c>
      <c r="BS682" s="206">
        <v>48.2</v>
      </c>
      <c r="BT682" s="151">
        <v>41842</v>
      </c>
      <c r="BU682" s="207">
        <v>12.3</v>
      </c>
      <c r="BV682" s="151">
        <v>41842</v>
      </c>
      <c r="BW682" s="206">
        <v>13</v>
      </c>
      <c r="BX682" s="151">
        <v>41842</v>
      </c>
      <c r="BY682" s="210">
        <v>7.05</v>
      </c>
      <c r="BZ682" s="151">
        <v>41842</v>
      </c>
      <c r="CA682" s="206">
        <v>28.8</v>
      </c>
      <c r="CB682" s="151">
        <v>41842</v>
      </c>
      <c r="CC682" s="208">
        <v>6.2</v>
      </c>
      <c r="CD682" s="151">
        <v>41838</v>
      </c>
      <c r="CL682" s="209">
        <v>3</v>
      </c>
      <c r="CM682" s="201">
        <v>41810</v>
      </c>
    </row>
    <row r="683" spans="1:91" ht="15">
      <c r="A683" s="152" t="s">
        <v>8060</v>
      </c>
      <c r="B683" s="110" t="s">
        <v>235</v>
      </c>
      <c r="C683" s="110" t="s">
        <v>8082</v>
      </c>
      <c r="D683" s="110">
        <v>11546</v>
      </c>
      <c r="E683" s="111">
        <v>5</v>
      </c>
      <c r="F683" s="111">
        <v>649</v>
      </c>
      <c r="K683" s="134">
        <v>5</v>
      </c>
      <c r="L683" s="151">
        <v>41701</v>
      </c>
      <c r="M683" s="169">
        <v>6.95</v>
      </c>
      <c r="N683" s="151">
        <v>41838</v>
      </c>
      <c r="Q683" s="497"/>
      <c r="S683" s="134">
        <v>25.52</v>
      </c>
      <c r="T683" s="151">
        <v>41842</v>
      </c>
      <c r="U683" s="134">
        <v>13.5</v>
      </c>
      <c r="V683" s="151">
        <v>41838</v>
      </c>
      <c r="W683" s="196">
        <v>1</v>
      </c>
      <c r="X683" s="151">
        <v>41829</v>
      </c>
      <c r="Y683" s="134">
        <f t="shared" si="10"/>
        <v>6.7830699999999986</v>
      </c>
      <c r="AC683" s="134">
        <v>51.48</v>
      </c>
      <c r="AD683" s="151">
        <v>41838</v>
      </c>
      <c r="AE683" s="134">
        <v>53.41</v>
      </c>
      <c r="AF683" s="151">
        <v>41838</v>
      </c>
      <c r="AG683" s="197">
        <v>4.5</v>
      </c>
      <c r="AH683" s="151">
        <v>41843</v>
      </c>
      <c r="AI683" s="198">
        <v>5</v>
      </c>
      <c r="AJ683" s="151">
        <v>41778</v>
      </c>
      <c r="AK683" s="199">
        <v>5</v>
      </c>
      <c r="AL683" s="151">
        <v>41709</v>
      </c>
      <c r="BE683" s="200">
        <v>5</v>
      </c>
      <c r="BF683" s="201">
        <v>41555</v>
      </c>
      <c r="BG683" s="203">
        <v>-8.8000000000000007</v>
      </c>
      <c r="BH683" s="151">
        <v>41842</v>
      </c>
      <c r="BM683" s="204">
        <v>66.599999999999994</v>
      </c>
      <c r="BN683" s="151">
        <v>41842</v>
      </c>
      <c r="BQ683" s="205">
        <v>8.9</v>
      </c>
      <c r="BR683" s="151">
        <v>41842</v>
      </c>
      <c r="BS683" s="206">
        <v>47.8</v>
      </c>
      <c r="BT683" s="151">
        <v>41842</v>
      </c>
      <c r="BU683" s="207">
        <v>12.7</v>
      </c>
      <c r="BV683" s="151">
        <v>41842</v>
      </c>
      <c r="BW683" s="206">
        <v>12.8</v>
      </c>
      <c r="BX683" s="151">
        <v>41842</v>
      </c>
      <c r="BY683" s="210">
        <v>7.3</v>
      </c>
      <c r="BZ683" s="151">
        <v>41842</v>
      </c>
      <c r="CA683" s="206">
        <v>29.4</v>
      </c>
      <c r="CB683" s="151">
        <v>41842</v>
      </c>
      <c r="CC683" s="208">
        <v>5.6</v>
      </c>
      <c r="CD683" s="151">
        <v>41838</v>
      </c>
      <c r="CL683" s="209">
        <v>3</v>
      </c>
      <c r="CM683" s="201">
        <v>41810</v>
      </c>
    </row>
    <row r="684" spans="1:91" ht="15">
      <c r="A684" s="152" t="s">
        <v>8060</v>
      </c>
      <c r="B684" s="110" t="s">
        <v>235</v>
      </c>
      <c r="C684" s="110" t="s">
        <v>8081</v>
      </c>
      <c r="D684" s="110">
        <v>11213</v>
      </c>
      <c r="E684" s="111">
        <v>7</v>
      </c>
      <c r="F684" s="111">
        <v>609</v>
      </c>
      <c r="K684" s="134">
        <v>5</v>
      </c>
      <c r="L684" s="151">
        <v>41701</v>
      </c>
      <c r="M684" s="169">
        <v>6.45</v>
      </c>
      <c r="N684" s="151">
        <v>41838</v>
      </c>
      <c r="Q684" s="497"/>
      <c r="S684" s="134">
        <v>24.32</v>
      </c>
      <c r="T684" s="151">
        <v>41842</v>
      </c>
      <c r="U684" s="134">
        <v>13.5</v>
      </c>
      <c r="V684" s="151">
        <v>41838</v>
      </c>
      <c r="W684" s="196">
        <v>9</v>
      </c>
      <c r="X684" s="151">
        <v>41829</v>
      </c>
      <c r="Y684" s="134">
        <f t="shared" si="10"/>
        <v>5.576550000000001</v>
      </c>
      <c r="AC684" s="134">
        <v>47.78</v>
      </c>
      <c r="AD684" s="151">
        <v>41838</v>
      </c>
      <c r="AE684" s="134">
        <v>49.35</v>
      </c>
      <c r="AF684" s="151">
        <v>41838</v>
      </c>
      <c r="AG684" s="197">
        <v>4.5</v>
      </c>
      <c r="AH684" s="151">
        <v>41843</v>
      </c>
      <c r="AI684" s="198">
        <v>5</v>
      </c>
      <c r="AJ684" s="151">
        <v>41778</v>
      </c>
      <c r="AK684" s="199">
        <v>5</v>
      </c>
      <c r="AL684" s="151">
        <v>41709</v>
      </c>
      <c r="BE684" s="200">
        <v>5</v>
      </c>
      <c r="BF684" s="201">
        <v>41555</v>
      </c>
      <c r="BG684" s="203">
        <v>-4.5999999999999996</v>
      </c>
      <c r="BH684" s="151">
        <v>41842</v>
      </c>
      <c r="BM684" s="204">
        <v>67.599999999999994</v>
      </c>
      <c r="BN684" s="151">
        <v>41842</v>
      </c>
      <c r="BQ684" s="205">
        <v>7.9</v>
      </c>
      <c r="BR684" s="151">
        <v>41842</v>
      </c>
      <c r="BS684" s="206">
        <v>49.3</v>
      </c>
      <c r="BT684" s="151">
        <v>41842</v>
      </c>
      <c r="BU684" s="207">
        <v>11.3</v>
      </c>
      <c r="BV684" s="151">
        <v>41842</v>
      </c>
      <c r="BW684" s="206">
        <v>10.4</v>
      </c>
      <c r="BX684" s="151">
        <v>41842</v>
      </c>
      <c r="BY684" s="210">
        <v>6.8</v>
      </c>
      <c r="BZ684" s="151">
        <v>41842</v>
      </c>
      <c r="CA684" s="206">
        <v>27</v>
      </c>
      <c r="CB684" s="151">
        <v>41842</v>
      </c>
      <c r="CC684" s="208">
        <v>6</v>
      </c>
      <c r="CD684" s="151">
        <v>41838</v>
      </c>
      <c r="CL684" s="209">
        <v>3</v>
      </c>
      <c r="CM684" s="201">
        <v>41810</v>
      </c>
    </row>
    <row r="685" spans="1:91" ht="15">
      <c r="A685" s="152" t="s">
        <v>8060</v>
      </c>
      <c r="B685" s="110" t="s">
        <v>233</v>
      </c>
      <c r="C685" s="110" t="s">
        <v>8083</v>
      </c>
      <c r="D685" s="110">
        <v>11824</v>
      </c>
      <c r="E685" s="111">
        <v>12</v>
      </c>
      <c r="F685" s="111">
        <v>753</v>
      </c>
      <c r="K685" s="134">
        <v>5</v>
      </c>
      <c r="L685" s="151">
        <v>41701</v>
      </c>
      <c r="M685" s="169">
        <v>3.9</v>
      </c>
      <c r="N685" s="151">
        <v>41838</v>
      </c>
      <c r="Q685" s="497"/>
      <c r="S685" s="134">
        <v>14.2</v>
      </c>
      <c r="T685" s="151">
        <v>41842</v>
      </c>
      <c r="U685" s="134">
        <v>13.5</v>
      </c>
      <c r="V685" s="151">
        <v>41838</v>
      </c>
      <c r="W685" s="196">
        <v>9</v>
      </c>
      <c r="X685" s="151">
        <v>41829</v>
      </c>
      <c r="Y685" s="134">
        <f t="shared" si="10"/>
        <v>3.7358999999999996</v>
      </c>
      <c r="AC685" s="134">
        <v>28.89</v>
      </c>
      <c r="AD685" s="151">
        <v>41838</v>
      </c>
      <c r="AE685" s="134">
        <v>29.65</v>
      </c>
      <c r="AF685" s="151">
        <v>41838</v>
      </c>
      <c r="AG685" s="197">
        <v>4.8</v>
      </c>
      <c r="AH685" s="151">
        <v>41843</v>
      </c>
      <c r="AI685" s="198">
        <v>5</v>
      </c>
      <c r="AJ685" s="151">
        <v>41778</v>
      </c>
      <c r="AK685" s="199">
        <v>5</v>
      </c>
      <c r="AL685" s="151">
        <v>41709</v>
      </c>
      <c r="BE685" s="200">
        <v>5</v>
      </c>
      <c r="BF685" s="201">
        <v>41555</v>
      </c>
      <c r="BG685" s="203">
        <v>-4.2</v>
      </c>
      <c r="BH685" s="151">
        <v>41842</v>
      </c>
      <c r="BM685" s="204">
        <v>67.400000000000006</v>
      </c>
      <c r="BN685" s="151">
        <v>41842</v>
      </c>
      <c r="BQ685" s="205">
        <v>9.6999999999999993</v>
      </c>
      <c r="BR685" s="151">
        <v>41842</v>
      </c>
      <c r="BS685" s="206">
        <v>47.9</v>
      </c>
      <c r="BT685" s="151">
        <v>41842</v>
      </c>
      <c r="BU685" s="207">
        <v>12.6</v>
      </c>
      <c r="BV685" s="151">
        <v>41842</v>
      </c>
      <c r="BW685" s="206">
        <v>13</v>
      </c>
      <c r="BX685" s="151">
        <v>41842</v>
      </c>
      <c r="BY685" s="210">
        <v>6.61</v>
      </c>
      <c r="BZ685" s="151">
        <v>41842</v>
      </c>
      <c r="CA685" s="206">
        <v>29.3</v>
      </c>
      <c r="CB685" s="151">
        <v>41842</v>
      </c>
      <c r="CC685" s="208">
        <v>6.6</v>
      </c>
      <c r="CD685" s="151">
        <v>41838</v>
      </c>
      <c r="CL685" s="209">
        <v>3</v>
      </c>
      <c r="CM685" s="201">
        <v>41810</v>
      </c>
    </row>
    <row r="686" spans="1:91" ht="15">
      <c r="A686" s="152" t="s">
        <v>8061</v>
      </c>
      <c r="B686" s="110" t="s">
        <v>235</v>
      </c>
      <c r="C686" s="110" t="s">
        <v>8082</v>
      </c>
      <c r="D686" s="110">
        <v>11432</v>
      </c>
      <c r="E686" s="111">
        <v>2</v>
      </c>
      <c r="F686" s="111">
        <v>625</v>
      </c>
      <c r="K686" s="134">
        <v>5</v>
      </c>
      <c r="L686" s="151">
        <v>41701</v>
      </c>
      <c r="M686" s="169">
        <v>6.6</v>
      </c>
      <c r="N686" s="151">
        <v>41838</v>
      </c>
      <c r="Q686" s="497"/>
      <c r="S686" s="134">
        <v>24.07</v>
      </c>
      <c r="T686" s="151">
        <v>41842</v>
      </c>
      <c r="U686" s="134">
        <v>13.5</v>
      </c>
      <c r="V686" s="151">
        <v>41838</v>
      </c>
      <c r="W686" s="196">
        <v>9</v>
      </c>
      <c r="X686" s="151">
        <v>41829</v>
      </c>
      <c r="Y686" s="134">
        <f t="shared" si="10"/>
        <v>6.7311300000000003</v>
      </c>
      <c r="AC686" s="134">
        <v>48.89</v>
      </c>
      <c r="AD686" s="151">
        <v>41838</v>
      </c>
      <c r="AE686" s="134">
        <v>50.61</v>
      </c>
      <c r="AF686" s="151">
        <v>41838</v>
      </c>
      <c r="AG686" s="197">
        <v>4.3</v>
      </c>
      <c r="AH686" s="151">
        <v>41843</v>
      </c>
      <c r="AI686" s="198">
        <v>7</v>
      </c>
      <c r="AJ686" s="151">
        <v>41778</v>
      </c>
      <c r="AK686" s="199">
        <v>5</v>
      </c>
      <c r="AL686" s="151">
        <v>41709</v>
      </c>
      <c r="BE686" s="200">
        <v>5</v>
      </c>
      <c r="BF686" s="201">
        <v>41555</v>
      </c>
      <c r="BG686" s="203">
        <v>-8.6999999999999993</v>
      </c>
      <c r="BH686" s="151">
        <v>41842</v>
      </c>
      <c r="BM686" s="204">
        <v>63.8</v>
      </c>
      <c r="BN686" s="151">
        <v>41842</v>
      </c>
      <c r="BQ686" s="205">
        <v>10.7</v>
      </c>
      <c r="BR686" s="151">
        <v>41842</v>
      </c>
      <c r="BS686" s="206">
        <v>47.6</v>
      </c>
      <c r="BT686" s="151">
        <v>41842</v>
      </c>
      <c r="BU686" s="207">
        <v>13.3</v>
      </c>
      <c r="BV686" s="151">
        <v>41842</v>
      </c>
      <c r="BW686" s="206">
        <v>15</v>
      </c>
      <c r="BX686" s="151">
        <v>41842</v>
      </c>
      <c r="BY686" s="210">
        <v>7.43</v>
      </c>
      <c r="BZ686" s="151">
        <v>41842</v>
      </c>
      <c r="CA686" s="206">
        <v>30.7</v>
      </c>
      <c r="CB686" s="151">
        <v>41842</v>
      </c>
      <c r="CC686" s="208">
        <v>5.8</v>
      </c>
      <c r="CD686" s="151">
        <v>41838</v>
      </c>
      <c r="CL686" s="209">
        <v>3</v>
      </c>
      <c r="CM686" s="201">
        <v>41810</v>
      </c>
    </row>
    <row r="687" spans="1:91" ht="15">
      <c r="A687" s="152" t="s">
        <v>8061</v>
      </c>
      <c r="B687" s="110" t="s">
        <v>233</v>
      </c>
      <c r="C687" s="110" t="s">
        <v>381</v>
      </c>
      <c r="D687" s="110">
        <v>11078</v>
      </c>
      <c r="E687" s="111">
        <v>4</v>
      </c>
      <c r="F687" s="111">
        <v>501</v>
      </c>
      <c r="K687" s="194">
        <v>7</v>
      </c>
      <c r="L687" s="151">
        <v>41701</v>
      </c>
      <c r="M687" s="169">
        <v>5.05</v>
      </c>
      <c r="N687" s="151">
        <v>41838</v>
      </c>
      <c r="Q687" s="497"/>
      <c r="S687" s="134">
        <v>18.02</v>
      </c>
      <c r="T687" s="151">
        <v>41842</v>
      </c>
      <c r="U687" s="134">
        <v>13.5</v>
      </c>
      <c r="V687" s="151">
        <v>41838</v>
      </c>
      <c r="W687" s="196">
        <v>9</v>
      </c>
      <c r="X687" s="151">
        <v>41829</v>
      </c>
      <c r="Y687" s="134">
        <f t="shared" si="10"/>
        <v>5.8225599999999993</v>
      </c>
      <c r="AC687" s="134">
        <v>37.409999999999997</v>
      </c>
      <c r="AD687" s="151">
        <v>41838</v>
      </c>
      <c r="AE687" s="134">
        <v>38.56</v>
      </c>
      <c r="AF687" s="151">
        <v>41838</v>
      </c>
      <c r="AG687" s="197">
        <v>4.3</v>
      </c>
      <c r="AH687" s="151">
        <v>41843</v>
      </c>
      <c r="AI687" s="198">
        <v>5</v>
      </c>
      <c r="AJ687" s="151">
        <v>41778</v>
      </c>
      <c r="AK687" s="199">
        <v>5</v>
      </c>
      <c r="AL687" s="151">
        <v>41709</v>
      </c>
      <c r="BE687" s="200">
        <v>5</v>
      </c>
      <c r="BF687" s="201">
        <v>41555</v>
      </c>
      <c r="BG687" s="203">
        <v>-2.8</v>
      </c>
      <c r="BH687" s="151">
        <v>41842</v>
      </c>
      <c r="BM687" s="204">
        <v>62.7</v>
      </c>
      <c r="BN687" s="151">
        <v>41842</v>
      </c>
      <c r="BQ687" s="205">
        <v>11</v>
      </c>
      <c r="BR687" s="151">
        <v>41842</v>
      </c>
      <c r="BS687" s="206">
        <v>46.7</v>
      </c>
      <c r="BT687" s="151">
        <v>41842</v>
      </c>
      <c r="BU687" s="207">
        <v>15.1</v>
      </c>
      <c r="BV687" s="151">
        <v>41842</v>
      </c>
      <c r="BW687" s="206">
        <v>18.2</v>
      </c>
      <c r="BX687" s="151">
        <v>41842</v>
      </c>
      <c r="BY687" s="210">
        <v>7.21</v>
      </c>
      <c r="BZ687" s="151">
        <v>41842</v>
      </c>
      <c r="CA687" s="206">
        <v>34.200000000000003</v>
      </c>
      <c r="CB687" s="151">
        <v>41842</v>
      </c>
      <c r="CC687" s="208">
        <v>6.2</v>
      </c>
      <c r="CD687" s="151">
        <v>41838</v>
      </c>
      <c r="CL687" s="209">
        <v>3</v>
      </c>
      <c r="CM687" s="201">
        <v>41810</v>
      </c>
    </row>
    <row r="688" spans="1:91" ht="15">
      <c r="A688" s="152" t="s">
        <v>8061</v>
      </c>
      <c r="B688" s="110" t="s">
        <v>233</v>
      </c>
      <c r="C688" s="110" t="s">
        <v>8083</v>
      </c>
      <c r="D688" s="110">
        <v>11641</v>
      </c>
      <c r="E688" s="111">
        <v>7</v>
      </c>
      <c r="F688" s="111">
        <v>741</v>
      </c>
      <c r="K688" s="134">
        <v>5</v>
      </c>
      <c r="L688" s="151">
        <v>41701</v>
      </c>
      <c r="M688" s="169">
        <v>4</v>
      </c>
      <c r="N688" s="151">
        <v>41838</v>
      </c>
      <c r="Q688" s="497"/>
      <c r="S688" s="134">
        <v>14.77</v>
      </c>
      <c r="T688" s="151">
        <v>41842</v>
      </c>
      <c r="U688" s="134">
        <v>13.5</v>
      </c>
      <c r="V688" s="151">
        <v>41838</v>
      </c>
      <c r="W688" s="196">
        <v>9</v>
      </c>
      <c r="X688" s="151">
        <v>41829</v>
      </c>
      <c r="Y688" s="134">
        <f t="shared" si="10"/>
        <v>3.9797799999999994</v>
      </c>
      <c r="AC688" s="134">
        <v>29.63</v>
      </c>
      <c r="AD688" s="151">
        <v>41838</v>
      </c>
      <c r="AE688" s="134">
        <v>30.38</v>
      </c>
      <c r="AF688" s="151">
        <v>41838</v>
      </c>
      <c r="AG688" s="197">
        <v>4.4000000000000004</v>
      </c>
      <c r="AH688" s="151">
        <v>41843</v>
      </c>
      <c r="AI688" s="198">
        <v>5</v>
      </c>
      <c r="AJ688" s="151">
        <v>41778</v>
      </c>
      <c r="AK688" s="199">
        <v>5</v>
      </c>
      <c r="AL688" s="151">
        <v>41709</v>
      </c>
      <c r="BE688" s="200">
        <v>5</v>
      </c>
      <c r="BF688" s="201">
        <v>41555</v>
      </c>
      <c r="BG688" s="203">
        <v>-5.7</v>
      </c>
      <c r="BH688" s="151">
        <v>41842</v>
      </c>
      <c r="BM688" s="204">
        <v>64.400000000000006</v>
      </c>
      <c r="BN688" s="151">
        <v>41842</v>
      </c>
      <c r="BQ688" s="205">
        <v>11</v>
      </c>
      <c r="BR688" s="151">
        <v>41842</v>
      </c>
      <c r="BS688" s="206">
        <v>48.6</v>
      </c>
      <c r="BT688" s="151">
        <v>41842</v>
      </c>
      <c r="BU688" s="207">
        <v>13.1</v>
      </c>
      <c r="BV688" s="151">
        <v>41842</v>
      </c>
      <c r="BW688" s="206">
        <v>16.100000000000001</v>
      </c>
      <c r="BX688" s="151">
        <v>41842</v>
      </c>
      <c r="BY688" s="210">
        <v>6.61</v>
      </c>
      <c r="BZ688" s="151">
        <v>41842</v>
      </c>
      <c r="CA688" s="206">
        <v>30.8</v>
      </c>
      <c r="CB688" s="151">
        <v>41842</v>
      </c>
      <c r="CC688" s="208">
        <v>6.7</v>
      </c>
      <c r="CD688" s="151">
        <v>41838</v>
      </c>
      <c r="CL688" s="209">
        <v>3</v>
      </c>
      <c r="CM688" s="201">
        <v>41810</v>
      </c>
    </row>
    <row r="689" spans="1:91" ht="15">
      <c r="A689" s="152" t="s">
        <v>8061</v>
      </c>
      <c r="B689" s="110" t="s">
        <v>235</v>
      </c>
      <c r="C689" s="110" t="s">
        <v>8081</v>
      </c>
      <c r="D689" s="110">
        <v>11299</v>
      </c>
      <c r="E689" s="111">
        <v>10</v>
      </c>
      <c r="F689" s="111">
        <v>521</v>
      </c>
      <c r="K689" s="194">
        <v>7</v>
      </c>
      <c r="L689" s="151">
        <v>41701</v>
      </c>
      <c r="M689" s="169">
        <v>5.35</v>
      </c>
      <c r="N689" s="151">
        <v>41838</v>
      </c>
      <c r="Q689" s="497"/>
      <c r="S689" s="134">
        <v>19.670000000000002</v>
      </c>
      <c r="T689" s="151">
        <v>41842</v>
      </c>
      <c r="U689" s="134">
        <v>13.5</v>
      </c>
      <c r="V689" s="151">
        <v>41838</v>
      </c>
      <c r="W689" s="196">
        <v>9</v>
      </c>
      <c r="X689" s="151">
        <v>41829</v>
      </c>
      <c r="Y689" s="134">
        <f t="shared" si="10"/>
        <v>5.6197400000000002</v>
      </c>
      <c r="AC689" s="134">
        <v>39.630000000000003</v>
      </c>
      <c r="AD689" s="151">
        <v>41838</v>
      </c>
      <c r="AE689" s="134">
        <v>41.02</v>
      </c>
      <c r="AF689" s="151">
        <v>41838</v>
      </c>
      <c r="AG689" s="197">
        <v>4.3</v>
      </c>
      <c r="AH689" s="151">
        <v>41843</v>
      </c>
      <c r="AI689" s="198">
        <v>7</v>
      </c>
      <c r="AJ689" s="151">
        <v>41778</v>
      </c>
      <c r="AK689" s="199">
        <v>5</v>
      </c>
      <c r="AL689" s="151">
        <v>41709</v>
      </c>
      <c r="BE689" s="200">
        <v>5</v>
      </c>
      <c r="BF689" s="201">
        <v>41555</v>
      </c>
      <c r="BG689" s="203">
        <v>-3.8</v>
      </c>
      <c r="BH689" s="151">
        <v>41842</v>
      </c>
      <c r="BM689" s="204">
        <v>65.099999999999994</v>
      </c>
      <c r="BN689" s="151">
        <v>41842</v>
      </c>
      <c r="BQ689" s="205">
        <v>11</v>
      </c>
      <c r="BR689" s="151">
        <v>41842</v>
      </c>
      <c r="BS689" s="206">
        <v>48</v>
      </c>
      <c r="BT689" s="151">
        <v>41842</v>
      </c>
      <c r="BU689" s="207">
        <v>13.7</v>
      </c>
      <c r="BV689" s="151">
        <v>41842</v>
      </c>
      <c r="BW689" s="206">
        <v>15.6</v>
      </c>
      <c r="BX689" s="151">
        <v>41842</v>
      </c>
      <c r="BY689" s="210">
        <v>7.11</v>
      </c>
      <c r="BZ689" s="151">
        <v>41842</v>
      </c>
      <c r="CA689" s="206">
        <v>31.8</v>
      </c>
      <c r="CB689" s="151">
        <v>41842</v>
      </c>
      <c r="CC689" s="208">
        <v>5.8</v>
      </c>
      <c r="CD689" s="151">
        <v>41838</v>
      </c>
      <c r="CL689" s="209">
        <v>3</v>
      </c>
      <c r="CM689" s="201">
        <v>41810</v>
      </c>
    </row>
    <row r="690" spans="1:91" ht="15">
      <c r="A690" s="152" t="s">
        <v>8062</v>
      </c>
      <c r="B690" s="110" t="s">
        <v>235</v>
      </c>
      <c r="C690" s="110" t="s">
        <v>8082</v>
      </c>
      <c r="D690" s="110">
        <v>11530</v>
      </c>
      <c r="E690" s="111">
        <v>4</v>
      </c>
      <c r="F690" s="111">
        <v>729</v>
      </c>
      <c r="K690" s="134">
        <v>5</v>
      </c>
      <c r="L690" s="151">
        <v>41701</v>
      </c>
      <c r="M690" s="169">
        <v>6</v>
      </c>
      <c r="N690" s="151">
        <v>41838</v>
      </c>
      <c r="Q690" s="497"/>
      <c r="S690" s="134">
        <v>21.73</v>
      </c>
      <c r="T690" s="151">
        <v>41842</v>
      </c>
      <c r="U690" s="134">
        <v>13.5</v>
      </c>
      <c r="V690" s="151">
        <v>41838</v>
      </c>
      <c r="W690" s="196">
        <v>9</v>
      </c>
      <c r="X690" s="151">
        <v>41829</v>
      </c>
      <c r="Y690" s="134">
        <f t="shared" si="10"/>
        <v>5.8051699999999995</v>
      </c>
      <c r="AC690" s="134">
        <v>44.44</v>
      </c>
      <c r="AD690" s="151">
        <v>41838</v>
      </c>
      <c r="AE690" s="134">
        <v>45.71</v>
      </c>
      <c r="AF690" s="151">
        <v>41838</v>
      </c>
      <c r="AG690" s="197">
        <v>4.9000000000000004</v>
      </c>
      <c r="AH690" s="151">
        <v>41843</v>
      </c>
      <c r="AI690" s="198">
        <v>7</v>
      </c>
      <c r="AJ690" s="151">
        <v>41778</v>
      </c>
      <c r="AK690" s="199">
        <v>5</v>
      </c>
      <c r="AL690" s="151">
        <v>41709</v>
      </c>
      <c r="BE690" s="200">
        <v>5</v>
      </c>
      <c r="BF690" s="201">
        <v>41555</v>
      </c>
      <c r="BG690" s="203">
        <v>-6.8</v>
      </c>
      <c r="BH690" s="151">
        <v>41842</v>
      </c>
      <c r="BM690" s="204">
        <v>64.400000000000006</v>
      </c>
      <c r="BN690" s="151">
        <v>41842</v>
      </c>
      <c r="BQ690" s="205">
        <v>10.7</v>
      </c>
      <c r="BR690" s="151">
        <v>41842</v>
      </c>
      <c r="BS690" s="206">
        <v>47.5</v>
      </c>
      <c r="BT690" s="151">
        <v>41842</v>
      </c>
      <c r="BU690" s="207">
        <v>12.7</v>
      </c>
      <c r="BV690" s="151">
        <v>41842</v>
      </c>
      <c r="BW690" s="206">
        <v>12.6</v>
      </c>
      <c r="BX690" s="151">
        <v>41842</v>
      </c>
      <c r="BY690" s="210">
        <v>7.37</v>
      </c>
      <c r="BZ690" s="151">
        <v>41842</v>
      </c>
      <c r="CA690" s="206">
        <v>29.1</v>
      </c>
      <c r="CB690" s="151">
        <v>41842</v>
      </c>
      <c r="CC690" s="208">
        <v>6.4</v>
      </c>
      <c r="CD690" s="151">
        <v>41838</v>
      </c>
      <c r="CL690" s="209">
        <v>3</v>
      </c>
      <c r="CM690" s="201">
        <v>41810</v>
      </c>
    </row>
    <row r="691" spans="1:91" ht="15">
      <c r="A691" s="152" t="s">
        <v>8062</v>
      </c>
      <c r="B691" s="110" t="s">
        <v>233</v>
      </c>
      <c r="C691" s="110" t="s">
        <v>381</v>
      </c>
      <c r="D691" s="110">
        <v>11111</v>
      </c>
      <c r="E691" s="111">
        <v>5</v>
      </c>
      <c r="F691" s="111">
        <v>489</v>
      </c>
      <c r="K691" s="134">
        <v>5</v>
      </c>
      <c r="L691" s="151">
        <v>41701</v>
      </c>
      <c r="M691" s="169">
        <v>4.05</v>
      </c>
      <c r="N691" s="151">
        <v>41838</v>
      </c>
      <c r="Q691" s="497"/>
      <c r="S691" s="134">
        <v>15.04</v>
      </c>
      <c r="T691" s="151">
        <v>41842</v>
      </c>
      <c r="U691" s="134">
        <v>13.5</v>
      </c>
      <c r="V691" s="151">
        <v>41838</v>
      </c>
      <c r="W691" s="196">
        <v>9</v>
      </c>
      <c r="X691" s="151">
        <v>41829</v>
      </c>
      <c r="Y691" s="134">
        <f t="shared" si="10"/>
        <v>3.6842400000000004</v>
      </c>
      <c r="AC691" s="134">
        <v>30</v>
      </c>
      <c r="AD691" s="151">
        <v>41838</v>
      </c>
      <c r="AE691" s="134">
        <v>30.96</v>
      </c>
      <c r="AF691" s="151">
        <v>41838</v>
      </c>
      <c r="AG691" s="197">
        <v>5</v>
      </c>
      <c r="AH691" s="151">
        <v>41843</v>
      </c>
      <c r="AI691" s="198">
        <v>5</v>
      </c>
      <c r="AJ691" s="151">
        <v>41778</v>
      </c>
      <c r="AK691" s="199">
        <v>5</v>
      </c>
      <c r="AL691" s="151">
        <v>41709</v>
      </c>
      <c r="BE691" s="200">
        <v>5</v>
      </c>
      <c r="BF691" s="201">
        <v>41555</v>
      </c>
      <c r="BG691" s="203">
        <v>-5.7</v>
      </c>
      <c r="BH691" s="151">
        <v>41842</v>
      </c>
      <c r="BM691" s="204">
        <v>65.5</v>
      </c>
      <c r="BN691" s="151">
        <v>41842</v>
      </c>
      <c r="BQ691" s="205">
        <v>10.3</v>
      </c>
      <c r="BR691" s="151">
        <v>41842</v>
      </c>
      <c r="BS691" s="206">
        <v>48.6</v>
      </c>
      <c r="BT691" s="151">
        <v>41842</v>
      </c>
      <c r="BU691" s="207">
        <v>11.9</v>
      </c>
      <c r="BV691" s="151">
        <v>41842</v>
      </c>
      <c r="BW691" s="206">
        <v>12</v>
      </c>
      <c r="BX691" s="151">
        <v>41842</v>
      </c>
      <c r="BY691" s="210">
        <v>7.12</v>
      </c>
      <c r="BZ691" s="151">
        <v>41842</v>
      </c>
      <c r="CA691" s="206">
        <v>28</v>
      </c>
      <c r="CB691" s="151">
        <v>41842</v>
      </c>
      <c r="CC691" s="208">
        <v>6.1</v>
      </c>
      <c r="CD691" s="151">
        <v>41838</v>
      </c>
      <c r="CL691" s="209">
        <v>3</v>
      </c>
      <c r="CM691" s="201">
        <v>41810</v>
      </c>
    </row>
    <row r="692" spans="1:91" ht="15">
      <c r="A692" s="152" t="s">
        <v>8062</v>
      </c>
      <c r="B692" s="110" t="s">
        <v>235</v>
      </c>
      <c r="C692" s="110" t="s">
        <v>8081</v>
      </c>
      <c r="D692" s="110">
        <v>11190</v>
      </c>
      <c r="E692" s="111">
        <v>7</v>
      </c>
      <c r="F692" s="111">
        <v>517</v>
      </c>
      <c r="K692" s="134">
        <v>5</v>
      </c>
      <c r="L692" s="151">
        <v>41701</v>
      </c>
      <c r="M692" s="169">
        <v>7.3</v>
      </c>
      <c r="N692" s="151">
        <v>41838</v>
      </c>
      <c r="Q692" s="497"/>
      <c r="S692" s="134">
        <v>26.76</v>
      </c>
      <c r="T692" s="151">
        <v>41842</v>
      </c>
      <c r="U692" s="134">
        <v>13.5</v>
      </c>
      <c r="V692" s="151">
        <v>41838</v>
      </c>
      <c r="W692" s="196">
        <v>9</v>
      </c>
      <c r="X692" s="151">
        <v>41829</v>
      </c>
      <c r="Y692" s="134">
        <f t="shared" si="10"/>
        <v>7.1577600000000006</v>
      </c>
      <c r="AC692" s="134">
        <v>54.07</v>
      </c>
      <c r="AD692" s="151">
        <v>41838</v>
      </c>
      <c r="AE692" s="134">
        <v>55.92</v>
      </c>
      <c r="AF692" s="151">
        <v>41838</v>
      </c>
      <c r="AG692" s="197">
        <v>4.7</v>
      </c>
      <c r="AH692" s="151">
        <v>41843</v>
      </c>
      <c r="AI692" s="198">
        <v>5</v>
      </c>
      <c r="AJ692" s="151">
        <v>41778</v>
      </c>
      <c r="AK692" s="199">
        <v>5</v>
      </c>
      <c r="AL692" s="151">
        <v>41709</v>
      </c>
      <c r="BE692" s="200">
        <v>5</v>
      </c>
      <c r="BF692" s="201">
        <v>41555</v>
      </c>
      <c r="BG692" s="203">
        <v>-3.6</v>
      </c>
      <c r="BH692" s="151">
        <v>41842</v>
      </c>
      <c r="BM692" s="204">
        <v>64.2</v>
      </c>
      <c r="BN692" s="151">
        <v>41842</v>
      </c>
      <c r="BQ692" s="205">
        <v>10.8</v>
      </c>
      <c r="BR692" s="151">
        <v>41842</v>
      </c>
      <c r="BS692" s="206">
        <v>47.9</v>
      </c>
      <c r="BT692" s="151">
        <v>41842</v>
      </c>
      <c r="BU692" s="207">
        <v>12.8</v>
      </c>
      <c r="BV692" s="151">
        <v>41842</v>
      </c>
      <c r="BW692" s="206">
        <v>12.1</v>
      </c>
      <c r="BX692" s="151">
        <v>41842</v>
      </c>
      <c r="BY692" s="210">
        <v>7.03</v>
      </c>
      <c r="BZ692" s="151">
        <v>41842</v>
      </c>
      <c r="CA692" s="206">
        <v>29.7</v>
      </c>
      <c r="CB692" s="151">
        <v>41842</v>
      </c>
      <c r="CC692" s="208">
        <v>5.9</v>
      </c>
      <c r="CD692" s="151">
        <v>41838</v>
      </c>
      <c r="CL692" s="209">
        <v>3</v>
      </c>
      <c r="CM692" s="201">
        <v>41810</v>
      </c>
    </row>
    <row r="693" spans="1:91" ht="15">
      <c r="A693" s="152" t="s">
        <v>8062</v>
      </c>
      <c r="B693" s="110" t="s">
        <v>233</v>
      </c>
      <c r="C693" s="110" t="s">
        <v>8083</v>
      </c>
      <c r="D693" s="110">
        <v>11757</v>
      </c>
      <c r="E693" s="111">
        <v>11</v>
      </c>
      <c r="F693" s="111">
        <v>629</v>
      </c>
      <c r="K693" s="134">
        <v>5</v>
      </c>
      <c r="L693" s="151">
        <v>41701</v>
      </c>
      <c r="M693" s="169">
        <v>5.3</v>
      </c>
      <c r="N693" s="151">
        <v>41838</v>
      </c>
      <c r="Q693" s="497"/>
      <c r="S693" s="134">
        <v>19.39</v>
      </c>
      <c r="T693" s="151">
        <v>41842</v>
      </c>
      <c r="U693" s="134">
        <v>13.5</v>
      </c>
      <c r="V693" s="151">
        <v>41838</v>
      </c>
      <c r="W693" s="196">
        <v>9</v>
      </c>
      <c r="X693" s="151">
        <v>41829</v>
      </c>
      <c r="Y693" s="134">
        <f t="shared" si="10"/>
        <v>5.2949000000000002</v>
      </c>
      <c r="AC693" s="134">
        <v>39.26</v>
      </c>
      <c r="AD693" s="151">
        <v>41838</v>
      </c>
      <c r="AE693" s="134">
        <v>40.729999999999997</v>
      </c>
      <c r="AF693" s="151">
        <v>41838</v>
      </c>
      <c r="AG693" s="197">
        <v>4.7</v>
      </c>
      <c r="AH693" s="151">
        <v>41843</v>
      </c>
      <c r="AI693" s="198">
        <v>7</v>
      </c>
      <c r="AJ693" s="151">
        <v>41778</v>
      </c>
      <c r="AK693" s="199">
        <v>5</v>
      </c>
      <c r="AL693" s="151">
        <v>41709</v>
      </c>
      <c r="BE693" s="200">
        <v>5</v>
      </c>
      <c r="BF693" s="201">
        <v>41555</v>
      </c>
      <c r="BG693" s="203">
        <v>-4.0999999999999996</v>
      </c>
      <c r="BH693" s="151">
        <v>41842</v>
      </c>
      <c r="BM693" s="204">
        <v>64</v>
      </c>
      <c r="BN693" s="151">
        <v>41842</v>
      </c>
      <c r="BQ693" s="205">
        <v>11.3</v>
      </c>
      <c r="BR693" s="151">
        <v>41842</v>
      </c>
      <c r="BS693" s="206">
        <v>47.6</v>
      </c>
      <c r="BT693" s="151">
        <v>41842</v>
      </c>
      <c r="BU693" s="207">
        <v>13</v>
      </c>
      <c r="BV693" s="151">
        <v>41842</v>
      </c>
      <c r="BW693" s="206">
        <v>12.5</v>
      </c>
      <c r="BX693" s="151">
        <v>41842</v>
      </c>
      <c r="BY693" s="210">
        <v>6.73</v>
      </c>
      <c r="BZ693" s="151">
        <v>41842</v>
      </c>
      <c r="CA693" s="206">
        <v>29.9</v>
      </c>
      <c r="CB693" s="151">
        <v>41842</v>
      </c>
      <c r="CC693" s="208">
        <v>5.6</v>
      </c>
      <c r="CD693" s="151">
        <v>41838</v>
      </c>
      <c r="CL693" s="209">
        <v>3</v>
      </c>
      <c r="CM693" s="201">
        <v>41810</v>
      </c>
    </row>
    <row r="694" spans="1:91" ht="15">
      <c r="A694" s="152" t="s">
        <v>8063</v>
      </c>
      <c r="B694" s="110" t="s">
        <v>233</v>
      </c>
      <c r="C694" s="110" t="s">
        <v>381</v>
      </c>
      <c r="D694" s="110">
        <v>11085</v>
      </c>
      <c r="E694" s="111">
        <v>4</v>
      </c>
      <c r="F694" s="111">
        <v>529</v>
      </c>
      <c r="K694" s="134">
        <v>5</v>
      </c>
      <c r="L694" s="151">
        <v>41701</v>
      </c>
      <c r="M694" s="169">
        <v>4.3</v>
      </c>
      <c r="N694" s="151">
        <v>41838</v>
      </c>
      <c r="Q694" s="497"/>
      <c r="S694" s="134">
        <v>15.81</v>
      </c>
      <c r="T694" s="151">
        <v>41842</v>
      </c>
      <c r="U694" s="134">
        <v>13.5</v>
      </c>
      <c r="V694" s="151">
        <v>41838</v>
      </c>
      <c r="W694" s="196">
        <v>9</v>
      </c>
      <c r="X694" s="151">
        <v>41829</v>
      </c>
      <c r="Y694" s="134">
        <f t="shared" si="10"/>
        <v>4.5828300000000004</v>
      </c>
      <c r="AC694" s="134">
        <v>31.85</v>
      </c>
      <c r="AD694" s="151">
        <v>41838</v>
      </c>
      <c r="AE694" s="134">
        <v>32.97</v>
      </c>
      <c r="AF694" s="151">
        <v>41838</v>
      </c>
      <c r="AG694" s="197">
        <v>4.2</v>
      </c>
      <c r="AH694" s="151">
        <v>41843</v>
      </c>
      <c r="AI694" s="198">
        <v>5</v>
      </c>
      <c r="AJ694" s="151">
        <v>41778</v>
      </c>
      <c r="AK694" s="199">
        <v>7</v>
      </c>
      <c r="AL694" s="151">
        <v>41709</v>
      </c>
      <c r="BE694" s="200">
        <v>7</v>
      </c>
      <c r="BF694" s="201">
        <v>41555</v>
      </c>
      <c r="BG694" s="203">
        <v>-5.2</v>
      </c>
      <c r="BH694" s="151">
        <v>41842</v>
      </c>
      <c r="BM694" s="204">
        <v>63.8</v>
      </c>
      <c r="BN694" s="151">
        <v>41842</v>
      </c>
      <c r="BQ694" s="205">
        <v>10</v>
      </c>
      <c r="BR694" s="151">
        <v>41842</v>
      </c>
      <c r="BS694" s="206">
        <v>48</v>
      </c>
      <c r="BT694" s="151">
        <v>41842</v>
      </c>
      <c r="BU694" s="207">
        <v>13.9</v>
      </c>
      <c r="BV694" s="151">
        <v>41842</v>
      </c>
      <c r="BW694" s="206">
        <v>12.3</v>
      </c>
      <c r="BX694" s="151">
        <v>41842</v>
      </c>
      <c r="BY694" s="210">
        <v>7.28</v>
      </c>
      <c r="BZ694" s="151">
        <v>41842</v>
      </c>
      <c r="CA694" s="206">
        <v>32.200000000000003</v>
      </c>
      <c r="CB694" s="151">
        <v>41842</v>
      </c>
      <c r="CC694" s="208">
        <v>5.8</v>
      </c>
      <c r="CD694" s="151">
        <v>41838</v>
      </c>
      <c r="CL694" s="209">
        <v>3</v>
      </c>
      <c r="CM694" s="201">
        <v>41810</v>
      </c>
    </row>
    <row r="695" spans="1:91" ht="15">
      <c r="A695" s="152" t="s">
        <v>8063</v>
      </c>
      <c r="B695" s="110" t="s">
        <v>235</v>
      </c>
      <c r="C695" s="110" t="s">
        <v>8082</v>
      </c>
      <c r="D695" s="110">
        <v>11608</v>
      </c>
      <c r="E695" s="111">
        <v>6</v>
      </c>
      <c r="F695" s="111">
        <v>753</v>
      </c>
      <c r="K695" s="134">
        <v>5</v>
      </c>
      <c r="L695" s="151">
        <v>41701</v>
      </c>
      <c r="M695" s="169">
        <v>5.0999999999999996</v>
      </c>
      <c r="N695" s="151">
        <v>41838</v>
      </c>
      <c r="Q695" s="497"/>
      <c r="S695" s="134">
        <v>18.190000000000001</v>
      </c>
      <c r="T695" s="151">
        <v>41842</v>
      </c>
      <c r="U695" s="134">
        <v>13.5</v>
      </c>
      <c r="V695" s="151">
        <v>41838</v>
      </c>
      <c r="W695" s="196">
        <v>9</v>
      </c>
      <c r="X695" s="151">
        <v>41829</v>
      </c>
      <c r="Y695" s="134">
        <f t="shared" si="10"/>
        <v>5.63706</v>
      </c>
      <c r="AC695" s="134">
        <v>37.78</v>
      </c>
      <c r="AD695" s="151">
        <v>41838</v>
      </c>
      <c r="AE695" s="134">
        <v>38.61</v>
      </c>
      <c r="AF695" s="151">
        <v>41838</v>
      </c>
      <c r="AG695" s="197">
        <v>4.0999999999999996</v>
      </c>
      <c r="AH695" s="151">
        <v>41843</v>
      </c>
      <c r="AI695" s="198">
        <v>5</v>
      </c>
      <c r="AJ695" s="151">
        <v>41778</v>
      </c>
      <c r="AK695" s="199">
        <v>5</v>
      </c>
      <c r="AL695" s="151">
        <v>41709</v>
      </c>
      <c r="BE695" s="200">
        <v>5</v>
      </c>
      <c r="BF695" s="201">
        <v>41555</v>
      </c>
      <c r="BG695" s="203">
        <v>-3.4</v>
      </c>
      <c r="BH695" s="151">
        <v>41842</v>
      </c>
      <c r="BM695" s="204">
        <v>62.4</v>
      </c>
      <c r="BN695" s="151">
        <v>41842</v>
      </c>
      <c r="BQ695" s="205">
        <v>11.1</v>
      </c>
      <c r="BR695" s="151">
        <v>41842</v>
      </c>
      <c r="BS695" s="206">
        <v>47.1</v>
      </c>
      <c r="BT695" s="151">
        <v>41842</v>
      </c>
      <c r="BU695" s="207">
        <v>14.6</v>
      </c>
      <c r="BV695" s="151">
        <v>41842</v>
      </c>
      <c r="BW695" s="206">
        <v>12.1</v>
      </c>
      <c r="BX695" s="151">
        <v>41842</v>
      </c>
      <c r="BY695" s="210">
        <v>7.52</v>
      </c>
      <c r="BZ695" s="151">
        <v>41842</v>
      </c>
      <c r="CA695" s="206">
        <v>33.299999999999997</v>
      </c>
      <c r="CB695" s="151">
        <v>41842</v>
      </c>
      <c r="CC695" s="208">
        <v>7</v>
      </c>
      <c r="CD695" s="151">
        <v>41838</v>
      </c>
      <c r="CL695" s="209">
        <v>3</v>
      </c>
      <c r="CM695" s="201">
        <v>41810</v>
      </c>
    </row>
    <row r="696" spans="1:91" ht="15">
      <c r="A696" s="152" t="s">
        <v>8063</v>
      </c>
      <c r="B696" s="110" t="s">
        <v>235</v>
      </c>
      <c r="C696" s="110" t="s">
        <v>8081</v>
      </c>
      <c r="D696" s="110">
        <v>11212</v>
      </c>
      <c r="E696" s="111">
        <v>7</v>
      </c>
      <c r="F696" s="111">
        <v>605</v>
      </c>
      <c r="K696" s="134">
        <v>5</v>
      </c>
      <c r="L696" s="151">
        <v>41701</v>
      </c>
      <c r="M696" s="169">
        <v>4.8499999999999996</v>
      </c>
      <c r="N696" s="151">
        <v>41838</v>
      </c>
      <c r="Q696" s="497"/>
      <c r="S696" s="134">
        <v>17.77</v>
      </c>
      <c r="T696" s="151">
        <v>41842</v>
      </c>
      <c r="U696" s="134">
        <v>13.5</v>
      </c>
      <c r="V696" s="151">
        <v>41838</v>
      </c>
      <c r="W696" s="196">
        <v>9</v>
      </c>
      <c r="X696" s="151">
        <v>41829</v>
      </c>
      <c r="Y696" s="134">
        <f t="shared" si="10"/>
        <v>5.3809500000000003</v>
      </c>
      <c r="AC696" s="134">
        <v>35.93</v>
      </c>
      <c r="AD696" s="151">
        <v>41838</v>
      </c>
      <c r="AE696" s="134">
        <v>37.11</v>
      </c>
      <c r="AF696" s="151">
        <v>41838</v>
      </c>
      <c r="AG696" s="197">
        <v>4.2</v>
      </c>
      <c r="AH696" s="151">
        <v>41843</v>
      </c>
      <c r="AI696" s="198">
        <v>5</v>
      </c>
      <c r="AJ696" s="151">
        <v>41778</v>
      </c>
      <c r="AK696" s="199">
        <v>5</v>
      </c>
      <c r="AL696" s="151">
        <v>41709</v>
      </c>
      <c r="BE696" s="200">
        <v>5</v>
      </c>
      <c r="BF696" s="201">
        <v>41555</v>
      </c>
      <c r="BG696" s="203">
        <v>-0.7</v>
      </c>
      <c r="BH696" s="151">
        <v>41842</v>
      </c>
      <c r="BM696" s="204">
        <v>64.7</v>
      </c>
      <c r="BN696" s="151">
        <v>41842</v>
      </c>
      <c r="BQ696" s="205">
        <v>10.1</v>
      </c>
      <c r="BR696" s="151">
        <v>41842</v>
      </c>
      <c r="BS696" s="206">
        <v>47.9</v>
      </c>
      <c r="BT696" s="151">
        <v>41842</v>
      </c>
      <c r="BU696" s="207">
        <v>14.5</v>
      </c>
      <c r="BV696" s="151">
        <v>41842</v>
      </c>
      <c r="BW696" s="206">
        <v>9.4</v>
      </c>
      <c r="BX696" s="151">
        <v>41842</v>
      </c>
      <c r="BY696" s="210">
        <v>7.05</v>
      </c>
      <c r="BZ696" s="151">
        <v>41842</v>
      </c>
      <c r="CA696" s="206">
        <v>33.5</v>
      </c>
      <c r="CB696" s="151">
        <v>41842</v>
      </c>
      <c r="CC696" s="208">
        <v>6</v>
      </c>
      <c r="CD696" s="151">
        <v>41838</v>
      </c>
      <c r="CL696" s="209">
        <v>3</v>
      </c>
      <c r="CM696" s="201">
        <v>41810</v>
      </c>
    </row>
    <row r="697" spans="1:91" ht="15">
      <c r="A697" s="152" t="s">
        <v>8063</v>
      </c>
      <c r="B697" s="110" t="s">
        <v>233</v>
      </c>
      <c r="C697" s="110" t="s">
        <v>8083</v>
      </c>
      <c r="D697" s="110">
        <v>11615</v>
      </c>
      <c r="E697" s="111">
        <v>7</v>
      </c>
      <c r="F697" s="111">
        <v>637</v>
      </c>
      <c r="K697" s="134">
        <v>5</v>
      </c>
      <c r="L697" s="151">
        <v>41701</v>
      </c>
      <c r="M697" s="169">
        <v>3.85</v>
      </c>
      <c r="N697" s="151">
        <v>41838</v>
      </c>
      <c r="Q697" s="497"/>
      <c r="S697" s="134">
        <v>14.11</v>
      </c>
      <c r="T697" s="151">
        <v>41842</v>
      </c>
      <c r="U697" s="134">
        <v>13.5</v>
      </c>
      <c r="V697" s="151">
        <v>41838</v>
      </c>
      <c r="W697" s="196">
        <v>1</v>
      </c>
      <c r="X697" s="151">
        <v>41829</v>
      </c>
      <c r="Y697" s="134">
        <f t="shared" si="10"/>
        <v>4.2256500000000008</v>
      </c>
      <c r="AC697" s="134">
        <v>28.52</v>
      </c>
      <c r="AD697" s="151">
        <v>41838</v>
      </c>
      <c r="AE697" s="134">
        <v>29.55</v>
      </c>
      <c r="AF697" s="151">
        <v>41838</v>
      </c>
      <c r="AG697" s="197">
        <v>4.3</v>
      </c>
      <c r="AH697" s="151">
        <v>41843</v>
      </c>
      <c r="AI697" s="198">
        <v>5</v>
      </c>
      <c r="AJ697" s="151">
        <v>41778</v>
      </c>
      <c r="AK697" s="199">
        <v>5</v>
      </c>
      <c r="AL697" s="151">
        <v>41709</v>
      </c>
      <c r="BE697" s="200">
        <v>5</v>
      </c>
      <c r="BF697" s="201">
        <v>41555</v>
      </c>
      <c r="BG697" s="203">
        <v>-2.9</v>
      </c>
      <c r="BH697" s="151">
        <v>41842</v>
      </c>
      <c r="BM697" s="204">
        <v>64.099999999999994</v>
      </c>
      <c r="BN697" s="151">
        <v>41842</v>
      </c>
      <c r="BQ697" s="205">
        <v>10.7</v>
      </c>
      <c r="BR697" s="151">
        <v>41842</v>
      </c>
      <c r="BS697" s="206">
        <v>47.8</v>
      </c>
      <c r="BT697" s="151">
        <v>41842</v>
      </c>
      <c r="BU697" s="207">
        <v>14.3</v>
      </c>
      <c r="BV697" s="151">
        <v>41842</v>
      </c>
      <c r="BW697" s="206">
        <v>13</v>
      </c>
      <c r="BX697" s="151">
        <v>41842</v>
      </c>
      <c r="BY697" s="210">
        <v>6.76</v>
      </c>
      <c r="BZ697" s="151">
        <v>41842</v>
      </c>
      <c r="CA697" s="206">
        <v>33</v>
      </c>
      <c r="CB697" s="151">
        <v>41842</v>
      </c>
      <c r="CC697" s="208">
        <v>5.7</v>
      </c>
      <c r="CD697" s="151">
        <v>41838</v>
      </c>
      <c r="CL697" s="209">
        <v>3</v>
      </c>
      <c r="CM697" s="201">
        <v>41810</v>
      </c>
    </row>
    <row r="698" spans="1:91" ht="15">
      <c r="A698" s="152" t="s">
        <v>8064</v>
      </c>
      <c r="B698" s="110" t="s">
        <v>233</v>
      </c>
      <c r="C698" s="110" t="s">
        <v>381</v>
      </c>
      <c r="D698" s="110">
        <v>10978</v>
      </c>
      <c r="E698" s="111">
        <v>1</v>
      </c>
      <c r="F698" s="111">
        <v>533</v>
      </c>
      <c r="I698" s="373"/>
      <c r="K698" s="194">
        <v>5</v>
      </c>
      <c r="L698" s="151">
        <v>41701</v>
      </c>
      <c r="M698" s="169">
        <v>4.75</v>
      </c>
      <c r="N698" s="151">
        <v>41838</v>
      </c>
      <c r="Q698" s="497"/>
      <c r="S698" s="134">
        <v>17.11</v>
      </c>
      <c r="T698" s="151">
        <v>41842</v>
      </c>
      <c r="U698" s="194">
        <v>13.5</v>
      </c>
      <c r="V698" s="151">
        <v>41838</v>
      </c>
      <c r="W698" s="196">
        <v>9</v>
      </c>
      <c r="X698" s="151">
        <v>41829</v>
      </c>
      <c r="Y698" s="134">
        <f t="shared" si="10"/>
        <v>4.8345500000000001</v>
      </c>
      <c r="AA698" s="194"/>
      <c r="AC698" s="194">
        <v>35.19</v>
      </c>
      <c r="AD698" s="151">
        <v>41838</v>
      </c>
      <c r="AE698" s="137">
        <v>36.35</v>
      </c>
      <c r="AF698" s="151">
        <v>41838</v>
      </c>
      <c r="AG698" s="197">
        <v>5</v>
      </c>
      <c r="AH698" s="151">
        <v>41843</v>
      </c>
      <c r="AI698" s="198">
        <v>3</v>
      </c>
      <c r="AJ698" s="151">
        <v>41778</v>
      </c>
      <c r="AK698" s="199">
        <v>5</v>
      </c>
      <c r="AL698" s="151">
        <v>41709</v>
      </c>
      <c r="AM698" s="194"/>
      <c r="BE698" s="200">
        <v>5</v>
      </c>
      <c r="BF698" s="201">
        <v>41555</v>
      </c>
      <c r="BG698" s="203">
        <v>-4.5</v>
      </c>
      <c r="BH698" s="151">
        <v>41842</v>
      </c>
      <c r="BM698" s="204">
        <v>66</v>
      </c>
      <c r="BN698" s="151">
        <v>41842</v>
      </c>
      <c r="BQ698" s="205">
        <v>10.1</v>
      </c>
      <c r="BR698" s="151">
        <v>41842</v>
      </c>
      <c r="BS698" s="206">
        <v>47.1</v>
      </c>
      <c r="BT698" s="151">
        <v>41842</v>
      </c>
      <c r="BU698" s="207">
        <v>13.3</v>
      </c>
      <c r="BV698" s="151">
        <v>41842</v>
      </c>
      <c r="BW698" s="206">
        <v>7.1</v>
      </c>
      <c r="BX698" s="151">
        <v>41842</v>
      </c>
      <c r="BY698" s="210">
        <v>7.34</v>
      </c>
      <c r="BZ698" s="151">
        <v>41842</v>
      </c>
      <c r="CA698" s="206">
        <v>30.4</v>
      </c>
      <c r="CB698" s="151">
        <v>41842</v>
      </c>
      <c r="CC698" s="208">
        <v>6</v>
      </c>
      <c r="CD698" s="151">
        <v>41838</v>
      </c>
      <c r="CL698" s="209">
        <v>3</v>
      </c>
      <c r="CM698" s="201">
        <v>41810</v>
      </c>
    </row>
    <row r="699" spans="1:91" ht="15">
      <c r="A699" s="152" t="s">
        <v>8064</v>
      </c>
      <c r="B699" s="110" t="s">
        <v>235</v>
      </c>
      <c r="C699" s="110" t="s">
        <v>8082</v>
      </c>
      <c r="D699" s="110">
        <v>11471</v>
      </c>
      <c r="E699" s="111">
        <v>3</v>
      </c>
      <c r="F699" s="111">
        <v>637</v>
      </c>
      <c r="K699" s="134">
        <v>5</v>
      </c>
      <c r="L699" s="151">
        <v>41701</v>
      </c>
      <c r="M699" s="169">
        <v>5.85</v>
      </c>
      <c r="N699" s="151">
        <v>41838</v>
      </c>
      <c r="Q699" s="497"/>
      <c r="S699" s="134">
        <v>20.13</v>
      </c>
      <c r="T699" s="151">
        <v>41842</v>
      </c>
      <c r="U699" s="134">
        <v>13.5</v>
      </c>
      <c r="V699" s="151">
        <v>41838</v>
      </c>
      <c r="W699" s="196">
        <v>9</v>
      </c>
      <c r="X699" s="151">
        <v>41829</v>
      </c>
      <c r="Y699" s="134">
        <f t="shared" si="10"/>
        <v>6.5104999999999995</v>
      </c>
      <c r="AC699" s="134">
        <v>43.33</v>
      </c>
      <c r="AD699" s="151">
        <v>41838</v>
      </c>
      <c r="AE699" s="134">
        <v>44.9</v>
      </c>
      <c r="AF699" s="151">
        <v>41838</v>
      </c>
      <c r="AG699" s="197">
        <v>4.5</v>
      </c>
      <c r="AH699" s="151">
        <v>41843</v>
      </c>
      <c r="AI699" s="198">
        <v>5</v>
      </c>
      <c r="AJ699" s="151">
        <v>41778</v>
      </c>
      <c r="AK699" s="199">
        <v>5</v>
      </c>
      <c r="AL699" s="151">
        <v>41709</v>
      </c>
      <c r="BE699" s="200">
        <v>5</v>
      </c>
      <c r="BF699" s="201">
        <v>41555</v>
      </c>
      <c r="BG699" s="203">
        <v>-6.8</v>
      </c>
      <c r="BH699" s="151">
        <v>41842</v>
      </c>
      <c r="BM699" s="204">
        <v>65.099999999999994</v>
      </c>
      <c r="BN699" s="151">
        <v>41842</v>
      </c>
      <c r="BQ699" s="205">
        <v>10.199999999999999</v>
      </c>
      <c r="BR699" s="151">
        <v>41842</v>
      </c>
      <c r="BS699" s="206">
        <v>44.8</v>
      </c>
      <c r="BT699" s="151">
        <v>41842</v>
      </c>
      <c r="BU699" s="207">
        <v>14.5</v>
      </c>
      <c r="BV699" s="151">
        <v>41842</v>
      </c>
      <c r="BW699" s="206">
        <v>7.7</v>
      </c>
      <c r="BX699" s="151">
        <v>41842</v>
      </c>
      <c r="BY699" s="210">
        <v>7.77</v>
      </c>
      <c r="BZ699" s="151">
        <v>41842</v>
      </c>
      <c r="CA699" s="206">
        <v>31.4</v>
      </c>
      <c r="CB699" s="151">
        <v>41842</v>
      </c>
      <c r="CC699" s="208">
        <v>5.7</v>
      </c>
      <c r="CD699" s="151">
        <v>41838</v>
      </c>
      <c r="CL699" s="209">
        <v>3</v>
      </c>
      <c r="CM699" s="201">
        <v>41810</v>
      </c>
    </row>
    <row r="700" spans="1:91" ht="15">
      <c r="A700" s="152" t="s">
        <v>8064</v>
      </c>
      <c r="B700" s="110" t="s">
        <v>235</v>
      </c>
      <c r="C700" s="110" t="s">
        <v>8081</v>
      </c>
      <c r="D700" s="110">
        <v>11285</v>
      </c>
      <c r="E700" s="111">
        <v>9</v>
      </c>
      <c r="F700" s="111">
        <v>609</v>
      </c>
      <c r="K700" s="134">
        <v>5</v>
      </c>
      <c r="L700" s="151">
        <v>41701</v>
      </c>
      <c r="M700" s="169">
        <v>5.5</v>
      </c>
      <c r="N700" s="151">
        <v>41838</v>
      </c>
      <c r="Q700" s="497"/>
      <c r="S700" s="134">
        <v>19.25</v>
      </c>
      <c r="T700" s="151">
        <v>41842</v>
      </c>
      <c r="U700" s="134">
        <v>13.5</v>
      </c>
      <c r="V700" s="151">
        <v>41838</v>
      </c>
      <c r="W700" s="196">
        <v>9</v>
      </c>
      <c r="X700" s="151">
        <v>41829</v>
      </c>
      <c r="Y700" s="134">
        <f t="shared" si="10"/>
        <v>5.956900000000001</v>
      </c>
      <c r="AC700" s="134">
        <v>40.74</v>
      </c>
      <c r="AD700" s="151">
        <v>41838</v>
      </c>
      <c r="AE700" s="134">
        <v>41.95</v>
      </c>
      <c r="AF700" s="151">
        <v>41838</v>
      </c>
      <c r="AG700" s="197">
        <v>4.4000000000000004</v>
      </c>
      <c r="AH700" s="151">
        <v>41843</v>
      </c>
      <c r="AI700" s="198">
        <v>3</v>
      </c>
      <c r="AJ700" s="151">
        <v>41778</v>
      </c>
      <c r="AK700" s="199">
        <v>5</v>
      </c>
      <c r="AL700" s="151">
        <v>41709</v>
      </c>
      <c r="BE700" s="200">
        <v>5</v>
      </c>
      <c r="BF700" s="201">
        <v>41555</v>
      </c>
      <c r="BG700" s="203">
        <v>-3.7</v>
      </c>
      <c r="BH700" s="151">
        <v>41842</v>
      </c>
      <c r="BM700" s="204">
        <v>65.5</v>
      </c>
      <c r="BN700" s="151">
        <v>41842</v>
      </c>
      <c r="BQ700" s="205">
        <v>9.9</v>
      </c>
      <c r="BR700" s="151">
        <v>41842</v>
      </c>
      <c r="BS700" s="206">
        <v>45.9</v>
      </c>
      <c r="BT700" s="151">
        <v>41842</v>
      </c>
      <c r="BU700" s="207">
        <v>14.2</v>
      </c>
      <c r="BV700" s="151">
        <v>41842</v>
      </c>
      <c r="BW700" s="206">
        <v>8</v>
      </c>
      <c r="BX700" s="151">
        <v>41842</v>
      </c>
      <c r="BY700" s="210">
        <v>7.24</v>
      </c>
      <c r="BZ700" s="151">
        <v>41842</v>
      </c>
      <c r="CA700" s="206">
        <v>31.5</v>
      </c>
      <c r="CB700" s="151">
        <v>41842</v>
      </c>
      <c r="CC700" s="208">
        <v>6.3</v>
      </c>
      <c r="CD700" s="151">
        <v>41838</v>
      </c>
      <c r="CL700" s="209">
        <v>3</v>
      </c>
      <c r="CM700" s="201">
        <v>41810</v>
      </c>
    </row>
    <row r="701" spans="1:91" ht="15">
      <c r="A701" s="152" t="s">
        <v>8064</v>
      </c>
      <c r="B701" s="110" t="s">
        <v>233</v>
      </c>
      <c r="C701" s="110" t="s">
        <v>8083</v>
      </c>
      <c r="D701" s="110">
        <v>11706</v>
      </c>
      <c r="E701" s="111">
        <v>9</v>
      </c>
      <c r="F701" s="111">
        <v>713</v>
      </c>
      <c r="K701" s="134">
        <v>5</v>
      </c>
      <c r="L701" s="151">
        <v>41701</v>
      </c>
      <c r="M701" s="169">
        <v>4</v>
      </c>
      <c r="N701" s="151">
        <v>41838</v>
      </c>
      <c r="Q701" s="497"/>
      <c r="S701" s="134">
        <v>14.98</v>
      </c>
      <c r="T701" s="151">
        <v>41842</v>
      </c>
      <c r="U701" s="134">
        <v>13.5</v>
      </c>
      <c r="V701" s="151">
        <v>41838</v>
      </c>
      <c r="W701" s="196">
        <v>9</v>
      </c>
      <c r="X701" s="151">
        <v>41829</v>
      </c>
      <c r="Y701" s="134">
        <f t="shared" si="10"/>
        <v>3.4076999999999997</v>
      </c>
      <c r="AC701" s="134">
        <v>29.63</v>
      </c>
      <c r="AD701" s="151">
        <v>41838</v>
      </c>
      <c r="AE701" s="134">
        <v>30.7</v>
      </c>
      <c r="AF701" s="151">
        <v>41838</v>
      </c>
      <c r="AG701" s="197">
        <v>4.8</v>
      </c>
      <c r="AH701" s="151">
        <v>41843</v>
      </c>
      <c r="AI701" s="198">
        <v>3</v>
      </c>
      <c r="AJ701" s="151">
        <v>41778</v>
      </c>
      <c r="AK701" s="199">
        <v>5</v>
      </c>
      <c r="AL701" s="151">
        <v>41709</v>
      </c>
      <c r="BE701" s="200">
        <v>5</v>
      </c>
      <c r="BF701" s="201">
        <v>41555</v>
      </c>
      <c r="BG701" s="203">
        <v>-6.2</v>
      </c>
      <c r="BH701" s="151">
        <v>41842</v>
      </c>
      <c r="BM701" s="204">
        <v>67.3</v>
      </c>
      <c r="BN701" s="151">
        <v>41842</v>
      </c>
      <c r="BQ701" s="205">
        <v>8.6999999999999993</v>
      </c>
      <c r="BR701" s="151">
        <v>41842</v>
      </c>
      <c r="BS701" s="206">
        <v>48.8</v>
      </c>
      <c r="BT701" s="151">
        <v>41842</v>
      </c>
      <c r="BU701" s="207">
        <v>11.1</v>
      </c>
      <c r="BV701" s="151">
        <v>41842</v>
      </c>
      <c r="BW701" s="206">
        <v>7</v>
      </c>
      <c r="BX701" s="151">
        <v>41842</v>
      </c>
      <c r="BY701" s="210">
        <v>6.45</v>
      </c>
      <c r="BZ701" s="151">
        <v>41842</v>
      </c>
      <c r="CA701" s="206">
        <v>26.3</v>
      </c>
      <c r="CB701" s="151">
        <v>41842</v>
      </c>
      <c r="CC701" s="208">
        <v>5.7</v>
      </c>
      <c r="CD701" s="151">
        <v>41838</v>
      </c>
      <c r="CL701" s="209">
        <v>3</v>
      </c>
      <c r="CM701" s="201">
        <v>41810</v>
      </c>
    </row>
    <row r="702" spans="1:91" ht="15">
      <c r="A702" s="152" t="s">
        <v>8065</v>
      </c>
      <c r="B702" s="110" t="s">
        <v>235</v>
      </c>
      <c r="C702" s="110" t="s">
        <v>8082</v>
      </c>
      <c r="D702" s="110">
        <v>11441</v>
      </c>
      <c r="E702" s="111">
        <v>2</v>
      </c>
      <c r="F702" s="111">
        <v>661</v>
      </c>
      <c r="K702" s="134">
        <v>5</v>
      </c>
      <c r="L702" s="151">
        <v>41701</v>
      </c>
      <c r="M702" s="169">
        <v>5.7</v>
      </c>
      <c r="N702" s="151">
        <v>41838</v>
      </c>
      <c r="Q702" s="497"/>
      <c r="S702" s="134">
        <v>20.49</v>
      </c>
      <c r="T702" s="151">
        <v>41842</v>
      </c>
      <c r="U702" s="134">
        <v>13.5</v>
      </c>
      <c r="V702" s="151">
        <v>41838</v>
      </c>
      <c r="W702" s="196">
        <v>9</v>
      </c>
      <c r="X702" s="151">
        <v>41829</v>
      </c>
      <c r="Y702" s="134">
        <f t="shared" si="10"/>
        <v>6.4106699999999996</v>
      </c>
      <c r="AC702" s="134">
        <v>42.22</v>
      </c>
      <c r="AD702" s="151">
        <v>41838</v>
      </c>
      <c r="AE702" s="134">
        <v>43.61</v>
      </c>
      <c r="AF702" s="151">
        <v>41838</v>
      </c>
      <c r="AG702" s="197">
        <v>5.5</v>
      </c>
      <c r="AH702" s="151">
        <v>41843</v>
      </c>
      <c r="AI702" s="198">
        <v>7</v>
      </c>
      <c r="AJ702" s="151">
        <v>41778</v>
      </c>
      <c r="AK702" s="199">
        <v>4</v>
      </c>
      <c r="AL702" s="151">
        <v>41709</v>
      </c>
      <c r="BE702" s="200">
        <v>4</v>
      </c>
      <c r="BF702" s="201">
        <v>41555</v>
      </c>
      <c r="BG702" s="203">
        <v>-9.9</v>
      </c>
      <c r="BH702" s="151">
        <v>41842</v>
      </c>
      <c r="BM702" s="204">
        <v>61.4</v>
      </c>
      <c r="BN702" s="151">
        <v>41842</v>
      </c>
      <c r="BQ702" s="205">
        <v>12.3</v>
      </c>
      <c r="BR702" s="151">
        <v>41842</v>
      </c>
      <c r="BS702" s="206">
        <v>47</v>
      </c>
      <c r="BT702" s="151">
        <v>41842</v>
      </c>
      <c r="BU702" s="207">
        <v>14.7</v>
      </c>
      <c r="BV702" s="151">
        <v>41842</v>
      </c>
      <c r="BW702" s="206">
        <v>13.9</v>
      </c>
      <c r="BX702" s="151">
        <v>41842</v>
      </c>
      <c r="BY702" s="210">
        <v>7.1</v>
      </c>
      <c r="BZ702" s="151">
        <v>41842</v>
      </c>
      <c r="CA702" s="206">
        <v>33.4</v>
      </c>
      <c r="CB702" s="151">
        <v>41842</v>
      </c>
      <c r="CC702" s="208">
        <v>6</v>
      </c>
      <c r="CD702" s="151">
        <v>41838</v>
      </c>
      <c r="CL702" s="209">
        <v>3</v>
      </c>
      <c r="CM702" s="201">
        <v>41810</v>
      </c>
    </row>
    <row r="703" spans="1:91" ht="15">
      <c r="A703" s="152" t="s">
        <v>8065</v>
      </c>
      <c r="B703" s="110" t="s">
        <v>233</v>
      </c>
      <c r="C703" s="110" t="s">
        <v>381</v>
      </c>
      <c r="D703" s="110">
        <v>11092</v>
      </c>
      <c r="E703" s="111">
        <v>4</v>
      </c>
      <c r="F703" s="111">
        <v>557</v>
      </c>
      <c r="K703" s="134">
        <v>5</v>
      </c>
      <c r="L703" s="151">
        <v>41701</v>
      </c>
      <c r="M703" s="169">
        <v>5.25</v>
      </c>
      <c r="N703" s="151">
        <v>41838</v>
      </c>
      <c r="Q703" s="497"/>
      <c r="S703" s="134">
        <v>19.64</v>
      </c>
      <c r="T703" s="151">
        <v>41842</v>
      </c>
      <c r="U703" s="134">
        <v>13.5</v>
      </c>
      <c r="V703" s="151">
        <v>41838</v>
      </c>
      <c r="W703" s="196">
        <v>1</v>
      </c>
      <c r="X703" s="151">
        <v>41829</v>
      </c>
      <c r="Y703" s="134">
        <f t="shared" si="10"/>
        <v>5.163520000000001</v>
      </c>
      <c r="AC703" s="134">
        <v>38.89</v>
      </c>
      <c r="AD703" s="151">
        <v>41838</v>
      </c>
      <c r="AE703" s="134">
        <v>40.340000000000003</v>
      </c>
      <c r="AF703" s="151">
        <v>41838</v>
      </c>
      <c r="AG703" s="197">
        <v>5.3</v>
      </c>
      <c r="AH703" s="151">
        <v>41843</v>
      </c>
      <c r="AI703" s="198">
        <v>5</v>
      </c>
      <c r="AJ703" s="151">
        <v>41778</v>
      </c>
      <c r="AK703" s="199">
        <v>5</v>
      </c>
      <c r="AL703" s="151">
        <v>41709</v>
      </c>
      <c r="BE703" s="200">
        <v>5</v>
      </c>
      <c r="BF703" s="201">
        <v>41555</v>
      </c>
      <c r="BG703" s="203">
        <v>-7.8</v>
      </c>
      <c r="BH703" s="151">
        <v>41842</v>
      </c>
      <c r="BM703" s="204">
        <v>63.2</v>
      </c>
      <c r="BN703" s="151">
        <v>41842</v>
      </c>
      <c r="BQ703" s="205">
        <v>11.3</v>
      </c>
      <c r="BR703" s="151">
        <v>41842</v>
      </c>
      <c r="BS703" s="206">
        <v>48.7</v>
      </c>
      <c r="BT703" s="151">
        <v>41842</v>
      </c>
      <c r="BU703" s="207">
        <v>12.8</v>
      </c>
      <c r="BV703" s="151">
        <v>41842</v>
      </c>
      <c r="BW703" s="206">
        <v>14.7</v>
      </c>
      <c r="BX703" s="151">
        <v>41842</v>
      </c>
      <c r="BY703" s="210">
        <v>6.58</v>
      </c>
      <c r="BZ703" s="151">
        <v>41842</v>
      </c>
      <c r="CA703" s="206">
        <v>30.2</v>
      </c>
      <c r="CB703" s="151">
        <v>41842</v>
      </c>
      <c r="CC703" s="208">
        <v>5.6</v>
      </c>
      <c r="CD703" s="151">
        <v>41838</v>
      </c>
      <c r="CL703" s="209">
        <v>3</v>
      </c>
      <c r="CM703" s="201">
        <v>41810</v>
      </c>
    </row>
    <row r="704" spans="1:91" ht="15">
      <c r="A704" s="152" t="s">
        <v>8065</v>
      </c>
      <c r="B704" s="110" t="s">
        <v>235</v>
      </c>
      <c r="C704" s="110" t="s">
        <v>8081</v>
      </c>
      <c r="D704" s="110">
        <v>11249</v>
      </c>
      <c r="E704" s="111">
        <v>8</v>
      </c>
      <c r="F704" s="111">
        <v>609</v>
      </c>
      <c r="K704" s="194">
        <v>7</v>
      </c>
      <c r="L704" s="151">
        <v>41701</v>
      </c>
      <c r="M704" s="169">
        <v>5.75</v>
      </c>
      <c r="N704" s="151">
        <v>41838</v>
      </c>
      <c r="Q704" s="497"/>
      <c r="S704" s="134">
        <v>20.83</v>
      </c>
      <c r="T704" s="151">
        <v>41842</v>
      </c>
      <c r="U704" s="134">
        <v>13.5</v>
      </c>
      <c r="V704" s="151">
        <v>41838</v>
      </c>
      <c r="W704" s="196">
        <v>9</v>
      </c>
      <c r="X704" s="151">
        <v>41829</v>
      </c>
      <c r="Y704" s="134">
        <f t="shared" si="10"/>
        <v>6.4400699999999995</v>
      </c>
      <c r="AC704" s="134">
        <v>42.59</v>
      </c>
      <c r="AD704" s="151">
        <v>41838</v>
      </c>
      <c r="AE704" s="134">
        <v>43.81</v>
      </c>
      <c r="AF704" s="151">
        <v>41838</v>
      </c>
      <c r="AG704" s="197">
        <v>5.4</v>
      </c>
      <c r="AH704" s="151">
        <v>41843</v>
      </c>
      <c r="AI704" s="198">
        <v>7</v>
      </c>
      <c r="AJ704" s="151">
        <v>41778</v>
      </c>
      <c r="AK704" s="199">
        <v>5</v>
      </c>
      <c r="AL704" s="151">
        <v>41709</v>
      </c>
      <c r="BE704" s="200">
        <v>5</v>
      </c>
      <c r="BF704" s="201">
        <v>41555</v>
      </c>
      <c r="BG704" s="203">
        <v>-5</v>
      </c>
      <c r="BH704" s="151">
        <v>41842</v>
      </c>
      <c r="BM704" s="204">
        <v>62.8</v>
      </c>
      <c r="BN704" s="151">
        <v>41842</v>
      </c>
      <c r="BQ704" s="205">
        <v>11.8</v>
      </c>
      <c r="BR704" s="151">
        <v>41842</v>
      </c>
      <c r="BS704" s="206">
        <v>47.5</v>
      </c>
      <c r="BT704" s="151">
        <v>41842</v>
      </c>
      <c r="BU704" s="207">
        <v>14.7</v>
      </c>
      <c r="BV704" s="151">
        <v>41842</v>
      </c>
      <c r="BW704" s="206">
        <v>17.100000000000001</v>
      </c>
      <c r="BX704" s="151">
        <v>41842</v>
      </c>
      <c r="BY704" s="210">
        <v>6.63</v>
      </c>
      <c r="BZ704" s="151">
        <v>41842</v>
      </c>
      <c r="CA704" s="206">
        <v>33.799999999999997</v>
      </c>
      <c r="CB704" s="151">
        <v>41842</v>
      </c>
      <c r="CC704" s="208">
        <v>6.4</v>
      </c>
      <c r="CD704" s="151">
        <v>41838</v>
      </c>
      <c r="CL704" s="209">
        <v>5</v>
      </c>
      <c r="CM704" s="201">
        <v>41810</v>
      </c>
    </row>
    <row r="705" spans="1:91" ht="15">
      <c r="A705" s="152" t="s">
        <v>8065</v>
      </c>
      <c r="B705" s="110" t="s">
        <v>233</v>
      </c>
      <c r="C705" s="110" t="s">
        <v>8083</v>
      </c>
      <c r="D705" s="110">
        <v>11785</v>
      </c>
      <c r="E705" s="111">
        <v>11</v>
      </c>
      <c r="F705" s="111">
        <v>741</v>
      </c>
      <c r="K705" s="134">
        <v>5</v>
      </c>
      <c r="L705" s="151">
        <v>41701</v>
      </c>
      <c r="M705" s="169">
        <v>4.95</v>
      </c>
      <c r="N705" s="151">
        <v>41838</v>
      </c>
      <c r="Q705" s="497"/>
      <c r="S705" s="134">
        <v>18.48</v>
      </c>
      <c r="T705" s="151">
        <v>41842</v>
      </c>
      <c r="U705" s="134">
        <v>13.5</v>
      </c>
      <c r="V705" s="151">
        <v>41838</v>
      </c>
      <c r="W705" s="196">
        <v>9</v>
      </c>
      <c r="X705" s="151">
        <v>41829</v>
      </c>
      <c r="Y705" s="134">
        <f t="shared" si="10"/>
        <v>4.8594300000000006</v>
      </c>
      <c r="AC705" s="134">
        <v>36.67</v>
      </c>
      <c r="AD705" s="151">
        <v>41838</v>
      </c>
      <c r="AE705" s="134">
        <v>37.67</v>
      </c>
      <c r="AF705" s="151">
        <v>41838</v>
      </c>
      <c r="AG705" s="197">
        <v>5.7</v>
      </c>
      <c r="AH705" s="151">
        <v>41843</v>
      </c>
      <c r="AI705" s="198">
        <v>7</v>
      </c>
      <c r="AJ705" s="151">
        <v>41778</v>
      </c>
      <c r="AK705" s="199">
        <v>5</v>
      </c>
      <c r="AL705" s="151">
        <v>41709</v>
      </c>
      <c r="BE705" s="200">
        <v>5</v>
      </c>
      <c r="BF705" s="201">
        <v>41555</v>
      </c>
      <c r="BG705" s="203">
        <v>-8.6</v>
      </c>
      <c r="BH705" s="151">
        <v>41842</v>
      </c>
      <c r="BM705" s="204">
        <v>62.4</v>
      </c>
      <c r="BN705" s="151">
        <v>41842</v>
      </c>
      <c r="BQ705" s="205">
        <v>11</v>
      </c>
      <c r="BR705" s="151">
        <v>41842</v>
      </c>
      <c r="BS705" s="206">
        <v>49</v>
      </c>
      <c r="BT705" s="151">
        <v>41842</v>
      </c>
      <c r="BU705" s="207">
        <v>12.9</v>
      </c>
      <c r="BV705" s="151">
        <v>41842</v>
      </c>
      <c r="BW705" s="206">
        <v>12.5</v>
      </c>
      <c r="BX705" s="151">
        <v>41842</v>
      </c>
      <c r="BY705" s="210">
        <v>6.3</v>
      </c>
      <c r="BZ705" s="151">
        <v>41842</v>
      </c>
      <c r="CA705" s="206">
        <v>30.8</v>
      </c>
      <c r="CB705" s="151">
        <v>41842</v>
      </c>
      <c r="CC705" s="208">
        <v>6.5</v>
      </c>
      <c r="CD705" s="151">
        <v>41838</v>
      </c>
      <c r="CL705" s="209">
        <v>3</v>
      </c>
      <c r="CM705" s="201">
        <v>41810</v>
      </c>
    </row>
    <row r="706" spans="1:91" ht="15">
      <c r="A706" s="152" t="s">
        <v>8066</v>
      </c>
      <c r="B706" s="110" t="s">
        <v>233</v>
      </c>
      <c r="C706" s="110" t="s">
        <v>381</v>
      </c>
      <c r="D706" s="110">
        <v>11022</v>
      </c>
      <c r="E706" s="111">
        <v>2</v>
      </c>
      <c r="F706" s="111">
        <v>565</v>
      </c>
      <c r="K706" s="134">
        <v>5</v>
      </c>
      <c r="L706" s="151">
        <v>41701</v>
      </c>
      <c r="M706" s="169">
        <v>4.7</v>
      </c>
      <c r="N706" s="151">
        <v>41838</v>
      </c>
      <c r="Q706" s="497"/>
      <c r="S706" s="134">
        <v>17.32</v>
      </c>
      <c r="T706" s="151">
        <v>41842</v>
      </c>
      <c r="U706" s="134">
        <v>13.5</v>
      </c>
      <c r="V706" s="151">
        <v>41838</v>
      </c>
      <c r="W706" s="196">
        <v>1</v>
      </c>
      <c r="X706" s="151">
        <v>41829</v>
      </c>
      <c r="Y706" s="134">
        <f t="shared" si="10"/>
        <v>4.3968799999999995</v>
      </c>
      <c r="AC706" s="134">
        <v>34.81</v>
      </c>
      <c r="AD706" s="151">
        <v>41838</v>
      </c>
      <c r="AE706" s="134">
        <v>36.04</v>
      </c>
      <c r="AF706" s="151">
        <v>41838</v>
      </c>
      <c r="AG706" s="197">
        <v>4.5999999999999996</v>
      </c>
      <c r="AH706" s="151">
        <v>41843</v>
      </c>
      <c r="AI706" s="198">
        <v>5</v>
      </c>
      <c r="AJ706" s="151">
        <v>41778</v>
      </c>
      <c r="AK706" s="199">
        <v>7</v>
      </c>
      <c r="AL706" s="151">
        <v>41709</v>
      </c>
      <c r="BE706" s="200">
        <v>7</v>
      </c>
      <c r="BF706" s="201">
        <v>41555</v>
      </c>
      <c r="BG706" s="203">
        <v>-7.6</v>
      </c>
      <c r="BH706" s="151">
        <v>41842</v>
      </c>
      <c r="BM706" s="204">
        <v>65.900000000000006</v>
      </c>
      <c r="BN706" s="151">
        <v>41842</v>
      </c>
      <c r="BQ706" s="205">
        <v>9.1999999999999993</v>
      </c>
      <c r="BR706" s="151">
        <v>41842</v>
      </c>
      <c r="BS706" s="206">
        <v>48.1</v>
      </c>
      <c r="BT706" s="151">
        <v>41842</v>
      </c>
      <c r="BU706" s="207">
        <v>12.2</v>
      </c>
      <c r="BV706" s="151">
        <v>41842</v>
      </c>
      <c r="BW706" s="206">
        <v>11.1</v>
      </c>
      <c r="BX706" s="151">
        <v>41842</v>
      </c>
      <c r="BY706" s="210">
        <v>7.19</v>
      </c>
      <c r="BZ706" s="151">
        <v>41842</v>
      </c>
      <c r="CA706" s="206">
        <v>28.4</v>
      </c>
      <c r="CB706" s="151">
        <v>41842</v>
      </c>
      <c r="CC706" s="208">
        <v>5.8</v>
      </c>
      <c r="CD706" s="151">
        <v>41838</v>
      </c>
      <c r="CL706" s="209">
        <v>3</v>
      </c>
      <c r="CM706" s="201">
        <v>41810</v>
      </c>
    </row>
    <row r="707" spans="1:91" ht="15">
      <c r="A707" s="152" t="s">
        <v>8066</v>
      </c>
      <c r="B707" s="110" t="s">
        <v>235</v>
      </c>
      <c r="C707" s="110" t="s">
        <v>8082</v>
      </c>
      <c r="D707" s="110">
        <v>11445</v>
      </c>
      <c r="E707" s="111">
        <v>2</v>
      </c>
      <c r="F707" s="111">
        <v>677</v>
      </c>
      <c r="K707" s="134">
        <v>5</v>
      </c>
      <c r="L707" s="151">
        <v>41701</v>
      </c>
      <c r="M707" s="169">
        <v>5.05</v>
      </c>
      <c r="N707" s="151">
        <v>41838</v>
      </c>
      <c r="Q707" s="497"/>
      <c r="S707" s="134">
        <v>18.420000000000002</v>
      </c>
      <c r="T707" s="151">
        <v>41842</v>
      </c>
      <c r="U707" s="134">
        <v>13.5</v>
      </c>
      <c r="V707" s="151">
        <v>41838</v>
      </c>
      <c r="W707" s="196">
        <v>1</v>
      </c>
      <c r="X707" s="151">
        <v>41829</v>
      </c>
      <c r="Y707" s="134">
        <f t="shared" ref="Y707:Y770" si="11">(AE707*BU707)/100</f>
        <v>5.11104</v>
      </c>
      <c r="AC707" s="134">
        <v>37.409999999999997</v>
      </c>
      <c r="AD707" s="151">
        <v>41838</v>
      </c>
      <c r="AE707" s="134">
        <v>38.72</v>
      </c>
      <c r="AF707" s="151">
        <v>41838</v>
      </c>
      <c r="AG707" s="197">
        <v>4.7</v>
      </c>
      <c r="AH707" s="151">
        <v>41843</v>
      </c>
      <c r="AI707" s="198">
        <v>5</v>
      </c>
      <c r="AJ707" s="151">
        <v>41778</v>
      </c>
      <c r="AK707" s="199">
        <v>5</v>
      </c>
      <c r="AL707" s="151">
        <v>41709</v>
      </c>
      <c r="BE707" s="200">
        <v>5</v>
      </c>
      <c r="BF707" s="201">
        <v>41555</v>
      </c>
      <c r="BG707" s="203">
        <v>-6</v>
      </c>
      <c r="BH707" s="151">
        <v>41842</v>
      </c>
      <c r="BM707" s="204">
        <v>64.8</v>
      </c>
      <c r="BN707" s="151">
        <v>41842</v>
      </c>
      <c r="BQ707" s="205">
        <v>10</v>
      </c>
      <c r="BR707" s="151">
        <v>41842</v>
      </c>
      <c r="BS707" s="206">
        <v>47.6</v>
      </c>
      <c r="BT707" s="151">
        <v>41842</v>
      </c>
      <c r="BU707" s="207">
        <v>13.2</v>
      </c>
      <c r="BV707" s="151">
        <v>41842</v>
      </c>
      <c r="BW707" s="206">
        <v>13.2</v>
      </c>
      <c r="BX707" s="151">
        <v>41842</v>
      </c>
      <c r="BY707" s="210">
        <v>7.34</v>
      </c>
      <c r="BZ707" s="151">
        <v>41842</v>
      </c>
      <c r="CA707" s="206">
        <v>30.3</v>
      </c>
      <c r="CB707" s="151">
        <v>41842</v>
      </c>
      <c r="CC707" s="208">
        <v>5.8</v>
      </c>
      <c r="CD707" s="151">
        <v>41838</v>
      </c>
      <c r="CL707" s="209">
        <v>3</v>
      </c>
      <c r="CM707" s="201">
        <v>41810</v>
      </c>
    </row>
    <row r="708" spans="1:91" ht="15">
      <c r="A708" s="152" t="s">
        <v>8066</v>
      </c>
      <c r="B708" s="110" t="s">
        <v>233</v>
      </c>
      <c r="C708" s="110" t="s">
        <v>8083</v>
      </c>
      <c r="D708" s="110">
        <v>11647</v>
      </c>
      <c r="E708" s="111">
        <v>7</v>
      </c>
      <c r="F708" s="111">
        <v>765</v>
      </c>
      <c r="K708" s="134">
        <v>5</v>
      </c>
      <c r="L708" s="151">
        <v>41701</v>
      </c>
      <c r="M708" s="169">
        <v>3.95</v>
      </c>
      <c r="N708" s="151">
        <v>41838</v>
      </c>
      <c r="Q708" s="497"/>
      <c r="S708" s="134">
        <v>14.84</v>
      </c>
      <c r="T708" s="151">
        <v>41842</v>
      </c>
      <c r="U708" s="134">
        <v>13.5</v>
      </c>
      <c r="V708" s="151">
        <v>41838</v>
      </c>
      <c r="W708" s="196">
        <v>9</v>
      </c>
      <c r="X708" s="151">
        <v>41829</v>
      </c>
      <c r="Y708" s="134">
        <f t="shared" si="11"/>
        <v>3.7774999999999999</v>
      </c>
      <c r="AC708" s="134">
        <v>29.26</v>
      </c>
      <c r="AD708" s="151">
        <v>41838</v>
      </c>
      <c r="AE708" s="134">
        <v>30.22</v>
      </c>
      <c r="AF708" s="151">
        <v>41838</v>
      </c>
      <c r="AG708" s="197">
        <v>4.7</v>
      </c>
      <c r="AH708" s="151">
        <v>41843</v>
      </c>
      <c r="AI708" s="198">
        <v>5</v>
      </c>
      <c r="AJ708" s="151">
        <v>41778</v>
      </c>
      <c r="AK708" s="199">
        <v>5</v>
      </c>
      <c r="AL708" s="151">
        <v>41709</v>
      </c>
      <c r="BE708" s="200">
        <v>5</v>
      </c>
      <c r="BF708" s="201">
        <v>41555</v>
      </c>
      <c r="BG708" s="203">
        <v>-4</v>
      </c>
      <c r="BH708" s="151">
        <v>41842</v>
      </c>
      <c r="BM708" s="204">
        <v>67.5</v>
      </c>
      <c r="BN708" s="151">
        <v>41842</v>
      </c>
      <c r="BQ708" s="205">
        <v>9.6999999999999993</v>
      </c>
      <c r="BR708" s="151">
        <v>41842</v>
      </c>
      <c r="BS708" s="206">
        <v>49.1</v>
      </c>
      <c r="BT708" s="151">
        <v>41842</v>
      </c>
      <c r="BU708" s="207">
        <v>12.5</v>
      </c>
      <c r="BV708" s="151">
        <v>41842</v>
      </c>
      <c r="BW708" s="206">
        <v>14.5</v>
      </c>
      <c r="BX708" s="151">
        <v>41842</v>
      </c>
      <c r="BY708" s="210">
        <v>6.5</v>
      </c>
      <c r="BZ708" s="151">
        <v>41842</v>
      </c>
      <c r="CA708" s="206">
        <v>29.7</v>
      </c>
      <c r="CB708" s="151">
        <v>41842</v>
      </c>
      <c r="CC708" s="208">
        <v>6</v>
      </c>
      <c r="CD708" s="151">
        <v>41838</v>
      </c>
      <c r="CL708" s="209">
        <v>3</v>
      </c>
      <c r="CM708" s="201">
        <v>41810</v>
      </c>
    </row>
    <row r="709" spans="1:91" ht="15">
      <c r="A709" s="152" t="s">
        <v>8066</v>
      </c>
      <c r="B709" s="110" t="s">
        <v>235</v>
      </c>
      <c r="C709" s="110" t="s">
        <v>8081</v>
      </c>
      <c r="D709" s="110">
        <v>11244</v>
      </c>
      <c r="E709" s="111">
        <v>8</v>
      </c>
      <c r="F709" s="111">
        <v>589</v>
      </c>
      <c r="K709" s="134">
        <v>5</v>
      </c>
      <c r="L709" s="151">
        <v>41701</v>
      </c>
      <c r="M709" s="169">
        <v>5.6</v>
      </c>
      <c r="N709" s="151">
        <v>41838</v>
      </c>
      <c r="Q709" s="497"/>
      <c r="S709" s="134">
        <v>20.71</v>
      </c>
      <c r="T709" s="151">
        <v>41842</v>
      </c>
      <c r="U709" s="134">
        <v>13.5</v>
      </c>
      <c r="V709" s="151">
        <v>41838</v>
      </c>
      <c r="W709" s="196">
        <v>1</v>
      </c>
      <c r="X709" s="151">
        <v>41829</v>
      </c>
      <c r="Y709" s="134">
        <f t="shared" si="11"/>
        <v>5.1896899999999997</v>
      </c>
      <c r="AC709" s="134">
        <v>41.48</v>
      </c>
      <c r="AD709" s="151">
        <v>41838</v>
      </c>
      <c r="AE709" s="134">
        <v>42.89</v>
      </c>
      <c r="AF709" s="151">
        <v>41838</v>
      </c>
      <c r="AG709" s="197">
        <v>4.7</v>
      </c>
      <c r="AH709" s="151">
        <v>41843</v>
      </c>
      <c r="AI709" s="198">
        <v>5</v>
      </c>
      <c r="AJ709" s="151">
        <v>41778</v>
      </c>
      <c r="AK709" s="199">
        <v>5</v>
      </c>
      <c r="AL709" s="151">
        <v>41709</v>
      </c>
      <c r="BE709" s="200">
        <v>5</v>
      </c>
      <c r="BF709" s="201">
        <v>41555</v>
      </c>
      <c r="BG709" s="203">
        <v>-3.4</v>
      </c>
      <c r="BH709" s="151">
        <v>41842</v>
      </c>
      <c r="BM709" s="204">
        <v>65</v>
      </c>
      <c r="BN709" s="151">
        <v>41842</v>
      </c>
      <c r="BQ709" s="205">
        <v>10.3</v>
      </c>
      <c r="BR709" s="151">
        <v>41842</v>
      </c>
      <c r="BS709" s="206">
        <v>48.3</v>
      </c>
      <c r="BT709" s="151">
        <v>41842</v>
      </c>
      <c r="BU709" s="207">
        <v>12.1</v>
      </c>
      <c r="BV709" s="151">
        <v>41842</v>
      </c>
      <c r="BW709" s="206">
        <v>10.9</v>
      </c>
      <c r="BX709" s="151">
        <v>41842</v>
      </c>
      <c r="BY709" s="210">
        <v>6.58</v>
      </c>
      <c r="BZ709" s="151">
        <v>41842</v>
      </c>
      <c r="CA709" s="206">
        <v>28.3</v>
      </c>
      <c r="CB709" s="151">
        <v>41842</v>
      </c>
      <c r="CC709" s="208">
        <v>5.9</v>
      </c>
      <c r="CD709" s="151">
        <v>41838</v>
      </c>
      <c r="CL709" s="209">
        <v>3</v>
      </c>
      <c r="CM709" s="201">
        <v>41810</v>
      </c>
    </row>
    <row r="710" spans="1:91" ht="15">
      <c r="A710" s="152" t="s">
        <v>8067</v>
      </c>
      <c r="B710" s="110" t="s">
        <v>233</v>
      </c>
      <c r="C710" s="110" t="s">
        <v>381</v>
      </c>
      <c r="D710" s="110">
        <v>11064</v>
      </c>
      <c r="E710" s="111">
        <v>3</v>
      </c>
      <c r="F710" s="111">
        <v>589</v>
      </c>
      <c r="K710" s="194">
        <v>7</v>
      </c>
      <c r="L710" s="151">
        <v>41701</v>
      </c>
      <c r="M710" s="169">
        <v>4.1500000000000004</v>
      </c>
      <c r="N710" s="151">
        <v>41838</v>
      </c>
      <c r="Q710" s="497"/>
      <c r="S710" s="134">
        <v>14.88</v>
      </c>
      <c r="T710" s="151">
        <v>41842</v>
      </c>
      <c r="U710" s="134">
        <v>13.5</v>
      </c>
      <c r="V710" s="151">
        <v>41838</v>
      </c>
      <c r="W710" s="196">
        <v>9</v>
      </c>
      <c r="X710" s="151">
        <v>41829</v>
      </c>
      <c r="Y710" s="134">
        <f t="shared" si="11"/>
        <v>3.9649999999999999</v>
      </c>
      <c r="AC710" s="134">
        <v>30.74</v>
      </c>
      <c r="AD710" s="151">
        <v>41838</v>
      </c>
      <c r="AE710" s="134">
        <v>31.72</v>
      </c>
      <c r="AF710" s="151">
        <v>41838</v>
      </c>
      <c r="AG710" s="197">
        <v>4.9000000000000004</v>
      </c>
      <c r="AH710" s="151">
        <v>41843</v>
      </c>
      <c r="AI710" s="198">
        <v>5</v>
      </c>
      <c r="AJ710" s="151">
        <v>41778</v>
      </c>
      <c r="AK710" s="199">
        <v>5</v>
      </c>
      <c r="AL710" s="151">
        <v>41709</v>
      </c>
      <c r="BE710" s="200">
        <v>5</v>
      </c>
      <c r="BF710" s="201">
        <v>41555</v>
      </c>
      <c r="BG710" s="203">
        <v>-4.5999999999999996</v>
      </c>
      <c r="BH710" s="151">
        <v>41842</v>
      </c>
      <c r="BM710" s="204">
        <v>64.900000000000006</v>
      </c>
      <c r="BN710" s="151">
        <v>41842</v>
      </c>
      <c r="BQ710" s="205">
        <v>9.8000000000000007</v>
      </c>
      <c r="BR710" s="151">
        <v>41842</v>
      </c>
      <c r="BS710" s="206">
        <v>46.9</v>
      </c>
      <c r="BT710" s="151">
        <v>41842</v>
      </c>
      <c r="BU710" s="207">
        <v>12.5</v>
      </c>
      <c r="BV710" s="151">
        <v>41842</v>
      </c>
      <c r="BW710" s="206">
        <v>14.7</v>
      </c>
      <c r="BX710" s="151">
        <v>41842</v>
      </c>
      <c r="BY710" s="210">
        <v>7.51</v>
      </c>
      <c r="BZ710" s="151">
        <v>41842</v>
      </c>
      <c r="CA710" s="206">
        <v>28.2</v>
      </c>
      <c r="CB710" s="151">
        <v>41842</v>
      </c>
      <c r="CC710" s="208">
        <v>6.1</v>
      </c>
      <c r="CD710" s="151">
        <v>41838</v>
      </c>
      <c r="CL710" s="209">
        <v>3</v>
      </c>
      <c r="CM710" s="201">
        <v>41810</v>
      </c>
    </row>
    <row r="711" spans="1:91" ht="15">
      <c r="A711" s="152" t="s">
        <v>8067</v>
      </c>
      <c r="B711" s="110" t="s">
        <v>235</v>
      </c>
      <c r="C711" s="110" t="s">
        <v>8082</v>
      </c>
      <c r="D711" s="110">
        <v>11543</v>
      </c>
      <c r="E711" s="111">
        <v>5</v>
      </c>
      <c r="F711" s="111">
        <v>637</v>
      </c>
      <c r="K711" s="134">
        <v>5</v>
      </c>
      <c r="L711" s="151">
        <v>41701</v>
      </c>
      <c r="M711" s="169">
        <v>6.25</v>
      </c>
      <c r="N711" s="151">
        <v>41838</v>
      </c>
      <c r="Q711" s="497"/>
      <c r="S711" s="134">
        <v>22.19</v>
      </c>
      <c r="T711" s="151">
        <v>41842</v>
      </c>
      <c r="U711" s="134">
        <v>13.5</v>
      </c>
      <c r="V711" s="151">
        <v>41838</v>
      </c>
      <c r="W711" s="196">
        <v>9</v>
      </c>
      <c r="X711" s="151">
        <v>41829</v>
      </c>
      <c r="Y711" s="134">
        <f t="shared" si="11"/>
        <v>6.6060600000000003</v>
      </c>
      <c r="AC711" s="134">
        <v>46.3</v>
      </c>
      <c r="AD711" s="151">
        <v>41838</v>
      </c>
      <c r="AE711" s="134">
        <v>47.87</v>
      </c>
      <c r="AF711" s="151">
        <v>41838</v>
      </c>
      <c r="AG711" s="197">
        <v>5.2</v>
      </c>
      <c r="AH711" s="151">
        <v>41843</v>
      </c>
      <c r="AI711" s="198">
        <v>5</v>
      </c>
      <c r="AJ711" s="151">
        <v>41778</v>
      </c>
      <c r="AK711" s="199">
        <v>5</v>
      </c>
      <c r="AL711" s="151">
        <v>41709</v>
      </c>
      <c r="BE711" s="200">
        <v>5</v>
      </c>
      <c r="BF711" s="201">
        <v>41555</v>
      </c>
      <c r="BG711" s="203">
        <v>-5.9</v>
      </c>
      <c r="BH711" s="151">
        <v>41842</v>
      </c>
      <c r="BM711" s="204">
        <v>64.7</v>
      </c>
      <c r="BN711" s="151">
        <v>41842</v>
      </c>
      <c r="BQ711" s="205">
        <v>10.5</v>
      </c>
      <c r="BR711" s="151">
        <v>41842</v>
      </c>
      <c r="BS711" s="206">
        <v>46.4</v>
      </c>
      <c r="BT711" s="151">
        <v>41842</v>
      </c>
      <c r="BU711" s="207">
        <v>13.8</v>
      </c>
      <c r="BV711" s="151">
        <v>41842</v>
      </c>
      <c r="BW711" s="206">
        <v>13.6</v>
      </c>
      <c r="BX711" s="151">
        <v>41842</v>
      </c>
      <c r="BY711" s="210">
        <v>7.78</v>
      </c>
      <c r="BZ711" s="151">
        <v>41842</v>
      </c>
      <c r="CA711" s="206">
        <v>30.8</v>
      </c>
      <c r="CB711" s="151">
        <v>41842</v>
      </c>
      <c r="CC711" s="208">
        <v>5.9</v>
      </c>
      <c r="CD711" s="151">
        <v>41838</v>
      </c>
      <c r="CL711" s="209">
        <v>3</v>
      </c>
      <c r="CM711" s="201">
        <v>41810</v>
      </c>
    </row>
    <row r="712" spans="1:91" ht="15">
      <c r="A712" s="152" t="s">
        <v>8067</v>
      </c>
      <c r="B712" s="110" t="s">
        <v>235</v>
      </c>
      <c r="C712" s="110" t="s">
        <v>8081</v>
      </c>
      <c r="D712" s="110">
        <v>11306</v>
      </c>
      <c r="E712" s="111">
        <v>10</v>
      </c>
      <c r="F712" s="111">
        <v>549</v>
      </c>
      <c r="K712" s="134">
        <v>5</v>
      </c>
      <c r="L712" s="151">
        <v>41701</v>
      </c>
      <c r="M712" s="169">
        <v>5.3</v>
      </c>
      <c r="N712" s="151">
        <v>41838</v>
      </c>
      <c r="Q712" s="497"/>
      <c r="S712" s="134">
        <v>18.87</v>
      </c>
      <c r="T712" s="151">
        <v>41842</v>
      </c>
      <c r="U712" s="134">
        <v>13.5</v>
      </c>
      <c r="V712" s="151">
        <v>41838</v>
      </c>
      <c r="W712" s="196">
        <v>9</v>
      </c>
      <c r="X712" s="151">
        <v>41829</v>
      </c>
      <c r="Y712" s="134">
        <f t="shared" si="11"/>
        <v>5.0393600000000003</v>
      </c>
      <c r="AC712" s="134">
        <v>39.26</v>
      </c>
      <c r="AD712" s="151">
        <v>41838</v>
      </c>
      <c r="AE712" s="134">
        <v>40.64</v>
      </c>
      <c r="AF712" s="151">
        <v>41838</v>
      </c>
      <c r="AG712" s="197">
        <v>4.7</v>
      </c>
      <c r="AH712" s="151">
        <v>41843</v>
      </c>
      <c r="AI712" s="198">
        <v>5</v>
      </c>
      <c r="AJ712" s="151">
        <v>41778</v>
      </c>
      <c r="AK712" s="199">
        <v>5</v>
      </c>
      <c r="AL712" s="151">
        <v>41709</v>
      </c>
      <c r="BE712" s="200">
        <v>5</v>
      </c>
      <c r="BF712" s="201">
        <v>41555</v>
      </c>
      <c r="BG712" s="203">
        <v>-4.9000000000000004</v>
      </c>
      <c r="BH712" s="151">
        <v>41842</v>
      </c>
      <c r="BM712" s="204">
        <v>65.099999999999994</v>
      </c>
      <c r="BN712" s="151">
        <v>41842</v>
      </c>
      <c r="BQ712" s="205">
        <v>10.199999999999999</v>
      </c>
      <c r="BR712" s="151">
        <v>41842</v>
      </c>
      <c r="BS712" s="206">
        <v>46.4</v>
      </c>
      <c r="BT712" s="151">
        <v>41842</v>
      </c>
      <c r="BU712" s="207">
        <v>12.4</v>
      </c>
      <c r="BV712" s="151">
        <v>41842</v>
      </c>
      <c r="BW712" s="206">
        <v>12.8</v>
      </c>
      <c r="BX712" s="151">
        <v>41842</v>
      </c>
      <c r="BY712" s="210">
        <v>7.41</v>
      </c>
      <c r="BZ712" s="151">
        <v>41842</v>
      </c>
      <c r="CA712" s="206">
        <v>27.9</v>
      </c>
      <c r="CB712" s="151">
        <v>41842</v>
      </c>
      <c r="CC712" s="208">
        <v>5.8</v>
      </c>
      <c r="CD712" s="151">
        <v>41838</v>
      </c>
      <c r="CL712" s="209">
        <v>3</v>
      </c>
      <c r="CM712" s="201">
        <v>41810</v>
      </c>
    </row>
    <row r="713" spans="1:91" ht="15">
      <c r="A713" s="152" t="s">
        <v>8067</v>
      </c>
      <c r="B713" s="110" t="s">
        <v>233</v>
      </c>
      <c r="C713" s="110" t="s">
        <v>8083</v>
      </c>
      <c r="D713" s="110">
        <v>11735</v>
      </c>
      <c r="E713" s="111">
        <v>10</v>
      </c>
      <c r="F713" s="111">
        <v>685</v>
      </c>
      <c r="K713" s="134">
        <v>5</v>
      </c>
      <c r="L713" s="151">
        <v>41701</v>
      </c>
      <c r="M713" s="169">
        <v>3.55</v>
      </c>
      <c r="N713" s="151">
        <v>41838</v>
      </c>
      <c r="Q713" s="497"/>
      <c r="S713" s="134">
        <v>12.88</v>
      </c>
      <c r="T713" s="151">
        <v>41842</v>
      </c>
      <c r="U713" s="134">
        <v>13.5</v>
      </c>
      <c r="V713" s="151">
        <v>41838</v>
      </c>
      <c r="W713" s="196">
        <v>9</v>
      </c>
      <c r="X713" s="151">
        <v>41829</v>
      </c>
      <c r="Y713" s="134">
        <f t="shared" si="11"/>
        <v>3.2427500000000005</v>
      </c>
      <c r="AC713" s="134">
        <v>26.3</v>
      </c>
      <c r="AD713" s="151">
        <v>41838</v>
      </c>
      <c r="AE713" s="134">
        <v>27.25</v>
      </c>
      <c r="AF713" s="151">
        <v>41838</v>
      </c>
      <c r="AG713" s="197">
        <v>5</v>
      </c>
      <c r="AH713" s="151">
        <v>41843</v>
      </c>
      <c r="AI713" s="198">
        <v>7</v>
      </c>
      <c r="AJ713" s="151">
        <v>41778</v>
      </c>
      <c r="AK713" s="199">
        <v>5</v>
      </c>
      <c r="AL713" s="151">
        <v>41709</v>
      </c>
      <c r="BE713" s="200">
        <v>5</v>
      </c>
      <c r="BF713" s="201">
        <v>41555</v>
      </c>
      <c r="BG713" s="203">
        <v>-7.4</v>
      </c>
      <c r="BH713" s="151">
        <v>41842</v>
      </c>
      <c r="BM713" s="204">
        <v>65.8</v>
      </c>
      <c r="BN713" s="151">
        <v>41842</v>
      </c>
      <c r="BQ713" s="205">
        <v>9.9</v>
      </c>
      <c r="BR713" s="151">
        <v>41842</v>
      </c>
      <c r="BS713" s="206">
        <v>47.3</v>
      </c>
      <c r="BT713" s="151">
        <v>41842</v>
      </c>
      <c r="BU713" s="207">
        <v>11.9</v>
      </c>
      <c r="BV713" s="151">
        <v>41842</v>
      </c>
      <c r="BW713" s="206">
        <v>13.8</v>
      </c>
      <c r="BX713" s="151">
        <v>41842</v>
      </c>
      <c r="BY713" s="210">
        <v>6.98</v>
      </c>
      <c r="BZ713" s="151">
        <v>41842</v>
      </c>
      <c r="CA713" s="206">
        <v>27.2</v>
      </c>
      <c r="CB713" s="151">
        <v>41842</v>
      </c>
      <c r="CC713" s="208">
        <v>5.7</v>
      </c>
      <c r="CD713" s="151">
        <v>41838</v>
      </c>
      <c r="CL713" s="209">
        <v>3</v>
      </c>
      <c r="CM713" s="201">
        <v>41810</v>
      </c>
    </row>
    <row r="714" spans="1:91" ht="15">
      <c r="A714" s="152" t="s">
        <v>8068</v>
      </c>
      <c r="B714" s="110" t="s">
        <v>233</v>
      </c>
      <c r="C714" s="110" t="s">
        <v>381</v>
      </c>
      <c r="D714" s="110">
        <v>11054</v>
      </c>
      <c r="E714" s="111">
        <v>3</v>
      </c>
      <c r="F714" s="111">
        <v>549</v>
      </c>
      <c r="K714" s="194">
        <v>7</v>
      </c>
      <c r="L714" s="151">
        <v>41701</v>
      </c>
      <c r="M714" s="169">
        <v>4.05</v>
      </c>
      <c r="N714" s="151">
        <v>41838</v>
      </c>
      <c r="Q714" s="497"/>
      <c r="S714" s="134">
        <v>14.78</v>
      </c>
      <c r="T714" s="151">
        <v>41842</v>
      </c>
      <c r="U714" s="134">
        <v>13.5</v>
      </c>
      <c r="V714" s="151">
        <v>41838</v>
      </c>
      <c r="W714" s="196">
        <v>1</v>
      </c>
      <c r="X714" s="151">
        <v>41829</v>
      </c>
      <c r="Y714" s="134">
        <f t="shared" si="11"/>
        <v>4.0495000000000001</v>
      </c>
      <c r="AC714" s="134">
        <v>30</v>
      </c>
      <c r="AD714" s="151">
        <v>41838</v>
      </c>
      <c r="AE714" s="134">
        <v>31.15</v>
      </c>
      <c r="AF714" s="151">
        <v>41838</v>
      </c>
      <c r="AG714" s="197">
        <v>5.2</v>
      </c>
      <c r="AH714" s="151">
        <v>41843</v>
      </c>
      <c r="AI714" s="198">
        <v>5</v>
      </c>
      <c r="AJ714" s="151">
        <v>41778</v>
      </c>
      <c r="AK714" s="199">
        <v>7</v>
      </c>
      <c r="AL714" s="151">
        <v>41709</v>
      </c>
      <c r="BE714" s="200">
        <v>7</v>
      </c>
      <c r="BF714" s="201">
        <v>41555</v>
      </c>
      <c r="BG714" s="203">
        <v>-0.6</v>
      </c>
      <c r="BH714" s="151">
        <v>41842</v>
      </c>
      <c r="BM714" s="204">
        <v>67</v>
      </c>
      <c r="BN714" s="151">
        <v>41842</v>
      </c>
      <c r="BQ714" s="205">
        <v>9.8000000000000007</v>
      </c>
      <c r="BR714" s="151">
        <v>41842</v>
      </c>
      <c r="BS714" s="206">
        <v>47.4</v>
      </c>
      <c r="BT714" s="151">
        <v>41842</v>
      </c>
      <c r="BU714" s="207">
        <v>13</v>
      </c>
      <c r="BV714" s="151">
        <v>41842</v>
      </c>
      <c r="BW714" s="206">
        <v>12.3</v>
      </c>
      <c r="BX714" s="151">
        <v>41842</v>
      </c>
      <c r="BY714" s="210">
        <v>7.19</v>
      </c>
      <c r="BZ714" s="151">
        <v>41842</v>
      </c>
      <c r="CA714" s="206">
        <v>29.9</v>
      </c>
      <c r="CB714" s="151">
        <v>41842</v>
      </c>
      <c r="CC714" s="208">
        <v>5.5</v>
      </c>
      <c r="CD714" s="151">
        <v>41838</v>
      </c>
      <c r="CL714" s="209">
        <v>3</v>
      </c>
      <c r="CM714" s="201">
        <v>41810</v>
      </c>
    </row>
    <row r="715" spans="1:91" ht="15">
      <c r="A715" s="152" t="s">
        <v>8068</v>
      </c>
      <c r="B715" s="110" t="s">
        <v>235</v>
      </c>
      <c r="C715" s="110" t="s">
        <v>8082</v>
      </c>
      <c r="D715" s="110">
        <v>11477</v>
      </c>
      <c r="E715" s="111">
        <v>3</v>
      </c>
      <c r="F715" s="111">
        <v>661</v>
      </c>
      <c r="K715" s="194">
        <v>7</v>
      </c>
      <c r="L715" s="151">
        <v>41701</v>
      </c>
      <c r="M715" s="169">
        <v>5.4</v>
      </c>
      <c r="N715" s="151">
        <v>41838</v>
      </c>
      <c r="Q715" s="497"/>
      <c r="S715" s="134">
        <v>19.28</v>
      </c>
      <c r="T715" s="151">
        <v>41842</v>
      </c>
      <c r="U715" s="134">
        <v>13.5</v>
      </c>
      <c r="V715" s="151">
        <v>41838</v>
      </c>
      <c r="W715" s="196">
        <v>9</v>
      </c>
      <c r="X715" s="151">
        <v>41829</v>
      </c>
      <c r="Y715" s="134">
        <f t="shared" si="11"/>
        <v>5.8030000000000008</v>
      </c>
      <c r="AC715" s="134">
        <v>40</v>
      </c>
      <c r="AD715" s="151">
        <v>41838</v>
      </c>
      <c r="AE715" s="134">
        <v>41.45</v>
      </c>
      <c r="AF715" s="151">
        <v>41838</v>
      </c>
      <c r="AG715" s="197">
        <v>5.2</v>
      </c>
      <c r="AH715" s="151">
        <v>41843</v>
      </c>
      <c r="AI715" s="198">
        <v>7</v>
      </c>
      <c r="AJ715" s="151">
        <v>41778</v>
      </c>
      <c r="AK715" s="199">
        <v>5</v>
      </c>
      <c r="AL715" s="151">
        <v>41709</v>
      </c>
      <c r="BE715" s="200">
        <v>5</v>
      </c>
      <c r="BF715" s="201">
        <v>41555</v>
      </c>
      <c r="BG715" s="203">
        <v>-5.8</v>
      </c>
      <c r="BH715" s="151">
        <v>41842</v>
      </c>
      <c r="BM715" s="204">
        <v>64.599999999999994</v>
      </c>
      <c r="BN715" s="151">
        <v>41842</v>
      </c>
      <c r="BQ715" s="205">
        <v>11.3</v>
      </c>
      <c r="BR715" s="151">
        <v>41842</v>
      </c>
      <c r="BS715" s="206">
        <v>46.5</v>
      </c>
      <c r="BT715" s="151">
        <v>41842</v>
      </c>
      <c r="BU715" s="207">
        <v>14</v>
      </c>
      <c r="BV715" s="151">
        <v>41842</v>
      </c>
      <c r="BW715" s="206">
        <v>7.6</v>
      </c>
      <c r="BX715" s="151">
        <v>41842</v>
      </c>
      <c r="BY715" s="210">
        <v>7.33</v>
      </c>
      <c r="BZ715" s="151">
        <v>41842</v>
      </c>
      <c r="CA715" s="206">
        <v>31.6</v>
      </c>
      <c r="CB715" s="151">
        <v>41842</v>
      </c>
      <c r="CC715" s="208">
        <v>5.7</v>
      </c>
      <c r="CD715" s="151">
        <v>41838</v>
      </c>
      <c r="CL715" s="209">
        <v>3</v>
      </c>
      <c r="CM715" s="201">
        <v>41810</v>
      </c>
    </row>
    <row r="716" spans="1:91" ht="15">
      <c r="A716" s="152" t="s">
        <v>8068</v>
      </c>
      <c r="B716" s="110" t="s">
        <v>235</v>
      </c>
      <c r="C716" s="110" t="s">
        <v>8081</v>
      </c>
      <c r="D716" s="110">
        <v>11317</v>
      </c>
      <c r="E716" s="111">
        <v>10</v>
      </c>
      <c r="F716" s="111">
        <v>593</v>
      </c>
      <c r="K716" s="194">
        <v>7</v>
      </c>
      <c r="L716" s="151">
        <v>41701</v>
      </c>
      <c r="M716" s="169">
        <v>4.75</v>
      </c>
      <c r="N716" s="151">
        <v>41838</v>
      </c>
      <c r="Q716" s="497"/>
      <c r="S716" s="134">
        <v>16.79</v>
      </c>
      <c r="T716" s="151">
        <v>41842</v>
      </c>
      <c r="U716" s="134">
        <v>13.5</v>
      </c>
      <c r="V716" s="151">
        <v>41838</v>
      </c>
      <c r="W716" s="196">
        <v>9</v>
      </c>
      <c r="X716" s="151">
        <v>41829</v>
      </c>
      <c r="Y716" s="134">
        <f t="shared" si="11"/>
        <v>4.9167000000000005</v>
      </c>
      <c r="AC716" s="134">
        <v>35.19</v>
      </c>
      <c r="AD716" s="151">
        <v>41838</v>
      </c>
      <c r="AE716" s="134">
        <v>36.42</v>
      </c>
      <c r="AF716" s="151">
        <v>41838</v>
      </c>
      <c r="AG716" s="197">
        <v>4.7</v>
      </c>
      <c r="AH716" s="151">
        <v>41843</v>
      </c>
      <c r="AI716" s="198">
        <v>7</v>
      </c>
      <c r="AJ716" s="151">
        <v>41778</v>
      </c>
      <c r="AK716" s="199">
        <v>7</v>
      </c>
      <c r="AL716" s="151">
        <v>41709</v>
      </c>
      <c r="BE716" s="200">
        <v>7</v>
      </c>
      <c r="BF716" s="201">
        <v>41555</v>
      </c>
      <c r="BG716" s="203">
        <v>-3.1</v>
      </c>
      <c r="BH716" s="151">
        <v>41842</v>
      </c>
      <c r="BM716" s="204">
        <v>65.8</v>
      </c>
      <c r="BN716" s="151">
        <v>41842</v>
      </c>
      <c r="BQ716" s="205">
        <v>10.1</v>
      </c>
      <c r="BR716" s="151">
        <v>41842</v>
      </c>
      <c r="BS716" s="206">
        <v>46.1</v>
      </c>
      <c r="BT716" s="151">
        <v>41842</v>
      </c>
      <c r="BU716" s="207">
        <v>13.5</v>
      </c>
      <c r="BV716" s="151">
        <v>41842</v>
      </c>
      <c r="BW716" s="206">
        <v>7.8</v>
      </c>
      <c r="BX716" s="151">
        <v>41842</v>
      </c>
      <c r="BY716" s="210">
        <v>7.27</v>
      </c>
      <c r="BZ716" s="151">
        <v>41842</v>
      </c>
      <c r="CA716" s="206">
        <v>30</v>
      </c>
      <c r="CB716" s="151">
        <v>41842</v>
      </c>
      <c r="CC716" s="208">
        <v>5.8</v>
      </c>
      <c r="CD716" s="151">
        <v>41838</v>
      </c>
      <c r="CL716" s="209">
        <v>3</v>
      </c>
      <c r="CM716" s="201">
        <v>41810</v>
      </c>
    </row>
    <row r="717" spans="1:91" ht="15">
      <c r="A717" s="152" t="s">
        <v>8068</v>
      </c>
      <c r="B717" s="110" t="s">
        <v>233</v>
      </c>
      <c r="C717" s="110" t="s">
        <v>8083</v>
      </c>
      <c r="D717" s="110">
        <v>11811</v>
      </c>
      <c r="E717" s="111">
        <v>12</v>
      </c>
      <c r="F717" s="111">
        <v>701</v>
      </c>
      <c r="K717" s="134">
        <v>5</v>
      </c>
      <c r="L717" s="151">
        <v>41701</v>
      </c>
      <c r="M717" s="169">
        <v>3.85</v>
      </c>
      <c r="N717" s="151">
        <v>41838</v>
      </c>
      <c r="Q717" s="497"/>
      <c r="S717" s="134">
        <v>14.03</v>
      </c>
      <c r="T717" s="151">
        <v>41842</v>
      </c>
      <c r="U717" s="134">
        <v>13.5</v>
      </c>
      <c r="V717" s="151">
        <v>41838</v>
      </c>
      <c r="W717" s="196">
        <v>9</v>
      </c>
      <c r="X717" s="151">
        <v>41829</v>
      </c>
      <c r="Y717" s="134">
        <f t="shared" si="11"/>
        <v>3.9394600000000004</v>
      </c>
      <c r="AC717" s="134">
        <v>28.52</v>
      </c>
      <c r="AD717" s="151">
        <v>41838</v>
      </c>
      <c r="AE717" s="134">
        <v>29.62</v>
      </c>
      <c r="AF717" s="151">
        <v>41838</v>
      </c>
      <c r="AG717" s="197">
        <v>5.2</v>
      </c>
      <c r="AH717" s="151">
        <v>41843</v>
      </c>
      <c r="AI717" s="198">
        <v>5</v>
      </c>
      <c r="AJ717" s="151">
        <v>41778</v>
      </c>
      <c r="AK717" s="199">
        <v>7</v>
      </c>
      <c r="AL717" s="151">
        <v>41709</v>
      </c>
      <c r="BE717" s="200">
        <v>7</v>
      </c>
      <c r="BF717" s="201">
        <v>41555</v>
      </c>
      <c r="BG717" s="203">
        <v>-2.8</v>
      </c>
      <c r="BH717" s="151">
        <v>41842</v>
      </c>
      <c r="BM717" s="204">
        <v>66.400000000000006</v>
      </c>
      <c r="BN717" s="151">
        <v>41842</v>
      </c>
      <c r="BQ717" s="205">
        <v>10.6</v>
      </c>
      <c r="BR717" s="151">
        <v>41842</v>
      </c>
      <c r="BS717" s="206">
        <v>47.4</v>
      </c>
      <c r="BT717" s="151">
        <v>41842</v>
      </c>
      <c r="BU717" s="207">
        <v>13.3</v>
      </c>
      <c r="BV717" s="151">
        <v>41842</v>
      </c>
      <c r="BW717" s="206">
        <v>7.4</v>
      </c>
      <c r="BX717" s="151">
        <v>41842</v>
      </c>
      <c r="BY717" s="210">
        <v>6.73</v>
      </c>
      <c r="BZ717" s="151">
        <v>41842</v>
      </c>
      <c r="CA717" s="206">
        <v>30.4</v>
      </c>
      <c r="CB717" s="151">
        <v>41842</v>
      </c>
      <c r="CC717" s="208">
        <v>5.5</v>
      </c>
      <c r="CD717" s="151">
        <v>41838</v>
      </c>
      <c r="CL717" s="209">
        <v>3</v>
      </c>
      <c r="CM717" s="201">
        <v>41810</v>
      </c>
    </row>
    <row r="718" spans="1:91" ht="15">
      <c r="A718" s="152" t="s">
        <v>8069</v>
      </c>
      <c r="B718" s="110" t="s">
        <v>235</v>
      </c>
      <c r="C718" s="110" t="s">
        <v>8082</v>
      </c>
      <c r="D718" s="110">
        <v>11437</v>
      </c>
      <c r="E718" s="111">
        <v>2</v>
      </c>
      <c r="F718" s="111">
        <v>645</v>
      </c>
      <c r="K718" s="134">
        <v>5</v>
      </c>
      <c r="L718" s="151">
        <v>41701</v>
      </c>
      <c r="M718" s="169"/>
      <c r="N718" s="151">
        <v>41838</v>
      </c>
      <c r="Q718" s="497"/>
      <c r="T718" s="151">
        <v>41842</v>
      </c>
      <c r="U718" s="134">
        <v>13.5</v>
      </c>
      <c r="V718" s="151">
        <v>41838</v>
      </c>
      <c r="W718" s="196">
        <v>9</v>
      </c>
      <c r="X718" s="151">
        <v>41829</v>
      </c>
      <c r="Y718" s="134">
        <f t="shared" si="11"/>
        <v>0</v>
      </c>
      <c r="AD718" s="151">
        <v>41838</v>
      </c>
      <c r="AF718" s="151">
        <v>41838</v>
      </c>
      <c r="AG718" s="197"/>
      <c r="AH718" s="151">
        <v>41843</v>
      </c>
      <c r="AI718" s="198">
        <v>7</v>
      </c>
      <c r="AJ718" s="151">
        <v>41778</v>
      </c>
      <c r="AK718" s="199">
        <v>5</v>
      </c>
      <c r="AL718" s="151">
        <v>41709</v>
      </c>
      <c r="BE718" s="200">
        <v>5</v>
      </c>
      <c r="BF718" s="201">
        <v>41555</v>
      </c>
      <c r="BG718" s="203"/>
      <c r="BH718" s="151">
        <v>41842</v>
      </c>
      <c r="BM718" s="204"/>
      <c r="BN718" s="151">
        <v>41842</v>
      </c>
      <c r="BQ718" s="205"/>
      <c r="BR718" s="151">
        <v>41842</v>
      </c>
      <c r="BS718" s="206"/>
      <c r="BT718" s="151">
        <v>41842</v>
      </c>
      <c r="BU718" s="207"/>
      <c r="BV718" s="151">
        <v>41842</v>
      </c>
      <c r="BW718" s="206"/>
      <c r="BX718" s="151">
        <v>41842</v>
      </c>
      <c r="BY718" s="210"/>
      <c r="BZ718" s="151">
        <v>41842</v>
      </c>
      <c r="CA718" s="206"/>
      <c r="CB718" s="151">
        <v>41842</v>
      </c>
      <c r="CC718" s="208"/>
      <c r="CD718" s="151">
        <v>41838</v>
      </c>
      <c r="CL718" s="209">
        <v>3</v>
      </c>
      <c r="CM718" s="201">
        <v>41810</v>
      </c>
    </row>
    <row r="719" spans="1:91" ht="15">
      <c r="A719" s="152" t="s">
        <v>8069</v>
      </c>
      <c r="B719" s="110" t="s">
        <v>233</v>
      </c>
      <c r="C719" s="110" t="s">
        <v>381</v>
      </c>
      <c r="D719" s="110">
        <v>11043</v>
      </c>
      <c r="E719" s="111">
        <v>3</v>
      </c>
      <c r="F719" s="111">
        <v>505</v>
      </c>
      <c r="K719" s="134">
        <v>5</v>
      </c>
      <c r="L719" s="151">
        <v>41701</v>
      </c>
      <c r="M719" s="169">
        <v>4.0999999999999996</v>
      </c>
      <c r="N719" s="151">
        <v>41838</v>
      </c>
      <c r="Q719" s="497"/>
      <c r="S719" s="134">
        <v>15.17</v>
      </c>
      <c r="T719" s="151">
        <v>41842</v>
      </c>
      <c r="U719" s="134">
        <v>13.5</v>
      </c>
      <c r="V719" s="151">
        <v>41838</v>
      </c>
      <c r="W719" s="196">
        <v>9</v>
      </c>
      <c r="X719" s="151">
        <v>41829</v>
      </c>
      <c r="Y719" s="134">
        <f t="shared" si="11"/>
        <v>3.8898799999999998</v>
      </c>
      <c r="AC719" s="134">
        <v>30.37</v>
      </c>
      <c r="AD719" s="151">
        <v>41838</v>
      </c>
      <c r="AE719" s="134">
        <v>31.37</v>
      </c>
      <c r="AF719" s="151">
        <v>41838</v>
      </c>
      <c r="AG719" s="197">
        <v>5</v>
      </c>
      <c r="AH719" s="151">
        <v>41843</v>
      </c>
      <c r="AI719" s="198">
        <v>5</v>
      </c>
      <c r="AJ719" s="151">
        <v>41778</v>
      </c>
      <c r="AK719" s="199">
        <v>5</v>
      </c>
      <c r="AL719" s="151">
        <v>41709</v>
      </c>
      <c r="BE719" s="200">
        <v>5</v>
      </c>
      <c r="BF719" s="201">
        <v>41555</v>
      </c>
      <c r="BG719" s="203">
        <v>0.1</v>
      </c>
      <c r="BH719" s="151">
        <v>41842</v>
      </c>
      <c r="BM719" s="204">
        <v>66.400000000000006</v>
      </c>
      <c r="BN719" s="151">
        <v>41842</v>
      </c>
      <c r="BQ719" s="205">
        <v>10.6</v>
      </c>
      <c r="BR719" s="151">
        <v>41842</v>
      </c>
      <c r="BS719" s="206">
        <v>48.4</v>
      </c>
      <c r="BT719" s="151">
        <v>41842</v>
      </c>
      <c r="BU719" s="207">
        <v>12.4</v>
      </c>
      <c r="BV719" s="151">
        <v>41842</v>
      </c>
      <c r="BW719" s="206">
        <v>14.2</v>
      </c>
      <c r="BX719" s="151">
        <v>41842</v>
      </c>
      <c r="BY719" s="210">
        <v>7.06</v>
      </c>
      <c r="BZ719" s="151">
        <v>41842</v>
      </c>
      <c r="CA719" s="206">
        <v>29.1</v>
      </c>
      <c r="CB719" s="151">
        <v>41842</v>
      </c>
      <c r="CC719" s="208">
        <v>6</v>
      </c>
      <c r="CD719" s="151">
        <v>41838</v>
      </c>
      <c r="CL719" s="209">
        <v>3</v>
      </c>
      <c r="CM719" s="201">
        <v>41810</v>
      </c>
    </row>
    <row r="720" spans="1:91" ht="15">
      <c r="A720" s="152" t="s">
        <v>8069</v>
      </c>
      <c r="B720" s="110" t="s">
        <v>235</v>
      </c>
      <c r="C720" s="110" t="s">
        <v>8081</v>
      </c>
      <c r="D720" s="110">
        <v>11194</v>
      </c>
      <c r="E720" s="111">
        <v>7</v>
      </c>
      <c r="F720" s="111">
        <v>533</v>
      </c>
      <c r="K720" s="134">
        <v>5</v>
      </c>
      <c r="L720" s="151">
        <v>41701</v>
      </c>
      <c r="M720" s="169">
        <v>5.7</v>
      </c>
      <c r="N720" s="151">
        <v>41838</v>
      </c>
      <c r="Q720" s="497"/>
      <c r="S720" s="134">
        <v>20.98</v>
      </c>
      <c r="T720" s="151">
        <v>41842</v>
      </c>
      <c r="U720" s="134">
        <v>13.5</v>
      </c>
      <c r="V720" s="151">
        <v>41838</v>
      </c>
      <c r="W720" s="196">
        <v>9</v>
      </c>
      <c r="X720" s="151">
        <v>41829</v>
      </c>
      <c r="Y720" s="134">
        <f t="shared" si="11"/>
        <v>5.6</v>
      </c>
      <c r="AC720" s="134">
        <v>42.22</v>
      </c>
      <c r="AD720" s="151">
        <v>41838</v>
      </c>
      <c r="AE720" s="134">
        <v>43.75</v>
      </c>
      <c r="AF720" s="151">
        <v>41838</v>
      </c>
      <c r="AG720" s="197">
        <v>4.5999999999999996</v>
      </c>
      <c r="AH720" s="151">
        <v>41843</v>
      </c>
      <c r="AI720" s="198">
        <v>5</v>
      </c>
      <c r="AJ720" s="151">
        <v>41778</v>
      </c>
      <c r="AK720" s="199">
        <v>5</v>
      </c>
      <c r="AL720" s="151">
        <v>41709</v>
      </c>
      <c r="BE720" s="200">
        <v>5</v>
      </c>
      <c r="BF720" s="201">
        <v>41555</v>
      </c>
      <c r="BG720" s="203">
        <v>-4.9000000000000004</v>
      </c>
      <c r="BH720" s="151">
        <v>41842</v>
      </c>
      <c r="BM720" s="204">
        <v>65.099999999999994</v>
      </c>
      <c r="BN720" s="151">
        <v>41842</v>
      </c>
      <c r="BQ720" s="205">
        <v>10.9</v>
      </c>
      <c r="BR720" s="151">
        <v>41842</v>
      </c>
      <c r="BS720" s="206">
        <v>48</v>
      </c>
      <c r="BT720" s="151">
        <v>41842</v>
      </c>
      <c r="BU720" s="207">
        <v>12.8</v>
      </c>
      <c r="BV720" s="151">
        <v>41842</v>
      </c>
      <c r="BW720" s="206">
        <v>12.2</v>
      </c>
      <c r="BX720" s="151">
        <v>41842</v>
      </c>
      <c r="BY720" s="210">
        <v>7.26</v>
      </c>
      <c r="BZ720" s="151">
        <v>41842</v>
      </c>
      <c r="CA720" s="206">
        <v>29.7</v>
      </c>
      <c r="CB720" s="151">
        <v>41842</v>
      </c>
      <c r="CC720" s="208">
        <v>5.7</v>
      </c>
      <c r="CD720" s="151">
        <v>41838</v>
      </c>
      <c r="CL720" s="209">
        <v>3</v>
      </c>
      <c r="CM720" s="201">
        <v>41810</v>
      </c>
    </row>
    <row r="721" spans="1:91" ht="15">
      <c r="A721" s="152" t="s">
        <v>8069</v>
      </c>
      <c r="B721" s="110" t="s">
        <v>233</v>
      </c>
      <c r="C721" s="110" t="s">
        <v>8083</v>
      </c>
      <c r="D721" s="110">
        <v>11772</v>
      </c>
      <c r="E721" s="111">
        <v>11</v>
      </c>
      <c r="F721" s="111">
        <v>689</v>
      </c>
      <c r="K721" s="134">
        <v>5</v>
      </c>
      <c r="L721" s="151">
        <v>41701</v>
      </c>
      <c r="M721" s="169">
        <v>3.25</v>
      </c>
      <c r="N721" s="151">
        <v>41838</v>
      </c>
      <c r="Q721" s="497"/>
      <c r="S721" s="134">
        <v>11.94</v>
      </c>
      <c r="T721" s="151">
        <v>41842</v>
      </c>
      <c r="U721" s="134">
        <v>13.5</v>
      </c>
      <c r="V721" s="151">
        <v>41838</v>
      </c>
      <c r="W721" s="196">
        <v>9</v>
      </c>
      <c r="X721" s="151">
        <v>41829</v>
      </c>
      <c r="Y721" s="134">
        <f t="shared" si="11"/>
        <v>3.1686499999999995</v>
      </c>
      <c r="AC721" s="134">
        <v>24.07</v>
      </c>
      <c r="AD721" s="151">
        <v>41838</v>
      </c>
      <c r="AE721" s="134">
        <v>24.95</v>
      </c>
      <c r="AF721" s="151">
        <v>41838</v>
      </c>
      <c r="AG721" s="197">
        <v>4.9000000000000004</v>
      </c>
      <c r="AH721" s="151">
        <v>41843</v>
      </c>
      <c r="AI721" s="198">
        <v>5</v>
      </c>
      <c r="AJ721" s="151">
        <v>41778</v>
      </c>
      <c r="AK721" s="199">
        <v>5</v>
      </c>
      <c r="AL721" s="151">
        <v>41709</v>
      </c>
      <c r="BE721" s="200">
        <v>5</v>
      </c>
      <c r="BF721" s="201">
        <v>41555</v>
      </c>
      <c r="BG721" s="203">
        <v>-3.1</v>
      </c>
      <c r="BH721" s="151">
        <v>41842</v>
      </c>
      <c r="BM721" s="204">
        <v>66.3</v>
      </c>
      <c r="BN721" s="151">
        <v>41842</v>
      </c>
      <c r="BQ721" s="205">
        <v>11.1</v>
      </c>
      <c r="BR721" s="151">
        <v>41842</v>
      </c>
      <c r="BS721" s="206">
        <v>47.9</v>
      </c>
      <c r="BT721" s="151">
        <v>41842</v>
      </c>
      <c r="BU721" s="207">
        <v>12.7</v>
      </c>
      <c r="BV721" s="151">
        <v>41842</v>
      </c>
      <c r="BW721" s="206">
        <v>11.3</v>
      </c>
      <c r="BX721" s="151">
        <v>41842</v>
      </c>
      <c r="BY721" s="210">
        <v>7.19</v>
      </c>
      <c r="BZ721" s="151">
        <v>41842</v>
      </c>
      <c r="CA721" s="206">
        <v>29.5</v>
      </c>
      <c r="CB721" s="151">
        <v>41842</v>
      </c>
      <c r="CC721" s="208">
        <v>5.7</v>
      </c>
      <c r="CD721" s="151">
        <v>41838</v>
      </c>
      <c r="CL721" s="209">
        <v>3</v>
      </c>
      <c r="CM721" s="201">
        <v>41810</v>
      </c>
    </row>
    <row r="722" spans="1:91" s="421" customFormat="1" ht="15">
      <c r="A722" s="412" t="s">
        <v>8001</v>
      </c>
      <c r="B722" s="413" t="s">
        <v>233</v>
      </c>
      <c r="C722" s="413" t="s">
        <v>381</v>
      </c>
      <c r="D722" s="413">
        <v>10979</v>
      </c>
      <c r="E722" s="414">
        <v>1</v>
      </c>
      <c r="F722" s="414">
        <v>537</v>
      </c>
      <c r="G722" s="414"/>
      <c r="H722" s="414"/>
      <c r="I722" s="423"/>
      <c r="J722" s="413"/>
      <c r="K722" s="422">
        <v>5</v>
      </c>
      <c r="L722" s="417">
        <v>41701</v>
      </c>
      <c r="M722" s="418">
        <v>1.5</v>
      </c>
      <c r="N722" s="417">
        <v>41838</v>
      </c>
      <c r="O722" s="416"/>
      <c r="P722" s="417"/>
      <c r="Q722" s="497"/>
      <c r="R722" s="417"/>
      <c r="S722" s="416">
        <v>5.42</v>
      </c>
      <c r="T722" s="417">
        <v>41842</v>
      </c>
      <c r="U722" s="422">
        <v>13.5</v>
      </c>
      <c r="V722" s="417">
        <v>41838</v>
      </c>
      <c r="W722" s="418">
        <v>1</v>
      </c>
      <c r="X722" s="417">
        <v>41829</v>
      </c>
      <c r="Y722" s="134">
        <f t="shared" si="11"/>
        <v>1.8643800000000001</v>
      </c>
      <c r="Z722" s="417"/>
      <c r="AA722" s="422"/>
      <c r="AB722" s="417"/>
      <c r="AC722" s="422">
        <v>11.11</v>
      </c>
      <c r="AD722" s="417">
        <v>41838</v>
      </c>
      <c r="AE722" s="424">
        <v>11.58</v>
      </c>
      <c r="AF722" s="417">
        <v>41838</v>
      </c>
      <c r="AG722" s="418">
        <v>4.4000000000000004</v>
      </c>
      <c r="AH722" s="417">
        <v>41843</v>
      </c>
      <c r="AI722" s="418">
        <v>5</v>
      </c>
      <c r="AJ722" s="417">
        <v>41778</v>
      </c>
      <c r="AK722" s="418">
        <v>7</v>
      </c>
      <c r="AL722" s="417">
        <v>41709</v>
      </c>
      <c r="AM722" s="422"/>
      <c r="AN722" s="417"/>
      <c r="AO722" s="416"/>
      <c r="AP722" s="416"/>
      <c r="AQ722" s="416"/>
      <c r="AR722" s="416"/>
      <c r="AS722" s="416"/>
      <c r="AT722" s="416"/>
      <c r="AU722" s="416"/>
      <c r="AV722" s="416"/>
      <c r="AW722" s="416"/>
      <c r="AX722" s="416"/>
      <c r="AY722" s="416"/>
      <c r="AZ722" s="416"/>
      <c r="BA722" s="416"/>
      <c r="BB722" s="416"/>
      <c r="BC722" s="416"/>
      <c r="BD722" s="416"/>
      <c r="BE722" s="418">
        <v>7</v>
      </c>
      <c r="BF722" s="419">
        <v>41555</v>
      </c>
      <c r="BG722" s="420">
        <v>34.200000000000003</v>
      </c>
      <c r="BH722" s="417">
        <v>41842</v>
      </c>
      <c r="BM722" s="420">
        <v>69.599999999999994</v>
      </c>
      <c r="BN722" s="417">
        <v>41842</v>
      </c>
      <c r="BQ722" s="420">
        <v>7.6</v>
      </c>
      <c r="BR722" s="417">
        <v>41842</v>
      </c>
      <c r="BS722" s="420">
        <v>46.8</v>
      </c>
      <c r="BT722" s="417">
        <v>41842</v>
      </c>
      <c r="BU722" s="420">
        <v>16.100000000000001</v>
      </c>
      <c r="BV722" s="417">
        <v>41842</v>
      </c>
      <c r="BW722" s="420">
        <v>56.4</v>
      </c>
      <c r="BX722" s="417">
        <v>41842</v>
      </c>
      <c r="BY722" s="420">
        <v>7.85</v>
      </c>
      <c r="BZ722" s="417">
        <v>41842</v>
      </c>
      <c r="CA722" s="420">
        <v>36.4</v>
      </c>
      <c r="CB722" s="417">
        <v>41842</v>
      </c>
      <c r="CC722" s="420">
        <v>5.2</v>
      </c>
      <c r="CD722" s="417">
        <v>41838</v>
      </c>
      <c r="CL722" s="420">
        <v>9</v>
      </c>
      <c r="CM722" s="419">
        <v>41810</v>
      </c>
    </row>
    <row r="723" spans="1:91" s="421" customFormat="1" ht="15">
      <c r="A723" s="412" t="s">
        <v>8001</v>
      </c>
      <c r="B723" s="413" t="s">
        <v>235</v>
      </c>
      <c r="C723" s="413" t="s">
        <v>8082</v>
      </c>
      <c r="D723" s="413">
        <v>11599</v>
      </c>
      <c r="E723" s="414">
        <v>6</v>
      </c>
      <c r="F723" s="414">
        <v>717</v>
      </c>
      <c r="G723" s="414"/>
      <c r="H723" s="414"/>
      <c r="I723" s="413"/>
      <c r="J723" s="413"/>
      <c r="K723" s="416">
        <v>5</v>
      </c>
      <c r="L723" s="417">
        <v>41701</v>
      </c>
      <c r="M723" s="418">
        <v>2.25</v>
      </c>
      <c r="N723" s="417">
        <v>41838</v>
      </c>
      <c r="O723" s="416"/>
      <c r="P723" s="417"/>
      <c r="Q723" s="497"/>
      <c r="R723" s="417"/>
      <c r="S723" s="416">
        <v>8.07</v>
      </c>
      <c r="T723" s="417">
        <v>41842</v>
      </c>
      <c r="U723" s="416">
        <v>13.5</v>
      </c>
      <c r="V723" s="417">
        <v>41838</v>
      </c>
      <c r="W723" s="418">
        <v>9</v>
      </c>
      <c r="X723" s="417">
        <v>41829</v>
      </c>
      <c r="Y723" s="134">
        <f t="shared" si="11"/>
        <v>2.7051099999999995</v>
      </c>
      <c r="Z723" s="417"/>
      <c r="AA723" s="416"/>
      <c r="AB723" s="417"/>
      <c r="AC723" s="416">
        <v>16.670000000000002</v>
      </c>
      <c r="AD723" s="417">
        <v>41838</v>
      </c>
      <c r="AE723" s="416">
        <v>17.23</v>
      </c>
      <c r="AF723" s="417">
        <v>41838</v>
      </c>
      <c r="AG723" s="418">
        <v>4</v>
      </c>
      <c r="AH723" s="417">
        <v>41843</v>
      </c>
      <c r="AI723" s="418">
        <v>3</v>
      </c>
      <c r="AJ723" s="417">
        <v>41778</v>
      </c>
      <c r="AK723" s="418">
        <v>7</v>
      </c>
      <c r="AL723" s="417">
        <v>41709</v>
      </c>
      <c r="AM723" s="416"/>
      <c r="AN723" s="417"/>
      <c r="AO723" s="416"/>
      <c r="AP723" s="416"/>
      <c r="AQ723" s="416"/>
      <c r="AR723" s="416"/>
      <c r="AS723" s="416"/>
      <c r="AT723" s="416"/>
      <c r="AU723" s="416"/>
      <c r="AV723" s="416"/>
      <c r="AW723" s="416"/>
      <c r="AX723" s="416"/>
      <c r="AY723" s="416"/>
      <c r="AZ723" s="416"/>
      <c r="BA723" s="416"/>
      <c r="BB723" s="416"/>
      <c r="BC723" s="416"/>
      <c r="BD723" s="416"/>
      <c r="BE723" s="418">
        <v>7</v>
      </c>
      <c r="BF723" s="419">
        <v>41555</v>
      </c>
      <c r="BG723" s="420">
        <v>42</v>
      </c>
      <c r="BH723" s="417">
        <v>41842</v>
      </c>
      <c r="BM723" s="420">
        <v>69</v>
      </c>
      <c r="BN723" s="417">
        <v>41842</v>
      </c>
      <c r="BQ723" s="420">
        <v>6.2</v>
      </c>
      <c r="BR723" s="417">
        <v>41842</v>
      </c>
      <c r="BS723" s="420">
        <v>46.8</v>
      </c>
      <c r="BT723" s="417">
        <v>41842</v>
      </c>
      <c r="BU723" s="420">
        <v>15.7</v>
      </c>
      <c r="BV723" s="417">
        <v>41842</v>
      </c>
      <c r="BW723" s="420">
        <v>61.9</v>
      </c>
      <c r="BX723" s="417">
        <v>41842</v>
      </c>
      <c r="BY723" s="420">
        <v>7.91</v>
      </c>
      <c r="BZ723" s="417">
        <v>41842</v>
      </c>
      <c r="CA723" s="420">
        <v>35.4</v>
      </c>
      <c r="CB723" s="417">
        <v>41842</v>
      </c>
      <c r="CC723" s="420">
        <v>5.9</v>
      </c>
      <c r="CD723" s="417">
        <v>41838</v>
      </c>
      <c r="CL723" s="420">
        <v>7</v>
      </c>
      <c r="CM723" s="419">
        <v>41810</v>
      </c>
    </row>
    <row r="724" spans="1:91" s="421" customFormat="1" ht="15">
      <c r="A724" s="412" t="s">
        <v>8001</v>
      </c>
      <c r="B724" s="413" t="s">
        <v>233</v>
      </c>
      <c r="C724" s="413" t="s">
        <v>8083</v>
      </c>
      <c r="D724" s="413">
        <v>11642</v>
      </c>
      <c r="E724" s="414">
        <v>7</v>
      </c>
      <c r="F724" s="414">
        <v>745</v>
      </c>
      <c r="G724" s="414"/>
      <c r="H724" s="414"/>
      <c r="I724" s="413"/>
      <c r="J724" s="413"/>
      <c r="K724" s="425">
        <v>3</v>
      </c>
      <c r="L724" s="417">
        <v>41701</v>
      </c>
      <c r="M724" s="418">
        <v>1.9</v>
      </c>
      <c r="N724" s="417">
        <v>41838</v>
      </c>
      <c r="O724" s="416"/>
      <c r="P724" s="417"/>
      <c r="Q724" s="497"/>
      <c r="R724" s="417"/>
      <c r="S724" s="416">
        <v>6.82</v>
      </c>
      <c r="T724" s="417">
        <v>41842</v>
      </c>
      <c r="U724" s="416">
        <v>13.5</v>
      </c>
      <c r="V724" s="417">
        <v>41838</v>
      </c>
      <c r="W724" s="418">
        <v>1</v>
      </c>
      <c r="X724" s="417">
        <v>41829</v>
      </c>
      <c r="Y724" s="134">
        <f t="shared" si="11"/>
        <v>2.29732</v>
      </c>
      <c r="Z724" s="417"/>
      <c r="AA724" s="416"/>
      <c r="AB724" s="417"/>
      <c r="AC724" s="416">
        <v>14.07</v>
      </c>
      <c r="AD724" s="417">
        <v>41838</v>
      </c>
      <c r="AE724" s="416">
        <v>14.54</v>
      </c>
      <c r="AF724" s="417">
        <v>41838</v>
      </c>
      <c r="AG724" s="418">
        <v>4.5</v>
      </c>
      <c r="AH724" s="417">
        <v>41843</v>
      </c>
      <c r="AI724" s="418">
        <v>3</v>
      </c>
      <c r="AJ724" s="417">
        <v>41778</v>
      </c>
      <c r="AK724" s="418">
        <v>7</v>
      </c>
      <c r="AL724" s="417">
        <v>41709</v>
      </c>
      <c r="AM724" s="416"/>
      <c r="AN724" s="417"/>
      <c r="AO724" s="416"/>
      <c r="AP724" s="416"/>
      <c r="AQ724" s="416"/>
      <c r="AR724" s="416"/>
      <c r="AS724" s="416"/>
      <c r="AT724" s="416"/>
      <c r="AU724" s="416"/>
      <c r="AV724" s="416"/>
      <c r="AW724" s="416"/>
      <c r="AX724" s="416"/>
      <c r="AY724" s="416"/>
      <c r="AZ724" s="416"/>
      <c r="BA724" s="416"/>
      <c r="BB724" s="416"/>
      <c r="BC724" s="416"/>
      <c r="BD724" s="416"/>
      <c r="BE724" s="418">
        <v>7</v>
      </c>
      <c r="BF724" s="419">
        <v>41555</v>
      </c>
      <c r="BG724" s="420">
        <v>28.2</v>
      </c>
      <c r="BH724" s="417">
        <v>41842</v>
      </c>
      <c r="BM724" s="420">
        <v>66.099999999999994</v>
      </c>
      <c r="BN724" s="417">
        <v>41842</v>
      </c>
      <c r="BQ724" s="420">
        <v>7.6</v>
      </c>
      <c r="BR724" s="417">
        <v>41842</v>
      </c>
      <c r="BS724" s="420">
        <v>46.9</v>
      </c>
      <c r="BT724" s="417">
        <v>41842</v>
      </c>
      <c r="BU724" s="420">
        <v>15.8</v>
      </c>
      <c r="BV724" s="417">
        <v>41842</v>
      </c>
      <c r="BW724" s="420">
        <v>65.2</v>
      </c>
      <c r="BX724" s="417">
        <v>41842</v>
      </c>
      <c r="BY724" s="420">
        <v>7.69</v>
      </c>
      <c r="BZ724" s="417">
        <v>41842</v>
      </c>
      <c r="CA724" s="420">
        <v>35.799999999999997</v>
      </c>
      <c r="CB724" s="417">
        <v>41842</v>
      </c>
      <c r="CC724" s="420">
        <v>6</v>
      </c>
      <c r="CD724" s="417">
        <v>41838</v>
      </c>
      <c r="CL724" s="420">
        <v>5</v>
      </c>
      <c r="CM724" s="419">
        <v>41810</v>
      </c>
    </row>
    <row r="725" spans="1:91" s="421" customFormat="1" ht="15">
      <c r="A725" s="412" t="s">
        <v>8001</v>
      </c>
      <c r="B725" s="413" t="s">
        <v>235</v>
      </c>
      <c r="C725" s="413" t="s">
        <v>8081</v>
      </c>
      <c r="D725" s="413">
        <v>11323</v>
      </c>
      <c r="E725" s="414">
        <v>10</v>
      </c>
      <c r="F725" s="414">
        <v>617</v>
      </c>
      <c r="G725" s="414"/>
      <c r="H725" s="414"/>
      <c r="I725" s="413"/>
      <c r="J725" s="413"/>
      <c r="K725" s="416">
        <v>5</v>
      </c>
      <c r="L725" s="417">
        <v>41701</v>
      </c>
      <c r="M725" s="418">
        <v>2.2000000000000002</v>
      </c>
      <c r="N725" s="417">
        <v>41838</v>
      </c>
      <c r="O725" s="416"/>
      <c r="P725" s="417"/>
      <c r="Q725" s="497"/>
      <c r="R725" s="417"/>
      <c r="S725" s="416">
        <v>7.87</v>
      </c>
      <c r="T725" s="417">
        <v>41842</v>
      </c>
      <c r="U725" s="416">
        <v>13.5</v>
      </c>
      <c r="V725" s="417">
        <v>41838</v>
      </c>
      <c r="W725" s="418">
        <v>1</v>
      </c>
      <c r="X725" s="417">
        <v>41829</v>
      </c>
      <c r="Y725" s="134">
        <f t="shared" si="11"/>
        <v>2.7192900000000004</v>
      </c>
      <c r="Z725" s="417"/>
      <c r="AA725" s="416"/>
      <c r="AB725" s="417"/>
      <c r="AC725" s="416">
        <v>16.3</v>
      </c>
      <c r="AD725" s="417">
        <v>41838</v>
      </c>
      <c r="AE725" s="416">
        <v>16.89</v>
      </c>
      <c r="AF725" s="417">
        <v>41838</v>
      </c>
      <c r="AG725" s="418">
        <v>3.7</v>
      </c>
      <c r="AH725" s="417">
        <v>41843</v>
      </c>
      <c r="AI725" s="418">
        <v>5</v>
      </c>
      <c r="AJ725" s="417">
        <v>41778</v>
      </c>
      <c r="AK725" s="418">
        <v>7</v>
      </c>
      <c r="AL725" s="417">
        <v>41709</v>
      </c>
      <c r="AM725" s="416"/>
      <c r="AN725" s="417"/>
      <c r="AO725" s="416"/>
      <c r="AP725" s="416"/>
      <c r="AQ725" s="416"/>
      <c r="AR725" s="416"/>
      <c r="AS725" s="416"/>
      <c r="AT725" s="416"/>
      <c r="AU725" s="416"/>
      <c r="AV725" s="416"/>
      <c r="AW725" s="416"/>
      <c r="AX725" s="416"/>
      <c r="AY725" s="416"/>
      <c r="AZ725" s="416"/>
      <c r="BA725" s="416"/>
      <c r="BB725" s="416"/>
      <c r="BC725" s="416"/>
      <c r="BD725" s="416"/>
      <c r="BE725" s="418">
        <v>7</v>
      </c>
      <c r="BF725" s="419">
        <v>41555</v>
      </c>
      <c r="BG725" s="420">
        <v>41.2</v>
      </c>
      <c r="BH725" s="417">
        <v>41842</v>
      </c>
      <c r="BM725" s="420">
        <v>69.599999999999994</v>
      </c>
      <c r="BN725" s="417">
        <v>41842</v>
      </c>
      <c r="BQ725" s="420">
        <v>5.9</v>
      </c>
      <c r="BR725" s="417">
        <v>41842</v>
      </c>
      <c r="BS725" s="420">
        <v>46.6</v>
      </c>
      <c r="BT725" s="417">
        <v>41842</v>
      </c>
      <c r="BU725" s="420">
        <v>16.100000000000001</v>
      </c>
      <c r="BV725" s="417">
        <v>41842</v>
      </c>
      <c r="BW725" s="420">
        <v>62.3</v>
      </c>
      <c r="BX725" s="417">
        <v>41842</v>
      </c>
      <c r="BY725" s="420">
        <v>8.01</v>
      </c>
      <c r="BZ725" s="417">
        <v>41842</v>
      </c>
      <c r="CA725" s="420">
        <v>36.200000000000003</v>
      </c>
      <c r="CB725" s="417">
        <v>41842</v>
      </c>
      <c r="CC725" s="420">
        <v>5.7</v>
      </c>
      <c r="CD725" s="417">
        <v>41838</v>
      </c>
      <c r="CL725" s="420">
        <v>7</v>
      </c>
      <c r="CM725" s="419">
        <v>41810</v>
      </c>
    </row>
    <row r="726" spans="1:91" ht="15">
      <c r="A726" s="152" t="s">
        <v>8002</v>
      </c>
      <c r="B726" s="110" t="s">
        <v>233</v>
      </c>
      <c r="C726" s="110" t="s">
        <v>381</v>
      </c>
      <c r="D726" s="110">
        <v>10993</v>
      </c>
      <c r="E726" s="111">
        <v>1</v>
      </c>
      <c r="F726" s="111">
        <v>593</v>
      </c>
      <c r="I726" s="373"/>
      <c r="K726" s="194">
        <v>5</v>
      </c>
      <c r="L726" s="151">
        <v>41701</v>
      </c>
      <c r="M726" s="169">
        <v>3.9</v>
      </c>
      <c r="N726" s="151">
        <v>41838</v>
      </c>
      <c r="Q726" s="497"/>
      <c r="S726" s="134">
        <v>13.79</v>
      </c>
      <c r="T726" s="151">
        <v>41842</v>
      </c>
      <c r="U726" s="194">
        <v>13.5</v>
      </c>
      <c r="V726" s="151">
        <v>41838</v>
      </c>
      <c r="W726" s="196">
        <v>1</v>
      </c>
      <c r="X726" s="151">
        <v>41829</v>
      </c>
      <c r="Y726" s="134">
        <f t="shared" si="11"/>
        <v>4.165</v>
      </c>
      <c r="AA726" s="194"/>
      <c r="AC726" s="194">
        <v>28.89</v>
      </c>
      <c r="AD726" s="151">
        <v>41838</v>
      </c>
      <c r="AE726" s="137">
        <v>29.75</v>
      </c>
      <c r="AF726" s="151">
        <v>41838</v>
      </c>
      <c r="AG726" s="197">
        <v>4.3</v>
      </c>
      <c r="AH726" s="151">
        <v>41843</v>
      </c>
      <c r="AI726" s="198">
        <v>5</v>
      </c>
      <c r="AJ726" s="151">
        <v>41778</v>
      </c>
      <c r="AK726" s="199">
        <v>4</v>
      </c>
      <c r="AL726" s="151">
        <v>41709</v>
      </c>
      <c r="AM726" s="194"/>
      <c r="BE726" s="200">
        <v>4</v>
      </c>
      <c r="BF726" s="201">
        <v>41555</v>
      </c>
      <c r="BG726" s="203">
        <v>-4.8</v>
      </c>
      <c r="BH726" s="151">
        <v>41842</v>
      </c>
      <c r="BM726" s="204">
        <v>61.3</v>
      </c>
      <c r="BN726" s="151">
        <v>41842</v>
      </c>
      <c r="BQ726" s="205">
        <v>11.2</v>
      </c>
      <c r="BR726" s="151">
        <v>41842</v>
      </c>
      <c r="BS726" s="206">
        <v>46.4</v>
      </c>
      <c r="BT726" s="151">
        <v>41842</v>
      </c>
      <c r="BU726" s="207">
        <v>14</v>
      </c>
      <c r="BV726" s="151">
        <v>41842</v>
      </c>
      <c r="BW726" s="206">
        <v>15.1</v>
      </c>
      <c r="BX726" s="151">
        <v>41842</v>
      </c>
      <c r="BY726" s="210">
        <v>7.32</v>
      </c>
      <c r="BZ726" s="151">
        <v>41842</v>
      </c>
      <c r="CA726" s="206">
        <v>31.4</v>
      </c>
      <c r="CB726" s="151">
        <v>41842</v>
      </c>
      <c r="CC726" s="208">
        <v>6.3</v>
      </c>
      <c r="CD726" s="151">
        <v>41838</v>
      </c>
      <c r="CL726" s="209">
        <v>5</v>
      </c>
      <c r="CM726" s="201">
        <v>41810</v>
      </c>
    </row>
    <row r="727" spans="1:91" ht="15">
      <c r="A727" s="152" t="s">
        <v>8002</v>
      </c>
      <c r="B727" s="110" t="s">
        <v>235</v>
      </c>
      <c r="C727" s="110" t="s">
        <v>8082</v>
      </c>
      <c r="D727" s="110">
        <v>11552</v>
      </c>
      <c r="E727" s="111">
        <v>5</v>
      </c>
      <c r="F727" s="111">
        <v>673</v>
      </c>
      <c r="K727" s="134">
        <v>5</v>
      </c>
      <c r="L727" s="151">
        <v>41701</v>
      </c>
      <c r="M727" s="169">
        <v>5.2</v>
      </c>
      <c r="N727" s="151">
        <v>41838</v>
      </c>
      <c r="Q727" s="497"/>
      <c r="S727" s="134">
        <v>18.29</v>
      </c>
      <c r="T727" s="151">
        <v>41842</v>
      </c>
      <c r="U727" s="134">
        <v>13.5</v>
      </c>
      <c r="V727" s="151">
        <v>41838</v>
      </c>
      <c r="W727" s="196">
        <v>1</v>
      </c>
      <c r="X727" s="151">
        <v>41829</v>
      </c>
      <c r="Y727" s="134">
        <f t="shared" si="11"/>
        <v>5.6842500000000005</v>
      </c>
      <c r="AC727" s="134">
        <v>38.520000000000003</v>
      </c>
      <c r="AD727" s="151">
        <v>41838</v>
      </c>
      <c r="AE727" s="134">
        <v>39.75</v>
      </c>
      <c r="AF727" s="151">
        <v>41838</v>
      </c>
      <c r="AG727" s="197">
        <v>4.3</v>
      </c>
      <c r="AH727" s="151">
        <v>41843</v>
      </c>
      <c r="AI727" s="198">
        <v>7</v>
      </c>
      <c r="AJ727" s="151">
        <v>41778</v>
      </c>
      <c r="AK727" s="199">
        <v>4</v>
      </c>
      <c r="AL727" s="151">
        <v>41709</v>
      </c>
      <c r="BE727" s="200">
        <v>4</v>
      </c>
      <c r="BF727" s="201">
        <v>41555</v>
      </c>
      <c r="BG727" s="203">
        <v>-7.6</v>
      </c>
      <c r="BH727" s="151">
        <v>41842</v>
      </c>
      <c r="BM727" s="204">
        <v>61.2</v>
      </c>
      <c r="BN727" s="151">
        <v>41842</v>
      </c>
      <c r="BQ727" s="205">
        <v>11.5</v>
      </c>
      <c r="BR727" s="151">
        <v>41842</v>
      </c>
      <c r="BS727" s="206">
        <v>46</v>
      </c>
      <c r="BT727" s="151">
        <v>41842</v>
      </c>
      <c r="BU727" s="207">
        <v>14.3</v>
      </c>
      <c r="BV727" s="151">
        <v>41842</v>
      </c>
      <c r="BW727" s="206">
        <v>11.6</v>
      </c>
      <c r="BX727" s="151">
        <v>41842</v>
      </c>
      <c r="BY727" s="210">
        <v>7.07</v>
      </c>
      <c r="BZ727" s="151">
        <v>41842</v>
      </c>
      <c r="CA727" s="206">
        <v>31.8</v>
      </c>
      <c r="CB727" s="151">
        <v>41842</v>
      </c>
      <c r="CC727" s="208">
        <v>6.1</v>
      </c>
      <c r="CD727" s="151">
        <v>41838</v>
      </c>
      <c r="CL727" s="209">
        <v>7</v>
      </c>
      <c r="CM727" s="201">
        <v>41810</v>
      </c>
    </row>
    <row r="728" spans="1:91" ht="15">
      <c r="A728" s="152" t="s">
        <v>8002</v>
      </c>
      <c r="B728" s="110" t="s">
        <v>233</v>
      </c>
      <c r="C728" s="110" t="s">
        <v>8083</v>
      </c>
      <c r="D728" s="110">
        <v>11721</v>
      </c>
      <c r="E728" s="111">
        <v>10</v>
      </c>
      <c r="F728" s="111">
        <v>629</v>
      </c>
      <c r="K728" s="134">
        <v>5</v>
      </c>
      <c r="L728" s="151">
        <v>41701</v>
      </c>
      <c r="M728" s="169">
        <v>4.7</v>
      </c>
      <c r="N728" s="151">
        <v>41838</v>
      </c>
      <c r="Q728" s="497"/>
      <c r="S728" s="134">
        <v>17.14</v>
      </c>
      <c r="T728" s="151">
        <v>41842</v>
      </c>
      <c r="U728" s="134">
        <v>13.5</v>
      </c>
      <c r="V728" s="151">
        <v>41838</v>
      </c>
      <c r="W728" s="196">
        <v>9</v>
      </c>
      <c r="X728" s="151">
        <v>41829</v>
      </c>
      <c r="Y728" s="134">
        <f t="shared" si="11"/>
        <v>4.7317199999999993</v>
      </c>
      <c r="AC728" s="134">
        <v>34.81</v>
      </c>
      <c r="AD728" s="151">
        <v>41838</v>
      </c>
      <c r="AE728" s="134">
        <v>36.119999999999997</v>
      </c>
      <c r="AF728" s="151">
        <v>41838</v>
      </c>
      <c r="AG728" s="197">
        <v>4.3</v>
      </c>
      <c r="AH728" s="151">
        <v>41843</v>
      </c>
      <c r="AI728" s="198">
        <v>7</v>
      </c>
      <c r="AJ728" s="151">
        <v>41778</v>
      </c>
      <c r="AK728" s="199">
        <v>5</v>
      </c>
      <c r="AL728" s="151">
        <v>41709</v>
      </c>
      <c r="BE728" s="200">
        <v>5</v>
      </c>
      <c r="BF728" s="201">
        <v>41555</v>
      </c>
      <c r="BG728" s="203">
        <v>-7.3</v>
      </c>
      <c r="BH728" s="151">
        <v>41842</v>
      </c>
      <c r="BM728" s="204">
        <v>62.6</v>
      </c>
      <c r="BN728" s="151">
        <v>41842</v>
      </c>
      <c r="BQ728" s="205">
        <v>10.5</v>
      </c>
      <c r="BR728" s="151">
        <v>41842</v>
      </c>
      <c r="BS728" s="206">
        <v>47.5</v>
      </c>
      <c r="BT728" s="151">
        <v>41842</v>
      </c>
      <c r="BU728" s="207">
        <v>13.1</v>
      </c>
      <c r="BV728" s="151">
        <v>41842</v>
      </c>
      <c r="BW728" s="206">
        <v>11.8</v>
      </c>
      <c r="BX728" s="151">
        <v>41842</v>
      </c>
      <c r="BY728" s="210">
        <v>7.02</v>
      </c>
      <c r="BZ728" s="151">
        <v>41842</v>
      </c>
      <c r="CA728" s="206">
        <v>30</v>
      </c>
      <c r="CB728" s="151">
        <v>41842</v>
      </c>
      <c r="CC728" s="208">
        <v>5.6</v>
      </c>
      <c r="CD728" s="151">
        <v>41838</v>
      </c>
      <c r="CL728" s="209">
        <v>3</v>
      </c>
      <c r="CM728" s="201">
        <v>41810</v>
      </c>
    </row>
    <row r="729" spans="1:91" ht="15">
      <c r="A729" s="152" t="s">
        <v>8002</v>
      </c>
      <c r="B729" s="110" t="s">
        <v>235</v>
      </c>
      <c r="C729" s="110" t="s">
        <v>8081</v>
      </c>
      <c r="D729" s="110">
        <v>11360</v>
      </c>
      <c r="E729" s="111">
        <v>12</v>
      </c>
      <c r="F729" s="111">
        <v>477</v>
      </c>
      <c r="K729" s="134">
        <v>5</v>
      </c>
      <c r="L729" s="151">
        <v>41701</v>
      </c>
      <c r="M729" s="169">
        <v>5.0999999999999996</v>
      </c>
      <c r="N729" s="151">
        <v>41838</v>
      </c>
      <c r="Q729" s="497"/>
      <c r="S729" s="134">
        <v>18.46</v>
      </c>
      <c r="T729" s="151">
        <v>41842</v>
      </c>
      <c r="U729" s="134">
        <v>13.5</v>
      </c>
      <c r="V729" s="151">
        <v>41838</v>
      </c>
      <c r="W729" s="196">
        <v>9</v>
      </c>
      <c r="X729" s="151">
        <v>41829</v>
      </c>
      <c r="Y729" s="134">
        <f t="shared" si="11"/>
        <v>5.1951800000000006</v>
      </c>
      <c r="AC729" s="134">
        <v>37.78</v>
      </c>
      <c r="AD729" s="151">
        <v>41838</v>
      </c>
      <c r="AE729" s="134">
        <v>38.770000000000003</v>
      </c>
      <c r="AF729" s="151">
        <v>41838</v>
      </c>
      <c r="AG729" s="197">
        <v>4.4000000000000004</v>
      </c>
      <c r="AH729" s="151">
        <v>41843</v>
      </c>
      <c r="AI729" s="198">
        <v>5</v>
      </c>
      <c r="AJ729" s="151">
        <v>41778</v>
      </c>
      <c r="AK729" s="199">
        <v>5</v>
      </c>
      <c r="AL729" s="151">
        <v>41709</v>
      </c>
      <c r="BE729" s="200">
        <v>5</v>
      </c>
      <c r="BF729" s="201">
        <v>41555</v>
      </c>
      <c r="BG729" s="203">
        <v>-6.4</v>
      </c>
      <c r="BH729" s="151">
        <v>41842</v>
      </c>
      <c r="BM729" s="204">
        <v>63.2</v>
      </c>
      <c r="BN729" s="151">
        <v>41842</v>
      </c>
      <c r="BQ729" s="205">
        <v>10.6</v>
      </c>
      <c r="BR729" s="151">
        <v>41842</v>
      </c>
      <c r="BS729" s="206">
        <v>47.6</v>
      </c>
      <c r="BT729" s="151">
        <v>41842</v>
      </c>
      <c r="BU729" s="207">
        <v>13.4</v>
      </c>
      <c r="BV729" s="151">
        <v>41842</v>
      </c>
      <c r="BW729" s="206">
        <v>14.1</v>
      </c>
      <c r="BX729" s="151">
        <v>41842</v>
      </c>
      <c r="BY729" s="210">
        <v>6.86</v>
      </c>
      <c r="BZ729" s="151">
        <v>41842</v>
      </c>
      <c r="CA729" s="206">
        <v>31</v>
      </c>
      <c r="CB729" s="151">
        <v>41842</v>
      </c>
      <c r="CC729" s="208">
        <v>6.6</v>
      </c>
      <c r="CD729" s="151">
        <v>41838</v>
      </c>
      <c r="CL729" s="209">
        <v>3</v>
      </c>
      <c r="CM729" s="201">
        <v>41810</v>
      </c>
    </row>
    <row r="730" spans="1:91" ht="15">
      <c r="A730" s="152" t="s">
        <v>8003</v>
      </c>
      <c r="B730" s="110" t="s">
        <v>233</v>
      </c>
      <c r="C730" s="110" t="s">
        <v>381</v>
      </c>
      <c r="D730" s="110">
        <v>11060</v>
      </c>
      <c r="E730" s="111">
        <v>3</v>
      </c>
      <c r="F730" s="111">
        <v>573</v>
      </c>
      <c r="K730" s="134">
        <v>5</v>
      </c>
      <c r="L730" s="151">
        <v>41701</v>
      </c>
      <c r="M730" s="169">
        <v>4.0999999999999996</v>
      </c>
      <c r="N730" s="151">
        <v>41838</v>
      </c>
      <c r="Q730" s="497"/>
      <c r="S730" s="134">
        <v>14.46</v>
      </c>
      <c r="T730" s="151">
        <v>41842</v>
      </c>
      <c r="U730" s="134">
        <v>13.5</v>
      </c>
      <c r="V730" s="151">
        <v>41838</v>
      </c>
      <c r="W730" s="196">
        <v>1</v>
      </c>
      <c r="X730" s="151">
        <v>41829</v>
      </c>
      <c r="Y730" s="134">
        <f t="shared" si="11"/>
        <v>4.3072800000000004</v>
      </c>
      <c r="AC730" s="134">
        <v>30.37</v>
      </c>
      <c r="AD730" s="151">
        <v>41838</v>
      </c>
      <c r="AE730" s="134">
        <v>31.44</v>
      </c>
      <c r="AF730" s="151">
        <v>41838</v>
      </c>
      <c r="AG730" s="197">
        <v>4.4000000000000004</v>
      </c>
      <c r="AH730" s="151">
        <v>41843</v>
      </c>
      <c r="AI730" s="198">
        <v>5</v>
      </c>
      <c r="AJ730" s="151">
        <v>41778</v>
      </c>
      <c r="AK730" s="199">
        <v>5</v>
      </c>
      <c r="AL730" s="151">
        <v>41709</v>
      </c>
      <c r="BE730" s="200">
        <v>5</v>
      </c>
      <c r="BF730" s="201">
        <v>41555</v>
      </c>
      <c r="BG730" s="203">
        <v>-2.1</v>
      </c>
      <c r="BH730" s="151">
        <v>41842</v>
      </c>
      <c r="BM730" s="204">
        <v>61.2</v>
      </c>
      <c r="BN730" s="151">
        <v>41842</v>
      </c>
      <c r="BQ730" s="205">
        <v>12.2</v>
      </c>
      <c r="BR730" s="151">
        <v>41842</v>
      </c>
      <c r="BS730" s="206">
        <v>46</v>
      </c>
      <c r="BT730" s="151">
        <v>41842</v>
      </c>
      <c r="BU730" s="207">
        <v>13.7</v>
      </c>
      <c r="BV730" s="151">
        <v>41842</v>
      </c>
      <c r="BW730" s="206">
        <v>20.6</v>
      </c>
      <c r="BX730" s="151">
        <v>41842</v>
      </c>
      <c r="BY730" s="210">
        <v>7.37</v>
      </c>
      <c r="BZ730" s="151">
        <v>41842</v>
      </c>
      <c r="CA730" s="206">
        <v>30.3</v>
      </c>
      <c r="CB730" s="151">
        <v>41842</v>
      </c>
      <c r="CC730" s="208">
        <v>5.8</v>
      </c>
      <c r="CD730" s="151">
        <v>41838</v>
      </c>
      <c r="CL730" s="209">
        <v>5</v>
      </c>
      <c r="CM730" s="201">
        <v>41810</v>
      </c>
    </row>
    <row r="731" spans="1:91" ht="15">
      <c r="A731" s="152" t="s">
        <v>8003</v>
      </c>
      <c r="B731" s="110" t="s">
        <v>235</v>
      </c>
      <c r="C731" s="110" t="s">
        <v>8082</v>
      </c>
      <c r="D731" s="110">
        <v>11551</v>
      </c>
      <c r="E731" s="111">
        <v>5</v>
      </c>
      <c r="F731" s="111">
        <v>669</v>
      </c>
      <c r="K731" s="134">
        <v>5</v>
      </c>
      <c r="L731" s="151">
        <v>41701</v>
      </c>
      <c r="M731" s="169">
        <v>4.75</v>
      </c>
      <c r="N731" s="151">
        <v>41838</v>
      </c>
      <c r="Q731" s="497"/>
      <c r="S731" s="134">
        <v>16.62</v>
      </c>
      <c r="T731" s="151">
        <v>41842</v>
      </c>
      <c r="U731" s="134">
        <v>13.5</v>
      </c>
      <c r="V731" s="151">
        <v>41838</v>
      </c>
      <c r="W731" s="196">
        <v>1</v>
      </c>
      <c r="X731" s="151">
        <v>41829</v>
      </c>
      <c r="Y731" s="134">
        <f t="shared" si="11"/>
        <v>5.1253500000000001</v>
      </c>
      <c r="AC731" s="134">
        <v>35.19</v>
      </c>
      <c r="AD731" s="151">
        <v>41838</v>
      </c>
      <c r="AE731" s="134">
        <v>36.35</v>
      </c>
      <c r="AF731" s="151">
        <v>41838</v>
      </c>
      <c r="AG731" s="197">
        <v>4.5</v>
      </c>
      <c r="AH731" s="151">
        <v>41843</v>
      </c>
      <c r="AI731" s="198">
        <v>5</v>
      </c>
      <c r="AJ731" s="151">
        <v>41778</v>
      </c>
      <c r="AK731" s="199">
        <v>5</v>
      </c>
      <c r="AL731" s="151">
        <v>41709</v>
      </c>
      <c r="BE731" s="200">
        <v>5</v>
      </c>
      <c r="BF731" s="201">
        <v>41555</v>
      </c>
      <c r="BG731" s="203">
        <v>-5</v>
      </c>
      <c r="BH731" s="151">
        <v>41842</v>
      </c>
      <c r="BM731" s="204">
        <v>61.3</v>
      </c>
      <c r="BN731" s="151">
        <v>41842</v>
      </c>
      <c r="BQ731" s="205">
        <v>12.5</v>
      </c>
      <c r="BR731" s="151">
        <v>41842</v>
      </c>
      <c r="BS731" s="206">
        <v>45.7</v>
      </c>
      <c r="BT731" s="151">
        <v>41842</v>
      </c>
      <c r="BU731" s="207">
        <v>14.1</v>
      </c>
      <c r="BV731" s="151">
        <v>41842</v>
      </c>
      <c r="BW731" s="206">
        <v>14.8</v>
      </c>
      <c r="BX731" s="151">
        <v>41842</v>
      </c>
      <c r="BY731" s="210">
        <v>7.29</v>
      </c>
      <c r="BZ731" s="151">
        <v>41842</v>
      </c>
      <c r="CA731" s="206">
        <v>31.2</v>
      </c>
      <c r="CB731" s="151">
        <v>41842</v>
      </c>
      <c r="CC731" s="208">
        <v>6</v>
      </c>
      <c r="CD731" s="151">
        <v>41838</v>
      </c>
      <c r="CL731" s="209">
        <v>7</v>
      </c>
      <c r="CM731" s="201">
        <v>41810</v>
      </c>
    </row>
    <row r="732" spans="1:91" ht="15">
      <c r="A732" s="152" t="s">
        <v>8003</v>
      </c>
      <c r="B732" s="110" t="s">
        <v>235</v>
      </c>
      <c r="C732" s="110" t="s">
        <v>8081</v>
      </c>
      <c r="D732" s="110">
        <v>11188</v>
      </c>
      <c r="E732" s="111">
        <v>7</v>
      </c>
      <c r="F732" s="111">
        <v>509</v>
      </c>
      <c r="K732" s="134">
        <v>5</v>
      </c>
      <c r="L732" s="151">
        <v>41701</v>
      </c>
      <c r="M732" s="169">
        <v>4.4000000000000004</v>
      </c>
      <c r="N732" s="151">
        <v>41838</v>
      </c>
      <c r="Q732" s="497"/>
      <c r="S732" s="134">
        <v>15.22</v>
      </c>
      <c r="T732" s="151">
        <v>41842</v>
      </c>
      <c r="U732" s="134">
        <v>13.5</v>
      </c>
      <c r="V732" s="151">
        <v>41838</v>
      </c>
      <c r="W732" s="196">
        <v>1</v>
      </c>
      <c r="X732" s="151">
        <v>41829</v>
      </c>
      <c r="Y732" s="134">
        <f t="shared" si="11"/>
        <v>4.7180000000000009</v>
      </c>
      <c r="AC732" s="134">
        <v>32.590000000000003</v>
      </c>
      <c r="AD732" s="151">
        <v>41838</v>
      </c>
      <c r="AE732" s="134">
        <v>33.700000000000003</v>
      </c>
      <c r="AF732" s="151">
        <v>41838</v>
      </c>
      <c r="AG732" s="197">
        <v>4.2</v>
      </c>
      <c r="AH732" s="151">
        <v>41843</v>
      </c>
      <c r="AI732" s="198">
        <v>3</v>
      </c>
      <c r="AJ732" s="151">
        <v>41778</v>
      </c>
      <c r="AK732" s="199">
        <v>5</v>
      </c>
      <c r="AL732" s="151">
        <v>41709</v>
      </c>
      <c r="BE732" s="200">
        <v>5</v>
      </c>
      <c r="BF732" s="201">
        <v>41555</v>
      </c>
      <c r="BG732" s="203">
        <v>-2.9</v>
      </c>
      <c r="BH732" s="151">
        <v>41842</v>
      </c>
      <c r="BM732" s="204">
        <v>60.9</v>
      </c>
      <c r="BN732" s="151">
        <v>41842</v>
      </c>
      <c r="BQ732" s="205">
        <v>12.3</v>
      </c>
      <c r="BR732" s="151">
        <v>41842</v>
      </c>
      <c r="BS732" s="206">
        <v>45.2</v>
      </c>
      <c r="BT732" s="151">
        <v>41842</v>
      </c>
      <c r="BU732" s="207">
        <v>14</v>
      </c>
      <c r="BV732" s="151">
        <v>41842</v>
      </c>
      <c r="BW732" s="206">
        <v>14.7</v>
      </c>
      <c r="BX732" s="151">
        <v>41842</v>
      </c>
      <c r="BY732" s="210">
        <v>7.24</v>
      </c>
      <c r="BZ732" s="151">
        <v>41842</v>
      </c>
      <c r="CA732" s="206">
        <v>30.5</v>
      </c>
      <c r="CB732" s="151">
        <v>41842</v>
      </c>
      <c r="CC732" s="208">
        <v>5.9</v>
      </c>
      <c r="CD732" s="151">
        <v>41838</v>
      </c>
      <c r="CL732" s="209">
        <v>5</v>
      </c>
      <c r="CM732" s="201">
        <v>41810</v>
      </c>
    </row>
    <row r="733" spans="1:91" ht="15">
      <c r="A733" s="152" t="s">
        <v>8003</v>
      </c>
      <c r="B733" s="110" t="s">
        <v>233</v>
      </c>
      <c r="C733" s="110" t="s">
        <v>8083</v>
      </c>
      <c r="D733" s="110">
        <v>11827</v>
      </c>
      <c r="E733" s="111">
        <v>12</v>
      </c>
      <c r="F733" s="111">
        <v>765</v>
      </c>
      <c r="K733" s="191">
        <v>3</v>
      </c>
      <c r="L733" s="151">
        <v>41701</v>
      </c>
      <c r="M733" s="169">
        <v>3.95</v>
      </c>
      <c r="N733" s="151">
        <v>41838</v>
      </c>
      <c r="Q733" s="497"/>
      <c r="S733" s="134">
        <v>14.23</v>
      </c>
      <c r="T733" s="151">
        <v>41842</v>
      </c>
      <c r="U733" s="134">
        <v>13.5</v>
      </c>
      <c r="V733" s="151">
        <v>41838</v>
      </c>
      <c r="W733" s="196">
        <v>9</v>
      </c>
      <c r="X733" s="151">
        <v>41829</v>
      </c>
      <c r="Y733" s="134">
        <f t="shared" si="11"/>
        <v>3.9588199999999993</v>
      </c>
      <c r="AC733" s="134">
        <v>29.26</v>
      </c>
      <c r="AD733" s="151">
        <v>41838</v>
      </c>
      <c r="AE733" s="134">
        <v>30.22</v>
      </c>
      <c r="AF733" s="151">
        <v>41838</v>
      </c>
      <c r="AG733" s="197">
        <v>4.4000000000000004</v>
      </c>
      <c r="AH733" s="151">
        <v>41843</v>
      </c>
      <c r="AI733" s="198">
        <v>5</v>
      </c>
      <c r="AJ733" s="151">
        <v>41778</v>
      </c>
      <c r="AK733" s="199">
        <v>5</v>
      </c>
      <c r="AL733" s="151">
        <v>41709</v>
      </c>
      <c r="BE733" s="200">
        <v>5</v>
      </c>
      <c r="BF733" s="201">
        <v>41555</v>
      </c>
      <c r="BG733" s="203">
        <v>-6.8</v>
      </c>
      <c r="BH733" s="151">
        <v>41842</v>
      </c>
      <c r="BM733" s="204">
        <v>63.8</v>
      </c>
      <c r="BN733" s="151">
        <v>41842</v>
      </c>
      <c r="BQ733" s="205">
        <v>12.4</v>
      </c>
      <c r="BR733" s="151">
        <v>41842</v>
      </c>
      <c r="BS733" s="206">
        <v>47.1</v>
      </c>
      <c r="BT733" s="151">
        <v>41842</v>
      </c>
      <c r="BU733" s="207">
        <v>13.1</v>
      </c>
      <c r="BV733" s="151">
        <v>41842</v>
      </c>
      <c r="BW733" s="206">
        <v>16.3</v>
      </c>
      <c r="BX733" s="151">
        <v>41842</v>
      </c>
      <c r="BY733" s="210">
        <v>7.47</v>
      </c>
      <c r="BZ733" s="151">
        <v>41842</v>
      </c>
      <c r="CA733" s="206">
        <v>29.8</v>
      </c>
      <c r="CB733" s="151">
        <v>41842</v>
      </c>
      <c r="CC733" s="208">
        <v>6</v>
      </c>
      <c r="CD733" s="151">
        <v>41838</v>
      </c>
      <c r="CL733" s="209">
        <v>5</v>
      </c>
      <c r="CM733" s="201">
        <v>41810</v>
      </c>
    </row>
    <row r="734" spans="1:91" s="421" customFormat="1" ht="15">
      <c r="A734" s="412" t="s">
        <v>8004</v>
      </c>
      <c r="B734" s="413" t="s">
        <v>233</v>
      </c>
      <c r="C734" s="413" t="s">
        <v>381</v>
      </c>
      <c r="D734" s="413">
        <v>11035</v>
      </c>
      <c r="E734" s="414">
        <v>2</v>
      </c>
      <c r="F734" s="414">
        <v>617</v>
      </c>
      <c r="G734" s="414"/>
      <c r="H734" s="414"/>
      <c r="I734" s="413"/>
      <c r="J734" s="413"/>
      <c r="K734" s="416">
        <v>5</v>
      </c>
      <c r="L734" s="417">
        <v>41701</v>
      </c>
      <c r="M734" s="418">
        <v>0.55000000000000004</v>
      </c>
      <c r="N734" s="417">
        <v>41838</v>
      </c>
      <c r="O734" s="416"/>
      <c r="P734" s="417"/>
      <c r="Q734" s="497"/>
      <c r="R734" s="417"/>
      <c r="S734" s="416">
        <v>1.92</v>
      </c>
      <c r="T734" s="417">
        <v>41842</v>
      </c>
      <c r="U734" s="416">
        <v>13.5</v>
      </c>
      <c r="V734" s="417">
        <v>41838</v>
      </c>
      <c r="W734" s="418">
        <v>1</v>
      </c>
      <c r="X734" s="417">
        <v>41829</v>
      </c>
      <c r="Y734" s="134">
        <f t="shared" si="11"/>
        <v>0.78010999999999997</v>
      </c>
      <c r="Z734" s="417"/>
      <c r="AA734" s="416"/>
      <c r="AB734" s="417"/>
      <c r="AC734" s="416">
        <v>4.07</v>
      </c>
      <c r="AD734" s="417">
        <v>41838</v>
      </c>
      <c r="AE734" s="416">
        <v>4.3099999999999996</v>
      </c>
      <c r="AF734" s="417">
        <v>41838</v>
      </c>
      <c r="AG734" s="418">
        <v>5.2</v>
      </c>
      <c r="AH734" s="417">
        <v>41843</v>
      </c>
      <c r="AI734" s="418">
        <v>1</v>
      </c>
      <c r="AJ734" s="417">
        <v>41778</v>
      </c>
      <c r="AK734" s="418">
        <v>9</v>
      </c>
      <c r="AL734" s="417">
        <v>41709</v>
      </c>
      <c r="AM734" s="416"/>
      <c r="AN734" s="417"/>
      <c r="AO734" s="416"/>
      <c r="AP734" s="416"/>
      <c r="AQ734" s="416"/>
      <c r="AR734" s="416"/>
      <c r="AS734" s="416"/>
      <c r="AT734" s="416"/>
      <c r="AU734" s="416"/>
      <c r="AV734" s="416"/>
      <c r="AW734" s="416"/>
      <c r="AX734" s="416"/>
      <c r="AY734" s="416"/>
      <c r="AZ734" s="416"/>
      <c r="BA734" s="416"/>
      <c r="BB734" s="416"/>
      <c r="BC734" s="416"/>
      <c r="BD734" s="416"/>
      <c r="BE734" s="418">
        <v>9</v>
      </c>
      <c r="BF734" s="419">
        <v>41555</v>
      </c>
      <c r="BG734" s="420">
        <v>26.9</v>
      </c>
      <c r="BH734" s="417">
        <v>41842</v>
      </c>
      <c r="BM734" s="420">
        <v>66</v>
      </c>
      <c r="BN734" s="417">
        <v>41842</v>
      </c>
      <c r="BQ734" s="420">
        <v>8.8000000000000007</v>
      </c>
      <c r="BR734" s="417">
        <v>41842</v>
      </c>
      <c r="BS734" s="420">
        <v>44.5</v>
      </c>
      <c r="BT734" s="417">
        <v>41842</v>
      </c>
      <c r="BU734" s="420">
        <v>18.100000000000001</v>
      </c>
      <c r="BV734" s="417">
        <v>41842</v>
      </c>
      <c r="BW734" s="420">
        <v>60.6</v>
      </c>
      <c r="BX734" s="417">
        <v>41842</v>
      </c>
      <c r="BY734" s="420">
        <v>7.12</v>
      </c>
      <c r="BZ734" s="417">
        <v>41842</v>
      </c>
      <c r="CA734" s="420">
        <v>38.799999999999997</v>
      </c>
      <c r="CB734" s="417">
        <v>41842</v>
      </c>
      <c r="CC734" s="420">
        <v>3.7</v>
      </c>
      <c r="CD734" s="417">
        <v>41838</v>
      </c>
      <c r="CL734" s="420">
        <v>9</v>
      </c>
      <c r="CM734" s="419">
        <v>41810</v>
      </c>
    </row>
    <row r="735" spans="1:91" s="421" customFormat="1" ht="15">
      <c r="A735" s="412" t="s">
        <v>8004</v>
      </c>
      <c r="B735" s="413" t="s">
        <v>235</v>
      </c>
      <c r="C735" s="413" t="s">
        <v>8082</v>
      </c>
      <c r="D735" s="413">
        <v>11579</v>
      </c>
      <c r="E735" s="414">
        <v>6</v>
      </c>
      <c r="F735" s="414">
        <v>637</v>
      </c>
      <c r="G735" s="414"/>
      <c r="H735" s="414"/>
      <c r="I735" s="413"/>
      <c r="J735" s="413"/>
      <c r="K735" s="416">
        <v>5</v>
      </c>
      <c r="L735" s="417">
        <v>41701</v>
      </c>
      <c r="M735" s="418">
        <v>1.75</v>
      </c>
      <c r="N735" s="417">
        <v>41838</v>
      </c>
      <c r="O735" s="416"/>
      <c r="P735" s="417"/>
      <c r="Q735" s="497"/>
      <c r="R735" s="417"/>
      <c r="S735" s="416">
        <v>6.22</v>
      </c>
      <c r="T735" s="417">
        <v>41842</v>
      </c>
      <c r="U735" s="416">
        <v>13.5</v>
      </c>
      <c r="V735" s="417">
        <v>41838</v>
      </c>
      <c r="W735" s="418">
        <v>1</v>
      </c>
      <c r="X735" s="417">
        <v>41829</v>
      </c>
      <c r="Y735" s="134">
        <f t="shared" si="11"/>
        <v>2.2848799999999998</v>
      </c>
      <c r="Z735" s="417"/>
      <c r="AA735" s="416"/>
      <c r="AB735" s="417"/>
      <c r="AC735" s="416">
        <v>12.96</v>
      </c>
      <c r="AD735" s="417">
        <v>41838</v>
      </c>
      <c r="AE735" s="416">
        <v>13.52</v>
      </c>
      <c r="AF735" s="417">
        <v>41838</v>
      </c>
      <c r="AG735" s="418">
        <v>5.2</v>
      </c>
      <c r="AH735" s="417">
        <v>41843</v>
      </c>
      <c r="AI735" s="418">
        <v>1</v>
      </c>
      <c r="AJ735" s="417">
        <v>41778</v>
      </c>
      <c r="AK735" s="418">
        <v>9</v>
      </c>
      <c r="AL735" s="417">
        <v>41709</v>
      </c>
      <c r="AM735" s="416"/>
      <c r="AN735" s="417"/>
      <c r="AO735" s="416"/>
      <c r="AP735" s="416"/>
      <c r="AQ735" s="416"/>
      <c r="AR735" s="416"/>
      <c r="AS735" s="416"/>
      <c r="AT735" s="416"/>
      <c r="AU735" s="416"/>
      <c r="AV735" s="416"/>
      <c r="AW735" s="416"/>
      <c r="AX735" s="416"/>
      <c r="AY735" s="416"/>
      <c r="AZ735" s="416"/>
      <c r="BA735" s="416"/>
      <c r="BB735" s="416"/>
      <c r="BC735" s="416"/>
      <c r="BD735" s="416"/>
      <c r="BE735" s="418">
        <v>9</v>
      </c>
      <c r="BF735" s="419">
        <v>41555</v>
      </c>
      <c r="BG735" s="420">
        <v>37.4</v>
      </c>
      <c r="BH735" s="417">
        <v>41842</v>
      </c>
      <c r="BM735" s="420">
        <v>67.099999999999994</v>
      </c>
      <c r="BN735" s="417">
        <v>41842</v>
      </c>
      <c r="BQ735" s="420">
        <v>7.2</v>
      </c>
      <c r="BR735" s="417">
        <v>41842</v>
      </c>
      <c r="BS735" s="420">
        <v>46</v>
      </c>
      <c r="BT735" s="417">
        <v>41842</v>
      </c>
      <c r="BU735" s="420">
        <v>16.899999999999999</v>
      </c>
      <c r="BV735" s="417">
        <v>41842</v>
      </c>
      <c r="BW735" s="420">
        <v>65.900000000000006</v>
      </c>
      <c r="BX735" s="417">
        <v>41842</v>
      </c>
      <c r="BY735" s="420">
        <v>7.05</v>
      </c>
      <c r="BZ735" s="417">
        <v>41842</v>
      </c>
      <c r="CA735" s="420">
        <v>37.6</v>
      </c>
      <c r="CB735" s="417">
        <v>41842</v>
      </c>
      <c r="CC735" s="420">
        <v>5.0999999999999996</v>
      </c>
      <c r="CD735" s="417">
        <v>41838</v>
      </c>
      <c r="CL735" s="420">
        <v>9</v>
      </c>
      <c r="CM735" s="419">
        <v>41810</v>
      </c>
    </row>
    <row r="736" spans="1:91" s="421" customFormat="1" ht="15">
      <c r="A736" s="412" t="s">
        <v>8004</v>
      </c>
      <c r="B736" s="413" t="s">
        <v>233</v>
      </c>
      <c r="C736" s="413" t="s">
        <v>8083</v>
      </c>
      <c r="D736" s="413">
        <v>11664</v>
      </c>
      <c r="E736" s="414">
        <v>8</v>
      </c>
      <c r="F736" s="414">
        <v>689</v>
      </c>
      <c r="G736" s="414"/>
      <c r="H736" s="414"/>
      <c r="I736" s="413"/>
      <c r="J736" s="413"/>
      <c r="K736" s="422">
        <v>7</v>
      </c>
      <c r="L736" s="417">
        <v>41701</v>
      </c>
      <c r="M736" s="418">
        <v>0.75</v>
      </c>
      <c r="N736" s="417">
        <v>41838</v>
      </c>
      <c r="O736" s="416"/>
      <c r="P736" s="417"/>
      <c r="Q736" s="497"/>
      <c r="R736" s="417"/>
      <c r="S736" s="416">
        <v>2.79</v>
      </c>
      <c r="T736" s="417">
        <v>41842</v>
      </c>
      <c r="U736" s="416">
        <v>13.5</v>
      </c>
      <c r="V736" s="417">
        <v>41838</v>
      </c>
      <c r="W736" s="418">
        <v>1</v>
      </c>
      <c r="X736" s="417">
        <v>41829</v>
      </c>
      <c r="Y736" s="134">
        <f t="shared" si="11"/>
        <v>0.89964</v>
      </c>
      <c r="Z736" s="417"/>
      <c r="AA736" s="416"/>
      <c r="AB736" s="417"/>
      <c r="AC736" s="416">
        <v>5.56</v>
      </c>
      <c r="AD736" s="417">
        <v>41838</v>
      </c>
      <c r="AE736" s="416">
        <v>5.88</v>
      </c>
      <c r="AF736" s="417">
        <v>41838</v>
      </c>
      <c r="AG736" s="418">
        <v>4.9000000000000004</v>
      </c>
      <c r="AH736" s="417">
        <v>41843</v>
      </c>
      <c r="AI736" s="418">
        <v>5</v>
      </c>
      <c r="AJ736" s="417">
        <v>41778</v>
      </c>
      <c r="AK736" s="418">
        <v>9</v>
      </c>
      <c r="AL736" s="417">
        <v>41709</v>
      </c>
      <c r="AM736" s="416"/>
      <c r="AN736" s="417"/>
      <c r="AO736" s="416"/>
      <c r="AP736" s="416"/>
      <c r="AQ736" s="416"/>
      <c r="AR736" s="416"/>
      <c r="AS736" s="416"/>
      <c r="AT736" s="416"/>
      <c r="AU736" s="416"/>
      <c r="AV736" s="416"/>
      <c r="AW736" s="416"/>
      <c r="AX736" s="416"/>
      <c r="AY736" s="416"/>
      <c r="AZ736" s="416"/>
      <c r="BA736" s="416"/>
      <c r="BB736" s="416"/>
      <c r="BC736" s="416"/>
      <c r="BD736" s="416"/>
      <c r="BE736" s="418">
        <v>9</v>
      </c>
      <c r="BF736" s="419">
        <v>41555</v>
      </c>
      <c r="BG736" s="420">
        <v>25.1</v>
      </c>
      <c r="BH736" s="417">
        <v>41842</v>
      </c>
      <c r="BM736" s="420">
        <v>68.2</v>
      </c>
      <c r="BN736" s="417">
        <v>41842</v>
      </c>
      <c r="BQ736" s="420">
        <v>8.5</v>
      </c>
      <c r="BR736" s="417">
        <v>41842</v>
      </c>
      <c r="BS736" s="420">
        <v>47.5</v>
      </c>
      <c r="BT736" s="417">
        <v>41842</v>
      </c>
      <c r="BU736" s="420">
        <v>15.3</v>
      </c>
      <c r="BV736" s="417">
        <v>41842</v>
      </c>
      <c r="BW736" s="420">
        <v>56.2</v>
      </c>
      <c r="BX736" s="417">
        <v>41842</v>
      </c>
      <c r="BY736" s="420">
        <v>6.58</v>
      </c>
      <c r="BZ736" s="417">
        <v>41842</v>
      </c>
      <c r="CA736" s="420">
        <v>35.1</v>
      </c>
      <c r="CB736" s="417">
        <v>41842</v>
      </c>
      <c r="CC736" s="420">
        <v>3.7</v>
      </c>
      <c r="CD736" s="417">
        <v>41838</v>
      </c>
      <c r="CL736" s="420">
        <v>9</v>
      </c>
      <c r="CM736" s="419">
        <v>41810</v>
      </c>
    </row>
    <row r="737" spans="1:91" s="421" customFormat="1" ht="15">
      <c r="A737" s="412" t="s">
        <v>8004</v>
      </c>
      <c r="B737" s="413" t="s">
        <v>235</v>
      </c>
      <c r="C737" s="413" t="s">
        <v>8081</v>
      </c>
      <c r="D737" s="413">
        <v>11275</v>
      </c>
      <c r="E737" s="414">
        <v>9</v>
      </c>
      <c r="F737" s="414">
        <v>569</v>
      </c>
      <c r="G737" s="414"/>
      <c r="H737" s="414"/>
      <c r="I737" s="413"/>
      <c r="J737" s="413"/>
      <c r="K737" s="416">
        <v>5</v>
      </c>
      <c r="L737" s="417">
        <v>41701</v>
      </c>
      <c r="M737" s="418">
        <v>1.4</v>
      </c>
      <c r="N737" s="417">
        <v>41838</v>
      </c>
      <c r="O737" s="416"/>
      <c r="P737" s="417"/>
      <c r="Q737" s="497"/>
      <c r="R737" s="417"/>
      <c r="S737" s="416">
        <v>5.0599999999999996</v>
      </c>
      <c r="T737" s="417">
        <v>41842</v>
      </c>
      <c r="U737" s="416">
        <v>13.5</v>
      </c>
      <c r="V737" s="417">
        <v>41838</v>
      </c>
      <c r="W737" s="418">
        <v>1</v>
      </c>
      <c r="X737" s="417">
        <v>41829</v>
      </c>
      <c r="Y737" s="134">
        <f t="shared" si="11"/>
        <v>1.8679199999999998</v>
      </c>
      <c r="Z737" s="417"/>
      <c r="AA737" s="416"/>
      <c r="AB737" s="417"/>
      <c r="AC737" s="416">
        <v>10.37</v>
      </c>
      <c r="AD737" s="417">
        <v>41838</v>
      </c>
      <c r="AE737" s="416">
        <v>10.86</v>
      </c>
      <c r="AF737" s="417">
        <v>41838</v>
      </c>
      <c r="AG737" s="418">
        <v>5.2</v>
      </c>
      <c r="AH737" s="417">
        <v>41843</v>
      </c>
      <c r="AI737" s="418">
        <v>5</v>
      </c>
      <c r="AJ737" s="417">
        <v>41778</v>
      </c>
      <c r="AK737" s="418">
        <v>9</v>
      </c>
      <c r="AL737" s="417">
        <v>41709</v>
      </c>
      <c r="AM737" s="416"/>
      <c r="AN737" s="417"/>
      <c r="AO737" s="416"/>
      <c r="AP737" s="416"/>
      <c r="AQ737" s="416"/>
      <c r="AR737" s="416"/>
      <c r="AS737" s="416"/>
      <c r="AT737" s="416"/>
      <c r="AU737" s="416"/>
      <c r="AV737" s="416"/>
      <c r="AW737" s="416"/>
      <c r="AX737" s="416"/>
      <c r="AY737" s="416"/>
      <c r="AZ737" s="416"/>
      <c r="BA737" s="416"/>
      <c r="BB737" s="416"/>
      <c r="BC737" s="416"/>
      <c r="BD737" s="416"/>
      <c r="BE737" s="418">
        <v>9</v>
      </c>
      <c r="BF737" s="419">
        <v>41555</v>
      </c>
      <c r="BG737" s="420">
        <v>43.6</v>
      </c>
      <c r="BH737" s="417">
        <v>41842</v>
      </c>
      <c r="BM737" s="420">
        <v>68.599999999999994</v>
      </c>
      <c r="BN737" s="417">
        <v>41842</v>
      </c>
      <c r="BQ737" s="420">
        <v>6.4</v>
      </c>
      <c r="BR737" s="417">
        <v>41842</v>
      </c>
      <c r="BS737" s="420">
        <v>46.6</v>
      </c>
      <c r="BT737" s="417">
        <v>41842</v>
      </c>
      <c r="BU737" s="420">
        <v>17.2</v>
      </c>
      <c r="BV737" s="417">
        <v>41842</v>
      </c>
      <c r="BW737" s="420">
        <v>73.099999999999994</v>
      </c>
      <c r="BX737" s="417">
        <v>41842</v>
      </c>
      <c r="BY737" s="420">
        <v>6.87</v>
      </c>
      <c r="BZ737" s="417">
        <v>41842</v>
      </c>
      <c r="CA737" s="420">
        <v>38.700000000000003</v>
      </c>
      <c r="CB737" s="417">
        <v>41842</v>
      </c>
      <c r="CC737" s="420">
        <v>4.7</v>
      </c>
      <c r="CD737" s="417">
        <v>41838</v>
      </c>
      <c r="CL737" s="420">
        <v>9</v>
      </c>
      <c r="CM737" s="419">
        <v>41810</v>
      </c>
    </row>
    <row r="738" spans="1:91" ht="15">
      <c r="A738" s="152" t="s">
        <v>8005</v>
      </c>
      <c r="B738" s="110" t="s">
        <v>233</v>
      </c>
      <c r="C738" s="110" t="s">
        <v>381</v>
      </c>
      <c r="D738" s="110">
        <v>11097</v>
      </c>
      <c r="E738" s="111">
        <v>4</v>
      </c>
      <c r="F738" s="111">
        <v>577</v>
      </c>
      <c r="K738" s="134">
        <v>5</v>
      </c>
      <c r="L738" s="151">
        <v>41701</v>
      </c>
      <c r="M738" s="169">
        <v>3.65</v>
      </c>
      <c r="N738" s="151">
        <v>41838</v>
      </c>
      <c r="Q738" s="497"/>
      <c r="S738" s="134">
        <v>14.01</v>
      </c>
      <c r="T738" s="151">
        <v>41842</v>
      </c>
      <c r="U738" s="134">
        <v>13.5</v>
      </c>
      <c r="V738" s="151">
        <v>41838</v>
      </c>
      <c r="W738" s="196">
        <v>1</v>
      </c>
      <c r="X738" s="151">
        <v>41829</v>
      </c>
      <c r="Y738" s="134">
        <f t="shared" si="11"/>
        <v>4.1189399999999994</v>
      </c>
      <c r="AC738" s="134">
        <v>27.04</v>
      </c>
      <c r="AD738" s="151">
        <v>41838</v>
      </c>
      <c r="AE738" s="134">
        <v>28.02</v>
      </c>
      <c r="AF738" s="151">
        <v>41838</v>
      </c>
      <c r="AG738" s="197">
        <v>4.7</v>
      </c>
      <c r="AH738" s="151">
        <v>41843</v>
      </c>
      <c r="AI738" s="198">
        <v>5</v>
      </c>
      <c r="AJ738" s="151">
        <v>41778</v>
      </c>
      <c r="AK738" s="199">
        <v>5</v>
      </c>
      <c r="AL738" s="151">
        <v>41709</v>
      </c>
      <c r="BE738" s="200">
        <v>5</v>
      </c>
      <c r="BF738" s="201">
        <v>41555</v>
      </c>
      <c r="BG738" s="203">
        <v>45.5</v>
      </c>
      <c r="BH738" s="151">
        <v>41842</v>
      </c>
      <c r="BM738" s="204">
        <v>72.099999999999994</v>
      </c>
      <c r="BN738" s="151">
        <v>41842</v>
      </c>
      <c r="BQ738" s="205">
        <v>3.5</v>
      </c>
      <c r="BR738" s="151">
        <v>41842</v>
      </c>
      <c r="BS738" s="206">
        <v>50</v>
      </c>
      <c r="BT738" s="151">
        <v>41842</v>
      </c>
      <c r="BU738" s="207">
        <v>14.7</v>
      </c>
      <c r="BV738" s="151">
        <v>41842</v>
      </c>
      <c r="BW738" s="206">
        <v>61.3</v>
      </c>
      <c r="BX738" s="151">
        <v>41842</v>
      </c>
      <c r="BY738" s="210">
        <v>7</v>
      </c>
      <c r="BZ738" s="151">
        <v>41842</v>
      </c>
      <c r="CA738" s="206">
        <v>35.9</v>
      </c>
      <c r="CB738" s="151">
        <v>41842</v>
      </c>
      <c r="CC738" s="208">
        <v>5.7</v>
      </c>
      <c r="CD738" s="151">
        <v>41838</v>
      </c>
      <c r="CL738" s="209">
        <v>5</v>
      </c>
      <c r="CM738" s="201">
        <v>41810</v>
      </c>
    </row>
    <row r="739" spans="1:91" ht="15">
      <c r="A739" s="152" t="s">
        <v>8005</v>
      </c>
      <c r="B739" s="110" t="s">
        <v>235</v>
      </c>
      <c r="C739" s="110" t="s">
        <v>8082</v>
      </c>
      <c r="D739" s="110">
        <v>11563</v>
      </c>
      <c r="E739" s="111">
        <v>5</v>
      </c>
      <c r="F739" s="111">
        <v>717</v>
      </c>
      <c r="K739" s="134">
        <v>5</v>
      </c>
      <c r="L739" s="151">
        <v>41701</v>
      </c>
      <c r="M739" s="169">
        <v>4.4000000000000004</v>
      </c>
      <c r="N739" s="151">
        <v>41838</v>
      </c>
      <c r="Q739" s="497"/>
      <c r="S739" s="134">
        <v>16.489999999999998</v>
      </c>
      <c r="T739" s="151">
        <v>41842</v>
      </c>
      <c r="U739" s="134">
        <v>13.5</v>
      </c>
      <c r="V739" s="151">
        <v>41838</v>
      </c>
      <c r="W739" s="196">
        <v>1</v>
      </c>
      <c r="X739" s="151">
        <v>41829</v>
      </c>
      <c r="Y739" s="134">
        <f t="shared" si="11"/>
        <v>5.1790200000000004</v>
      </c>
      <c r="AC739" s="134">
        <v>32.590000000000003</v>
      </c>
      <c r="AD739" s="151">
        <v>41838</v>
      </c>
      <c r="AE739" s="134">
        <v>33.630000000000003</v>
      </c>
      <c r="AF739" s="151">
        <v>41838</v>
      </c>
      <c r="AG739" s="197">
        <v>4.7</v>
      </c>
      <c r="AH739" s="151">
        <v>41843</v>
      </c>
      <c r="AI739" s="198">
        <v>7</v>
      </c>
      <c r="AJ739" s="151">
        <v>41778</v>
      </c>
      <c r="AK739" s="199">
        <v>4</v>
      </c>
      <c r="AL739" s="151">
        <v>41709</v>
      </c>
      <c r="BE739" s="200">
        <v>4</v>
      </c>
      <c r="BF739" s="201">
        <v>41555</v>
      </c>
      <c r="BG739" s="203">
        <v>42.3</v>
      </c>
      <c r="BH739" s="151">
        <v>41842</v>
      </c>
      <c r="BM739" s="204">
        <v>71.599999999999994</v>
      </c>
      <c r="BN739" s="151">
        <v>41842</v>
      </c>
      <c r="BQ739" s="205">
        <v>4.0999999999999996</v>
      </c>
      <c r="BR739" s="151">
        <v>41842</v>
      </c>
      <c r="BS739" s="206">
        <v>49</v>
      </c>
      <c r="BT739" s="151">
        <v>41842</v>
      </c>
      <c r="BU739" s="207">
        <v>15.4</v>
      </c>
      <c r="BV739" s="151">
        <v>41842</v>
      </c>
      <c r="BW739" s="206">
        <v>63.8</v>
      </c>
      <c r="BX739" s="151">
        <v>41842</v>
      </c>
      <c r="BY739" s="210">
        <v>7.11</v>
      </c>
      <c r="BZ739" s="151">
        <v>41842</v>
      </c>
      <c r="CA739" s="206">
        <v>36.6</v>
      </c>
      <c r="CB739" s="151">
        <v>41842</v>
      </c>
      <c r="CC739" s="208">
        <v>6.1</v>
      </c>
      <c r="CD739" s="151">
        <v>41838</v>
      </c>
      <c r="CL739" s="209">
        <v>5</v>
      </c>
      <c r="CM739" s="201">
        <v>41810</v>
      </c>
    </row>
    <row r="740" spans="1:91" ht="15">
      <c r="A740" s="152" t="s">
        <v>8005</v>
      </c>
      <c r="B740" s="110" t="s">
        <v>233</v>
      </c>
      <c r="C740" s="110" t="s">
        <v>8083</v>
      </c>
      <c r="D740" s="110">
        <v>11765</v>
      </c>
      <c r="E740" s="111">
        <v>11</v>
      </c>
      <c r="F740" s="111">
        <v>661</v>
      </c>
      <c r="K740" s="134">
        <v>5</v>
      </c>
      <c r="L740" s="151">
        <v>41701</v>
      </c>
      <c r="M740" s="169">
        <v>3.9</v>
      </c>
      <c r="N740" s="151">
        <v>41838</v>
      </c>
      <c r="Q740" s="497"/>
      <c r="S740" s="134">
        <v>15.13</v>
      </c>
      <c r="T740" s="151">
        <v>41842</v>
      </c>
      <c r="U740" s="134">
        <v>13.5</v>
      </c>
      <c r="V740" s="151">
        <v>41838</v>
      </c>
      <c r="W740" s="196">
        <v>1</v>
      </c>
      <c r="X740" s="151">
        <v>41829</v>
      </c>
      <c r="Y740" s="134">
        <f t="shared" si="11"/>
        <v>4.1734</v>
      </c>
      <c r="AC740" s="134">
        <v>28.89</v>
      </c>
      <c r="AD740" s="151">
        <v>41838</v>
      </c>
      <c r="AE740" s="134">
        <v>29.81</v>
      </c>
      <c r="AF740" s="151">
        <v>41838</v>
      </c>
      <c r="AG740" s="197">
        <v>4.4000000000000004</v>
      </c>
      <c r="AH740" s="151">
        <v>41843</v>
      </c>
      <c r="AI740" s="198">
        <v>7</v>
      </c>
      <c r="AJ740" s="151">
        <v>41778</v>
      </c>
      <c r="AK740" s="199">
        <v>5</v>
      </c>
      <c r="AL740" s="151">
        <v>41709</v>
      </c>
      <c r="BE740" s="200">
        <v>5</v>
      </c>
      <c r="BF740" s="201">
        <v>41555</v>
      </c>
      <c r="BG740" s="203">
        <v>47.1</v>
      </c>
      <c r="BH740" s="151">
        <v>41842</v>
      </c>
      <c r="BM740" s="204">
        <v>73.3</v>
      </c>
      <c r="BN740" s="151">
        <v>41842</v>
      </c>
      <c r="BQ740" s="205">
        <v>2.8</v>
      </c>
      <c r="BR740" s="151">
        <v>41842</v>
      </c>
      <c r="BS740" s="206">
        <v>50.7</v>
      </c>
      <c r="BT740" s="151">
        <v>41842</v>
      </c>
      <c r="BU740" s="207">
        <v>14</v>
      </c>
      <c r="BV740" s="151">
        <v>41842</v>
      </c>
      <c r="BW740" s="206">
        <v>60.6</v>
      </c>
      <c r="BX740" s="151">
        <v>41842</v>
      </c>
      <c r="BY740" s="210">
        <v>6.52</v>
      </c>
      <c r="BZ740" s="151">
        <v>41842</v>
      </c>
      <c r="CA740" s="206">
        <v>34.799999999999997</v>
      </c>
      <c r="CB740" s="151">
        <v>41842</v>
      </c>
      <c r="CC740" s="208">
        <v>6.1</v>
      </c>
      <c r="CD740" s="151">
        <v>41838</v>
      </c>
      <c r="CL740" s="209">
        <v>3</v>
      </c>
      <c r="CM740" s="201">
        <v>41810</v>
      </c>
    </row>
    <row r="741" spans="1:91" ht="15">
      <c r="A741" s="152" t="s">
        <v>8005</v>
      </c>
      <c r="B741" s="110" t="s">
        <v>235</v>
      </c>
      <c r="C741" s="110" t="s">
        <v>8081</v>
      </c>
      <c r="D741" s="110">
        <v>11377</v>
      </c>
      <c r="E741" s="111">
        <v>12</v>
      </c>
      <c r="F741" s="111">
        <v>545</v>
      </c>
      <c r="K741" s="134">
        <v>5</v>
      </c>
      <c r="L741" s="151">
        <v>41701</v>
      </c>
      <c r="M741" s="169">
        <v>4</v>
      </c>
      <c r="N741" s="151">
        <v>41838</v>
      </c>
      <c r="Q741" s="497"/>
      <c r="S741" s="134">
        <v>15.18</v>
      </c>
      <c r="T741" s="151">
        <v>41842</v>
      </c>
      <c r="U741" s="134">
        <v>13.5</v>
      </c>
      <c r="V741" s="151">
        <v>41838</v>
      </c>
      <c r="W741" s="196">
        <v>9</v>
      </c>
      <c r="X741" s="151">
        <v>41829</v>
      </c>
      <c r="Y741" s="134">
        <f t="shared" si="11"/>
        <v>4.5495200000000002</v>
      </c>
      <c r="AC741" s="134">
        <v>29.63</v>
      </c>
      <c r="AD741" s="151">
        <v>41838</v>
      </c>
      <c r="AE741" s="134">
        <v>30.74</v>
      </c>
      <c r="AF741" s="151">
        <v>41838</v>
      </c>
      <c r="AG741" s="197">
        <v>4.3</v>
      </c>
      <c r="AH741" s="151">
        <v>41843</v>
      </c>
      <c r="AI741" s="198">
        <v>5</v>
      </c>
      <c r="AJ741" s="151">
        <v>41778</v>
      </c>
      <c r="AK741" s="199">
        <v>5</v>
      </c>
      <c r="AL741" s="151">
        <v>41709</v>
      </c>
      <c r="BE741" s="200">
        <v>5</v>
      </c>
      <c r="BF741" s="201">
        <v>41555</v>
      </c>
      <c r="BG741" s="203">
        <v>45</v>
      </c>
      <c r="BH741" s="151">
        <v>41842</v>
      </c>
      <c r="BM741" s="204">
        <v>71.7</v>
      </c>
      <c r="BN741" s="151">
        <v>41842</v>
      </c>
      <c r="BQ741" s="205">
        <v>3.3</v>
      </c>
      <c r="BR741" s="151">
        <v>41842</v>
      </c>
      <c r="BS741" s="206">
        <v>49.4</v>
      </c>
      <c r="BT741" s="151">
        <v>41842</v>
      </c>
      <c r="BU741" s="207">
        <v>14.8</v>
      </c>
      <c r="BV741" s="151">
        <v>41842</v>
      </c>
      <c r="BW741" s="206">
        <v>64.5</v>
      </c>
      <c r="BX741" s="151">
        <v>41842</v>
      </c>
      <c r="BY741" s="210">
        <v>6.82</v>
      </c>
      <c r="BZ741" s="151">
        <v>41842</v>
      </c>
      <c r="CA741" s="206">
        <v>35.6</v>
      </c>
      <c r="CB741" s="151">
        <v>41842</v>
      </c>
      <c r="CC741" s="208">
        <v>5.6</v>
      </c>
      <c r="CD741" s="151">
        <v>41838</v>
      </c>
      <c r="CL741" s="209">
        <v>5</v>
      </c>
      <c r="CM741" s="201">
        <v>41810</v>
      </c>
    </row>
    <row r="742" spans="1:91" ht="15">
      <c r="A742" s="152" t="s">
        <v>8006</v>
      </c>
      <c r="B742" s="110" t="s">
        <v>233</v>
      </c>
      <c r="C742" s="110" t="s">
        <v>381</v>
      </c>
      <c r="D742" s="110">
        <v>11152</v>
      </c>
      <c r="E742" s="111">
        <v>6</v>
      </c>
      <c r="F742" s="111">
        <v>509</v>
      </c>
      <c r="K742" s="134">
        <v>5</v>
      </c>
      <c r="L742" s="151">
        <v>41701</v>
      </c>
      <c r="M742" s="169">
        <v>3.35</v>
      </c>
      <c r="N742" s="151">
        <v>41838</v>
      </c>
      <c r="Q742" s="497"/>
      <c r="S742" s="134">
        <v>12.19</v>
      </c>
      <c r="T742" s="151">
        <v>41842</v>
      </c>
      <c r="U742" s="134">
        <v>13.5</v>
      </c>
      <c r="V742" s="151">
        <v>41838</v>
      </c>
      <c r="W742" s="196">
        <v>9</v>
      </c>
      <c r="X742" s="151">
        <v>41829</v>
      </c>
      <c r="Y742" s="134">
        <f t="shared" si="11"/>
        <v>3.7163499999999998</v>
      </c>
      <c r="AC742" s="134">
        <v>24.81</v>
      </c>
      <c r="AD742" s="151">
        <v>41838</v>
      </c>
      <c r="AE742" s="134">
        <v>25.63</v>
      </c>
      <c r="AF742" s="151">
        <v>41838</v>
      </c>
      <c r="AG742" s="197">
        <v>4.8</v>
      </c>
      <c r="AH742" s="151">
        <v>41843</v>
      </c>
      <c r="AI742" s="198">
        <v>5</v>
      </c>
      <c r="AJ742" s="151">
        <v>41778</v>
      </c>
      <c r="AK742" s="199">
        <v>4</v>
      </c>
      <c r="AL742" s="151">
        <v>41709</v>
      </c>
      <c r="BE742" s="200">
        <v>4</v>
      </c>
      <c r="BF742" s="201">
        <v>41555</v>
      </c>
      <c r="BG742" s="203">
        <v>36.1</v>
      </c>
      <c r="BH742" s="151">
        <v>41842</v>
      </c>
      <c r="BM742" s="204">
        <v>72.2</v>
      </c>
      <c r="BN742" s="151">
        <v>41842</v>
      </c>
      <c r="BQ742" s="205">
        <v>4.5</v>
      </c>
      <c r="BR742" s="151">
        <v>41842</v>
      </c>
      <c r="BS742" s="206">
        <v>47.6</v>
      </c>
      <c r="BT742" s="151">
        <v>41842</v>
      </c>
      <c r="BU742" s="207">
        <v>14.5</v>
      </c>
      <c r="BV742" s="151">
        <v>41842</v>
      </c>
      <c r="BW742" s="206">
        <v>65.5</v>
      </c>
      <c r="BX742" s="151">
        <v>41842</v>
      </c>
      <c r="BY742" s="210">
        <v>7.74</v>
      </c>
      <c r="BZ742" s="151">
        <v>41842</v>
      </c>
      <c r="CA742" s="206">
        <v>33.299999999999997</v>
      </c>
      <c r="CB742" s="151">
        <v>41842</v>
      </c>
      <c r="CC742" s="208">
        <v>6</v>
      </c>
      <c r="CD742" s="151">
        <v>41838</v>
      </c>
      <c r="CL742" s="209">
        <v>5</v>
      </c>
      <c r="CM742" s="201">
        <v>41810</v>
      </c>
    </row>
    <row r="743" spans="1:91" ht="15">
      <c r="A743" s="152" t="s">
        <v>8006</v>
      </c>
      <c r="B743" s="110" t="s">
        <v>235</v>
      </c>
      <c r="C743" s="110" t="s">
        <v>8082</v>
      </c>
      <c r="D743" s="110">
        <v>11576</v>
      </c>
      <c r="E743" s="111">
        <v>6</v>
      </c>
      <c r="F743" s="111">
        <v>625</v>
      </c>
      <c r="K743" s="134">
        <v>5</v>
      </c>
      <c r="L743" s="151">
        <v>41701</v>
      </c>
      <c r="M743" s="169">
        <v>4.05</v>
      </c>
      <c r="N743" s="151">
        <v>41838</v>
      </c>
      <c r="Q743" s="497"/>
      <c r="S743" s="134">
        <v>14.35</v>
      </c>
      <c r="T743" s="151">
        <v>41842</v>
      </c>
      <c r="U743" s="134">
        <v>13.5</v>
      </c>
      <c r="V743" s="151">
        <v>41838</v>
      </c>
      <c r="W743" s="196">
        <v>9</v>
      </c>
      <c r="X743" s="151">
        <v>41829</v>
      </c>
      <c r="Y743" s="134">
        <f t="shared" si="11"/>
        <v>4.8703199999999995</v>
      </c>
      <c r="AC743" s="134">
        <v>30</v>
      </c>
      <c r="AD743" s="151">
        <v>41838</v>
      </c>
      <c r="AE743" s="134">
        <v>31.22</v>
      </c>
      <c r="AF743" s="151">
        <v>41838</v>
      </c>
      <c r="AG743" s="197">
        <v>4.7</v>
      </c>
      <c r="AH743" s="151">
        <v>41843</v>
      </c>
      <c r="AI743" s="198">
        <v>7</v>
      </c>
      <c r="AJ743" s="151">
        <v>41778</v>
      </c>
      <c r="AK743" s="199">
        <v>4</v>
      </c>
      <c r="AL743" s="151">
        <v>41709</v>
      </c>
      <c r="BE743" s="200">
        <v>4</v>
      </c>
      <c r="BF743" s="201">
        <v>41555</v>
      </c>
      <c r="BG743" s="203">
        <v>29.4</v>
      </c>
      <c r="BH743" s="151">
        <v>41842</v>
      </c>
      <c r="BM743" s="204">
        <v>69.2</v>
      </c>
      <c r="BN743" s="151">
        <v>41842</v>
      </c>
      <c r="BQ743" s="205">
        <v>6.1</v>
      </c>
      <c r="BR743" s="151">
        <v>41842</v>
      </c>
      <c r="BS743" s="206">
        <v>46</v>
      </c>
      <c r="BT743" s="151">
        <v>41842</v>
      </c>
      <c r="BU743" s="207">
        <v>15.6</v>
      </c>
      <c r="BV743" s="151">
        <v>41842</v>
      </c>
      <c r="BW743" s="206">
        <v>59.2</v>
      </c>
      <c r="BX743" s="151">
        <v>41842</v>
      </c>
      <c r="BY743" s="210">
        <v>7.97</v>
      </c>
      <c r="BZ743" s="151">
        <v>41842</v>
      </c>
      <c r="CA743" s="206">
        <v>34.6</v>
      </c>
      <c r="CB743" s="151">
        <v>41842</v>
      </c>
      <c r="CC743" s="208">
        <v>5.3</v>
      </c>
      <c r="CD743" s="151">
        <v>41838</v>
      </c>
      <c r="CL743" s="209">
        <v>7</v>
      </c>
      <c r="CM743" s="201">
        <v>41810</v>
      </c>
    </row>
    <row r="744" spans="1:91" ht="15">
      <c r="A744" s="152" t="s">
        <v>8006</v>
      </c>
      <c r="B744" s="110" t="s">
        <v>233</v>
      </c>
      <c r="C744" s="110" t="s">
        <v>8083</v>
      </c>
      <c r="D744" s="110">
        <v>11782</v>
      </c>
      <c r="E744" s="111">
        <v>11</v>
      </c>
      <c r="F744" s="111">
        <v>729</v>
      </c>
      <c r="K744" s="134">
        <v>5</v>
      </c>
      <c r="L744" s="151">
        <v>41701</v>
      </c>
      <c r="M744" s="169">
        <v>3.35</v>
      </c>
      <c r="N744" s="151">
        <v>41838</v>
      </c>
      <c r="Q744" s="497"/>
      <c r="S744" s="134">
        <v>11.92</v>
      </c>
      <c r="T744" s="151">
        <v>41842</v>
      </c>
      <c r="U744" s="134">
        <v>13.5</v>
      </c>
      <c r="V744" s="151">
        <v>41838</v>
      </c>
      <c r="W744" s="196">
        <v>1</v>
      </c>
      <c r="X744" s="151">
        <v>41829</v>
      </c>
      <c r="Y744" s="134">
        <f t="shared" si="11"/>
        <v>3.7814000000000005</v>
      </c>
      <c r="AC744" s="134">
        <v>24.81</v>
      </c>
      <c r="AD744" s="151">
        <v>41838</v>
      </c>
      <c r="AE744" s="134">
        <v>25.55</v>
      </c>
      <c r="AF744" s="151">
        <v>41838</v>
      </c>
      <c r="AG744" s="197">
        <v>4.4000000000000004</v>
      </c>
      <c r="AH744" s="151">
        <v>41843</v>
      </c>
      <c r="AI744" s="198">
        <v>5</v>
      </c>
      <c r="AJ744" s="151">
        <v>41778</v>
      </c>
      <c r="AK744" s="199">
        <v>4</v>
      </c>
      <c r="AL744" s="151">
        <v>41709</v>
      </c>
      <c r="BE744" s="200">
        <v>4</v>
      </c>
      <c r="BF744" s="201">
        <v>41555</v>
      </c>
      <c r="BG744" s="203">
        <v>37.299999999999997</v>
      </c>
      <c r="BH744" s="151">
        <v>41842</v>
      </c>
      <c r="BM744" s="204">
        <v>70.099999999999994</v>
      </c>
      <c r="BN744" s="151">
        <v>41842</v>
      </c>
      <c r="BQ744" s="205">
        <v>4.2</v>
      </c>
      <c r="BR744" s="151">
        <v>41842</v>
      </c>
      <c r="BS744" s="206">
        <v>46.7</v>
      </c>
      <c r="BT744" s="151">
        <v>41842</v>
      </c>
      <c r="BU744" s="207">
        <v>14.8</v>
      </c>
      <c r="BV744" s="151">
        <v>41842</v>
      </c>
      <c r="BW744" s="206">
        <v>68.900000000000006</v>
      </c>
      <c r="BX744" s="151">
        <v>41842</v>
      </c>
      <c r="BY744" s="210">
        <v>7.71</v>
      </c>
      <c r="BZ744" s="151">
        <v>41842</v>
      </c>
      <c r="CA744" s="206">
        <v>33.5</v>
      </c>
      <c r="CB744" s="151">
        <v>41842</v>
      </c>
      <c r="CC744" s="208">
        <v>6.3</v>
      </c>
      <c r="CD744" s="151">
        <v>41838</v>
      </c>
      <c r="CL744" s="209">
        <v>5</v>
      </c>
      <c r="CM744" s="201">
        <v>41810</v>
      </c>
    </row>
    <row r="745" spans="1:91" ht="15">
      <c r="A745" s="152" t="s">
        <v>8006</v>
      </c>
      <c r="B745" s="110" t="s">
        <v>235</v>
      </c>
      <c r="C745" s="110" t="s">
        <v>8081</v>
      </c>
      <c r="D745" s="110">
        <v>11385</v>
      </c>
      <c r="E745" s="111">
        <v>12</v>
      </c>
      <c r="F745" s="111">
        <v>577</v>
      </c>
      <c r="K745" s="134">
        <v>5</v>
      </c>
      <c r="L745" s="151">
        <v>41701</v>
      </c>
      <c r="M745" s="169">
        <v>3.3</v>
      </c>
      <c r="N745" s="151">
        <v>41838</v>
      </c>
      <c r="Q745" s="497"/>
      <c r="S745" s="134">
        <v>11.77</v>
      </c>
      <c r="T745" s="151">
        <v>41842</v>
      </c>
      <c r="U745" s="134">
        <v>13.5</v>
      </c>
      <c r="V745" s="151">
        <v>41838</v>
      </c>
      <c r="W745" s="196">
        <v>1</v>
      </c>
      <c r="X745" s="151">
        <v>41829</v>
      </c>
      <c r="Y745" s="134">
        <f t="shared" si="11"/>
        <v>3.7667200000000003</v>
      </c>
      <c r="AC745" s="134">
        <v>24.44</v>
      </c>
      <c r="AD745" s="151">
        <v>41838</v>
      </c>
      <c r="AE745" s="134">
        <v>25.28</v>
      </c>
      <c r="AF745" s="151">
        <v>41838</v>
      </c>
      <c r="AG745" s="197">
        <v>4.7</v>
      </c>
      <c r="AH745" s="151">
        <v>41843</v>
      </c>
      <c r="AI745" s="198">
        <v>5</v>
      </c>
      <c r="AJ745" s="151">
        <v>41778</v>
      </c>
      <c r="AK745" s="199">
        <v>4</v>
      </c>
      <c r="AL745" s="151">
        <v>41709</v>
      </c>
      <c r="BE745" s="200">
        <v>4</v>
      </c>
      <c r="BF745" s="201">
        <v>41555</v>
      </c>
      <c r="BG745" s="203">
        <v>34.6</v>
      </c>
      <c r="BH745" s="151">
        <v>41842</v>
      </c>
      <c r="BM745" s="204">
        <v>70.2</v>
      </c>
      <c r="BN745" s="151">
        <v>41842</v>
      </c>
      <c r="BQ745" s="205">
        <v>4.8</v>
      </c>
      <c r="BR745" s="151">
        <v>41842</v>
      </c>
      <c r="BS745" s="206">
        <v>46.6</v>
      </c>
      <c r="BT745" s="151">
        <v>41842</v>
      </c>
      <c r="BU745" s="207">
        <v>14.9</v>
      </c>
      <c r="BV745" s="151">
        <v>41842</v>
      </c>
      <c r="BW745" s="206">
        <v>57.3</v>
      </c>
      <c r="BX745" s="151">
        <v>41842</v>
      </c>
      <c r="BY745" s="210">
        <v>7.88</v>
      </c>
      <c r="BZ745" s="151">
        <v>41842</v>
      </c>
      <c r="CA745" s="206">
        <v>33.6</v>
      </c>
      <c r="CB745" s="151">
        <v>41842</v>
      </c>
      <c r="CC745" s="208">
        <v>5.9</v>
      </c>
      <c r="CD745" s="151">
        <v>41838</v>
      </c>
      <c r="CL745" s="209">
        <v>7</v>
      </c>
      <c r="CM745" s="201">
        <v>41810</v>
      </c>
    </row>
    <row r="746" spans="1:91" ht="15">
      <c r="A746" s="152" t="s">
        <v>8007</v>
      </c>
      <c r="B746" s="110" t="s">
        <v>233</v>
      </c>
      <c r="C746" s="110" t="s">
        <v>381</v>
      </c>
      <c r="D746" s="110">
        <v>11087</v>
      </c>
      <c r="E746" s="111">
        <v>4</v>
      </c>
      <c r="F746" s="111">
        <v>537</v>
      </c>
      <c r="K746" s="134">
        <v>5</v>
      </c>
      <c r="L746" s="151">
        <v>41701</v>
      </c>
      <c r="M746" s="169">
        <v>1.8</v>
      </c>
      <c r="N746" s="151">
        <v>41838</v>
      </c>
      <c r="Q746" s="497"/>
      <c r="S746" s="134">
        <v>6.82</v>
      </c>
      <c r="T746" s="151">
        <v>41842</v>
      </c>
      <c r="U746" s="134">
        <v>13.5</v>
      </c>
      <c r="V746" s="151">
        <v>41838</v>
      </c>
      <c r="W746" s="196">
        <v>1</v>
      </c>
      <c r="X746" s="151">
        <v>41829</v>
      </c>
      <c r="Y746" s="134">
        <f t="shared" si="11"/>
        <v>2.2624400000000002</v>
      </c>
      <c r="AC746" s="134">
        <v>13.33</v>
      </c>
      <c r="AD746" s="151">
        <v>41838</v>
      </c>
      <c r="AE746" s="134">
        <v>13.88</v>
      </c>
      <c r="AF746" s="151">
        <v>41838</v>
      </c>
      <c r="AG746" s="197">
        <v>5.0999999999999996</v>
      </c>
      <c r="AH746" s="151">
        <v>41843</v>
      </c>
      <c r="AI746" s="198">
        <v>7</v>
      </c>
      <c r="AJ746" s="151">
        <v>41778</v>
      </c>
      <c r="AK746" s="199">
        <v>5</v>
      </c>
      <c r="AL746" s="151">
        <v>41709</v>
      </c>
      <c r="BE746" s="200">
        <v>5</v>
      </c>
      <c r="BF746" s="201">
        <v>41555</v>
      </c>
      <c r="BG746" s="203">
        <v>42.1</v>
      </c>
      <c r="BH746" s="151">
        <v>41842</v>
      </c>
      <c r="BM746" s="204">
        <v>70.8</v>
      </c>
      <c r="BN746" s="151">
        <v>41842</v>
      </c>
      <c r="BQ746" s="205">
        <v>5.9</v>
      </c>
      <c r="BR746" s="151">
        <v>41842</v>
      </c>
      <c r="BS746" s="206">
        <v>49.1</v>
      </c>
      <c r="BT746" s="151">
        <v>41842</v>
      </c>
      <c r="BU746" s="207">
        <v>16.3</v>
      </c>
      <c r="BV746" s="151">
        <v>41842</v>
      </c>
      <c r="BW746" s="206">
        <v>65.2</v>
      </c>
      <c r="BX746" s="151">
        <v>41842</v>
      </c>
      <c r="BY746" s="210">
        <v>6.05</v>
      </c>
      <c r="BZ746" s="151">
        <v>41842</v>
      </c>
      <c r="CA746" s="206">
        <v>38.9</v>
      </c>
      <c r="CB746" s="151">
        <v>41842</v>
      </c>
      <c r="CC746" s="208">
        <v>5.3</v>
      </c>
      <c r="CD746" s="151">
        <v>41838</v>
      </c>
      <c r="CL746" s="209">
        <v>5</v>
      </c>
      <c r="CM746" s="201">
        <v>41810</v>
      </c>
    </row>
    <row r="747" spans="1:91" ht="15">
      <c r="A747" s="152" t="s">
        <v>8007</v>
      </c>
      <c r="B747" s="110" t="s">
        <v>235</v>
      </c>
      <c r="C747" s="110" t="s">
        <v>8082</v>
      </c>
      <c r="D747" s="110">
        <v>11568</v>
      </c>
      <c r="E747" s="111">
        <v>5</v>
      </c>
      <c r="F747" s="111">
        <v>737</v>
      </c>
      <c r="K747" s="134">
        <v>5</v>
      </c>
      <c r="L747" s="151">
        <v>41701</v>
      </c>
      <c r="M747" s="169">
        <v>3.1</v>
      </c>
      <c r="N747" s="151">
        <v>41838</v>
      </c>
      <c r="Q747" s="497"/>
      <c r="S747" s="134">
        <v>11.32</v>
      </c>
      <c r="T747" s="151">
        <v>41842</v>
      </c>
      <c r="U747" s="134">
        <v>13.5</v>
      </c>
      <c r="V747" s="151">
        <v>41838</v>
      </c>
      <c r="W747" s="196">
        <v>1</v>
      </c>
      <c r="X747" s="151">
        <v>41829</v>
      </c>
      <c r="Y747" s="134">
        <f t="shared" si="11"/>
        <v>4.0133700000000001</v>
      </c>
      <c r="AC747" s="134">
        <v>22.96</v>
      </c>
      <c r="AD747" s="151">
        <v>41838</v>
      </c>
      <c r="AE747" s="134">
        <v>23.47</v>
      </c>
      <c r="AF747" s="151">
        <v>41838</v>
      </c>
      <c r="AG747" s="197">
        <v>5.2</v>
      </c>
      <c r="AH747" s="151">
        <v>41843</v>
      </c>
      <c r="AI747" s="198">
        <v>7</v>
      </c>
      <c r="AJ747" s="151">
        <v>41778</v>
      </c>
      <c r="AK747" s="199">
        <v>5</v>
      </c>
      <c r="AL747" s="151">
        <v>41709</v>
      </c>
      <c r="BE747" s="200">
        <v>5</v>
      </c>
      <c r="BF747" s="201">
        <v>41555</v>
      </c>
      <c r="BG747" s="203">
        <v>36.5</v>
      </c>
      <c r="BH747" s="151">
        <v>41842</v>
      </c>
      <c r="BM747" s="204">
        <v>70.599999999999994</v>
      </c>
      <c r="BN747" s="151">
        <v>41842</v>
      </c>
      <c r="BQ747" s="205">
        <v>6.3</v>
      </c>
      <c r="BR747" s="151">
        <v>41842</v>
      </c>
      <c r="BS747" s="206">
        <v>48.2</v>
      </c>
      <c r="BT747" s="151">
        <v>41842</v>
      </c>
      <c r="BU747" s="207">
        <v>17.100000000000001</v>
      </c>
      <c r="BV747" s="151">
        <v>41842</v>
      </c>
      <c r="BW747" s="206">
        <v>66.400000000000006</v>
      </c>
      <c r="BX747" s="151">
        <v>41842</v>
      </c>
      <c r="BY747" s="210">
        <v>6.35</v>
      </c>
      <c r="BZ747" s="151">
        <v>41842</v>
      </c>
      <c r="CA747" s="206">
        <v>39.9</v>
      </c>
      <c r="CB747" s="151">
        <v>41842</v>
      </c>
      <c r="CC747" s="208">
        <v>7</v>
      </c>
      <c r="CD747" s="151">
        <v>41838</v>
      </c>
      <c r="CL747" s="209">
        <v>5</v>
      </c>
      <c r="CM747" s="201">
        <v>41810</v>
      </c>
    </row>
    <row r="748" spans="1:91" ht="15">
      <c r="A748" s="152" t="s">
        <v>8007</v>
      </c>
      <c r="B748" s="110" t="s">
        <v>233</v>
      </c>
      <c r="C748" s="110" t="s">
        <v>8083</v>
      </c>
      <c r="D748" s="110">
        <v>11697</v>
      </c>
      <c r="E748" s="111">
        <v>9</v>
      </c>
      <c r="F748" s="111">
        <v>677</v>
      </c>
      <c r="K748" s="134">
        <v>5</v>
      </c>
      <c r="L748" s="151">
        <v>41701</v>
      </c>
      <c r="M748" s="169">
        <v>2.35</v>
      </c>
      <c r="N748" s="151">
        <v>41838</v>
      </c>
      <c r="Q748" s="497"/>
      <c r="S748" s="134">
        <v>9.07</v>
      </c>
      <c r="T748" s="151">
        <v>41842</v>
      </c>
      <c r="U748" s="134">
        <v>13.5</v>
      </c>
      <c r="V748" s="151">
        <v>41838</v>
      </c>
      <c r="W748" s="196">
        <v>1</v>
      </c>
      <c r="X748" s="151">
        <v>41829</v>
      </c>
      <c r="Y748" s="134">
        <f t="shared" si="11"/>
        <v>2.7119999999999997</v>
      </c>
      <c r="AC748" s="134">
        <v>17.41</v>
      </c>
      <c r="AD748" s="151">
        <v>41838</v>
      </c>
      <c r="AE748" s="134">
        <v>18.079999999999998</v>
      </c>
      <c r="AF748" s="151">
        <v>41838</v>
      </c>
      <c r="AG748" s="197">
        <v>4.8</v>
      </c>
      <c r="AH748" s="151">
        <v>41843</v>
      </c>
      <c r="AI748" s="198">
        <v>7</v>
      </c>
      <c r="AJ748" s="151">
        <v>41778</v>
      </c>
      <c r="AK748" s="199">
        <v>4</v>
      </c>
      <c r="AL748" s="151">
        <v>41709</v>
      </c>
      <c r="BE748" s="200">
        <v>4</v>
      </c>
      <c r="BF748" s="201">
        <v>41555</v>
      </c>
      <c r="BG748" s="203">
        <v>35.9</v>
      </c>
      <c r="BH748" s="151">
        <v>41842</v>
      </c>
      <c r="BM748" s="204">
        <v>71</v>
      </c>
      <c r="BN748" s="151">
        <v>41842</v>
      </c>
      <c r="BQ748" s="205">
        <v>6.3</v>
      </c>
      <c r="BR748" s="151">
        <v>41842</v>
      </c>
      <c r="BS748" s="206">
        <v>50.2</v>
      </c>
      <c r="BT748" s="151">
        <v>41842</v>
      </c>
      <c r="BU748" s="207">
        <v>15</v>
      </c>
      <c r="BV748" s="151">
        <v>41842</v>
      </c>
      <c r="BW748" s="206">
        <v>61.2</v>
      </c>
      <c r="BX748" s="151">
        <v>41842</v>
      </c>
      <c r="BY748" s="210">
        <v>5.9</v>
      </c>
      <c r="BZ748" s="151">
        <v>41842</v>
      </c>
      <c r="CA748" s="206">
        <v>36.799999999999997</v>
      </c>
      <c r="CB748" s="151">
        <v>41842</v>
      </c>
      <c r="CC748" s="208">
        <v>5.5</v>
      </c>
      <c r="CD748" s="151">
        <v>41838</v>
      </c>
      <c r="CL748" s="209">
        <v>5</v>
      </c>
      <c r="CM748" s="201">
        <v>41810</v>
      </c>
    </row>
    <row r="749" spans="1:91" ht="15">
      <c r="A749" s="152" t="s">
        <v>8007</v>
      </c>
      <c r="B749" s="110" t="s">
        <v>235</v>
      </c>
      <c r="C749" s="110" t="s">
        <v>8081</v>
      </c>
      <c r="D749" s="110">
        <v>11331</v>
      </c>
      <c r="E749" s="111">
        <v>11</v>
      </c>
      <c r="F749" s="111">
        <v>505</v>
      </c>
      <c r="K749" s="134">
        <v>5</v>
      </c>
      <c r="L749" s="151">
        <v>41701</v>
      </c>
      <c r="M749" s="169">
        <v>2.75</v>
      </c>
      <c r="N749" s="151">
        <v>41838</v>
      </c>
      <c r="Q749" s="497"/>
      <c r="S749" s="134">
        <v>10.09</v>
      </c>
      <c r="T749" s="151">
        <v>41842</v>
      </c>
      <c r="U749" s="134">
        <v>13.5</v>
      </c>
      <c r="V749" s="151">
        <v>41838</v>
      </c>
      <c r="W749" s="196">
        <v>1</v>
      </c>
      <c r="X749" s="151">
        <v>41829</v>
      </c>
      <c r="Y749" s="134">
        <f t="shared" si="11"/>
        <v>3.4715999999999996</v>
      </c>
      <c r="AC749" s="134">
        <v>20.37</v>
      </c>
      <c r="AD749" s="151">
        <v>41838</v>
      </c>
      <c r="AE749" s="134">
        <v>21.04</v>
      </c>
      <c r="AF749" s="151">
        <v>41838</v>
      </c>
      <c r="AG749" s="197">
        <v>5.0999999999999996</v>
      </c>
      <c r="AH749" s="151">
        <v>41843</v>
      </c>
      <c r="AI749" s="198">
        <v>7</v>
      </c>
      <c r="AJ749" s="151">
        <v>41778</v>
      </c>
      <c r="AK749" s="199">
        <v>5</v>
      </c>
      <c r="AL749" s="151">
        <v>41709</v>
      </c>
      <c r="BE749" s="200">
        <v>5</v>
      </c>
      <c r="BF749" s="201">
        <v>41555</v>
      </c>
      <c r="BG749" s="203">
        <v>30.4</v>
      </c>
      <c r="BH749" s="151">
        <v>41842</v>
      </c>
      <c r="BM749" s="204">
        <v>69.900000000000006</v>
      </c>
      <c r="BN749" s="151">
        <v>41842</v>
      </c>
      <c r="BQ749" s="205">
        <v>6.5</v>
      </c>
      <c r="BR749" s="151">
        <v>41842</v>
      </c>
      <c r="BS749" s="206">
        <v>47.9</v>
      </c>
      <c r="BT749" s="151">
        <v>41842</v>
      </c>
      <c r="BU749" s="207">
        <v>16.5</v>
      </c>
      <c r="BV749" s="151">
        <v>41842</v>
      </c>
      <c r="BW749" s="206">
        <v>61.6</v>
      </c>
      <c r="BX749" s="151">
        <v>41842</v>
      </c>
      <c r="BY749" s="210">
        <v>6.39</v>
      </c>
      <c r="BZ749" s="151">
        <v>41842</v>
      </c>
      <c r="CA749" s="206">
        <v>38.200000000000003</v>
      </c>
      <c r="CB749" s="151">
        <v>41842</v>
      </c>
      <c r="CC749" s="208">
        <v>6</v>
      </c>
      <c r="CD749" s="151">
        <v>41838</v>
      </c>
      <c r="CL749" s="209">
        <v>7</v>
      </c>
      <c r="CM749" s="201">
        <v>41810</v>
      </c>
    </row>
    <row r="750" spans="1:91" ht="15">
      <c r="A750" s="152" t="s">
        <v>8008</v>
      </c>
      <c r="B750" s="110" t="s">
        <v>233</v>
      </c>
      <c r="C750" s="110" t="s">
        <v>381</v>
      </c>
      <c r="D750" s="110">
        <v>10976</v>
      </c>
      <c r="E750" s="111">
        <v>1</v>
      </c>
      <c r="F750" s="111">
        <v>525</v>
      </c>
      <c r="I750" s="373"/>
      <c r="K750" s="194">
        <v>7</v>
      </c>
      <c r="L750" s="151">
        <v>41701</v>
      </c>
      <c r="M750" s="169">
        <v>3</v>
      </c>
      <c r="N750" s="151">
        <v>41838</v>
      </c>
      <c r="Q750" s="497"/>
      <c r="S750" s="134">
        <v>10.54</v>
      </c>
      <c r="T750" s="151">
        <v>41842</v>
      </c>
      <c r="U750" s="194">
        <v>13.5</v>
      </c>
      <c r="V750" s="151">
        <v>41838</v>
      </c>
      <c r="W750" s="196">
        <v>1</v>
      </c>
      <c r="X750" s="151">
        <v>41829</v>
      </c>
      <c r="Y750" s="134">
        <f t="shared" si="11"/>
        <v>3.7343299999999999</v>
      </c>
      <c r="AA750" s="194"/>
      <c r="AC750" s="194">
        <v>22.22</v>
      </c>
      <c r="AD750" s="151">
        <v>41838</v>
      </c>
      <c r="AE750" s="137">
        <v>22.91</v>
      </c>
      <c r="AF750" s="151">
        <v>41838</v>
      </c>
      <c r="AG750" s="197">
        <v>3.9</v>
      </c>
      <c r="AH750" s="151">
        <v>41843</v>
      </c>
      <c r="AI750" s="198">
        <v>7</v>
      </c>
      <c r="AJ750" s="151">
        <v>41778</v>
      </c>
      <c r="AK750" s="199">
        <v>5</v>
      </c>
      <c r="AL750" s="151">
        <v>41709</v>
      </c>
      <c r="AM750" s="194"/>
      <c r="BE750" s="200">
        <v>5</v>
      </c>
      <c r="BF750" s="201">
        <v>41555</v>
      </c>
      <c r="BG750" s="203">
        <v>32.4</v>
      </c>
      <c r="BH750" s="151">
        <v>41842</v>
      </c>
      <c r="BM750" s="204">
        <v>72.7</v>
      </c>
      <c r="BN750" s="151">
        <v>41842</v>
      </c>
      <c r="BQ750" s="205">
        <v>7.1</v>
      </c>
      <c r="BR750" s="151">
        <v>41842</v>
      </c>
      <c r="BS750" s="206">
        <v>46</v>
      </c>
      <c r="BT750" s="151">
        <v>41842</v>
      </c>
      <c r="BU750" s="207">
        <v>16.3</v>
      </c>
      <c r="BV750" s="151">
        <v>41842</v>
      </c>
      <c r="BW750" s="206">
        <v>68.400000000000006</v>
      </c>
      <c r="BX750" s="151">
        <v>41842</v>
      </c>
      <c r="BY750" s="210">
        <v>8.48</v>
      </c>
      <c r="BZ750" s="151">
        <v>41842</v>
      </c>
      <c r="CA750" s="206">
        <v>36.299999999999997</v>
      </c>
      <c r="CB750" s="151">
        <v>41842</v>
      </c>
      <c r="CC750" s="208">
        <v>6.2</v>
      </c>
      <c r="CD750" s="151">
        <v>41838</v>
      </c>
      <c r="CL750" s="209">
        <v>5</v>
      </c>
      <c r="CM750" s="201">
        <v>41810</v>
      </c>
    </row>
    <row r="751" spans="1:91" ht="15">
      <c r="A751" s="152" t="s">
        <v>8008</v>
      </c>
      <c r="B751" s="110" t="s">
        <v>235</v>
      </c>
      <c r="C751" s="110" t="s">
        <v>8082</v>
      </c>
      <c r="D751" s="110">
        <v>11569</v>
      </c>
      <c r="E751" s="111">
        <v>5</v>
      </c>
      <c r="F751" s="111">
        <v>741</v>
      </c>
      <c r="K751" s="194">
        <v>7</v>
      </c>
      <c r="L751" s="151">
        <v>41701</v>
      </c>
      <c r="M751" s="169">
        <v>3.7</v>
      </c>
      <c r="N751" s="151">
        <v>41838</v>
      </c>
      <c r="Q751" s="497"/>
      <c r="S751" s="134">
        <v>12.81</v>
      </c>
      <c r="T751" s="151">
        <v>41842</v>
      </c>
      <c r="U751" s="134">
        <v>13.5</v>
      </c>
      <c r="V751" s="151">
        <v>41838</v>
      </c>
      <c r="W751" s="196">
        <v>9</v>
      </c>
      <c r="X751" s="151">
        <v>41829</v>
      </c>
      <c r="Y751" s="134">
        <f t="shared" si="11"/>
        <v>4.6067999999999998</v>
      </c>
      <c r="AC751" s="134">
        <v>27.41</v>
      </c>
      <c r="AD751" s="151">
        <v>41838</v>
      </c>
      <c r="AE751" s="134">
        <v>27.92</v>
      </c>
      <c r="AF751" s="151">
        <v>41838</v>
      </c>
      <c r="AG751" s="197">
        <v>4.2</v>
      </c>
      <c r="AH751" s="151">
        <v>41843</v>
      </c>
      <c r="AI751" s="198">
        <v>7</v>
      </c>
      <c r="AJ751" s="151">
        <v>41778</v>
      </c>
      <c r="AK751" s="199">
        <v>5</v>
      </c>
      <c r="AL751" s="151">
        <v>41709</v>
      </c>
      <c r="BE751" s="200">
        <v>5</v>
      </c>
      <c r="BF751" s="201">
        <v>41555</v>
      </c>
      <c r="BG751" s="203">
        <v>30.1</v>
      </c>
      <c r="BH751" s="151">
        <v>41842</v>
      </c>
      <c r="BM751" s="204">
        <v>72.099999999999994</v>
      </c>
      <c r="BN751" s="151">
        <v>41842</v>
      </c>
      <c r="BQ751" s="205">
        <v>6.6</v>
      </c>
      <c r="BR751" s="151">
        <v>41842</v>
      </c>
      <c r="BS751" s="206">
        <v>45.9</v>
      </c>
      <c r="BT751" s="151">
        <v>41842</v>
      </c>
      <c r="BU751" s="207">
        <v>16.5</v>
      </c>
      <c r="BV751" s="151">
        <v>41842</v>
      </c>
      <c r="BW751" s="206">
        <v>67.5</v>
      </c>
      <c r="BX751" s="151">
        <v>41842</v>
      </c>
      <c r="BY751" s="210">
        <v>8.41</v>
      </c>
      <c r="BZ751" s="151">
        <v>41842</v>
      </c>
      <c r="CA751" s="206">
        <v>36.6</v>
      </c>
      <c r="CB751" s="151">
        <v>41842</v>
      </c>
      <c r="CC751" s="208">
        <v>7.3</v>
      </c>
      <c r="CD751" s="151">
        <v>41838</v>
      </c>
      <c r="CL751" s="209">
        <v>5</v>
      </c>
      <c r="CM751" s="201">
        <v>41810</v>
      </c>
    </row>
    <row r="752" spans="1:91" ht="15">
      <c r="A752" s="152" t="s">
        <v>8008</v>
      </c>
      <c r="B752" s="110" t="s">
        <v>235</v>
      </c>
      <c r="C752" s="110" t="s">
        <v>8081</v>
      </c>
      <c r="D752" s="110">
        <v>11322</v>
      </c>
      <c r="E752" s="111">
        <v>10</v>
      </c>
      <c r="F752" s="111">
        <v>613</v>
      </c>
      <c r="K752" s="134">
        <v>5</v>
      </c>
      <c r="L752" s="151">
        <v>41701</v>
      </c>
      <c r="M752" s="169">
        <v>3.95</v>
      </c>
      <c r="N752" s="151">
        <v>41838</v>
      </c>
      <c r="Q752" s="497"/>
      <c r="S752" s="134">
        <v>14.2</v>
      </c>
      <c r="T752" s="151">
        <v>41842</v>
      </c>
      <c r="U752" s="134">
        <v>13.5</v>
      </c>
      <c r="V752" s="151">
        <v>41838</v>
      </c>
      <c r="W752" s="196">
        <v>1</v>
      </c>
      <c r="X752" s="151">
        <v>41829</v>
      </c>
      <c r="Y752" s="134">
        <f t="shared" si="11"/>
        <v>4.60989</v>
      </c>
      <c r="AC752" s="134">
        <v>29.26</v>
      </c>
      <c r="AD752" s="151">
        <v>41838</v>
      </c>
      <c r="AE752" s="134">
        <v>30.13</v>
      </c>
      <c r="AF752" s="151">
        <v>41838</v>
      </c>
      <c r="AG752" s="197">
        <v>4.0999999999999996</v>
      </c>
      <c r="AH752" s="151">
        <v>41843</v>
      </c>
      <c r="AI752" s="198">
        <v>5</v>
      </c>
      <c r="AJ752" s="151">
        <v>41778</v>
      </c>
      <c r="AK752" s="199">
        <v>5</v>
      </c>
      <c r="AL752" s="151">
        <v>41709</v>
      </c>
      <c r="BE752" s="200">
        <v>5</v>
      </c>
      <c r="BF752" s="201">
        <v>41555</v>
      </c>
      <c r="BG752" s="203">
        <v>29.2</v>
      </c>
      <c r="BH752" s="151">
        <v>41842</v>
      </c>
      <c r="BM752" s="204">
        <v>71.8</v>
      </c>
      <c r="BN752" s="151">
        <v>41842</v>
      </c>
      <c r="BQ752" s="205">
        <v>6.7</v>
      </c>
      <c r="BR752" s="151">
        <v>41842</v>
      </c>
      <c r="BS752" s="206">
        <v>47.1</v>
      </c>
      <c r="BT752" s="151">
        <v>41842</v>
      </c>
      <c r="BU752" s="207">
        <v>15.3</v>
      </c>
      <c r="BV752" s="151">
        <v>41842</v>
      </c>
      <c r="BW752" s="206">
        <v>62.7</v>
      </c>
      <c r="BX752" s="151">
        <v>41842</v>
      </c>
      <c r="BY752" s="210">
        <v>8.1199999999999992</v>
      </c>
      <c r="BZ752" s="151">
        <v>41842</v>
      </c>
      <c r="CA752" s="206">
        <v>34.9</v>
      </c>
      <c r="CB752" s="151">
        <v>41842</v>
      </c>
      <c r="CC752" s="208">
        <v>6.3</v>
      </c>
      <c r="CD752" s="151">
        <v>41838</v>
      </c>
      <c r="CL752" s="209">
        <v>5</v>
      </c>
      <c r="CM752" s="201">
        <v>41810</v>
      </c>
    </row>
    <row r="753" spans="1:91" ht="15">
      <c r="A753" s="152" t="s">
        <v>8008</v>
      </c>
      <c r="B753" s="110" t="s">
        <v>233</v>
      </c>
      <c r="C753" s="110" t="s">
        <v>8083</v>
      </c>
      <c r="D753" s="110">
        <v>11759</v>
      </c>
      <c r="E753" s="111">
        <v>11</v>
      </c>
      <c r="F753" s="111">
        <v>637</v>
      </c>
      <c r="K753" s="194">
        <v>7</v>
      </c>
      <c r="L753" s="151">
        <v>41701</v>
      </c>
      <c r="M753" s="169">
        <v>3.45</v>
      </c>
      <c r="N753" s="151">
        <v>41838</v>
      </c>
      <c r="Q753" s="497"/>
      <c r="S753" s="134">
        <v>12.27</v>
      </c>
      <c r="T753" s="151">
        <v>41842</v>
      </c>
      <c r="U753" s="134">
        <v>13.5</v>
      </c>
      <c r="V753" s="151">
        <v>41838</v>
      </c>
      <c r="W753" s="196">
        <v>9</v>
      </c>
      <c r="X753" s="151">
        <v>41829</v>
      </c>
      <c r="Y753" s="134">
        <f t="shared" si="11"/>
        <v>4.1791</v>
      </c>
      <c r="AC753" s="134">
        <v>25.56</v>
      </c>
      <c r="AD753" s="151">
        <v>41838</v>
      </c>
      <c r="AE753" s="134">
        <v>26.45</v>
      </c>
      <c r="AF753" s="151">
        <v>41838</v>
      </c>
      <c r="AG753" s="197">
        <v>4</v>
      </c>
      <c r="AH753" s="151">
        <v>41843</v>
      </c>
      <c r="AI753" s="198">
        <v>7</v>
      </c>
      <c r="AJ753" s="151">
        <v>41778</v>
      </c>
      <c r="AK753" s="199">
        <v>7</v>
      </c>
      <c r="AL753" s="151">
        <v>41709</v>
      </c>
      <c r="BE753" s="200">
        <v>7</v>
      </c>
      <c r="BF753" s="201">
        <v>41555</v>
      </c>
      <c r="BG753" s="203">
        <v>30.8</v>
      </c>
      <c r="BH753" s="151">
        <v>41842</v>
      </c>
      <c r="BM753" s="204">
        <v>73</v>
      </c>
      <c r="BN753" s="151">
        <v>41842</v>
      </c>
      <c r="BQ753" s="205">
        <v>6.8</v>
      </c>
      <c r="BR753" s="151">
        <v>41842</v>
      </c>
      <c r="BS753" s="206">
        <v>46.4</v>
      </c>
      <c r="BT753" s="151">
        <v>41842</v>
      </c>
      <c r="BU753" s="207">
        <v>15.8</v>
      </c>
      <c r="BV753" s="151">
        <v>41842</v>
      </c>
      <c r="BW753" s="206">
        <v>65.2</v>
      </c>
      <c r="BX753" s="151">
        <v>41842</v>
      </c>
      <c r="BY753" s="210">
        <v>8.17</v>
      </c>
      <c r="BZ753" s="151">
        <v>41842</v>
      </c>
      <c r="CA753" s="206">
        <v>35.5</v>
      </c>
      <c r="CB753" s="151">
        <v>41842</v>
      </c>
      <c r="CC753" s="208">
        <v>5.8</v>
      </c>
      <c r="CD753" s="151">
        <v>41838</v>
      </c>
      <c r="CL753" s="209">
        <v>5</v>
      </c>
      <c r="CM753" s="201">
        <v>41810</v>
      </c>
    </row>
    <row r="754" spans="1:91" ht="15">
      <c r="A754" s="152" t="s">
        <v>8009</v>
      </c>
      <c r="B754" s="110" t="s">
        <v>235</v>
      </c>
      <c r="C754" s="110" t="s">
        <v>8082</v>
      </c>
      <c r="D754" s="110">
        <v>11525</v>
      </c>
      <c r="E754" s="111">
        <v>4</v>
      </c>
      <c r="F754" s="111">
        <v>709</v>
      </c>
      <c r="K754" s="134">
        <v>5</v>
      </c>
      <c r="L754" s="151">
        <v>41701</v>
      </c>
      <c r="M754" s="169">
        <v>3.25</v>
      </c>
      <c r="N754" s="151">
        <v>41838</v>
      </c>
      <c r="Q754" s="497"/>
      <c r="S754" s="134">
        <v>11.93</v>
      </c>
      <c r="T754" s="151">
        <v>41842</v>
      </c>
      <c r="U754" s="134">
        <v>13.5</v>
      </c>
      <c r="V754" s="151">
        <v>41838</v>
      </c>
      <c r="W754" s="196">
        <v>1</v>
      </c>
      <c r="X754" s="151">
        <v>41829</v>
      </c>
      <c r="Y754" s="134">
        <f t="shared" si="11"/>
        <v>4.0289400000000004</v>
      </c>
      <c r="AC754" s="134">
        <v>24.07</v>
      </c>
      <c r="AD754" s="151">
        <v>41838</v>
      </c>
      <c r="AE754" s="134">
        <v>24.87</v>
      </c>
      <c r="AF754" s="151">
        <v>41838</v>
      </c>
      <c r="AG754" s="197">
        <v>4.4000000000000004</v>
      </c>
      <c r="AH754" s="151">
        <v>41843</v>
      </c>
      <c r="AI754" s="198">
        <v>9</v>
      </c>
      <c r="AJ754" s="151">
        <v>41778</v>
      </c>
      <c r="AK754" s="199">
        <v>5</v>
      </c>
      <c r="AL754" s="151">
        <v>41709</v>
      </c>
      <c r="BE754" s="200">
        <v>5</v>
      </c>
      <c r="BF754" s="201">
        <v>41555</v>
      </c>
      <c r="BG754" s="203">
        <v>44.4</v>
      </c>
      <c r="BH754" s="151">
        <v>41842</v>
      </c>
      <c r="BM754" s="204">
        <v>73.2</v>
      </c>
      <c r="BN754" s="151">
        <v>41842</v>
      </c>
      <c r="BQ754" s="205">
        <v>2.9</v>
      </c>
      <c r="BR754" s="151">
        <v>41842</v>
      </c>
      <c r="BS754" s="206">
        <v>48</v>
      </c>
      <c r="BT754" s="151">
        <v>41842</v>
      </c>
      <c r="BU754" s="207">
        <v>16.2</v>
      </c>
      <c r="BV754" s="151">
        <v>41842</v>
      </c>
      <c r="BW754" s="206">
        <v>74.400000000000006</v>
      </c>
      <c r="BX754" s="151">
        <v>41842</v>
      </c>
      <c r="BY754" s="210">
        <v>7.3</v>
      </c>
      <c r="BZ754" s="151">
        <v>41842</v>
      </c>
      <c r="CA754" s="206">
        <v>37.700000000000003</v>
      </c>
      <c r="CB754" s="151">
        <v>41842</v>
      </c>
      <c r="CC754" s="208">
        <v>6</v>
      </c>
      <c r="CD754" s="151">
        <v>41838</v>
      </c>
      <c r="CL754" s="209">
        <v>5</v>
      </c>
      <c r="CM754" s="201">
        <v>41810</v>
      </c>
    </row>
    <row r="755" spans="1:91" ht="15">
      <c r="A755" s="152" t="s">
        <v>8009</v>
      </c>
      <c r="B755" s="110" t="s">
        <v>233</v>
      </c>
      <c r="C755" s="110" t="s">
        <v>381</v>
      </c>
      <c r="D755" s="110">
        <v>11155</v>
      </c>
      <c r="E755" s="111">
        <v>6</v>
      </c>
      <c r="F755" s="111">
        <v>521</v>
      </c>
      <c r="K755" s="134">
        <v>5</v>
      </c>
      <c r="L755" s="151">
        <v>41701</v>
      </c>
      <c r="M755" s="169">
        <v>3</v>
      </c>
      <c r="N755" s="151">
        <v>41838</v>
      </c>
      <c r="Q755" s="497"/>
      <c r="S755" s="134">
        <v>11.25</v>
      </c>
      <c r="T755" s="151">
        <v>41842</v>
      </c>
      <c r="U755" s="134">
        <v>13.5</v>
      </c>
      <c r="V755" s="151">
        <v>41838</v>
      </c>
      <c r="W755" s="196">
        <v>9</v>
      </c>
      <c r="X755" s="151">
        <v>41829</v>
      </c>
      <c r="Y755" s="134">
        <f t="shared" si="11"/>
        <v>3.48536</v>
      </c>
      <c r="AC755" s="134">
        <v>22.22</v>
      </c>
      <c r="AD755" s="151">
        <v>41838</v>
      </c>
      <c r="AE755" s="134">
        <v>22.93</v>
      </c>
      <c r="AF755" s="151">
        <v>41838</v>
      </c>
      <c r="AG755" s="197">
        <v>4.3</v>
      </c>
      <c r="AH755" s="151">
        <v>41843</v>
      </c>
      <c r="AI755" s="198">
        <v>7</v>
      </c>
      <c r="AJ755" s="151">
        <v>41778</v>
      </c>
      <c r="AK755" s="199">
        <v>5</v>
      </c>
      <c r="AL755" s="151">
        <v>41709</v>
      </c>
      <c r="BE755" s="200">
        <v>5</v>
      </c>
      <c r="BF755" s="201">
        <v>41555</v>
      </c>
      <c r="BG755" s="203">
        <v>44.8</v>
      </c>
      <c r="BH755" s="151">
        <v>41842</v>
      </c>
      <c r="BM755" s="204">
        <v>73.5</v>
      </c>
      <c r="BN755" s="151">
        <v>41842</v>
      </c>
      <c r="BQ755" s="205">
        <v>3.2</v>
      </c>
      <c r="BR755" s="151">
        <v>41842</v>
      </c>
      <c r="BS755" s="206">
        <v>49.1</v>
      </c>
      <c r="BT755" s="151">
        <v>41842</v>
      </c>
      <c r="BU755" s="207">
        <v>15.2</v>
      </c>
      <c r="BV755" s="151">
        <v>41842</v>
      </c>
      <c r="BW755" s="206">
        <v>72.7</v>
      </c>
      <c r="BX755" s="151">
        <v>41842</v>
      </c>
      <c r="BY755" s="210">
        <v>7.34</v>
      </c>
      <c r="BZ755" s="151">
        <v>41842</v>
      </c>
      <c r="CA755" s="206">
        <v>36.299999999999997</v>
      </c>
      <c r="CB755" s="151">
        <v>41842</v>
      </c>
      <c r="CC755" s="208">
        <v>6.1</v>
      </c>
      <c r="CD755" s="151">
        <v>41838</v>
      </c>
      <c r="CL755" s="209">
        <v>3</v>
      </c>
      <c r="CM755" s="201">
        <v>41810</v>
      </c>
    </row>
    <row r="756" spans="1:91" ht="15">
      <c r="A756" s="152" t="s">
        <v>8009</v>
      </c>
      <c r="B756" s="110" t="s">
        <v>233</v>
      </c>
      <c r="C756" s="110" t="s">
        <v>8083</v>
      </c>
      <c r="D756" s="110">
        <v>11622</v>
      </c>
      <c r="E756" s="111">
        <v>7</v>
      </c>
      <c r="F756" s="111">
        <v>665</v>
      </c>
      <c r="K756" s="134">
        <v>5</v>
      </c>
      <c r="L756" s="151">
        <v>41701</v>
      </c>
      <c r="M756" s="169">
        <v>2.85</v>
      </c>
      <c r="N756" s="151">
        <v>41838</v>
      </c>
      <c r="Q756" s="497"/>
      <c r="S756" s="134">
        <v>10.74</v>
      </c>
      <c r="T756" s="151">
        <v>41842</v>
      </c>
      <c r="U756" s="134">
        <v>13.5</v>
      </c>
      <c r="V756" s="151">
        <v>41838</v>
      </c>
      <c r="W756" s="196">
        <v>1</v>
      </c>
      <c r="X756" s="151">
        <v>41829</v>
      </c>
      <c r="Y756" s="134">
        <f t="shared" si="11"/>
        <v>3.3105599999999997</v>
      </c>
      <c r="AC756" s="134">
        <v>21.11</v>
      </c>
      <c r="AD756" s="151">
        <v>41838</v>
      </c>
      <c r="AE756" s="134">
        <v>21.78</v>
      </c>
      <c r="AF756" s="151">
        <v>41838</v>
      </c>
      <c r="AG756" s="197">
        <v>4.4000000000000004</v>
      </c>
      <c r="AH756" s="151">
        <v>41843</v>
      </c>
      <c r="AI756" s="198">
        <v>7</v>
      </c>
      <c r="AJ756" s="151">
        <v>41778</v>
      </c>
      <c r="AK756" s="199">
        <v>5</v>
      </c>
      <c r="AL756" s="151">
        <v>41709</v>
      </c>
      <c r="BE756" s="200">
        <v>5</v>
      </c>
      <c r="BF756" s="201">
        <v>41555</v>
      </c>
      <c r="BG756" s="203">
        <v>38.6</v>
      </c>
      <c r="BH756" s="151">
        <v>41842</v>
      </c>
      <c r="BM756" s="204">
        <v>74.3</v>
      </c>
      <c r="BN756" s="151">
        <v>41842</v>
      </c>
      <c r="BQ756" s="205">
        <v>4.0999999999999996</v>
      </c>
      <c r="BR756" s="151">
        <v>41842</v>
      </c>
      <c r="BS756" s="206">
        <v>49.3</v>
      </c>
      <c r="BT756" s="151">
        <v>41842</v>
      </c>
      <c r="BU756" s="207">
        <v>15.2</v>
      </c>
      <c r="BV756" s="151">
        <v>41842</v>
      </c>
      <c r="BW756" s="206">
        <v>65</v>
      </c>
      <c r="BX756" s="151">
        <v>41842</v>
      </c>
      <c r="BY756" s="210">
        <v>6.85</v>
      </c>
      <c r="BZ756" s="151">
        <v>41842</v>
      </c>
      <c r="CA756" s="206">
        <v>36.4</v>
      </c>
      <c r="CB756" s="151">
        <v>41842</v>
      </c>
      <c r="CC756" s="208">
        <v>6.1</v>
      </c>
      <c r="CD756" s="151">
        <v>41838</v>
      </c>
      <c r="CL756" s="209">
        <v>3</v>
      </c>
      <c r="CM756" s="201">
        <v>41810</v>
      </c>
    </row>
    <row r="757" spans="1:91" ht="15">
      <c r="A757" s="152" t="s">
        <v>8009</v>
      </c>
      <c r="B757" s="110" t="s">
        <v>235</v>
      </c>
      <c r="C757" s="110" t="s">
        <v>8081</v>
      </c>
      <c r="D757" s="110">
        <v>11245</v>
      </c>
      <c r="E757" s="111">
        <v>8</v>
      </c>
      <c r="F757" s="111">
        <v>593</v>
      </c>
      <c r="K757" s="134">
        <v>5</v>
      </c>
      <c r="L757" s="151">
        <v>41701</v>
      </c>
      <c r="M757" s="169">
        <v>3.15</v>
      </c>
      <c r="N757" s="151">
        <v>41838</v>
      </c>
      <c r="Q757" s="497"/>
      <c r="S757" s="134">
        <v>11.63</v>
      </c>
      <c r="T757" s="151">
        <v>41842</v>
      </c>
      <c r="U757" s="134">
        <v>13.5</v>
      </c>
      <c r="V757" s="151">
        <v>41838</v>
      </c>
      <c r="W757" s="196">
        <v>1</v>
      </c>
      <c r="X757" s="151">
        <v>41829</v>
      </c>
      <c r="Y757" s="134">
        <f t="shared" si="11"/>
        <v>3.7679999999999993</v>
      </c>
      <c r="AC757" s="134">
        <v>23.33</v>
      </c>
      <c r="AD757" s="151">
        <v>41838</v>
      </c>
      <c r="AE757" s="134">
        <v>24</v>
      </c>
      <c r="AF757" s="151">
        <v>41838</v>
      </c>
      <c r="AG757" s="197">
        <v>4.4000000000000004</v>
      </c>
      <c r="AH757" s="151">
        <v>41843</v>
      </c>
      <c r="AI757" s="198">
        <v>7</v>
      </c>
      <c r="AJ757" s="151">
        <v>41778</v>
      </c>
      <c r="AK757" s="199">
        <v>5</v>
      </c>
      <c r="AL757" s="151">
        <v>41709</v>
      </c>
      <c r="BE757" s="200">
        <v>5</v>
      </c>
      <c r="BF757" s="201">
        <v>41555</v>
      </c>
      <c r="BG757" s="203">
        <v>39.1</v>
      </c>
      <c r="BH757" s="151">
        <v>41842</v>
      </c>
      <c r="BM757" s="204">
        <v>71.900000000000006</v>
      </c>
      <c r="BN757" s="151">
        <v>41842</v>
      </c>
      <c r="BQ757" s="205">
        <v>3.2</v>
      </c>
      <c r="BR757" s="151">
        <v>41842</v>
      </c>
      <c r="BS757" s="206">
        <v>48.5</v>
      </c>
      <c r="BT757" s="151">
        <v>41842</v>
      </c>
      <c r="BU757" s="207">
        <v>15.7</v>
      </c>
      <c r="BV757" s="151">
        <v>41842</v>
      </c>
      <c r="BW757" s="206">
        <v>59.1</v>
      </c>
      <c r="BX757" s="151">
        <v>41842</v>
      </c>
      <c r="BY757" s="210">
        <v>7.24</v>
      </c>
      <c r="BZ757" s="151">
        <v>41842</v>
      </c>
      <c r="CA757" s="206">
        <v>36.9</v>
      </c>
      <c r="CB757" s="151">
        <v>41842</v>
      </c>
      <c r="CC757" s="208">
        <v>6.4</v>
      </c>
      <c r="CD757" s="151">
        <v>41838</v>
      </c>
      <c r="CL757" s="209">
        <v>5</v>
      </c>
      <c r="CM757" s="201">
        <v>41810</v>
      </c>
    </row>
    <row r="758" spans="1:91" s="421" customFormat="1" ht="15">
      <c r="A758" s="412" t="s">
        <v>8010</v>
      </c>
      <c r="B758" s="413" t="s">
        <v>235</v>
      </c>
      <c r="C758" s="413" t="s">
        <v>8082</v>
      </c>
      <c r="D758" s="413">
        <v>11570</v>
      </c>
      <c r="E758" s="414">
        <v>5</v>
      </c>
      <c r="F758" s="414">
        <v>745</v>
      </c>
      <c r="G758" s="414"/>
      <c r="H758" s="414"/>
      <c r="I758" s="413"/>
      <c r="J758" s="413"/>
      <c r="K758" s="416">
        <v>5</v>
      </c>
      <c r="L758" s="417">
        <v>41701</v>
      </c>
      <c r="M758" s="418">
        <v>2.7</v>
      </c>
      <c r="N758" s="417">
        <v>41838</v>
      </c>
      <c r="O758" s="416"/>
      <c r="P758" s="417"/>
      <c r="Q758" s="497"/>
      <c r="R758" s="417"/>
      <c r="S758" s="416">
        <v>9.42</v>
      </c>
      <c r="T758" s="417">
        <v>41842</v>
      </c>
      <c r="U758" s="416">
        <v>13.5</v>
      </c>
      <c r="V758" s="417">
        <v>41838</v>
      </c>
      <c r="W758" s="418">
        <v>1</v>
      </c>
      <c r="X758" s="417">
        <v>41829</v>
      </c>
      <c r="Y758" s="134">
        <f t="shared" si="11"/>
        <v>3.6258600000000003</v>
      </c>
      <c r="Z758" s="417"/>
      <c r="AA758" s="416"/>
      <c r="AB758" s="417"/>
      <c r="AC758" s="416">
        <v>20</v>
      </c>
      <c r="AD758" s="417">
        <v>41838</v>
      </c>
      <c r="AE758" s="416">
        <v>20.37</v>
      </c>
      <c r="AF758" s="417">
        <v>41838</v>
      </c>
      <c r="AG758" s="418">
        <v>6.4</v>
      </c>
      <c r="AH758" s="417">
        <v>41843</v>
      </c>
      <c r="AI758" s="418">
        <v>5</v>
      </c>
      <c r="AJ758" s="417">
        <v>41778</v>
      </c>
      <c r="AK758" s="418">
        <v>5</v>
      </c>
      <c r="AL758" s="417">
        <v>41709</v>
      </c>
      <c r="AM758" s="416"/>
      <c r="AN758" s="417"/>
      <c r="AO758" s="416"/>
      <c r="AP758" s="416"/>
      <c r="AQ758" s="416"/>
      <c r="AR758" s="416"/>
      <c r="AS758" s="416"/>
      <c r="AT758" s="416"/>
      <c r="AU758" s="416"/>
      <c r="AV758" s="416"/>
      <c r="AW758" s="416"/>
      <c r="AX758" s="416"/>
      <c r="AY758" s="416"/>
      <c r="AZ758" s="416"/>
      <c r="BA758" s="416"/>
      <c r="BB758" s="416"/>
      <c r="BC758" s="416"/>
      <c r="BD758" s="416"/>
      <c r="BE758" s="418">
        <v>5</v>
      </c>
      <c r="BF758" s="419">
        <v>41555</v>
      </c>
      <c r="BG758" s="420">
        <v>42.4</v>
      </c>
      <c r="BH758" s="417">
        <v>41842</v>
      </c>
      <c r="BM758" s="420">
        <v>68.8</v>
      </c>
      <c r="BN758" s="417">
        <v>41842</v>
      </c>
      <c r="BQ758" s="420">
        <v>5.9</v>
      </c>
      <c r="BR758" s="417">
        <v>41842</v>
      </c>
      <c r="BS758" s="420">
        <v>46.2</v>
      </c>
      <c r="BT758" s="417">
        <v>41842</v>
      </c>
      <c r="BU758" s="420">
        <v>17.8</v>
      </c>
      <c r="BV758" s="417">
        <v>41842</v>
      </c>
      <c r="BW758" s="420">
        <v>92.3</v>
      </c>
      <c r="BX758" s="417">
        <v>41842</v>
      </c>
      <c r="BY758" s="420">
        <v>7.07</v>
      </c>
      <c r="BZ758" s="417">
        <v>41842</v>
      </c>
      <c r="CA758" s="420">
        <v>39.799999999999997</v>
      </c>
      <c r="CB758" s="417">
        <v>41842</v>
      </c>
      <c r="CC758" s="420">
        <v>7.3</v>
      </c>
      <c r="CD758" s="417">
        <v>41838</v>
      </c>
      <c r="CL758" s="420">
        <v>7</v>
      </c>
      <c r="CM758" s="419">
        <v>41810</v>
      </c>
    </row>
    <row r="759" spans="1:91" s="421" customFormat="1" ht="15">
      <c r="A759" s="412" t="s">
        <v>8010</v>
      </c>
      <c r="B759" s="413" t="s">
        <v>233</v>
      </c>
      <c r="C759" s="413" t="s">
        <v>381</v>
      </c>
      <c r="D759" s="413">
        <v>11170</v>
      </c>
      <c r="E759" s="414">
        <v>6</v>
      </c>
      <c r="F759" s="414">
        <v>581</v>
      </c>
      <c r="G759" s="414"/>
      <c r="H759" s="414"/>
      <c r="I759" s="413"/>
      <c r="J759" s="413"/>
      <c r="K759" s="416">
        <v>5</v>
      </c>
      <c r="L759" s="417">
        <v>41701</v>
      </c>
      <c r="M759" s="418">
        <v>2.2999999999999998</v>
      </c>
      <c r="N759" s="417">
        <v>41838</v>
      </c>
      <c r="O759" s="416"/>
      <c r="P759" s="417"/>
      <c r="Q759" s="497"/>
      <c r="R759" s="417"/>
      <c r="S759" s="416">
        <v>8.31</v>
      </c>
      <c r="T759" s="417">
        <v>41842</v>
      </c>
      <c r="U759" s="416">
        <v>13.5</v>
      </c>
      <c r="V759" s="417">
        <v>41838</v>
      </c>
      <c r="W759" s="418">
        <v>1</v>
      </c>
      <c r="X759" s="417">
        <v>41829</v>
      </c>
      <c r="Y759" s="134">
        <f t="shared" si="11"/>
        <v>3.1346699999999998</v>
      </c>
      <c r="Z759" s="417"/>
      <c r="AA759" s="416"/>
      <c r="AB759" s="417"/>
      <c r="AC759" s="416">
        <v>17.04</v>
      </c>
      <c r="AD759" s="417">
        <v>41838</v>
      </c>
      <c r="AE759" s="416">
        <v>17.71</v>
      </c>
      <c r="AF759" s="417">
        <v>41838</v>
      </c>
      <c r="AG759" s="418">
        <v>7.1</v>
      </c>
      <c r="AH759" s="417">
        <v>41843</v>
      </c>
      <c r="AI759" s="418">
        <v>1</v>
      </c>
      <c r="AJ759" s="417">
        <v>41778</v>
      </c>
      <c r="AK759" s="418">
        <v>7</v>
      </c>
      <c r="AL759" s="417">
        <v>41709</v>
      </c>
      <c r="AM759" s="416"/>
      <c r="AN759" s="417"/>
      <c r="AO759" s="416"/>
      <c r="AP759" s="416"/>
      <c r="AQ759" s="416"/>
      <c r="AR759" s="416"/>
      <c r="AS759" s="416"/>
      <c r="AT759" s="416"/>
      <c r="AU759" s="416"/>
      <c r="AV759" s="416"/>
      <c r="AW759" s="416"/>
      <c r="AX759" s="416"/>
      <c r="AY759" s="416"/>
      <c r="AZ759" s="416"/>
      <c r="BA759" s="416"/>
      <c r="BB759" s="416"/>
      <c r="BC759" s="416"/>
      <c r="BD759" s="416"/>
      <c r="BE759" s="418">
        <v>7</v>
      </c>
      <c r="BF759" s="419">
        <v>41555</v>
      </c>
      <c r="BG759" s="420">
        <v>45.8</v>
      </c>
      <c r="BH759" s="417">
        <v>41842</v>
      </c>
      <c r="BM759" s="420">
        <v>69.5</v>
      </c>
      <c r="BN759" s="417">
        <v>41842</v>
      </c>
      <c r="BQ759" s="420">
        <v>5.8</v>
      </c>
      <c r="BR759" s="417">
        <v>41842</v>
      </c>
      <c r="BS759" s="420">
        <v>46.9</v>
      </c>
      <c r="BT759" s="417">
        <v>41842</v>
      </c>
      <c r="BU759" s="420">
        <v>17.7</v>
      </c>
      <c r="BV759" s="417">
        <v>41842</v>
      </c>
      <c r="BW759" s="420">
        <v>95.6</v>
      </c>
      <c r="BX759" s="417">
        <v>41842</v>
      </c>
      <c r="BY759" s="420">
        <v>6.67</v>
      </c>
      <c r="BZ759" s="417">
        <v>41842</v>
      </c>
      <c r="CA759" s="420">
        <v>40</v>
      </c>
      <c r="CB759" s="417">
        <v>41842</v>
      </c>
      <c r="CC759" s="420">
        <v>5.4</v>
      </c>
      <c r="CD759" s="417">
        <v>41838</v>
      </c>
      <c r="CL759" s="420">
        <v>9</v>
      </c>
      <c r="CM759" s="419">
        <v>41810</v>
      </c>
    </row>
    <row r="760" spans="1:91" s="421" customFormat="1" ht="15">
      <c r="A760" s="412" t="s">
        <v>8010</v>
      </c>
      <c r="B760" s="413" t="s">
        <v>233</v>
      </c>
      <c r="C760" s="413" t="s">
        <v>8083</v>
      </c>
      <c r="D760" s="413">
        <v>11633</v>
      </c>
      <c r="E760" s="414">
        <v>7</v>
      </c>
      <c r="F760" s="414">
        <v>709</v>
      </c>
      <c r="G760" s="414"/>
      <c r="H760" s="414"/>
      <c r="I760" s="413"/>
      <c r="J760" s="413"/>
      <c r="K760" s="416">
        <v>5</v>
      </c>
      <c r="L760" s="417">
        <v>41701</v>
      </c>
      <c r="M760" s="418">
        <v>2.0499999999999998</v>
      </c>
      <c r="N760" s="417">
        <v>41838</v>
      </c>
      <c r="O760" s="416"/>
      <c r="P760" s="417"/>
      <c r="Q760" s="497"/>
      <c r="R760" s="417"/>
      <c r="S760" s="416">
        <v>7.5</v>
      </c>
      <c r="T760" s="417">
        <v>41842</v>
      </c>
      <c r="U760" s="416">
        <v>13.5</v>
      </c>
      <c r="V760" s="417">
        <v>41838</v>
      </c>
      <c r="W760" s="418">
        <v>1</v>
      </c>
      <c r="X760" s="417">
        <v>41829</v>
      </c>
      <c r="Y760" s="134">
        <f t="shared" si="11"/>
        <v>2.5185599999999999</v>
      </c>
      <c r="Z760" s="417"/>
      <c r="AA760" s="416"/>
      <c r="AB760" s="417"/>
      <c r="AC760" s="416">
        <v>15.19</v>
      </c>
      <c r="AD760" s="417">
        <v>41838</v>
      </c>
      <c r="AE760" s="416">
        <v>15.84</v>
      </c>
      <c r="AF760" s="417">
        <v>41838</v>
      </c>
      <c r="AG760" s="418">
        <v>6.7</v>
      </c>
      <c r="AH760" s="417">
        <v>41843</v>
      </c>
      <c r="AI760" s="418">
        <v>1</v>
      </c>
      <c r="AJ760" s="417">
        <v>41778</v>
      </c>
      <c r="AK760" s="418">
        <v>7</v>
      </c>
      <c r="AL760" s="417">
        <v>41709</v>
      </c>
      <c r="AM760" s="416"/>
      <c r="AN760" s="417"/>
      <c r="AO760" s="416"/>
      <c r="AP760" s="416"/>
      <c r="AQ760" s="416"/>
      <c r="AR760" s="416"/>
      <c r="AS760" s="416"/>
      <c r="AT760" s="416"/>
      <c r="AU760" s="416"/>
      <c r="AV760" s="416"/>
      <c r="AW760" s="416"/>
      <c r="AX760" s="416"/>
      <c r="AY760" s="416"/>
      <c r="AZ760" s="416"/>
      <c r="BA760" s="416"/>
      <c r="BB760" s="416"/>
      <c r="BC760" s="416"/>
      <c r="BD760" s="416"/>
      <c r="BE760" s="418">
        <v>7</v>
      </c>
      <c r="BF760" s="419">
        <v>41555</v>
      </c>
      <c r="BG760" s="420">
        <v>35.1</v>
      </c>
      <c r="BH760" s="417">
        <v>41842</v>
      </c>
      <c r="BM760" s="420">
        <v>70.2</v>
      </c>
      <c r="BN760" s="417">
        <v>41842</v>
      </c>
      <c r="BQ760" s="420">
        <v>6.6</v>
      </c>
      <c r="BR760" s="417">
        <v>41842</v>
      </c>
      <c r="BS760" s="420">
        <v>47.4</v>
      </c>
      <c r="BT760" s="417">
        <v>41842</v>
      </c>
      <c r="BU760" s="420">
        <v>15.9</v>
      </c>
      <c r="BV760" s="417">
        <v>41842</v>
      </c>
      <c r="BW760" s="420">
        <v>79.099999999999994</v>
      </c>
      <c r="BX760" s="417">
        <v>41842</v>
      </c>
      <c r="BY760" s="420">
        <v>6.36</v>
      </c>
      <c r="BZ760" s="417">
        <v>41842</v>
      </c>
      <c r="CA760" s="420">
        <v>36.5</v>
      </c>
      <c r="CB760" s="417">
        <v>41842</v>
      </c>
      <c r="CC760" s="420">
        <v>5.0999999999999996</v>
      </c>
      <c r="CD760" s="417">
        <v>41838</v>
      </c>
      <c r="CL760" s="420">
        <v>7</v>
      </c>
      <c r="CM760" s="419">
        <v>41810</v>
      </c>
    </row>
    <row r="761" spans="1:91" s="421" customFormat="1" ht="15">
      <c r="A761" s="412" t="s">
        <v>8010</v>
      </c>
      <c r="B761" s="413" t="s">
        <v>235</v>
      </c>
      <c r="C761" s="413" t="s">
        <v>8081</v>
      </c>
      <c r="D761" s="413">
        <v>11290</v>
      </c>
      <c r="E761" s="414">
        <v>10</v>
      </c>
      <c r="F761" s="414">
        <v>485</v>
      </c>
      <c r="G761" s="414"/>
      <c r="H761" s="414"/>
      <c r="I761" s="413"/>
      <c r="J761" s="413"/>
      <c r="K761" s="416">
        <v>5</v>
      </c>
      <c r="L761" s="417">
        <v>41701</v>
      </c>
      <c r="M761" s="418">
        <v>3.35</v>
      </c>
      <c r="N761" s="417">
        <v>41838</v>
      </c>
      <c r="O761" s="416"/>
      <c r="P761" s="417"/>
      <c r="Q761" s="497"/>
      <c r="R761" s="417"/>
      <c r="S761" s="416">
        <v>12.32</v>
      </c>
      <c r="T761" s="417">
        <v>41842</v>
      </c>
      <c r="U761" s="416">
        <v>13.5</v>
      </c>
      <c r="V761" s="417">
        <v>41838</v>
      </c>
      <c r="W761" s="418">
        <v>9</v>
      </c>
      <c r="X761" s="417">
        <v>41829</v>
      </c>
      <c r="Y761" s="134">
        <f t="shared" si="11"/>
        <v>3.8280000000000003</v>
      </c>
      <c r="Z761" s="417"/>
      <c r="AA761" s="416"/>
      <c r="AB761" s="417"/>
      <c r="AC761" s="416">
        <v>24.81</v>
      </c>
      <c r="AD761" s="417">
        <v>41838</v>
      </c>
      <c r="AE761" s="416">
        <v>25.52</v>
      </c>
      <c r="AF761" s="417">
        <v>41838</v>
      </c>
      <c r="AG761" s="418">
        <v>6.1</v>
      </c>
      <c r="AH761" s="417">
        <v>41843</v>
      </c>
      <c r="AI761" s="418">
        <v>5</v>
      </c>
      <c r="AJ761" s="417">
        <v>41778</v>
      </c>
      <c r="AK761" s="418">
        <v>7</v>
      </c>
      <c r="AL761" s="417">
        <v>41709</v>
      </c>
      <c r="AM761" s="416"/>
      <c r="AN761" s="417"/>
      <c r="AO761" s="416"/>
      <c r="AP761" s="416"/>
      <c r="AQ761" s="416"/>
      <c r="AR761" s="416"/>
      <c r="AS761" s="416"/>
      <c r="AT761" s="416"/>
      <c r="AU761" s="416"/>
      <c r="AV761" s="416"/>
      <c r="AW761" s="416"/>
      <c r="AX761" s="416"/>
      <c r="AY761" s="416"/>
      <c r="AZ761" s="416"/>
      <c r="BA761" s="416"/>
      <c r="BB761" s="416"/>
      <c r="BC761" s="416"/>
      <c r="BD761" s="416"/>
      <c r="BE761" s="418">
        <v>7</v>
      </c>
      <c r="BF761" s="419">
        <v>41555</v>
      </c>
      <c r="BG761" s="420">
        <v>40.200000000000003</v>
      </c>
      <c r="BH761" s="417">
        <v>41842</v>
      </c>
      <c r="BM761" s="420">
        <v>71.5</v>
      </c>
      <c r="BN761" s="417">
        <v>41842</v>
      </c>
      <c r="BQ761" s="420">
        <v>5.4</v>
      </c>
      <c r="BR761" s="417">
        <v>41842</v>
      </c>
      <c r="BS761" s="420">
        <v>48.3</v>
      </c>
      <c r="BT761" s="417">
        <v>41842</v>
      </c>
      <c r="BU761" s="420">
        <v>15</v>
      </c>
      <c r="BV761" s="417">
        <v>41842</v>
      </c>
      <c r="BW761" s="420">
        <v>78.900000000000006</v>
      </c>
      <c r="BX761" s="417">
        <v>41842</v>
      </c>
      <c r="BY761" s="420">
        <v>6.56</v>
      </c>
      <c r="BZ761" s="417">
        <v>41842</v>
      </c>
      <c r="CA761" s="420">
        <v>35</v>
      </c>
      <c r="CB761" s="417">
        <v>41842</v>
      </c>
      <c r="CC761" s="420">
        <v>6.4</v>
      </c>
      <c r="CD761" s="417">
        <v>41838</v>
      </c>
      <c r="CL761" s="420">
        <v>7</v>
      </c>
      <c r="CM761" s="419">
        <v>41810</v>
      </c>
    </row>
    <row r="762" spans="1:91" ht="15">
      <c r="A762" s="152" t="s">
        <v>8011</v>
      </c>
      <c r="B762" s="110" t="s">
        <v>233</v>
      </c>
      <c r="C762" s="110" t="s">
        <v>381</v>
      </c>
      <c r="D762" s="110">
        <v>10970</v>
      </c>
      <c r="E762" s="111">
        <v>1</v>
      </c>
      <c r="F762" s="111">
        <v>501</v>
      </c>
      <c r="I762" s="373"/>
      <c r="K762" s="194">
        <v>5</v>
      </c>
      <c r="L762" s="151">
        <v>41701</v>
      </c>
      <c r="M762" s="169">
        <v>2</v>
      </c>
      <c r="N762" s="151">
        <v>41838</v>
      </c>
      <c r="Q762" s="497"/>
      <c r="S762" s="134">
        <v>7</v>
      </c>
      <c r="T762" s="151">
        <v>41842</v>
      </c>
      <c r="U762" s="194">
        <v>13.5</v>
      </c>
      <c r="V762" s="151">
        <v>41838</v>
      </c>
      <c r="W762" s="196">
        <v>1</v>
      </c>
      <c r="X762" s="151">
        <v>41829</v>
      </c>
      <c r="Y762" s="134">
        <f t="shared" si="11"/>
        <v>2.5042799999999996</v>
      </c>
      <c r="AA762" s="194"/>
      <c r="AC762" s="194">
        <v>14.81</v>
      </c>
      <c r="AD762" s="151">
        <v>41838</v>
      </c>
      <c r="AE762" s="137">
        <v>15.27</v>
      </c>
      <c r="AF762" s="151">
        <v>41838</v>
      </c>
      <c r="AG762" s="197">
        <v>4.5</v>
      </c>
      <c r="AH762" s="151">
        <v>41843</v>
      </c>
      <c r="AI762" s="198">
        <v>5</v>
      </c>
      <c r="AJ762" s="151">
        <v>41778</v>
      </c>
      <c r="AK762" s="199">
        <v>5</v>
      </c>
      <c r="AL762" s="151">
        <v>41709</v>
      </c>
      <c r="AM762" s="194"/>
      <c r="BE762" s="200">
        <v>5</v>
      </c>
      <c r="BF762" s="201">
        <v>41555</v>
      </c>
      <c r="BG762" s="203">
        <v>35</v>
      </c>
      <c r="BH762" s="151">
        <v>41842</v>
      </c>
      <c r="BM762" s="204">
        <v>71.099999999999994</v>
      </c>
      <c r="BN762" s="151">
        <v>41842</v>
      </c>
      <c r="BQ762" s="205">
        <v>6.4</v>
      </c>
      <c r="BR762" s="151">
        <v>41842</v>
      </c>
      <c r="BS762" s="206">
        <v>45.8</v>
      </c>
      <c r="BT762" s="151">
        <v>41842</v>
      </c>
      <c r="BU762" s="207">
        <v>16.399999999999999</v>
      </c>
      <c r="BV762" s="151">
        <v>41842</v>
      </c>
      <c r="BW762" s="206">
        <v>75.7</v>
      </c>
      <c r="BX762" s="151">
        <v>41842</v>
      </c>
      <c r="BY762" s="210">
        <v>8.16</v>
      </c>
      <c r="BZ762" s="151">
        <v>41842</v>
      </c>
      <c r="CA762" s="206">
        <v>36.200000000000003</v>
      </c>
      <c r="CB762" s="151">
        <v>41842</v>
      </c>
      <c r="CC762" s="208">
        <v>6.2</v>
      </c>
      <c r="CD762" s="151">
        <v>41838</v>
      </c>
      <c r="CL762" s="209">
        <v>3</v>
      </c>
      <c r="CM762" s="201">
        <v>41810</v>
      </c>
    </row>
    <row r="763" spans="1:91" ht="15">
      <c r="A763" s="152" t="s">
        <v>8011</v>
      </c>
      <c r="B763" s="110" t="s">
        <v>235</v>
      </c>
      <c r="C763" s="110" t="s">
        <v>8082</v>
      </c>
      <c r="D763" s="110">
        <v>11595</v>
      </c>
      <c r="E763" s="111">
        <v>6</v>
      </c>
      <c r="F763" s="111">
        <v>701</v>
      </c>
      <c r="K763" s="134">
        <v>5</v>
      </c>
      <c r="L763" s="151">
        <v>41701</v>
      </c>
      <c r="M763" s="169">
        <v>3.3</v>
      </c>
      <c r="N763" s="151">
        <v>41838</v>
      </c>
      <c r="Q763" s="497"/>
      <c r="S763" s="134">
        <v>11.94</v>
      </c>
      <c r="T763" s="151">
        <v>41842</v>
      </c>
      <c r="U763" s="134">
        <v>13.5</v>
      </c>
      <c r="V763" s="151">
        <v>41838</v>
      </c>
      <c r="W763" s="196">
        <v>9</v>
      </c>
      <c r="X763" s="151">
        <v>41829</v>
      </c>
      <c r="Y763" s="134">
        <f t="shared" si="11"/>
        <v>3.9592800000000001</v>
      </c>
      <c r="AC763" s="134">
        <v>24.44</v>
      </c>
      <c r="AD763" s="151">
        <v>41838</v>
      </c>
      <c r="AE763" s="134">
        <v>25.38</v>
      </c>
      <c r="AF763" s="151">
        <v>41838</v>
      </c>
      <c r="AG763" s="197">
        <v>4.4000000000000004</v>
      </c>
      <c r="AH763" s="151">
        <v>41843</v>
      </c>
      <c r="AI763" s="198">
        <v>5</v>
      </c>
      <c r="AJ763" s="151">
        <v>41778</v>
      </c>
      <c r="AK763" s="199">
        <v>5</v>
      </c>
      <c r="AL763" s="151">
        <v>41709</v>
      </c>
      <c r="BE763" s="200">
        <v>5</v>
      </c>
      <c r="BF763" s="201">
        <v>41555</v>
      </c>
      <c r="BG763" s="203">
        <v>41.7</v>
      </c>
      <c r="BH763" s="151">
        <v>41842</v>
      </c>
      <c r="BM763" s="204">
        <v>71.7</v>
      </c>
      <c r="BN763" s="151">
        <v>41842</v>
      </c>
      <c r="BQ763" s="205">
        <v>4.5</v>
      </c>
      <c r="BR763" s="151">
        <v>41842</v>
      </c>
      <c r="BS763" s="206">
        <v>47.1</v>
      </c>
      <c r="BT763" s="151">
        <v>41842</v>
      </c>
      <c r="BU763" s="207">
        <v>15.6</v>
      </c>
      <c r="BV763" s="151">
        <v>41842</v>
      </c>
      <c r="BW763" s="206">
        <v>83.7</v>
      </c>
      <c r="BX763" s="151">
        <v>41842</v>
      </c>
      <c r="BY763" s="210">
        <v>8.02</v>
      </c>
      <c r="BZ763" s="151">
        <v>41842</v>
      </c>
      <c r="CA763" s="206">
        <v>35.5</v>
      </c>
      <c r="CB763" s="151">
        <v>41842</v>
      </c>
      <c r="CC763" s="208">
        <v>5.5</v>
      </c>
      <c r="CD763" s="151">
        <v>41838</v>
      </c>
      <c r="CL763" s="209">
        <v>5</v>
      </c>
      <c r="CM763" s="201">
        <v>41810</v>
      </c>
    </row>
    <row r="764" spans="1:91" ht="15">
      <c r="A764" s="152" t="s">
        <v>8011</v>
      </c>
      <c r="B764" s="110" t="s">
        <v>233</v>
      </c>
      <c r="C764" s="110" t="s">
        <v>8083</v>
      </c>
      <c r="D764" s="110">
        <v>11773</v>
      </c>
      <c r="E764" s="111">
        <v>11</v>
      </c>
      <c r="F764" s="111">
        <v>693</v>
      </c>
      <c r="K764" s="134">
        <v>5</v>
      </c>
      <c r="L764" s="151">
        <v>41701</v>
      </c>
      <c r="M764" s="169">
        <v>3.1</v>
      </c>
      <c r="N764" s="151">
        <v>41838</v>
      </c>
      <c r="Q764" s="497"/>
      <c r="S764" s="134">
        <v>11.2</v>
      </c>
      <c r="T764" s="151">
        <v>41842</v>
      </c>
      <c r="U764" s="134">
        <v>13.5</v>
      </c>
      <c r="V764" s="151">
        <v>41838</v>
      </c>
      <c r="W764" s="196">
        <v>9</v>
      </c>
      <c r="X764" s="151">
        <v>41829</v>
      </c>
      <c r="Y764" s="134">
        <f t="shared" si="11"/>
        <v>3.7159199999999997</v>
      </c>
      <c r="AC764" s="134">
        <v>22.96</v>
      </c>
      <c r="AD764" s="151">
        <v>41838</v>
      </c>
      <c r="AE764" s="134">
        <v>23.82</v>
      </c>
      <c r="AF764" s="151">
        <v>41838</v>
      </c>
      <c r="AG764" s="197">
        <v>4.2</v>
      </c>
      <c r="AH764" s="151">
        <v>41843</v>
      </c>
      <c r="AI764" s="198">
        <v>3</v>
      </c>
      <c r="AJ764" s="151">
        <v>41778</v>
      </c>
      <c r="AK764" s="199">
        <v>5</v>
      </c>
      <c r="AL764" s="151">
        <v>41709</v>
      </c>
      <c r="BE764" s="200">
        <v>5</v>
      </c>
      <c r="BF764" s="201">
        <v>41555</v>
      </c>
      <c r="BG764" s="203">
        <v>39.700000000000003</v>
      </c>
      <c r="BH764" s="151">
        <v>41842</v>
      </c>
      <c r="BM764" s="204">
        <v>70.5</v>
      </c>
      <c r="BN764" s="151">
        <v>41842</v>
      </c>
      <c r="BQ764" s="205">
        <v>5.3</v>
      </c>
      <c r="BR764" s="151">
        <v>41842</v>
      </c>
      <c r="BS764" s="206">
        <v>47</v>
      </c>
      <c r="BT764" s="151">
        <v>41842</v>
      </c>
      <c r="BU764" s="207">
        <v>15.6</v>
      </c>
      <c r="BV764" s="151">
        <v>41842</v>
      </c>
      <c r="BW764" s="206">
        <v>77.599999999999994</v>
      </c>
      <c r="BX764" s="151">
        <v>41842</v>
      </c>
      <c r="BY764" s="210">
        <v>7.49</v>
      </c>
      <c r="BZ764" s="151">
        <v>41842</v>
      </c>
      <c r="CA764" s="206">
        <v>35.5</v>
      </c>
      <c r="CB764" s="151">
        <v>41842</v>
      </c>
      <c r="CC764" s="208">
        <v>5.6</v>
      </c>
      <c r="CD764" s="151">
        <v>41838</v>
      </c>
      <c r="CL764" s="209">
        <v>3</v>
      </c>
      <c r="CM764" s="201">
        <v>41810</v>
      </c>
    </row>
    <row r="765" spans="1:91" ht="15">
      <c r="A765" s="152" t="s">
        <v>8011</v>
      </c>
      <c r="B765" s="110" t="s">
        <v>235</v>
      </c>
      <c r="C765" s="110" t="s">
        <v>8081</v>
      </c>
      <c r="D765" s="110">
        <v>11376</v>
      </c>
      <c r="E765" s="111">
        <v>12</v>
      </c>
      <c r="F765" s="111">
        <v>541</v>
      </c>
      <c r="K765" s="134">
        <v>5</v>
      </c>
      <c r="L765" s="151">
        <v>41701</v>
      </c>
      <c r="M765" s="169">
        <v>3.55</v>
      </c>
      <c r="N765" s="151">
        <v>41838</v>
      </c>
      <c r="Q765" s="497"/>
      <c r="S765" s="134">
        <v>12.5</v>
      </c>
      <c r="T765" s="151">
        <v>41842</v>
      </c>
      <c r="U765" s="134">
        <v>13.5</v>
      </c>
      <c r="V765" s="151">
        <v>41838</v>
      </c>
      <c r="W765" s="196">
        <v>9</v>
      </c>
      <c r="X765" s="151">
        <v>41829</v>
      </c>
      <c r="Y765" s="134">
        <f t="shared" si="11"/>
        <v>4.5011999999999999</v>
      </c>
      <c r="AC765" s="134">
        <v>26.3</v>
      </c>
      <c r="AD765" s="151">
        <v>41838</v>
      </c>
      <c r="AE765" s="134">
        <v>27.28</v>
      </c>
      <c r="AF765" s="151">
        <v>41838</v>
      </c>
      <c r="AG765" s="197">
        <v>4.4000000000000004</v>
      </c>
      <c r="AH765" s="151">
        <v>41843</v>
      </c>
      <c r="AI765" s="198">
        <v>3</v>
      </c>
      <c r="AJ765" s="151">
        <v>41778</v>
      </c>
      <c r="AK765" s="199">
        <v>5</v>
      </c>
      <c r="AL765" s="151">
        <v>41709</v>
      </c>
      <c r="BE765" s="200">
        <v>5</v>
      </c>
      <c r="BF765" s="201">
        <v>41555</v>
      </c>
      <c r="BG765" s="203">
        <v>35.1</v>
      </c>
      <c r="BH765" s="151">
        <v>41842</v>
      </c>
      <c r="BM765" s="204">
        <v>70.8</v>
      </c>
      <c r="BN765" s="151">
        <v>41842</v>
      </c>
      <c r="BQ765" s="205">
        <v>5.8</v>
      </c>
      <c r="BR765" s="151">
        <v>41842</v>
      </c>
      <c r="BS765" s="206">
        <v>45.8</v>
      </c>
      <c r="BT765" s="151">
        <v>41842</v>
      </c>
      <c r="BU765" s="207">
        <v>16.5</v>
      </c>
      <c r="BV765" s="151">
        <v>41842</v>
      </c>
      <c r="BW765" s="206">
        <v>77.3</v>
      </c>
      <c r="BX765" s="151">
        <v>41842</v>
      </c>
      <c r="BY765" s="210">
        <v>8.01</v>
      </c>
      <c r="BZ765" s="151">
        <v>41842</v>
      </c>
      <c r="CA765" s="206">
        <v>36.4</v>
      </c>
      <c r="CB765" s="151">
        <v>41842</v>
      </c>
      <c r="CC765" s="208">
        <v>5.6</v>
      </c>
      <c r="CD765" s="151">
        <v>41838</v>
      </c>
      <c r="CL765" s="209">
        <v>7</v>
      </c>
      <c r="CM765" s="201">
        <v>41810</v>
      </c>
    </row>
    <row r="766" spans="1:91" ht="15">
      <c r="A766" s="152" t="s">
        <v>8012</v>
      </c>
      <c r="B766" s="110" t="s">
        <v>233</v>
      </c>
      <c r="C766" s="110" t="s">
        <v>381</v>
      </c>
      <c r="D766" s="110">
        <v>11029</v>
      </c>
      <c r="E766" s="111">
        <v>2</v>
      </c>
      <c r="F766" s="111">
        <v>593</v>
      </c>
      <c r="K766" s="191">
        <v>3</v>
      </c>
      <c r="L766" s="151">
        <v>41701</v>
      </c>
      <c r="M766" s="169">
        <v>1.9</v>
      </c>
      <c r="N766" s="151">
        <v>41838</v>
      </c>
      <c r="Q766" s="497"/>
      <c r="S766" s="134">
        <v>6.82</v>
      </c>
      <c r="T766" s="151">
        <v>41842</v>
      </c>
      <c r="U766" s="134">
        <v>13.5</v>
      </c>
      <c r="V766" s="151">
        <v>41838</v>
      </c>
      <c r="W766" s="196">
        <v>1</v>
      </c>
      <c r="X766" s="151">
        <v>41829</v>
      </c>
      <c r="Y766" s="134">
        <f t="shared" si="11"/>
        <v>2.3990999999999998</v>
      </c>
      <c r="AC766" s="134">
        <v>14.07</v>
      </c>
      <c r="AD766" s="151">
        <v>41838</v>
      </c>
      <c r="AE766" s="134">
        <v>14.54</v>
      </c>
      <c r="AF766" s="151">
        <v>41838</v>
      </c>
      <c r="AG766" s="197">
        <v>4.3</v>
      </c>
      <c r="AH766" s="151">
        <v>41843</v>
      </c>
      <c r="AI766" s="198">
        <v>5</v>
      </c>
      <c r="AJ766" s="151">
        <v>41778</v>
      </c>
      <c r="AK766" s="199">
        <v>4</v>
      </c>
      <c r="AL766" s="151">
        <v>41709</v>
      </c>
      <c r="BE766" s="200">
        <v>4</v>
      </c>
      <c r="BF766" s="201">
        <v>41555</v>
      </c>
      <c r="BG766" s="203">
        <v>39.200000000000003</v>
      </c>
      <c r="BH766" s="151">
        <v>41842</v>
      </c>
      <c r="BM766" s="204">
        <v>71.900000000000006</v>
      </c>
      <c r="BN766" s="151">
        <v>41842</v>
      </c>
      <c r="BQ766" s="205">
        <v>4.5</v>
      </c>
      <c r="BR766" s="151">
        <v>41842</v>
      </c>
      <c r="BS766" s="206">
        <v>46.9</v>
      </c>
      <c r="BT766" s="151">
        <v>41842</v>
      </c>
      <c r="BU766" s="207">
        <v>16.5</v>
      </c>
      <c r="BV766" s="151">
        <v>41842</v>
      </c>
      <c r="BW766" s="206">
        <v>85.4</v>
      </c>
      <c r="BX766" s="151">
        <v>41842</v>
      </c>
      <c r="BY766" s="210">
        <v>7.18</v>
      </c>
      <c r="BZ766" s="151">
        <v>41842</v>
      </c>
      <c r="CA766" s="206">
        <v>37.299999999999997</v>
      </c>
      <c r="CB766" s="151">
        <v>41842</v>
      </c>
      <c r="CC766" s="208">
        <v>6</v>
      </c>
      <c r="CD766" s="151">
        <v>41838</v>
      </c>
      <c r="CL766" s="209">
        <v>9</v>
      </c>
      <c r="CM766" s="201">
        <v>41810</v>
      </c>
    </row>
    <row r="767" spans="1:91" ht="15">
      <c r="A767" s="152" t="s">
        <v>8012</v>
      </c>
      <c r="B767" s="110" t="s">
        <v>235</v>
      </c>
      <c r="C767" s="110" t="s">
        <v>8082</v>
      </c>
      <c r="D767" s="110">
        <v>11565</v>
      </c>
      <c r="E767" s="111">
        <v>5</v>
      </c>
      <c r="F767" s="111">
        <v>725</v>
      </c>
      <c r="K767" s="134">
        <v>5</v>
      </c>
      <c r="L767" s="151">
        <v>41701</v>
      </c>
      <c r="M767" s="169">
        <v>2.95</v>
      </c>
      <c r="N767" s="151">
        <v>41838</v>
      </c>
      <c r="Q767" s="497"/>
      <c r="S767" s="134">
        <v>10.58</v>
      </c>
      <c r="T767" s="151">
        <v>41842</v>
      </c>
      <c r="U767" s="134">
        <v>13.5</v>
      </c>
      <c r="V767" s="151">
        <v>41838</v>
      </c>
      <c r="W767" s="196">
        <v>9</v>
      </c>
      <c r="X767" s="151">
        <v>41829</v>
      </c>
      <c r="Y767" s="134">
        <f t="shared" si="11"/>
        <v>3.6424399999999997</v>
      </c>
      <c r="AC767" s="134">
        <v>21.85</v>
      </c>
      <c r="AD767" s="151">
        <v>41838</v>
      </c>
      <c r="AE767" s="134">
        <v>22.21</v>
      </c>
      <c r="AF767" s="151">
        <v>41838</v>
      </c>
      <c r="AG767" s="197">
        <v>4.2</v>
      </c>
      <c r="AH767" s="151">
        <v>41843</v>
      </c>
      <c r="AI767" s="198">
        <v>7</v>
      </c>
      <c r="AJ767" s="151">
        <v>41778</v>
      </c>
      <c r="AK767" s="199">
        <v>4</v>
      </c>
      <c r="AL767" s="151">
        <v>41709</v>
      </c>
      <c r="BE767" s="200">
        <v>4</v>
      </c>
      <c r="BF767" s="201">
        <v>41555</v>
      </c>
      <c r="BG767" s="203">
        <v>42.4</v>
      </c>
      <c r="BH767" s="151">
        <v>41842</v>
      </c>
      <c r="BM767" s="204">
        <v>72.400000000000006</v>
      </c>
      <c r="BN767" s="151">
        <v>41842</v>
      </c>
      <c r="BQ767" s="205">
        <v>4.3</v>
      </c>
      <c r="BR767" s="151">
        <v>41842</v>
      </c>
      <c r="BS767" s="206">
        <v>47.7</v>
      </c>
      <c r="BT767" s="151">
        <v>41842</v>
      </c>
      <c r="BU767" s="207">
        <v>16.399999999999999</v>
      </c>
      <c r="BV767" s="151">
        <v>41842</v>
      </c>
      <c r="BW767" s="206">
        <v>84.6</v>
      </c>
      <c r="BX767" s="151">
        <v>41842</v>
      </c>
      <c r="BY767" s="210">
        <v>7.21</v>
      </c>
      <c r="BZ767" s="151">
        <v>41842</v>
      </c>
      <c r="CA767" s="206">
        <v>37.700000000000003</v>
      </c>
      <c r="CB767" s="151">
        <v>41842</v>
      </c>
      <c r="CC767" s="208">
        <v>7.5</v>
      </c>
      <c r="CD767" s="151">
        <v>41838</v>
      </c>
      <c r="CL767" s="209">
        <v>9</v>
      </c>
      <c r="CM767" s="201">
        <v>41810</v>
      </c>
    </row>
    <row r="768" spans="1:91" ht="15">
      <c r="A768" s="152" t="s">
        <v>8012</v>
      </c>
      <c r="B768" s="110" t="s">
        <v>235</v>
      </c>
      <c r="C768" s="110" t="s">
        <v>8081</v>
      </c>
      <c r="D768" s="110">
        <v>11302</v>
      </c>
      <c r="E768" s="111">
        <v>10</v>
      </c>
      <c r="F768" s="111">
        <v>533</v>
      </c>
      <c r="K768" s="134">
        <v>5</v>
      </c>
      <c r="L768" s="151">
        <v>41701</v>
      </c>
      <c r="M768" s="169">
        <v>2.8</v>
      </c>
      <c r="N768" s="151">
        <v>41838</v>
      </c>
      <c r="Q768" s="497"/>
      <c r="S768" s="134">
        <v>10.19</v>
      </c>
      <c r="T768" s="151">
        <v>41842</v>
      </c>
      <c r="U768" s="134">
        <v>13.5</v>
      </c>
      <c r="V768" s="151">
        <v>41838</v>
      </c>
      <c r="W768" s="196">
        <v>9</v>
      </c>
      <c r="X768" s="151">
        <v>41829</v>
      </c>
      <c r="Y768" s="134">
        <f t="shared" si="11"/>
        <v>3.5210799999999995</v>
      </c>
      <c r="AC768" s="134">
        <v>20.74</v>
      </c>
      <c r="AD768" s="151">
        <v>41838</v>
      </c>
      <c r="AE768" s="134">
        <v>21.47</v>
      </c>
      <c r="AF768" s="151">
        <v>41838</v>
      </c>
      <c r="AG768" s="197">
        <v>3.9</v>
      </c>
      <c r="AH768" s="151">
        <v>41843</v>
      </c>
      <c r="AI768" s="198">
        <v>5</v>
      </c>
      <c r="AJ768" s="151">
        <v>41778</v>
      </c>
      <c r="AK768" s="199">
        <v>4</v>
      </c>
      <c r="AL768" s="151">
        <v>41709</v>
      </c>
      <c r="BE768" s="200">
        <v>4</v>
      </c>
      <c r="BF768" s="201">
        <v>41555</v>
      </c>
      <c r="BG768" s="203">
        <v>44.5</v>
      </c>
      <c r="BH768" s="151">
        <v>41842</v>
      </c>
      <c r="BM768" s="204">
        <v>72.099999999999994</v>
      </c>
      <c r="BN768" s="151">
        <v>41842</v>
      </c>
      <c r="BQ768" s="205">
        <v>4.3</v>
      </c>
      <c r="BR768" s="151">
        <v>41842</v>
      </c>
      <c r="BS768" s="206">
        <v>47.5</v>
      </c>
      <c r="BT768" s="151">
        <v>41842</v>
      </c>
      <c r="BU768" s="207">
        <v>16.399999999999999</v>
      </c>
      <c r="BV768" s="151">
        <v>41842</v>
      </c>
      <c r="BW768" s="206">
        <v>82</v>
      </c>
      <c r="BX768" s="151">
        <v>41842</v>
      </c>
      <c r="BY768" s="210">
        <v>7.13</v>
      </c>
      <c r="BZ768" s="151">
        <v>41842</v>
      </c>
      <c r="CA768" s="206">
        <v>37.700000000000003</v>
      </c>
      <c r="CB768" s="151">
        <v>41842</v>
      </c>
      <c r="CC768" s="208">
        <v>5.8</v>
      </c>
      <c r="CD768" s="151">
        <v>41838</v>
      </c>
      <c r="CL768" s="209">
        <v>9</v>
      </c>
      <c r="CM768" s="201">
        <v>41810</v>
      </c>
    </row>
    <row r="769" spans="1:91" ht="15">
      <c r="A769" s="152" t="s">
        <v>8012</v>
      </c>
      <c r="B769" s="110" t="s">
        <v>233</v>
      </c>
      <c r="C769" s="110" t="s">
        <v>8083</v>
      </c>
      <c r="D769" s="110">
        <v>11756</v>
      </c>
      <c r="E769" s="111">
        <v>11</v>
      </c>
      <c r="F769" s="111">
        <v>625</v>
      </c>
      <c r="K769" s="134">
        <v>5</v>
      </c>
      <c r="L769" s="151">
        <v>41701</v>
      </c>
      <c r="M769" s="169">
        <v>2.85</v>
      </c>
      <c r="N769" s="151">
        <v>41838</v>
      </c>
      <c r="Q769" s="497"/>
      <c r="S769" s="134">
        <v>10.32</v>
      </c>
      <c r="T769" s="151">
        <v>41842</v>
      </c>
      <c r="U769" s="134">
        <v>13.5</v>
      </c>
      <c r="V769" s="151">
        <v>41838</v>
      </c>
      <c r="W769" s="196">
        <v>9</v>
      </c>
      <c r="X769" s="151">
        <v>41829</v>
      </c>
      <c r="Y769" s="134">
        <f t="shared" si="11"/>
        <v>3.5729600000000006</v>
      </c>
      <c r="AC769" s="134">
        <v>21.11</v>
      </c>
      <c r="AD769" s="151">
        <v>41838</v>
      </c>
      <c r="AE769" s="134">
        <v>21.92</v>
      </c>
      <c r="AF769" s="151">
        <v>41838</v>
      </c>
      <c r="AG769" s="197">
        <v>3.9</v>
      </c>
      <c r="AH769" s="151">
        <v>41843</v>
      </c>
      <c r="AI769" s="198">
        <v>7</v>
      </c>
      <c r="AJ769" s="151">
        <v>41778</v>
      </c>
      <c r="AK769" s="199">
        <v>4</v>
      </c>
      <c r="AL769" s="151">
        <v>41709</v>
      </c>
      <c r="BE769" s="200">
        <v>4</v>
      </c>
      <c r="BF769" s="201">
        <v>41555</v>
      </c>
      <c r="BG769" s="203">
        <v>38.700000000000003</v>
      </c>
      <c r="BH769" s="151">
        <v>41842</v>
      </c>
      <c r="BM769" s="204">
        <v>72</v>
      </c>
      <c r="BN769" s="151">
        <v>41842</v>
      </c>
      <c r="BQ769" s="205">
        <v>5</v>
      </c>
      <c r="BR769" s="151">
        <v>41842</v>
      </c>
      <c r="BS769" s="206">
        <v>47.1</v>
      </c>
      <c r="BT769" s="151">
        <v>41842</v>
      </c>
      <c r="BU769" s="207">
        <v>16.3</v>
      </c>
      <c r="BV769" s="151">
        <v>41842</v>
      </c>
      <c r="BW769" s="206">
        <v>70.2</v>
      </c>
      <c r="BX769" s="151">
        <v>41842</v>
      </c>
      <c r="BY769" s="210">
        <v>6.63</v>
      </c>
      <c r="BZ769" s="151">
        <v>41842</v>
      </c>
      <c r="CA769" s="206">
        <v>37.1</v>
      </c>
      <c r="CB769" s="151">
        <v>41842</v>
      </c>
      <c r="CC769" s="208">
        <v>5.5</v>
      </c>
      <c r="CD769" s="151">
        <v>41838</v>
      </c>
      <c r="CL769" s="209">
        <v>9</v>
      </c>
      <c r="CM769" s="201">
        <v>41810</v>
      </c>
    </row>
    <row r="770" spans="1:91" ht="15">
      <c r="A770" s="152" t="s">
        <v>8013</v>
      </c>
      <c r="B770" s="110" t="s">
        <v>235</v>
      </c>
      <c r="C770" s="110" t="s">
        <v>8082</v>
      </c>
      <c r="D770" s="110">
        <v>11497</v>
      </c>
      <c r="E770" s="111">
        <v>3</v>
      </c>
      <c r="F770" s="111">
        <v>741</v>
      </c>
      <c r="K770" s="134">
        <v>5</v>
      </c>
      <c r="L770" s="151">
        <v>41701</v>
      </c>
      <c r="M770" s="169">
        <v>3.2</v>
      </c>
      <c r="N770" s="151">
        <v>41838</v>
      </c>
      <c r="Q770" s="497"/>
      <c r="S770" s="134">
        <v>11.15</v>
      </c>
      <c r="T770" s="151">
        <v>41842</v>
      </c>
      <c r="U770" s="134">
        <v>13.5</v>
      </c>
      <c r="V770" s="151">
        <v>41838</v>
      </c>
      <c r="W770" s="196">
        <v>1</v>
      </c>
      <c r="X770" s="151">
        <v>41829</v>
      </c>
      <c r="Y770" s="134">
        <f t="shared" si="11"/>
        <v>4.3037999999999998</v>
      </c>
      <c r="AC770" s="134">
        <v>23.7</v>
      </c>
      <c r="AD770" s="151">
        <v>41838</v>
      </c>
      <c r="AE770" s="134">
        <v>23.91</v>
      </c>
      <c r="AF770" s="151">
        <v>41838</v>
      </c>
      <c r="AG770" s="197">
        <v>4.5999999999999996</v>
      </c>
      <c r="AH770" s="151">
        <v>41843</v>
      </c>
      <c r="AI770" s="198">
        <v>7</v>
      </c>
      <c r="AJ770" s="151">
        <v>41778</v>
      </c>
      <c r="AK770" s="199">
        <v>4</v>
      </c>
      <c r="AL770" s="151">
        <v>41709</v>
      </c>
      <c r="BE770" s="200">
        <v>4</v>
      </c>
      <c r="BF770" s="201">
        <v>41555</v>
      </c>
      <c r="BG770" s="203">
        <v>42.6</v>
      </c>
      <c r="BH770" s="151">
        <v>41842</v>
      </c>
      <c r="BM770" s="204">
        <v>70.5</v>
      </c>
      <c r="BN770" s="151">
        <v>41842</v>
      </c>
      <c r="BQ770" s="205">
        <v>4.7</v>
      </c>
      <c r="BR770" s="151">
        <v>41842</v>
      </c>
      <c r="BS770" s="206">
        <v>46.6</v>
      </c>
      <c r="BT770" s="151">
        <v>41842</v>
      </c>
      <c r="BU770" s="207">
        <v>18</v>
      </c>
      <c r="BV770" s="151">
        <v>41842</v>
      </c>
      <c r="BW770" s="206">
        <v>84.6</v>
      </c>
      <c r="BX770" s="151">
        <v>41842</v>
      </c>
      <c r="BY770" s="210">
        <v>7.03</v>
      </c>
      <c r="BZ770" s="151">
        <v>41842</v>
      </c>
      <c r="CA770" s="206">
        <v>40.6</v>
      </c>
      <c r="CB770" s="151">
        <v>41842</v>
      </c>
      <c r="CC770" s="208">
        <v>8.1999999999999993</v>
      </c>
      <c r="CD770" s="151">
        <v>41838</v>
      </c>
      <c r="CL770" s="209">
        <v>5</v>
      </c>
      <c r="CM770" s="201">
        <v>41810</v>
      </c>
    </row>
    <row r="771" spans="1:91" ht="15">
      <c r="A771" s="152" t="s">
        <v>8013</v>
      </c>
      <c r="B771" s="110" t="s">
        <v>233</v>
      </c>
      <c r="C771" s="110" t="s">
        <v>381</v>
      </c>
      <c r="D771" s="110">
        <v>11141</v>
      </c>
      <c r="E771" s="111">
        <v>5</v>
      </c>
      <c r="F771" s="111">
        <v>609</v>
      </c>
      <c r="K771" s="134">
        <v>5</v>
      </c>
      <c r="L771" s="151">
        <v>41701</v>
      </c>
      <c r="M771" s="169">
        <v>2.5</v>
      </c>
      <c r="N771" s="151">
        <v>41838</v>
      </c>
      <c r="Q771" s="497"/>
      <c r="S771" s="134">
        <v>9.06</v>
      </c>
      <c r="T771" s="151">
        <v>41842</v>
      </c>
      <c r="U771" s="134">
        <v>13.5</v>
      </c>
      <c r="V771" s="151">
        <v>41838</v>
      </c>
      <c r="W771" s="196">
        <v>1</v>
      </c>
      <c r="X771" s="151">
        <v>41829</v>
      </c>
      <c r="Y771" s="134">
        <f t="shared" ref="Y771:Y834" si="12">(AE771*BU771)/100</f>
        <v>3.1684800000000002</v>
      </c>
      <c r="AC771" s="134">
        <v>18.52</v>
      </c>
      <c r="AD771" s="151">
        <v>41838</v>
      </c>
      <c r="AE771" s="134">
        <v>18.86</v>
      </c>
      <c r="AF771" s="151">
        <v>41838</v>
      </c>
      <c r="AG771" s="197">
        <v>4.5999999999999996</v>
      </c>
      <c r="AH771" s="151">
        <v>41843</v>
      </c>
      <c r="AI771" s="198">
        <v>7</v>
      </c>
      <c r="AJ771" s="151">
        <v>41778</v>
      </c>
      <c r="AK771" s="199">
        <v>4</v>
      </c>
      <c r="AL771" s="151">
        <v>41709</v>
      </c>
      <c r="BE771" s="200">
        <v>4</v>
      </c>
      <c r="BF771" s="201">
        <v>41555</v>
      </c>
      <c r="BG771" s="203">
        <v>42.3</v>
      </c>
      <c r="BH771" s="151">
        <v>41842</v>
      </c>
      <c r="BM771" s="204">
        <v>69.599999999999994</v>
      </c>
      <c r="BN771" s="151">
        <v>41842</v>
      </c>
      <c r="BQ771" s="205">
        <v>4.5999999999999996</v>
      </c>
      <c r="BR771" s="151">
        <v>41842</v>
      </c>
      <c r="BS771" s="206">
        <v>48</v>
      </c>
      <c r="BT771" s="151">
        <v>41842</v>
      </c>
      <c r="BU771" s="207">
        <v>16.8</v>
      </c>
      <c r="BV771" s="151">
        <v>41842</v>
      </c>
      <c r="BW771" s="206">
        <v>75.599999999999994</v>
      </c>
      <c r="BX771" s="151">
        <v>41842</v>
      </c>
      <c r="BY771" s="210">
        <v>6.93</v>
      </c>
      <c r="BZ771" s="151">
        <v>41842</v>
      </c>
      <c r="CA771" s="206">
        <v>39</v>
      </c>
      <c r="CB771" s="151">
        <v>41842</v>
      </c>
      <c r="CC771" s="208">
        <v>7.3</v>
      </c>
      <c r="CD771" s="151">
        <v>41838</v>
      </c>
      <c r="CL771" s="209">
        <v>7</v>
      </c>
      <c r="CM771" s="201">
        <v>41810</v>
      </c>
    </row>
    <row r="772" spans="1:91" ht="15">
      <c r="A772" s="152" t="s">
        <v>8013</v>
      </c>
      <c r="B772" s="110" t="s">
        <v>233</v>
      </c>
      <c r="C772" s="110" t="s">
        <v>8083</v>
      </c>
      <c r="D772" s="110">
        <v>11704</v>
      </c>
      <c r="E772" s="111">
        <v>9</v>
      </c>
      <c r="F772" s="111">
        <v>705</v>
      </c>
      <c r="K772" s="134">
        <v>5</v>
      </c>
      <c r="L772" s="151">
        <v>41701</v>
      </c>
      <c r="M772" s="169">
        <v>2.65</v>
      </c>
      <c r="N772" s="151">
        <v>41838</v>
      </c>
      <c r="Q772" s="497"/>
      <c r="S772" s="134">
        <v>9.81</v>
      </c>
      <c r="T772" s="151">
        <v>41842</v>
      </c>
      <c r="U772" s="134">
        <v>13.5</v>
      </c>
      <c r="V772" s="151">
        <v>41838</v>
      </c>
      <c r="W772" s="196">
        <v>1</v>
      </c>
      <c r="X772" s="151">
        <v>41829</v>
      </c>
      <c r="Y772" s="134">
        <f t="shared" si="12"/>
        <v>3.3291999999999997</v>
      </c>
      <c r="AC772" s="134">
        <v>19.63</v>
      </c>
      <c r="AD772" s="151">
        <v>41838</v>
      </c>
      <c r="AE772" s="134">
        <v>20.3</v>
      </c>
      <c r="AF772" s="151">
        <v>41838</v>
      </c>
      <c r="AG772" s="197">
        <v>4.5</v>
      </c>
      <c r="AH772" s="151">
        <v>41843</v>
      </c>
      <c r="AI772" s="198">
        <v>7</v>
      </c>
      <c r="AJ772" s="151">
        <v>41778</v>
      </c>
      <c r="AK772" s="199">
        <v>4</v>
      </c>
      <c r="AL772" s="151">
        <v>41709</v>
      </c>
      <c r="BE772" s="200">
        <v>4</v>
      </c>
      <c r="BF772" s="201">
        <v>41555</v>
      </c>
      <c r="BG772" s="203">
        <v>44.5</v>
      </c>
      <c r="BH772" s="151">
        <v>41842</v>
      </c>
      <c r="BM772" s="204">
        <v>70.7</v>
      </c>
      <c r="BN772" s="151">
        <v>41842</v>
      </c>
      <c r="BQ772" s="205">
        <v>4</v>
      </c>
      <c r="BR772" s="151">
        <v>41842</v>
      </c>
      <c r="BS772" s="206">
        <v>48.3</v>
      </c>
      <c r="BT772" s="151">
        <v>41842</v>
      </c>
      <c r="BU772" s="207">
        <v>16.399999999999999</v>
      </c>
      <c r="BV772" s="151">
        <v>41842</v>
      </c>
      <c r="BW772" s="206">
        <v>77.8</v>
      </c>
      <c r="BX772" s="151">
        <v>41842</v>
      </c>
      <c r="BY772" s="210">
        <v>6.36</v>
      </c>
      <c r="BZ772" s="151">
        <v>41842</v>
      </c>
      <c r="CA772" s="206">
        <v>38.5</v>
      </c>
      <c r="CB772" s="151">
        <v>41842</v>
      </c>
      <c r="CC772" s="208">
        <v>5.9</v>
      </c>
      <c r="CD772" s="151">
        <v>41838</v>
      </c>
      <c r="CL772" s="209">
        <v>5</v>
      </c>
      <c r="CM772" s="201">
        <v>41810</v>
      </c>
    </row>
    <row r="773" spans="1:91" ht="15">
      <c r="A773" s="152" t="s">
        <v>8013</v>
      </c>
      <c r="B773" s="110" t="s">
        <v>235</v>
      </c>
      <c r="C773" s="110" t="s">
        <v>8081</v>
      </c>
      <c r="D773" s="110">
        <v>11314</v>
      </c>
      <c r="E773" s="111">
        <v>10</v>
      </c>
      <c r="F773" s="111">
        <v>581</v>
      </c>
      <c r="K773" s="134">
        <v>5</v>
      </c>
      <c r="L773" s="151">
        <v>41701</v>
      </c>
      <c r="M773" s="169">
        <v>3.5</v>
      </c>
      <c r="N773" s="151">
        <v>41838</v>
      </c>
      <c r="Q773" s="497"/>
      <c r="S773" s="134">
        <v>12.69</v>
      </c>
      <c r="T773" s="151">
        <v>41842</v>
      </c>
      <c r="U773" s="134">
        <v>13.5</v>
      </c>
      <c r="V773" s="151">
        <v>41838</v>
      </c>
      <c r="W773" s="196">
        <v>1</v>
      </c>
      <c r="X773" s="151">
        <v>41829</v>
      </c>
      <c r="Y773" s="134">
        <f t="shared" si="12"/>
        <v>4.4805600000000005</v>
      </c>
      <c r="AC773" s="134">
        <v>25.93</v>
      </c>
      <c r="AD773" s="151">
        <v>41838</v>
      </c>
      <c r="AE773" s="134">
        <v>26.67</v>
      </c>
      <c r="AF773" s="151">
        <v>41838</v>
      </c>
      <c r="AG773" s="197">
        <v>4.5</v>
      </c>
      <c r="AH773" s="151">
        <v>41843</v>
      </c>
      <c r="AI773" s="198">
        <v>7</v>
      </c>
      <c r="AJ773" s="151">
        <v>41778</v>
      </c>
      <c r="AK773" s="199">
        <v>4</v>
      </c>
      <c r="AL773" s="151">
        <v>41709</v>
      </c>
      <c r="BE773" s="200">
        <v>4</v>
      </c>
      <c r="BF773" s="201">
        <v>41555</v>
      </c>
      <c r="BG773" s="203">
        <v>39.4</v>
      </c>
      <c r="BH773" s="151">
        <v>41842</v>
      </c>
      <c r="BM773" s="204">
        <v>70.3</v>
      </c>
      <c r="BN773" s="151">
        <v>41842</v>
      </c>
      <c r="BQ773" s="205">
        <v>4.3</v>
      </c>
      <c r="BR773" s="151">
        <v>41842</v>
      </c>
      <c r="BS773" s="206">
        <v>47.6</v>
      </c>
      <c r="BT773" s="151">
        <v>41842</v>
      </c>
      <c r="BU773" s="207">
        <v>16.8</v>
      </c>
      <c r="BV773" s="151">
        <v>41842</v>
      </c>
      <c r="BW773" s="206">
        <v>72</v>
      </c>
      <c r="BX773" s="151">
        <v>41842</v>
      </c>
      <c r="BY773" s="210">
        <v>6.95</v>
      </c>
      <c r="BZ773" s="151">
        <v>41842</v>
      </c>
      <c r="CA773" s="206">
        <v>38.6</v>
      </c>
      <c r="CB773" s="151">
        <v>41842</v>
      </c>
      <c r="CC773" s="208">
        <v>6.4</v>
      </c>
      <c r="CD773" s="151">
        <v>41838</v>
      </c>
      <c r="CL773" s="209">
        <v>5</v>
      </c>
      <c r="CM773" s="201">
        <v>41810</v>
      </c>
    </row>
    <row r="774" spans="1:91" ht="15">
      <c r="A774" s="152" t="s">
        <v>8014</v>
      </c>
      <c r="B774" s="110" t="s">
        <v>233</v>
      </c>
      <c r="C774" s="110" t="s">
        <v>381</v>
      </c>
      <c r="D774" s="110">
        <v>11146</v>
      </c>
      <c r="E774" s="111">
        <v>6</v>
      </c>
      <c r="F774" s="111">
        <v>485</v>
      </c>
      <c r="K774" s="194">
        <v>7</v>
      </c>
      <c r="L774" s="151">
        <v>41701</v>
      </c>
      <c r="M774" s="169">
        <v>2.4</v>
      </c>
      <c r="N774" s="151">
        <v>41838</v>
      </c>
      <c r="Q774" s="497"/>
      <c r="S774" s="134">
        <v>8.86</v>
      </c>
      <c r="T774" s="151">
        <v>41842</v>
      </c>
      <c r="U774" s="134">
        <v>13.5</v>
      </c>
      <c r="V774" s="151">
        <v>41838</v>
      </c>
      <c r="W774" s="196">
        <v>1</v>
      </c>
      <c r="X774" s="151">
        <v>41829</v>
      </c>
      <c r="Y774" s="134">
        <f t="shared" si="12"/>
        <v>2.6491500000000001</v>
      </c>
      <c r="AC774" s="134">
        <v>17.78</v>
      </c>
      <c r="AD774" s="151">
        <v>41838</v>
      </c>
      <c r="AE774" s="134">
        <v>18.27</v>
      </c>
      <c r="AF774" s="151">
        <v>41838</v>
      </c>
      <c r="AG774" s="197">
        <v>4.0999999999999996</v>
      </c>
      <c r="AH774" s="151">
        <v>41843</v>
      </c>
      <c r="AI774" s="198">
        <v>7</v>
      </c>
      <c r="AJ774" s="151">
        <v>41778</v>
      </c>
      <c r="AK774" s="199">
        <v>7</v>
      </c>
      <c r="AL774" s="151">
        <v>41709</v>
      </c>
      <c r="BE774" s="200">
        <v>7</v>
      </c>
      <c r="BF774" s="201">
        <v>41555</v>
      </c>
      <c r="BG774" s="203">
        <v>44.7</v>
      </c>
      <c r="BH774" s="151">
        <v>41842</v>
      </c>
      <c r="BM774" s="204">
        <v>72.099999999999994</v>
      </c>
      <c r="BN774" s="151">
        <v>41842</v>
      </c>
      <c r="BQ774" s="205">
        <v>5.2</v>
      </c>
      <c r="BR774" s="151">
        <v>41842</v>
      </c>
      <c r="BS774" s="206">
        <v>48.5</v>
      </c>
      <c r="BT774" s="151">
        <v>41842</v>
      </c>
      <c r="BU774" s="207">
        <v>14.5</v>
      </c>
      <c r="BV774" s="151">
        <v>41842</v>
      </c>
      <c r="BW774" s="206">
        <v>72</v>
      </c>
      <c r="BX774" s="151">
        <v>41842</v>
      </c>
      <c r="BY774" s="210">
        <v>7.9</v>
      </c>
      <c r="BZ774" s="151">
        <v>41842</v>
      </c>
      <c r="CA774" s="206">
        <v>34.1</v>
      </c>
      <c r="CB774" s="151">
        <v>41842</v>
      </c>
      <c r="CC774" s="208">
        <v>6.5</v>
      </c>
      <c r="CD774" s="151">
        <v>41838</v>
      </c>
      <c r="CL774" s="209">
        <v>7</v>
      </c>
      <c r="CM774" s="201">
        <v>41810</v>
      </c>
    </row>
    <row r="775" spans="1:91" ht="15">
      <c r="A775" s="152" t="s">
        <v>8014</v>
      </c>
      <c r="B775" s="110" t="s">
        <v>235</v>
      </c>
      <c r="C775" s="110" t="s">
        <v>8082</v>
      </c>
      <c r="D775" s="110">
        <v>11605</v>
      </c>
      <c r="E775" s="111">
        <v>6</v>
      </c>
      <c r="F775" s="111">
        <v>741</v>
      </c>
      <c r="K775" s="194">
        <v>7</v>
      </c>
      <c r="L775" s="151">
        <v>41701</v>
      </c>
      <c r="M775" s="169">
        <v>2.7</v>
      </c>
      <c r="N775" s="151">
        <v>41838</v>
      </c>
      <c r="Q775" s="497"/>
      <c r="S775" s="134">
        <v>9.4700000000000006</v>
      </c>
      <c r="T775" s="151">
        <v>41842</v>
      </c>
      <c r="U775" s="134">
        <v>13.5</v>
      </c>
      <c r="V775" s="151">
        <v>41838</v>
      </c>
      <c r="W775" s="196">
        <v>9</v>
      </c>
      <c r="X775" s="151">
        <v>41829</v>
      </c>
      <c r="Y775" s="134">
        <f t="shared" si="12"/>
        <v>3.1683599999999994</v>
      </c>
      <c r="AC775" s="134">
        <v>20</v>
      </c>
      <c r="AD775" s="151">
        <v>41838</v>
      </c>
      <c r="AE775" s="134">
        <v>20.309999999999999</v>
      </c>
      <c r="AF775" s="151">
        <v>41838</v>
      </c>
      <c r="AG775" s="197">
        <v>4.2</v>
      </c>
      <c r="AH775" s="151">
        <v>41843</v>
      </c>
      <c r="AI775" s="198">
        <v>5</v>
      </c>
      <c r="AJ775" s="151">
        <v>41778</v>
      </c>
      <c r="AK775" s="199">
        <v>7</v>
      </c>
      <c r="AL775" s="151">
        <v>41709</v>
      </c>
      <c r="BE775" s="200">
        <v>7</v>
      </c>
      <c r="BF775" s="201">
        <v>41555</v>
      </c>
      <c r="BG775" s="203">
        <v>36.299999999999997</v>
      </c>
      <c r="BH775" s="151">
        <v>41842</v>
      </c>
      <c r="BM775" s="204">
        <v>71.2</v>
      </c>
      <c r="BN775" s="151">
        <v>41842</v>
      </c>
      <c r="BQ775" s="205">
        <v>5.8</v>
      </c>
      <c r="BR775" s="151">
        <v>41842</v>
      </c>
      <c r="BS775" s="206">
        <v>46.6</v>
      </c>
      <c r="BT775" s="151">
        <v>41842</v>
      </c>
      <c r="BU775" s="207">
        <v>15.6</v>
      </c>
      <c r="BV775" s="151">
        <v>41842</v>
      </c>
      <c r="BW775" s="206">
        <v>77.3</v>
      </c>
      <c r="BX775" s="151">
        <v>41842</v>
      </c>
      <c r="BY775" s="210">
        <v>8.27</v>
      </c>
      <c r="BZ775" s="151">
        <v>41842</v>
      </c>
      <c r="CA775" s="206">
        <v>35.200000000000003</v>
      </c>
      <c r="CB775" s="151">
        <v>41842</v>
      </c>
      <c r="CC775" s="208">
        <v>7.6</v>
      </c>
      <c r="CD775" s="151">
        <v>41838</v>
      </c>
      <c r="CL775" s="209">
        <v>7</v>
      </c>
      <c r="CM775" s="201">
        <v>41810</v>
      </c>
    </row>
    <row r="776" spans="1:91" ht="15">
      <c r="A776" s="152" t="s">
        <v>8014</v>
      </c>
      <c r="B776" s="110" t="s">
        <v>233</v>
      </c>
      <c r="C776" s="110" t="s">
        <v>8083</v>
      </c>
      <c r="D776" s="110">
        <v>11674</v>
      </c>
      <c r="E776" s="111">
        <v>8</v>
      </c>
      <c r="F776" s="111">
        <v>729</v>
      </c>
      <c r="K776" s="194">
        <v>7</v>
      </c>
      <c r="L776" s="151">
        <v>41701</v>
      </c>
      <c r="M776" s="169">
        <v>2.1</v>
      </c>
      <c r="N776" s="151">
        <v>41838</v>
      </c>
      <c r="Q776" s="497"/>
      <c r="S776" s="134">
        <v>7.73</v>
      </c>
      <c r="T776" s="151">
        <v>41842</v>
      </c>
      <c r="U776" s="134">
        <v>13.5</v>
      </c>
      <c r="V776" s="151">
        <v>41838</v>
      </c>
      <c r="W776" s="196">
        <v>1</v>
      </c>
      <c r="X776" s="151">
        <v>41829</v>
      </c>
      <c r="Y776" s="134">
        <f t="shared" si="12"/>
        <v>2.3243499999999999</v>
      </c>
      <c r="AC776" s="134">
        <v>15.56</v>
      </c>
      <c r="AD776" s="151">
        <v>41838</v>
      </c>
      <c r="AE776" s="134">
        <v>16.03</v>
      </c>
      <c r="AF776" s="151">
        <v>41838</v>
      </c>
      <c r="AG776" s="197">
        <v>4.3</v>
      </c>
      <c r="AH776" s="151">
        <v>41843</v>
      </c>
      <c r="AI776" s="198">
        <v>5</v>
      </c>
      <c r="AJ776" s="151">
        <v>41778</v>
      </c>
      <c r="AK776" s="199">
        <v>5</v>
      </c>
      <c r="AL776" s="151">
        <v>41709</v>
      </c>
      <c r="BE776" s="200">
        <v>5</v>
      </c>
      <c r="BF776" s="201">
        <v>41555</v>
      </c>
      <c r="BG776" s="203">
        <v>37.200000000000003</v>
      </c>
      <c r="BH776" s="151">
        <v>41842</v>
      </c>
      <c r="BM776" s="204">
        <v>72.099999999999994</v>
      </c>
      <c r="BN776" s="151">
        <v>41842</v>
      </c>
      <c r="BQ776" s="205">
        <v>6.4</v>
      </c>
      <c r="BR776" s="151">
        <v>41842</v>
      </c>
      <c r="BS776" s="206">
        <v>48.2</v>
      </c>
      <c r="BT776" s="151">
        <v>41842</v>
      </c>
      <c r="BU776" s="207">
        <v>14.5</v>
      </c>
      <c r="BV776" s="151">
        <v>41842</v>
      </c>
      <c r="BW776" s="206">
        <v>77.099999999999994</v>
      </c>
      <c r="BX776" s="151">
        <v>41842</v>
      </c>
      <c r="BY776" s="210">
        <v>7.52</v>
      </c>
      <c r="BZ776" s="151">
        <v>41842</v>
      </c>
      <c r="CA776" s="206">
        <v>34</v>
      </c>
      <c r="CB776" s="151">
        <v>41842</v>
      </c>
      <c r="CC776" s="208">
        <v>6.2</v>
      </c>
      <c r="CD776" s="151">
        <v>41838</v>
      </c>
      <c r="CL776" s="209">
        <v>5</v>
      </c>
      <c r="CM776" s="201">
        <v>41810</v>
      </c>
    </row>
    <row r="777" spans="1:91" ht="15">
      <c r="A777" s="152" t="s">
        <v>8014</v>
      </c>
      <c r="B777" s="110" t="s">
        <v>235</v>
      </c>
      <c r="C777" s="110" t="s">
        <v>8081</v>
      </c>
      <c r="D777" s="110">
        <v>11359</v>
      </c>
      <c r="E777" s="111">
        <v>11</v>
      </c>
      <c r="F777" s="111">
        <v>617</v>
      </c>
      <c r="K777" s="134">
        <v>9</v>
      </c>
      <c r="L777" s="151">
        <v>41701</v>
      </c>
      <c r="M777" s="169">
        <v>3.75</v>
      </c>
      <c r="N777" s="151">
        <v>41838</v>
      </c>
      <c r="Q777" s="497"/>
      <c r="S777" s="134">
        <v>13.29</v>
      </c>
      <c r="T777" s="151">
        <v>41842</v>
      </c>
      <c r="U777" s="134">
        <v>13.5</v>
      </c>
      <c r="V777" s="151">
        <v>41838</v>
      </c>
      <c r="W777" s="196">
        <v>9</v>
      </c>
      <c r="X777" s="151">
        <v>41829</v>
      </c>
      <c r="Y777" s="134">
        <f t="shared" si="12"/>
        <v>4.4901999999999997</v>
      </c>
      <c r="AC777" s="134">
        <v>27.78</v>
      </c>
      <c r="AD777" s="151">
        <v>41838</v>
      </c>
      <c r="AE777" s="134">
        <v>28.6</v>
      </c>
      <c r="AF777" s="151">
        <v>41838</v>
      </c>
      <c r="AG777" s="197">
        <v>4</v>
      </c>
      <c r="AH777" s="151">
        <v>41843</v>
      </c>
      <c r="AI777" s="198">
        <v>5</v>
      </c>
      <c r="AJ777" s="151">
        <v>41778</v>
      </c>
      <c r="AK777" s="199">
        <v>7</v>
      </c>
      <c r="AL777" s="151">
        <v>41709</v>
      </c>
      <c r="BE777" s="200">
        <v>7</v>
      </c>
      <c r="BF777" s="201">
        <v>41555</v>
      </c>
      <c r="BG777" s="203">
        <v>33</v>
      </c>
      <c r="BH777" s="151">
        <v>41842</v>
      </c>
      <c r="BM777" s="204">
        <v>70.599999999999994</v>
      </c>
      <c r="BN777" s="151">
        <v>41842</v>
      </c>
      <c r="BQ777" s="205">
        <v>6.6</v>
      </c>
      <c r="BR777" s="151">
        <v>41842</v>
      </c>
      <c r="BS777" s="206">
        <v>46.5</v>
      </c>
      <c r="BT777" s="151">
        <v>41842</v>
      </c>
      <c r="BU777" s="207">
        <v>15.7</v>
      </c>
      <c r="BV777" s="151">
        <v>41842</v>
      </c>
      <c r="BW777" s="206">
        <v>65.599999999999994</v>
      </c>
      <c r="BX777" s="151">
        <v>41842</v>
      </c>
      <c r="BY777" s="210">
        <v>7.81</v>
      </c>
      <c r="BZ777" s="151">
        <v>41842</v>
      </c>
      <c r="CA777" s="206">
        <v>35.299999999999997</v>
      </c>
      <c r="CB777" s="151">
        <v>41842</v>
      </c>
      <c r="CC777" s="208">
        <v>6.3</v>
      </c>
      <c r="CD777" s="151">
        <v>41838</v>
      </c>
      <c r="CL777" s="209">
        <v>7</v>
      </c>
      <c r="CM777" s="201">
        <v>41810</v>
      </c>
    </row>
    <row r="778" spans="1:91" ht="15">
      <c r="A778" s="152" t="s">
        <v>8015</v>
      </c>
      <c r="B778" s="110" t="s">
        <v>233</v>
      </c>
      <c r="C778" s="110" t="s">
        <v>381</v>
      </c>
      <c r="D778" s="110">
        <v>10980</v>
      </c>
      <c r="E778" s="111">
        <v>1</v>
      </c>
      <c r="F778" s="111">
        <v>541</v>
      </c>
      <c r="I778" s="373"/>
      <c r="K778" s="194">
        <v>5</v>
      </c>
      <c r="L778" s="151">
        <v>41701</v>
      </c>
      <c r="M778" s="169">
        <v>2.5</v>
      </c>
      <c r="N778" s="151">
        <v>41838</v>
      </c>
      <c r="Q778" s="497"/>
      <c r="S778" s="134">
        <v>8.6</v>
      </c>
      <c r="T778" s="151">
        <v>41842</v>
      </c>
      <c r="U778" s="194">
        <v>13.5</v>
      </c>
      <c r="V778" s="151">
        <v>41838</v>
      </c>
      <c r="W778" s="196">
        <v>1</v>
      </c>
      <c r="X778" s="151">
        <v>41829</v>
      </c>
      <c r="Y778" s="134">
        <f t="shared" si="12"/>
        <v>3.2554999999999996</v>
      </c>
      <c r="AA778" s="194"/>
      <c r="AC778" s="194">
        <v>18.52</v>
      </c>
      <c r="AD778" s="151">
        <v>41838</v>
      </c>
      <c r="AE778" s="137">
        <v>19.149999999999999</v>
      </c>
      <c r="AF778" s="151">
        <v>41838</v>
      </c>
      <c r="AG778" s="197">
        <v>4.7</v>
      </c>
      <c r="AH778" s="151">
        <v>41843</v>
      </c>
      <c r="AI778" s="198">
        <v>5</v>
      </c>
      <c r="AJ778" s="151">
        <v>41778</v>
      </c>
      <c r="AK778" s="199">
        <v>4</v>
      </c>
      <c r="AL778" s="151">
        <v>41709</v>
      </c>
      <c r="AM778" s="194"/>
      <c r="BE778" s="200">
        <v>4</v>
      </c>
      <c r="BF778" s="201">
        <v>41555</v>
      </c>
      <c r="BG778" s="203">
        <v>43.4</v>
      </c>
      <c r="BH778" s="151">
        <v>41842</v>
      </c>
      <c r="BM778" s="204">
        <v>66.7</v>
      </c>
      <c r="BN778" s="151">
        <v>41842</v>
      </c>
      <c r="BQ778" s="205">
        <v>5.5</v>
      </c>
      <c r="BR778" s="151">
        <v>41842</v>
      </c>
      <c r="BS778" s="206">
        <v>44.9</v>
      </c>
      <c r="BT778" s="151">
        <v>41842</v>
      </c>
      <c r="BU778" s="207">
        <v>17</v>
      </c>
      <c r="BV778" s="151">
        <v>41842</v>
      </c>
      <c r="BW778" s="206">
        <v>73</v>
      </c>
      <c r="BX778" s="151">
        <v>41842</v>
      </c>
      <c r="BY778" s="210">
        <v>7.88</v>
      </c>
      <c r="BZ778" s="151">
        <v>41842</v>
      </c>
      <c r="CA778" s="206">
        <v>36.9</v>
      </c>
      <c r="CB778" s="151">
        <v>41842</v>
      </c>
      <c r="CC778" s="208">
        <v>5.9</v>
      </c>
      <c r="CD778" s="151">
        <v>41838</v>
      </c>
      <c r="CL778" s="209">
        <v>7</v>
      </c>
      <c r="CM778" s="201">
        <v>41810</v>
      </c>
    </row>
    <row r="779" spans="1:91" ht="15">
      <c r="A779" s="152" t="s">
        <v>8015</v>
      </c>
      <c r="B779" s="110" t="s">
        <v>235</v>
      </c>
      <c r="C779" s="110" t="s">
        <v>8082</v>
      </c>
      <c r="D779" s="110">
        <v>11575</v>
      </c>
      <c r="E779" s="111">
        <v>5</v>
      </c>
      <c r="F779" s="111">
        <v>765</v>
      </c>
      <c r="K779" s="134">
        <v>5</v>
      </c>
      <c r="L779" s="151">
        <v>41701</v>
      </c>
      <c r="M779" s="169">
        <v>2.6</v>
      </c>
      <c r="N779" s="151">
        <v>41838</v>
      </c>
      <c r="Q779" s="497"/>
      <c r="S779" s="134">
        <v>8.75</v>
      </c>
      <c r="T779" s="151">
        <v>41842</v>
      </c>
      <c r="U779" s="134">
        <v>13.5</v>
      </c>
      <c r="V779" s="151">
        <v>41838</v>
      </c>
      <c r="W779" s="196">
        <v>1</v>
      </c>
      <c r="X779" s="151">
        <v>41829</v>
      </c>
      <c r="Y779" s="134">
        <f t="shared" si="12"/>
        <v>3.4073199999999999</v>
      </c>
      <c r="AC779" s="134">
        <v>19.260000000000002</v>
      </c>
      <c r="AD779" s="151">
        <v>41838</v>
      </c>
      <c r="AE779" s="134">
        <v>19.809999999999999</v>
      </c>
      <c r="AF779" s="151">
        <v>41838</v>
      </c>
      <c r="AG779" s="197">
        <v>4.7</v>
      </c>
      <c r="AH779" s="151">
        <v>41843</v>
      </c>
      <c r="AI779" s="198">
        <v>7</v>
      </c>
      <c r="AJ779" s="151">
        <v>41778</v>
      </c>
      <c r="AK779" s="199">
        <v>4</v>
      </c>
      <c r="AL779" s="151">
        <v>41709</v>
      </c>
      <c r="BE779" s="200">
        <v>4</v>
      </c>
      <c r="BF779" s="201">
        <v>41555</v>
      </c>
      <c r="BG779" s="203">
        <v>29.2</v>
      </c>
      <c r="BH779" s="151">
        <v>41842</v>
      </c>
      <c r="BM779" s="204">
        <v>65.8</v>
      </c>
      <c r="BN779" s="151">
        <v>41842</v>
      </c>
      <c r="BQ779" s="205">
        <v>7.4</v>
      </c>
      <c r="BR779" s="151">
        <v>41842</v>
      </c>
      <c r="BS779" s="206">
        <v>44.2</v>
      </c>
      <c r="BT779" s="151">
        <v>41842</v>
      </c>
      <c r="BU779" s="207">
        <v>17.2</v>
      </c>
      <c r="BV779" s="151">
        <v>41842</v>
      </c>
      <c r="BW779" s="206">
        <v>62.5</v>
      </c>
      <c r="BX779" s="151">
        <v>41842</v>
      </c>
      <c r="BY779" s="210">
        <v>7.8</v>
      </c>
      <c r="BZ779" s="151">
        <v>41842</v>
      </c>
      <c r="CA779" s="206">
        <v>36.700000000000003</v>
      </c>
      <c r="CB779" s="151">
        <v>41842</v>
      </c>
      <c r="CC779" s="208">
        <v>6.4</v>
      </c>
      <c r="CD779" s="151">
        <v>41838</v>
      </c>
      <c r="CL779" s="209">
        <v>7</v>
      </c>
      <c r="CM779" s="201">
        <v>41810</v>
      </c>
    </row>
    <row r="780" spans="1:91" ht="15">
      <c r="A780" s="152" t="s">
        <v>8015</v>
      </c>
      <c r="B780" s="110" t="s">
        <v>235</v>
      </c>
      <c r="C780" s="110" t="s">
        <v>8081</v>
      </c>
      <c r="D780" s="110">
        <v>11208</v>
      </c>
      <c r="E780" s="111">
        <v>7</v>
      </c>
      <c r="F780" s="111">
        <v>589</v>
      </c>
      <c r="K780" s="134">
        <v>5</v>
      </c>
      <c r="L780" s="151">
        <v>41701</v>
      </c>
      <c r="M780" s="169">
        <v>2.4</v>
      </c>
      <c r="N780" s="151">
        <v>41838</v>
      </c>
      <c r="Q780" s="497"/>
      <c r="S780" s="134">
        <v>8.14</v>
      </c>
      <c r="T780" s="151">
        <v>41842</v>
      </c>
      <c r="U780" s="134">
        <v>13.5</v>
      </c>
      <c r="V780" s="151">
        <v>41838</v>
      </c>
      <c r="W780" s="196">
        <v>1</v>
      </c>
      <c r="X780" s="151">
        <v>41829</v>
      </c>
      <c r="Y780" s="134">
        <f t="shared" si="12"/>
        <v>3.0727999999999995</v>
      </c>
      <c r="AC780" s="134">
        <v>17.78</v>
      </c>
      <c r="AD780" s="151">
        <v>41838</v>
      </c>
      <c r="AE780" s="134">
        <v>18.399999999999999</v>
      </c>
      <c r="AF780" s="151">
        <v>41838</v>
      </c>
      <c r="AG780" s="197">
        <v>4.4000000000000004</v>
      </c>
      <c r="AH780" s="151">
        <v>41843</v>
      </c>
      <c r="AI780" s="198">
        <v>7</v>
      </c>
      <c r="AJ780" s="151">
        <v>41778</v>
      </c>
      <c r="AK780" s="199">
        <v>4</v>
      </c>
      <c r="AL780" s="151">
        <v>41709</v>
      </c>
      <c r="BE780" s="200">
        <v>4</v>
      </c>
      <c r="BF780" s="201">
        <v>41555</v>
      </c>
      <c r="BG780" s="203">
        <v>36.1</v>
      </c>
      <c r="BH780" s="151">
        <v>41842</v>
      </c>
      <c r="BM780" s="204">
        <v>66.7</v>
      </c>
      <c r="BN780" s="151">
        <v>41842</v>
      </c>
      <c r="BQ780" s="205">
        <v>6.3</v>
      </c>
      <c r="BR780" s="151">
        <v>41842</v>
      </c>
      <c r="BS780" s="206">
        <v>44.2</v>
      </c>
      <c r="BT780" s="151">
        <v>41842</v>
      </c>
      <c r="BU780" s="207">
        <v>16.7</v>
      </c>
      <c r="BV780" s="151">
        <v>41842</v>
      </c>
      <c r="BW780" s="206">
        <v>64.900000000000006</v>
      </c>
      <c r="BX780" s="151">
        <v>41842</v>
      </c>
      <c r="BY780" s="210">
        <v>7.93</v>
      </c>
      <c r="BZ780" s="151">
        <v>41842</v>
      </c>
      <c r="CA780" s="206">
        <v>35.700000000000003</v>
      </c>
      <c r="CB780" s="151">
        <v>41842</v>
      </c>
      <c r="CC780" s="208">
        <v>5.8</v>
      </c>
      <c r="CD780" s="151">
        <v>41838</v>
      </c>
      <c r="CL780" s="209">
        <v>7</v>
      </c>
      <c r="CM780" s="201">
        <v>41810</v>
      </c>
    </row>
    <row r="781" spans="1:91" ht="15">
      <c r="A781" s="152" t="s">
        <v>8015</v>
      </c>
      <c r="B781" s="110" t="s">
        <v>233</v>
      </c>
      <c r="C781" s="110" t="s">
        <v>8083</v>
      </c>
      <c r="D781" s="110">
        <v>11739</v>
      </c>
      <c r="E781" s="111">
        <v>10</v>
      </c>
      <c r="F781" s="111">
        <v>701</v>
      </c>
      <c r="K781" s="134">
        <v>5</v>
      </c>
      <c r="L781" s="151">
        <v>41701</v>
      </c>
      <c r="M781" s="169">
        <v>1.7</v>
      </c>
      <c r="N781" s="151">
        <v>41838</v>
      </c>
      <c r="Q781" s="497"/>
      <c r="S781" s="134">
        <v>5.96</v>
      </c>
      <c r="T781" s="151">
        <v>41842</v>
      </c>
      <c r="U781" s="134">
        <v>13.5</v>
      </c>
      <c r="V781" s="151">
        <v>41838</v>
      </c>
      <c r="W781" s="196">
        <v>1</v>
      </c>
      <c r="X781" s="151">
        <v>41829</v>
      </c>
      <c r="Y781" s="134">
        <f t="shared" si="12"/>
        <v>2.0566999999999998</v>
      </c>
      <c r="AC781" s="134">
        <v>12.59</v>
      </c>
      <c r="AD781" s="151">
        <v>41838</v>
      </c>
      <c r="AE781" s="134">
        <v>13.1</v>
      </c>
      <c r="AF781" s="151">
        <v>41838</v>
      </c>
      <c r="AG781" s="197">
        <v>4.2</v>
      </c>
      <c r="AH781" s="151">
        <v>41843</v>
      </c>
      <c r="AI781" s="198">
        <v>5</v>
      </c>
      <c r="AJ781" s="151">
        <v>41778</v>
      </c>
      <c r="AK781" s="199">
        <v>4</v>
      </c>
      <c r="AL781" s="151">
        <v>41709</v>
      </c>
      <c r="BE781" s="200">
        <v>4</v>
      </c>
      <c r="BF781" s="201">
        <v>41555</v>
      </c>
      <c r="BG781" s="203">
        <v>31.2</v>
      </c>
      <c r="BH781" s="151">
        <v>41842</v>
      </c>
      <c r="BM781" s="204">
        <v>67.8</v>
      </c>
      <c r="BN781" s="151">
        <v>41842</v>
      </c>
      <c r="BQ781" s="205">
        <v>6.5</v>
      </c>
      <c r="BR781" s="151">
        <v>41842</v>
      </c>
      <c r="BS781" s="206">
        <v>45.5</v>
      </c>
      <c r="BT781" s="151">
        <v>41842</v>
      </c>
      <c r="BU781" s="207">
        <v>15.7</v>
      </c>
      <c r="BV781" s="151">
        <v>41842</v>
      </c>
      <c r="BW781" s="206">
        <v>57.1</v>
      </c>
      <c r="BX781" s="151">
        <v>41842</v>
      </c>
      <c r="BY781" s="210">
        <v>7.16</v>
      </c>
      <c r="BZ781" s="151">
        <v>41842</v>
      </c>
      <c r="CA781" s="206">
        <v>34.4</v>
      </c>
      <c r="CB781" s="151">
        <v>41842</v>
      </c>
      <c r="CC781" s="208">
        <v>5.3</v>
      </c>
      <c r="CD781" s="151">
        <v>41838</v>
      </c>
      <c r="CL781" s="209">
        <v>7</v>
      </c>
      <c r="CM781" s="201">
        <v>41810</v>
      </c>
    </row>
    <row r="782" spans="1:91" ht="15">
      <c r="A782" s="152" t="s">
        <v>8016</v>
      </c>
      <c r="B782" s="110" t="s">
        <v>235</v>
      </c>
      <c r="C782" s="110" t="s">
        <v>8082</v>
      </c>
      <c r="D782" s="110">
        <v>11449</v>
      </c>
      <c r="E782" s="111">
        <v>2</v>
      </c>
      <c r="F782" s="111">
        <v>693</v>
      </c>
      <c r="K782" s="134">
        <v>5</v>
      </c>
      <c r="L782" s="151">
        <v>41701</v>
      </c>
      <c r="M782" s="169">
        <v>3.4</v>
      </c>
      <c r="N782" s="151">
        <v>41838</v>
      </c>
      <c r="Q782" s="497"/>
      <c r="S782" s="134">
        <v>12.41</v>
      </c>
      <c r="T782" s="151">
        <v>41842</v>
      </c>
      <c r="U782" s="134">
        <v>13.5</v>
      </c>
      <c r="V782" s="151">
        <v>41838</v>
      </c>
      <c r="W782" s="196">
        <v>1</v>
      </c>
      <c r="X782" s="151">
        <v>41829</v>
      </c>
      <c r="Y782" s="134">
        <f t="shared" si="12"/>
        <v>4.2591900000000003</v>
      </c>
      <c r="AC782" s="134">
        <v>25.19</v>
      </c>
      <c r="AD782" s="151">
        <v>41838</v>
      </c>
      <c r="AE782" s="134">
        <v>26.13</v>
      </c>
      <c r="AF782" s="151">
        <v>41838</v>
      </c>
      <c r="AG782" s="197">
        <v>5.3</v>
      </c>
      <c r="AH782" s="151">
        <v>41843</v>
      </c>
      <c r="AI782" s="198">
        <v>7</v>
      </c>
      <c r="AJ782" s="151">
        <v>41778</v>
      </c>
      <c r="AK782" s="199">
        <v>7</v>
      </c>
      <c r="AL782" s="151">
        <v>41709</v>
      </c>
      <c r="BE782" s="200">
        <v>7</v>
      </c>
      <c r="BF782" s="201">
        <v>41555</v>
      </c>
      <c r="BG782" s="203">
        <v>41.6</v>
      </c>
      <c r="BH782" s="151">
        <v>41842</v>
      </c>
      <c r="BM782" s="204">
        <v>71.400000000000006</v>
      </c>
      <c r="BN782" s="151">
        <v>41842</v>
      </c>
      <c r="BQ782" s="205">
        <v>5</v>
      </c>
      <c r="BR782" s="151">
        <v>41842</v>
      </c>
      <c r="BS782" s="206">
        <v>47.5</v>
      </c>
      <c r="BT782" s="151">
        <v>41842</v>
      </c>
      <c r="BU782" s="207">
        <v>16.3</v>
      </c>
      <c r="BV782" s="151">
        <v>41842</v>
      </c>
      <c r="BW782" s="206">
        <v>78.099999999999994</v>
      </c>
      <c r="BX782" s="151">
        <v>41842</v>
      </c>
      <c r="BY782" s="210">
        <v>7.26</v>
      </c>
      <c r="BZ782" s="151">
        <v>41842</v>
      </c>
      <c r="CA782" s="206">
        <v>37.5</v>
      </c>
      <c r="CB782" s="151">
        <v>41842</v>
      </c>
      <c r="CC782" s="208">
        <v>5.6</v>
      </c>
      <c r="CD782" s="151">
        <v>41838</v>
      </c>
      <c r="CL782" s="209">
        <v>9</v>
      </c>
      <c r="CM782" s="201">
        <v>41810</v>
      </c>
    </row>
    <row r="783" spans="1:91" ht="15">
      <c r="A783" s="152" t="s">
        <v>8016</v>
      </c>
      <c r="B783" s="110" t="s">
        <v>233</v>
      </c>
      <c r="C783" s="110" t="s">
        <v>381</v>
      </c>
      <c r="D783" s="110">
        <v>11150</v>
      </c>
      <c r="E783" s="111">
        <v>6</v>
      </c>
      <c r="F783" s="111">
        <v>501</v>
      </c>
      <c r="K783" s="134">
        <v>5</v>
      </c>
      <c r="L783" s="151">
        <v>41701</v>
      </c>
      <c r="M783" s="169">
        <v>3.05</v>
      </c>
      <c r="N783" s="151">
        <v>41838</v>
      </c>
      <c r="Q783" s="497"/>
      <c r="S783" s="134">
        <v>11.53</v>
      </c>
      <c r="T783" s="151">
        <v>41842</v>
      </c>
      <c r="U783" s="134">
        <v>13.5</v>
      </c>
      <c r="V783" s="151">
        <v>41838</v>
      </c>
      <c r="W783" s="196">
        <v>1</v>
      </c>
      <c r="X783" s="151">
        <v>41829</v>
      </c>
      <c r="Y783" s="134">
        <f t="shared" si="12"/>
        <v>3.4731900000000002</v>
      </c>
      <c r="AC783" s="134">
        <v>22.59</v>
      </c>
      <c r="AD783" s="151">
        <v>41838</v>
      </c>
      <c r="AE783" s="134">
        <v>23.31</v>
      </c>
      <c r="AF783" s="151">
        <v>41838</v>
      </c>
      <c r="AG783" s="197">
        <v>5</v>
      </c>
      <c r="AH783" s="151">
        <v>41843</v>
      </c>
      <c r="AI783" s="198">
        <v>5</v>
      </c>
      <c r="AJ783" s="151">
        <v>41778</v>
      </c>
      <c r="AK783" s="199">
        <v>7</v>
      </c>
      <c r="AL783" s="151">
        <v>41709</v>
      </c>
      <c r="BE783" s="200">
        <v>7</v>
      </c>
      <c r="BF783" s="201">
        <v>41555</v>
      </c>
      <c r="BG783" s="203">
        <v>42.5</v>
      </c>
      <c r="BH783" s="151">
        <v>41842</v>
      </c>
      <c r="BM783" s="204">
        <v>71.900000000000006</v>
      </c>
      <c r="BN783" s="151">
        <v>41842</v>
      </c>
      <c r="BQ783" s="205">
        <v>4.9000000000000004</v>
      </c>
      <c r="BR783" s="151">
        <v>41842</v>
      </c>
      <c r="BS783" s="206">
        <v>49.5</v>
      </c>
      <c r="BT783" s="151">
        <v>41842</v>
      </c>
      <c r="BU783" s="207">
        <v>14.9</v>
      </c>
      <c r="BV783" s="151">
        <v>41842</v>
      </c>
      <c r="BW783" s="206">
        <v>69.7</v>
      </c>
      <c r="BX783" s="151">
        <v>41842</v>
      </c>
      <c r="BY783" s="210">
        <v>6.9</v>
      </c>
      <c r="BZ783" s="151">
        <v>41842</v>
      </c>
      <c r="CA783" s="206">
        <v>35.799999999999997</v>
      </c>
      <c r="CB783" s="151">
        <v>41842</v>
      </c>
      <c r="CC783" s="208">
        <v>6.1</v>
      </c>
      <c r="CD783" s="151">
        <v>41838</v>
      </c>
      <c r="CL783" s="209">
        <v>5</v>
      </c>
      <c r="CM783" s="201">
        <v>41810</v>
      </c>
    </row>
    <row r="784" spans="1:91" ht="15">
      <c r="A784" s="152" t="s">
        <v>8016</v>
      </c>
      <c r="B784" s="110" t="s">
        <v>235</v>
      </c>
      <c r="C784" s="110" t="s">
        <v>8081</v>
      </c>
      <c r="D784" s="110">
        <v>11250</v>
      </c>
      <c r="E784" s="111">
        <v>8</v>
      </c>
      <c r="F784" s="111">
        <v>613</v>
      </c>
      <c r="K784" s="194">
        <v>7</v>
      </c>
      <c r="L784" s="151">
        <v>41701</v>
      </c>
      <c r="M784" s="169">
        <v>4.25</v>
      </c>
      <c r="N784" s="151">
        <v>41838</v>
      </c>
      <c r="Q784" s="497"/>
      <c r="S784" s="134">
        <v>15.58</v>
      </c>
      <c r="T784" s="151">
        <v>41842</v>
      </c>
      <c r="U784" s="134">
        <v>13.5</v>
      </c>
      <c r="V784" s="151">
        <v>41838</v>
      </c>
      <c r="W784" s="196">
        <v>1</v>
      </c>
      <c r="X784" s="151">
        <v>41829</v>
      </c>
      <c r="Y784" s="134">
        <f t="shared" si="12"/>
        <v>5.2357200000000015</v>
      </c>
      <c r="AC784" s="134">
        <v>31.48</v>
      </c>
      <c r="AD784" s="151">
        <v>41838</v>
      </c>
      <c r="AE784" s="134">
        <v>32.520000000000003</v>
      </c>
      <c r="AF784" s="151">
        <v>41838</v>
      </c>
      <c r="AG784" s="197">
        <v>5.0999999999999996</v>
      </c>
      <c r="AH784" s="151">
        <v>41843</v>
      </c>
      <c r="AI784" s="198">
        <v>5</v>
      </c>
      <c r="AJ784" s="151">
        <v>41778</v>
      </c>
      <c r="AK784" s="199">
        <v>7</v>
      </c>
      <c r="AL784" s="151">
        <v>41709</v>
      </c>
      <c r="BE784" s="200">
        <v>7</v>
      </c>
      <c r="BF784" s="201">
        <v>41555</v>
      </c>
      <c r="BG784" s="203">
        <v>40.9</v>
      </c>
      <c r="BH784" s="151">
        <v>41842</v>
      </c>
      <c r="BM784" s="204">
        <v>72.099999999999994</v>
      </c>
      <c r="BN784" s="151">
        <v>41842</v>
      </c>
      <c r="BQ784" s="205">
        <v>5.3</v>
      </c>
      <c r="BR784" s="151">
        <v>41842</v>
      </c>
      <c r="BS784" s="206">
        <v>47.9</v>
      </c>
      <c r="BT784" s="151">
        <v>41842</v>
      </c>
      <c r="BU784" s="207">
        <v>16.100000000000001</v>
      </c>
      <c r="BV784" s="151">
        <v>41842</v>
      </c>
      <c r="BW784" s="206">
        <v>71.5</v>
      </c>
      <c r="BX784" s="151">
        <v>41842</v>
      </c>
      <c r="BY784" s="210">
        <v>7.09</v>
      </c>
      <c r="BZ784" s="151">
        <v>41842</v>
      </c>
      <c r="CA784" s="206">
        <v>37.4</v>
      </c>
      <c r="CB784" s="151">
        <v>41842</v>
      </c>
      <c r="CC784" s="208">
        <v>6</v>
      </c>
      <c r="CD784" s="151">
        <v>41838</v>
      </c>
      <c r="CL784" s="209">
        <v>7</v>
      </c>
      <c r="CM784" s="201">
        <v>41810</v>
      </c>
    </row>
    <row r="785" spans="1:91" ht="15">
      <c r="A785" s="152" t="s">
        <v>8016</v>
      </c>
      <c r="B785" s="110" t="s">
        <v>233</v>
      </c>
      <c r="C785" s="110" t="s">
        <v>8083</v>
      </c>
      <c r="D785" s="110">
        <v>11673</v>
      </c>
      <c r="E785" s="111">
        <v>8</v>
      </c>
      <c r="F785" s="111">
        <v>725</v>
      </c>
      <c r="K785" s="134">
        <v>5</v>
      </c>
      <c r="L785" s="151">
        <v>41701</v>
      </c>
      <c r="M785" s="169">
        <v>2.85</v>
      </c>
      <c r="N785" s="151">
        <v>41838</v>
      </c>
      <c r="Q785" s="497"/>
      <c r="S785" s="134">
        <v>10.86</v>
      </c>
      <c r="T785" s="151">
        <v>41842</v>
      </c>
      <c r="U785" s="134">
        <v>13.5</v>
      </c>
      <c r="V785" s="151">
        <v>41838</v>
      </c>
      <c r="W785" s="196">
        <v>1</v>
      </c>
      <c r="X785" s="151">
        <v>41829</v>
      </c>
      <c r="Y785" s="134">
        <f t="shared" si="12"/>
        <v>3.0051800000000002</v>
      </c>
      <c r="AC785" s="134">
        <v>21.11</v>
      </c>
      <c r="AD785" s="151">
        <v>41838</v>
      </c>
      <c r="AE785" s="134">
        <v>21.62</v>
      </c>
      <c r="AF785" s="151">
        <v>41838</v>
      </c>
      <c r="AG785" s="197">
        <v>5</v>
      </c>
      <c r="AH785" s="151">
        <v>41843</v>
      </c>
      <c r="AI785" s="198">
        <v>5</v>
      </c>
      <c r="AJ785" s="151">
        <v>41778</v>
      </c>
      <c r="AK785" s="199">
        <v>7</v>
      </c>
      <c r="AL785" s="151">
        <v>41709</v>
      </c>
      <c r="BE785" s="200">
        <v>7</v>
      </c>
      <c r="BF785" s="201">
        <v>41555</v>
      </c>
      <c r="BG785" s="203">
        <v>41.5</v>
      </c>
      <c r="BH785" s="151">
        <v>41842</v>
      </c>
      <c r="BM785" s="204">
        <v>71.900000000000006</v>
      </c>
      <c r="BN785" s="151">
        <v>41842</v>
      </c>
      <c r="BQ785" s="205">
        <v>4.9000000000000004</v>
      </c>
      <c r="BR785" s="151">
        <v>41842</v>
      </c>
      <c r="BS785" s="206">
        <v>50.2</v>
      </c>
      <c r="BT785" s="151">
        <v>41842</v>
      </c>
      <c r="BU785" s="207">
        <v>13.9</v>
      </c>
      <c r="BV785" s="151">
        <v>41842</v>
      </c>
      <c r="BW785" s="206">
        <v>66</v>
      </c>
      <c r="BX785" s="151">
        <v>41842</v>
      </c>
      <c r="BY785" s="210">
        <v>6.48</v>
      </c>
      <c r="BZ785" s="151">
        <v>41842</v>
      </c>
      <c r="CA785" s="206">
        <v>34.1</v>
      </c>
      <c r="CB785" s="151">
        <v>41842</v>
      </c>
      <c r="CC785" s="208">
        <v>6.8</v>
      </c>
      <c r="CD785" s="151">
        <v>41838</v>
      </c>
      <c r="CL785" s="209">
        <v>7</v>
      </c>
      <c r="CM785" s="201">
        <v>41810</v>
      </c>
    </row>
    <row r="786" spans="1:91" ht="15">
      <c r="A786" s="152" t="s">
        <v>8017</v>
      </c>
      <c r="B786" s="110" t="s">
        <v>233</v>
      </c>
      <c r="C786" s="110" t="s">
        <v>381</v>
      </c>
      <c r="D786" s="110">
        <v>10992</v>
      </c>
      <c r="E786" s="111">
        <v>1</v>
      </c>
      <c r="F786" s="111">
        <v>589</v>
      </c>
      <c r="I786" s="373"/>
      <c r="K786" s="194">
        <v>5</v>
      </c>
      <c r="L786" s="151">
        <v>41701</v>
      </c>
      <c r="M786" s="169">
        <v>2.9</v>
      </c>
      <c r="N786" s="151">
        <v>41838</v>
      </c>
      <c r="Q786" s="497"/>
      <c r="S786" s="134">
        <v>10.47</v>
      </c>
      <c r="T786" s="151">
        <v>41842</v>
      </c>
      <c r="U786" s="194">
        <v>13.5</v>
      </c>
      <c r="V786" s="151">
        <v>41838</v>
      </c>
      <c r="W786" s="196">
        <v>1</v>
      </c>
      <c r="X786" s="151">
        <v>41829</v>
      </c>
      <c r="Y786" s="134">
        <f t="shared" si="12"/>
        <v>3.5583999999999998</v>
      </c>
      <c r="AA786" s="194"/>
      <c r="AC786" s="194">
        <v>21.48</v>
      </c>
      <c r="AD786" s="151">
        <v>41838</v>
      </c>
      <c r="AE786" s="137">
        <v>22.24</v>
      </c>
      <c r="AF786" s="151">
        <v>41838</v>
      </c>
      <c r="AG786" s="197">
        <v>5.0999999999999996</v>
      </c>
      <c r="AH786" s="151">
        <v>41843</v>
      </c>
      <c r="AI786" s="198">
        <v>5</v>
      </c>
      <c r="AJ786" s="151">
        <v>41778</v>
      </c>
      <c r="AK786" s="199">
        <v>7</v>
      </c>
      <c r="AL786" s="151">
        <v>41709</v>
      </c>
      <c r="AM786" s="194"/>
      <c r="BE786" s="200">
        <v>7</v>
      </c>
      <c r="BF786" s="201">
        <v>41555</v>
      </c>
      <c r="BG786" s="203">
        <v>35.9</v>
      </c>
      <c r="BH786" s="151">
        <v>41842</v>
      </c>
      <c r="BM786" s="204">
        <v>71</v>
      </c>
      <c r="BN786" s="151">
        <v>41842</v>
      </c>
      <c r="BQ786" s="205">
        <v>5.7</v>
      </c>
      <c r="BR786" s="151">
        <v>41842</v>
      </c>
      <c r="BS786" s="206">
        <v>47.1</v>
      </c>
      <c r="BT786" s="151">
        <v>41842</v>
      </c>
      <c r="BU786" s="207">
        <v>16</v>
      </c>
      <c r="BV786" s="151">
        <v>41842</v>
      </c>
      <c r="BW786" s="206">
        <v>69</v>
      </c>
      <c r="BX786" s="151">
        <v>41842</v>
      </c>
      <c r="BY786" s="210">
        <v>6.85</v>
      </c>
      <c r="BZ786" s="151">
        <v>41842</v>
      </c>
      <c r="CA786" s="206">
        <v>36.299999999999997</v>
      </c>
      <c r="CB786" s="151">
        <v>41842</v>
      </c>
      <c r="CC786" s="208">
        <v>5.8</v>
      </c>
      <c r="CD786" s="151">
        <v>41838</v>
      </c>
      <c r="CL786" s="209">
        <v>9</v>
      </c>
      <c r="CM786" s="201">
        <v>41810</v>
      </c>
    </row>
    <row r="787" spans="1:91" ht="15">
      <c r="A787" s="152" t="s">
        <v>8017</v>
      </c>
      <c r="B787" s="110" t="s">
        <v>235</v>
      </c>
      <c r="C787" s="110" t="s">
        <v>8082</v>
      </c>
      <c r="D787" s="110">
        <v>11448</v>
      </c>
      <c r="E787" s="111">
        <v>2</v>
      </c>
      <c r="F787" s="111">
        <v>689</v>
      </c>
      <c r="K787" s="134">
        <v>5</v>
      </c>
      <c r="L787" s="151">
        <v>41701</v>
      </c>
      <c r="M787" s="169">
        <v>3</v>
      </c>
      <c r="N787" s="151">
        <v>41838</v>
      </c>
      <c r="Q787" s="497"/>
      <c r="S787" s="134">
        <v>11</v>
      </c>
      <c r="T787" s="151">
        <v>41842</v>
      </c>
      <c r="U787" s="134">
        <v>13.5</v>
      </c>
      <c r="V787" s="151">
        <v>41838</v>
      </c>
      <c r="W787" s="196">
        <v>1</v>
      </c>
      <c r="X787" s="151">
        <v>41829</v>
      </c>
      <c r="Y787" s="134">
        <f t="shared" si="12"/>
        <v>3.6649500000000002</v>
      </c>
      <c r="AC787" s="134">
        <v>22.22</v>
      </c>
      <c r="AD787" s="151">
        <v>41838</v>
      </c>
      <c r="AE787" s="134">
        <v>23.05</v>
      </c>
      <c r="AF787" s="151">
        <v>41838</v>
      </c>
      <c r="AG787" s="197">
        <v>5.0999999999999996</v>
      </c>
      <c r="AH787" s="151">
        <v>41843</v>
      </c>
      <c r="AI787" s="198">
        <v>7</v>
      </c>
      <c r="AJ787" s="151">
        <v>41778</v>
      </c>
      <c r="AK787" s="199">
        <v>7</v>
      </c>
      <c r="AL787" s="151">
        <v>41709</v>
      </c>
      <c r="BE787" s="200">
        <v>7</v>
      </c>
      <c r="BF787" s="201">
        <v>41555</v>
      </c>
      <c r="BG787" s="203">
        <v>40.5</v>
      </c>
      <c r="BH787" s="151">
        <v>41842</v>
      </c>
      <c r="BM787" s="204">
        <v>71.599999999999994</v>
      </c>
      <c r="BN787" s="151">
        <v>41842</v>
      </c>
      <c r="BQ787" s="205">
        <v>4.7</v>
      </c>
      <c r="BR787" s="151">
        <v>41842</v>
      </c>
      <c r="BS787" s="206">
        <v>47.7</v>
      </c>
      <c r="BT787" s="151">
        <v>41842</v>
      </c>
      <c r="BU787" s="207">
        <v>15.9</v>
      </c>
      <c r="BV787" s="151">
        <v>41842</v>
      </c>
      <c r="BW787" s="206">
        <v>76.099999999999994</v>
      </c>
      <c r="BX787" s="151">
        <v>41842</v>
      </c>
      <c r="BY787" s="210">
        <v>6.7</v>
      </c>
      <c r="BZ787" s="151">
        <v>41842</v>
      </c>
      <c r="CA787" s="206">
        <v>36.6</v>
      </c>
      <c r="CB787" s="151">
        <v>41842</v>
      </c>
      <c r="CC787" s="208">
        <v>5.6</v>
      </c>
      <c r="CD787" s="151">
        <v>41838</v>
      </c>
      <c r="CL787" s="209">
        <v>9</v>
      </c>
      <c r="CM787" s="201">
        <v>41810</v>
      </c>
    </row>
    <row r="788" spans="1:91" ht="15">
      <c r="A788" s="152" t="s">
        <v>8017</v>
      </c>
      <c r="B788" s="110" t="s">
        <v>235</v>
      </c>
      <c r="C788" s="110" t="s">
        <v>8081</v>
      </c>
      <c r="D788" s="110">
        <v>11192</v>
      </c>
      <c r="E788" s="111">
        <v>7</v>
      </c>
      <c r="F788" s="111">
        <v>525</v>
      </c>
      <c r="K788" s="194">
        <v>7</v>
      </c>
      <c r="L788" s="151">
        <v>41701</v>
      </c>
      <c r="M788" s="169">
        <v>3.4</v>
      </c>
      <c r="N788" s="151">
        <v>41838</v>
      </c>
      <c r="Q788" s="497"/>
      <c r="S788" s="134">
        <v>12.33</v>
      </c>
      <c r="T788" s="151">
        <v>41842</v>
      </c>
      <c r="U788" s="134">
        <v>13.5</v>
      </c>
      <c r="V788" s="151">
        <v>41838</v>
      </c>
      <c r="W788" s="196">
        <v>9</v>
      </c>
      <c r="X788" s="151">
        <v>41829</v>
      </c>
      <c r="Y788" s="134">
        <f t="shared" si="12"/>
        <v>4.1364400000000003</v>
      </c>
      <c r="AC788" s="134">
        <v>25.19</v>
      </c>
      <c r="AD788" s="151">
        <v>41838</v>
      </c>
      <c r="AE788" s="134">
        <v>26.18</v>
      </c>
      <c r="AF788" s="151">
        <v>41838</v>
      </c>
      <c r="AG788" s="197">
        <v>4.8</v>
      </c>
      <c r="AH788" s="151">
        <v>41843</v>
      </c>
      <c r="AI788" s="198">
        <v>5</v>
      </c>
      <c r="AJ788" s="151">
        <v>41778</v>
      </c>
      <c r="AK788" s="199">
        <v>7</v>
      </c>
      <c r="AL788" s="151">
        <v>41709</v>
      </c>
      <c r="BE788" s="200">
        <v>7</v>
      </c>
      <c r="BF788" s="201">
        <v>41555</v>
      </c>
      <c r="BG788" s="203">
        <v>40.6</v>
      </c>
      <c r="BH788" s="151">
        <v>41842</v>
      </c>
      <c r="BM788" s="204">
        <v>72.5</v>
      </c>
      <c r="BN788" s="151">
        <v>41842</v>
      </c>
      <c r="BQ788" s="205">
        <v>4.9000000000000004</v>
      </c>
      <c r="BR788" s="151">
        <v>41842</v>
      </c>
      <c r="BS788" s="206">
        <v>47.1</v>
      </c>
      <c r="BT788" s="151">
        <v>41842</v>
      </c>
      <c r="BU788" s="207">
        <v>15.8</v>
      </c>
      <c r="BV788" s="151">
        <v>41842</v>
      </c>
      <c r="BW788" s="206">
        <v>71.7</v>
      </c>
      <c r="BX788" s="151">
        <v>41842</v>
      </c>
      <c r="BY788" s="210">
        <v>6.78</v>
      </c>
      <c r="BZ788" s="151">
        <v>41842</v>
      </c>
      <c r="CA788" s="206">
        <v>35.9</v>
      </c>
      <c r="CB788" s="151">
        <v>41842</v>
      </c>
      <c r="CC788" s="208">
        <v>5.4</v>
      </c>
      <c r="CD788" s="151">
        <v>41838</v>
      </c>
      <c r="CL788" s="209">
        <v>7</v>
      </c>
      <c r="CM788" s="201">
        <v>41810</v>
      </c>
    </row>
    <row r="789" spans="1:91" ht="15">
      <c r="A789" s="152" t="s">
        <v>8017</v>
      </c>
      <c r="B789" s="110" t="s">
        <v>233</v>
      </c>
      <c r="C789" s="110" t="s">
        <v>8083</v>
      </c>
      <c r="D789" s="110">
        <v>11791</v>
      </c>
      <c r="E789" s="111">
        <v>11</v>
      </c>
      <c r="F789" s="111">
        <v>765</v>
      </c>
      <c r="K789" s="194">
        <v>7</v>
      </c>
      <c r="L789" s="151">
        <v>41701</v>
      </c>
      <c r="M789" s="169">
        <v>3.25</v>
      </c>
      <c r="N789" s="151">
        <v>41838</v>
      </c>
      <c r="Q789" s="497"/>
      <c r="S789" s="134">
        <v>11.73</v>
      </c>
      <c r="T789" s="151">
        <v>41842</v>
      </c>
      <c r="U789" s="134">
        <v>13.5</v>
      </c>
      <c r="V789" s="151">
        <v>41838</v>
      </c>
      <c r="W789" s="196">
        <v>1</v>
      </c>
      <c r="X789" s="151">
        <v>41829</v>
      </c>
      <c r="Y789" s="134">
        <f t="shared" si="12"/>
        <v>4.07376</v>
      </c>
      <c r="AC789" s="134">
        <v>24.07</v>
      </c>
      <c r="AD789" s="151">
        <v>41838</v>
      </c>
      <c r="AE789" s="134">
        <v>24.84</v>
      </c>
      <c r="AF789" s="151">
        <v>41838</v>
      </c>
      <c r="AG789" s="197">
        <v>4.7</v>
      </c>
      <c r="AH789" s="151">
        <v>41843</v>
      </c>
      <c r="AI789" s="198">
        <v>5</v>
      </c>
      <c r="AJ789" s="151">
        <v>41778</v>
      </c>
      <c r="AK789" s="199">
        <v>7</v>
      </c>
      <c r="AL789" s="151">
        <v>41709</v>
      </c>
      <c r="BE789" s="200">
        <v>7</v>
      </c>
      <c r="BF789" s="201">
        <v>41555</v>
      </c>
      <c r="BG789" s="203">
        <v>41.9</v>
      </c>
      <c r="BH789" s="151">
        <v>41842</v>
      </c>
      <c r="BM789" s="204">
        <v>71.8</v>
      </c>
      <c r="BN789" s="151">
        <v>41842</v>
      </c>
      <c r="BQ789" s="205">
        <v>4.9000000000000004</v>
      </c>
      <c r="BR789" s="151">
        <v>41842</v>
      </c>
      <c r="BS789" s="206">
        <v>47.2</v>
      </c>
      <c r="BT789" s="151">
        <v>41842</v>
      </c>
      <c r="BU789" s="207">
        <v>16.399999999999999</v>
      </c>
      <c r="BV789" s="151">
        <v>41842</v>
      </c>
      <c r="BW789" s="206">
        <v>75.8</v>
      </c>
      <c r="BX789" s="151">
        <v>41842</v>
      </c>
      <c r="BY789" s="210">
        <v>6.39</v>
      </c>
      <c r="BZ789" s="151">
        <v>41842</v>
      </c>
      <c r="CA789" s="206">
        <v>37.4</v>
      </c>
      <c r="CB789" s="151">
        <v>41842</v>
      </c>
      <c r="CC789" s="208">
        <v>6.1</v>
      </c>
      <c r="CD789" s="151">
        <v>41838</v>
      </c>
      <c r="CL789" s="209">
        <v>7</v>
      </c>
      <c r="CM789" s="201">
        <v>41810</v>
      </c>
    </row>
    <row r="790" spans="1:91" ht="15">
      <c r="A790" s="152" t="s">
        <v>8018</v>
      </c>
      <c r="B790" s="110" t="s">
        <v>233</v>
      </c>
      <c r="C790" s="110" t="s">
        <v>381</v>
      </c>
      <c r="D790" s="110">
        <v>10968</v>
      </c>
      <c r="E790" s="111">
        <v>1</v>
      </c>
      <c r="F790" s="111">
        <v>493</v>
      </c>
      <c r="I790" s="373"/>
      <c r="K790" s="194">
        <v>5</v>
      </c>
      <c r="L790" s="151">
        <v>41701</v>
      </c>
      <c r="M790" s="169">
        <v>2.6</v>
      </c>
      <c r="N790" s="151">
        <v>41838</v>
      </c>
      <c r="Q790" s="497"/>
      <c r="S790" s="134">
        <v>8.9600000000000009</v>
      </c>
      <c r="T790" s="151">
        <v>41842</v>
      </c>
      <c r="U790" s="194">
        <v>13.5</v>
      </c>
      <c r="V790" s="151">
        <v>41838</v>
      </c>
      <c r="W790" s="196">
        <v>1</v>
      </c>
      <c r="X790" s="151">
        <v>41829</v>
      </c>
      <c r="Y790" s="134">
        <f t="shared" si="12"/>
        <v>3.2668800000000005</v>
      </c>
      <c r="AA790" s="194"/>
      <c r="AC790" s="194">
        <v>19.260000000000002</v>
      </c>
      <c r="AD790" s="151">
        <v>41838</v>
      </c>
      <c r="AE790" s="137">
        <v>19.68</v>
      </c>
      <c r="AF790" s="151">
        <v>41838</v>
      </c>
      <c r="AG790" s="197">
        <v>3.4</v>
      </c>
      <c r="AH790" s="151">
        <v>41843</v>
      </c>
      <c r="AI790" s="198">
        <v>5</v>
      </c>
      <c r="AJ790" s="151">
        <v>41778</v>
      </c>
      <c r="AK790" s="199">
        <v>4</v>
      </c>
      <c r="AL790" s="151">
        <v>41709</v>
      </c>
      <c r="AM790" s="194"/>
      <c r="BE790" s="200">
        <v>4</v>
      </c>
      <c r="BF790" s="201">
        <v>41555</v>
      </c>
      <c r="BG790" s="203">
        <v>36.1</v>
      </c>
      <c r="BH790" s="151">
        <v>41842</v>
      </c>
      <c r="BM790" s="204">
        <v>70.8</v>
      </c>
      <c r="BN790" s="151">
        <v>41842</v>
      </c>
      <c r="BQ790" s="205">
        <v>5.8</v>
      </c>
      <c r="BR790" s="151">
        <v>41842</v>
      </c>
      <c r="BS790" s="206">
        <v>45.5</v>
      </c>
      <c r="BT790" s="151">
        <v>41842</v>
      </c>
      <c r="BU790" s="207">
        <v>16.600000000000001</v>
      </c>
      <c r="BV790" s="151">
        <v>41842</v>
      </c>
      <c r="BW790" s="206">
        <v>67.900000000000006</v>
      </c>
      <c r="BX790" s="151">
        <v>41842</v>
      </c>
      <c r="BY790" s="210">
        <v>8.2799999999999994</v>
      </c>
      <c r="BZ790" s="151">
        <v>41842</v>
      </c>
      <c r="CA790" s="206">
        <v>36.5</v>
      </c>
      <c r="CB790" s="151">
        <v>41842</v>
      </c>
      <c r="CC790" s="208">
        <v>7</v>
      </c>
      <c r="CD790" s="151">
        <v>41838</v>
      </c>
      <c r="CL790" s="209">
        <v>5</v>
      </c>
      <c r="CM790" s="201">
        <v>41810</v>
      </c>
    </row>
    <row r="791" spans="1:91" ht="15">
      <c r="A791" s="152" t="s">
        <v>8018</v>
      </c>
      <c r="B791" s="110" t="s">
        <v>235</v>
      </c>
      <c r="C791" s="110" t="s">
        <v>8082</v>
      </c>
      <c r="D791" s="110">
        <v>11456</v>
      </c>
      <c r="E791" s="111">
        <v>2</v>
      </c>
      <c r="F791" s="111">
        <v>721</v>
      </c>
      <c r="K791" s="134">
        <v>5</v>
      </c>
      <c r="L791" s="151">
        <v>41701</v>
      </c>
      <c r="M791" s="169">
        <v>3.85</v>
      </c>
      <c r="N791" s="151">
        <v>41838</v>
      </c>
      <c r="Q791" s="497"/>
      <c r="S791" s="134">
        <v>13.34</v>
      </c>
      <c r="T791" s="151">
        <v>41842</v>
      </c>
      <c r="U791" s="134">
        <v>13.5</v>
      </c>
      <c r="V791" s="151">
        <v>41838</v>
      </c>
      <c r="W791" s="196">
        <v>1</v>
      </c>
      <c r="X791" s="151">
        <v>41829</v>
      </c>
      <c r="Y791" s="134">
        <f t="shared" si="12"/>
        <v>4.7563399999999998</v>
      </c>
      <c r="AC791" s="134">
        <v>28.52</v>
      </c>
      <c r="AD791" s="151">
        <v>41838</v>
      </c>
      <c r="AE791" s="134">
        <v>29.18</v>
      </c>
      <c r="AF791" s="151">
        <v>41838</v>
      </c>
      <c r="AG791" s="197">
        <v>3.4</v>
      </c>
      <c r="AH791" s="151">
        <v>41843</v>
      </c>
      <c r="AI791" s="198">
        <v>3</v>
      </c>
      <c r="AJ791" s="151">
        <v>41778</v>
      </c>
      <c r="AK791" s="199">
        <v>5</v>
      </c>
      <c r="AL791" s="151">
        <v>41709</v>
      </c>
      <c r="BE791" s="200">
        <v>5</v>
      </c>
      <c r="BF791" s="201">
        <v>41555</v>
      </c>
      <c r="BG791" s="203">
        <v>25.9</v>
      </c>
      <c r="BH791" s="151">
        <v>41842</v>
      </c>
      <c r="BM791" s="204">
        <v>69.3</v>
      </c>
      <c r="BN791" s="151">
        <v>41842</v>
      </c>
      <c r="BQ791" s="205">
        <v>7</v>
      </c>
      <c r="BR791" s="151">
        <v>41842</v>
      </c>
      <c r="BS791" s="206">
        <v>45.7</v>
      </c>
      <c r="BT791" s="151">
        <v>41842</v>
      </c>
      <c r="BU791" s="207">
        <v>16.3</v>
      </c>
      <c r="BV791" s="151">
        <v>41842</v>
      </c>
      <c r="BW791" s="206">
        <v>61.2</v>
      </c>
      <c r="BX791" s="151">
        <v>41842</v>
      </c>
      <c r="BY791" s="210">
        <v>7.91</v>
      </c>
      <c r="BZ791" s="151">
        <v>41842</v>
      </c>
      <c r="CA791" s="206">
        <v>36</v>
      </c>
      <c r="CB791" s="151">
        <v>41842</v>
      </c>
      <c r="CC791" s="208">
        <v>6.9</v>
      </c>
      <c r="CD791" s="151">
        <v>41838</v>
      </c>
      <c r="CL791" s="209">
        <v>5</v>
      </c>
      <c r="CM791" s="201">
        <v>41810</v>
      </c>
    </row>
    <row r="792" spans="1:91" ht="15">
      <c r="A792" s="152" t="s">
        <v>8018</v>
      </c>
      <c r="B792" s="110" t="s">
        <v>235</v>
      </c>
      <c r="C792" s="110" t="s">
        <v>8081</v>
      </c>
      <c r="D792" s="110">
        <v>11303</v>
      </c>
      <c r="E792" s="111">
        <v>10</v>
      </c>
      <c r="F792" s="111">
        <v>537</v>
      </c>
      <c r="K792" s="134">
        <v>5</v>
      </c>
      <c r="L792" s="151">
        <v>41701</v>
      </c>
      <c r="M792" s="169">
        <v>4.0999999999999996</v>
      </c>
      <c r="N792" s="151">
        <v>41838</v>
      </c>
      <c r="Q792" s="497"/>
      <c r="S792" s="134">
        <v>14.27</v>
      </c>
      <c r="T792" s="151">
        <v>41842</v>
      </c>
      <c r="U792" s="134">
        <v>13.5</v>
      </c>
      <c r="V792" s="151">
        <v>41838</v>
      </c>
      <c r="W792" s="196">
        <v>1</v>
      </c>
      <c r="X792" s="151">
        <v>41829</v>
      </c>
      <c r="Y792" s="134">
        <f t="shared" si="12"/>
        <v>5.330070000000001</v>
      </c>
      <c r="AC792" s="134">
        <v>30.37</v>
      </c>
      <c r="AD792" s="151">
        <v>41838</v>
      </c>
      <c r="AE792" s="134">
        <v>31.17</v>
      </c>
      <c r="AF792" s="151">
        <v>41838</v>
      </c>
      <c r="AG792" s="197">
        <v>3</v>
      </c>
      <c r="AH792" s="151">
        <v>41843</v>
      </c>
      <c r="AI792" s="198">
        <v>7</v>
      </c>
      <c r="AJ792" s="151">
        <v>41778</v>
      </c>
      <c r="AK792" s="199">
        <v>5</v>
      </c>
      <c r="AL792" s="151">
        <v>41709</v>
      </c>
      <c r="BE792" s="200">
        <v>5</v>
      </c>
      <c r="BF792" s="201">
        <v>41555</v>
      </c>
      <c r="BG792" s="203">
        <v>37.799999999999997</v>
      </c>
      <c r="BH792" s="151">
        <v>41842</v>
      </c>
      <c r="BM792" s="204">
        <v>70.900000000000006</v>
      </c>
      <c r="BN792" s="151">
        <v>41842</v>
      </c>
      <c r="BQ792" s="205">
        <v>5.5</v>
      </c>
      <c r="BR792" s="151">
        <v>41842</v>
      </c>
      <c r="BS792" s="206">
        <v>45.8</v>
      </c>
      <c r="BT792" s="151">
        <v>41842</v>
      </c>
      <c r="BU792" s="207">
        <v>17.100000000000001</v>
      </c>
      <c r="BV792" s="151">
        <v>41842</v>
      </c>
      <c r="BW792" s="206">
        <v>70.099999999999994</v>
      </c>
      <c r="BX792" s="151">
        <v>41842</v>
      </c>
      <c r="BY792" s="210">
        <v>8</v>
      </c>
      <c r="BZ792" s="151">
        <v>41842</v>
      </c>
      <c r="CA792" s="206">
        <v>37.700000000000003</v>
      </c>
      <c r="CB792" s="151">
        <v>41842</v>
      </c>
      <c r="CC792" s="208">
        <v>6.6</v>
      </c>
      <c r="CD792" s="151">
        <v>41838</v>
      </c>
      <c r="CL792" s="209">
        <v>5</v>
      </c>
      <c r="CM792" s="201">
        <v>41810</v>
      </c>
    </row>
    <row r="793" spans="1:91" ht="15">
      <c r="A793" s="152" t="s">
        <v>8018</v>
      </c>
      <c r="B793" s="110" t="s">
        <v>233</v>
      </c>
      <c r="C793" s="110" t="s">
        <v>8083</v>
      </c>
      <c r="D793" s="110">
        <v>11804</v>
      </c>
      <c r="E793" s="111">
        <v>12</v>
      </c>
      <c r="F793" s="111">
        <v>673</v>
      </c>
      <c r="K793" s="134">
        <v>5</v>
      </c>
      <c r="L793" s="151">
        <v>41701</v>
      </c>
      <c r="M793" s="169">
        <v>2.4</v>
      </c>
      <c r="N793" s="151">
        <v>41838</v>
      </c>
      <c r="Q793" s="497"/>
      <c r="S793" s="134">
        <v>8.31</v>
      </c>
      <c r="T793" s="151">
        <v>41842</v>
      </c>
      <c r="U793" s="134">
        <v>13.5</v>
      </c>
      <c r="V793" s="151">
        <v>41838</v>
      </c>
      <c r="W793" s="196">
        <v>1</v>
      </c>
      <c r="X793" s="151">
        <v>41829</v>
      </c>
      <c r="Y793" s="134">
        <f t="shared" si="12"/>
        <v>3.0504499999999997</v>
      </c>
      <c r="AC793" s="134">
        <v>17.78</v>
      </c>
      <c r="AD793" s="151">
        <v>41838</v>
      </c>
      <c r="AE793" s="134">
        <v>18.05</v>
      </c>
      <c r="AF793" s="151">
        <v>41838</v>
      </c>
      <c r="AG793" s="197">
        <v>3.3</v>
      </c>
      <c r="AH793" s="151">
        <v>41843</v>
      </c>
      <c r="AI793" s="198">
        <v>7</v>
      </c>
      <c r="AJ793" s="151">
        <v>41778</v>
      </c>
      <c r="AK793" s="199">
        <v>5</v>
      </c>
      <c r="AL793" s="151">
        <v>41709</v>
      </c>
      <c r="BE793" s="200">
        <v>5</v>
      </c>
      <c r="BF793" s="201">
        <v>41555</v>
      </c>
      <c r="BG793" s="203">
        <v>34.6</v>
      </c>
      <c r="BH793" s="151">
        <v>41842</v>
      </c>
      <c r="BM793" s="204">
        <v>71.400000000000006</v>
      </c>
      <c r="BN793" s="151">
        <v>41842</v>
      </c>
      <c r="BQ793" s="205">
        <v>6.1</v>
      </c>
      <c r="BR793" s="151">
        <v>41842</v>
      </c>
      <c r="BS793" s="206">
        <v>46</v>
      </c>
      <c r="BT793" s="151">
        <v>41842</v>
      </c>
      <c r="BU793" s="207">
        <v>16.899999999999999</v>
      </c>
      <c r="BV793" s="151">
        <v>41842</v>
      </c>
      <c r="BW793" s="206">
        <v>69.900000000000006</v>
      </c>
      <c r="BX793" s="151">
        <v>41842</v>
      </c>
      <c r="BY793" s="210">
        <v>7.52</v>
      </c>
      <c r="BZ793" s="151">
        <v>41842</v>
      </c>
      <c r="CA793" s="206">
        <v>37.5</v>
      </c>
      <c r="CB793" s="151">
        <v>41842</v>
      </c>
      <c r="CC793" s="208">
        <v>7.6</v>
      </c>
      <c r="CD793" s="151">
        <v>41838</v>
      </c>
      <c r="CL793" s="209">
        <v>5</v>
      </c>
      <c r="CM793" s="201">
        <v>41810</v>
      </c>
    </row>
    <row r="794" spans="1:91" ht="15">
      <c r="A794" s="152" t="s">
        <v>8019</v>
      </c>
      <c r="B794" s="110" t="s">
        <v>233</v>
      </c>
      <c r="C794" s="110" t="s">
        <v>381</v>
      </c>
      <c r="D794" s="110">
        <v>11106</v>
      </c>
      <c r="E794" s="111">
        <v>4</v>
      </c>
      <c r="F794" s="111">
        <v>613</v>
      </c>
      <c r="K794" s="134">
        <v>5</v>
      </c>
      <c r="L794" s="151">
        <v>41701</v>
      </c>
      <c r="M794" s="169">
        <v>2.4</v>
      </c>
      <c r="N794" s="151">
        <v>41838</v>
      </c>
      <c r="Q794" s="497"/>
      <c r="S794" s="134">
        <v>8.6</v>
      </c>
      <c r="T794" s="151">
        <v>41842</v>
      </c>
      <c r="U794" s="134">
        <v>13.5</v>
      </c>
      <c r="V794" s="151">
        <v>41838</v>
      </c>
      <c r="W794" s="196">
        <v>1</v>
      </c>
      <c r="X794" s="151">
        <v>41829</v>
      </c>
      <c r="Y794" s="134">
        <f t="shared" si="12"/>
        <v>2.9232</v>
      </c>
      <c r="AC794" s="134">
        <v>17.78</v>
      </c>
      <c r="AD794" s="151">
        <v>41838</v>
      </c>
      <c r="AE794" s="134">
        <v>18.27</v>
      </c>
      <c r="AF794" s="151">
        <v>41838</v>
      </c>
      <c r="AG794" s="197">
        <v>4.9000000000000004</v>
      </c>
      <c r="AH794" s="151">
        <v>41843</v>
      </c>
      <c r="AI794" s="198">
        <v>3</v>
      </c>
      <c r="AJ794" s="151">
        <v>41778</v>
      </c>
      <c r="AK794" s="199">
        <v>4</v>
      </c>
      <c r="AL794" s="151">
        <v>41709</v>
      </c>
      <c r="BE794" s="200">
        <v>4</v>
      </c>
      <c r="BF794" s="201">
        <v>41555</v>
      </c>
      <c r="BG794" s="203">
        <v>32.6</v>
      </c>
      <c r="BH794" s="151">
        <v>41842</v>
      </c>
      <c r="BM794" s="204">
        <v>71.5</v>
      </c>
      <c r="BN794" s="151">
        <v>41842</v>
      </c>
      <c r="BQ794" s="205">
        <v>5.0999999999999996</v>
      </c>
      <c r="BR794" s="151">
        <v>41842</v>
      </c>
      <c r="BS794" s="206">
        <v>47.1</v>
      </c>
      <c r="BT794" s="151">
        <v>41842</v>
      </c>
      <c r="BU794" s="207">
        <v>16</v>
      </c>
      <c r="BV794" s="151">
        <v>41842</v>
      </c>
      <c r="BW794" s="206">
        <v>69</v>
      </c>
      <c r="BX794" s="151">
        <v>41842</v>
      </c>
      <c r="BY794" s="210">
        <v>7.81</v>
      </c>
      <c r="BZ794" s="151">
        <v>41842</v>
      </c>
      <c r="CA794" s="206">
        <v>36.299999999999997</v>
      </c>
      <c r="CB794" s="151">
        <v>41842</v>
      </c>
      <c r="CC794" s="208">
        <v>6.5</v>
      </c>
      <c r="CD794" s="151">
        <v>41838</v>
      </c>
      <c r="CL794" s="209">
        <v>7</v>
      </c>
      <c r="CM794" s="201">
        <v>41810</v>
      </c>
    </row>
    <row r="795" spans="1:91" ht="15">
      <c r="A795" s="152" t="s">
        <v>8019</v>
      </c>
      <c r="B795" s="110" t="s">
        <v>235</v>
      </c>
      <c r="C795" s="110" t="s">
        <v>8082</v>
      </c>
      <c r="D795" s="110">
        <v>11594</v>
      </c>
      <c r="E795" s="111">
        <v>6</v>
      </c>
      <c r="F795" s="111">
        <v>697</v>
      </c>
      <c r="K795" s="134">
        <v>5</v>
      </c>
      <c r="L795" s="151">
        <v>41701</v>
      </c>
      <c r="M795" s="169">
        <v>2.2999999999999998</v>
      </c>
      <c r="N795" s="151">
        <v>41838</v>
      </c>
      <c r="Q795" s="497"/>
      <c r="S795" s="134">
        <v>8.35</v>
      </c>
      <c r="T795" s="151">
        <v>41842</v>
      </c>
      <c r="U795" s="134">
        <v>13.5</v>
      </c>
      <c r="V795" s="151">
        <v>41838</v>
      </c>
      <c r="W795" s="196">
        <v>9</v>
      </c>
      <c r="X795" s="151">
        <v>41829</v>
      </c>
      <c r="Y795" s="134">
        <f t="shared" si="12"/>
        <v>2.8576799999999998</v>
      </c>
      <c r="AC795" s="134">
        <v>17.04</v>
      </c>
      <c r="AD795" s="151">
        <v>41838</v>
      </c>
      <c r="AE795" s="134">
        <v>17.64</v>
      </c>
      <c r="AF795" s="151">
        <v>41838</v>
      </c>
      <c r="AG795" s="197">
        <v>4.4000000000000004</v>
      </c>
      <c r="AH795" s="151">
        <v>41843</v>
      </c>
      <c r="AI795" s="198">
        <v>5</v>
      </c>
      <c r="AJ795" s="151">
        <v>41778</v>
      </c>
      <c r="AK795" s="199">
        <v>5</v>
      </c>
      <c r="AL795" s="151">
        <v>41709</v>
      </c>
      <c r="BE795" s="200">
        <v>5</v>
      </c>
      <c r="BF795" s="201">
        <v>41555</v>
      </c>
      <c r="BG795" s="203">
        <v>33.9</v>
      </c>
      <c r="BH795" s="151">
        <v>41842</v>
      </c>
      <c r="BM795" s="204">
        <v>71.400000000000006</v>
      </c>
      <c r="BN795" s="151">
        <v>41842</v>
      </c>
      <c r="BQ795" s="205">
        <v>4.3</v>
      </c>
      <c r="BR795" s="151">
        <v>41842</v>
      </c>
      <c r="BS795" s="206">
        <v>47.4</v>
      </c>
      <c r="BT795" s="151">
        <v>41842</v>
      </c>
      <c r="BU795" s="207">
        <v>16.2</v>
      </c>
      <c r="BV795" s="151">
        <v>41842</v>
      </c>
      <c r="BW795" s="206">
        <v>68.8</v>
      </c>
      <c r="BX795" s="151">
        <v>41842</v>
      </c>
      <c r="BY795" s="210">
        <v>7.66</v>
      </c>
      <c r="BZ795" s="151">
        <v>41842</v>
      </c>
      <c r="CA795" s="206">
        <v>37.1</v>
      </c>
      <c r="CB795" s="151">
        <v>41842</v>
      </c>
      <c r="CC795" s="208">
        <v>5.8</v>
      </c>
      <c r="CD795" s="151">
        <v>41838</v>
      </c>
      <c r="CL795" s="209">
        <v>7</v>
      </c>
      <c r="CM795" s="201">
        <v>41810</v>
      </c>
    </row>
    <row r="796" spans="1:91" ht="15">
      <c r="A796" s="152" t="s">
        <v>8019</v>
      </c>
      <c r="B796" s="110" t="s">
        <v>233</v>
      </c>
      <c r="C796" s="110" t="s">
        <v>8083</v>
      </c>
      <c r="D796" s="110">
        <v>11736</v>
      </c>
      <c r="E796" s="111">
        <v>10</v>
      </c>
      <c r="F796" s="111">
        <v>689</v>
      </c>
      <c r="K796" s="191">
        <v>3</v>
      </c>
      <c r="L796" s="151">
        <v>41701</v>
      </c>
      <c r="M796" s="169">
        <v>2.6</v>
      </c>
      <c r="N796" s="151">
        <v>41838</v>
      </c>
      <c r="Q796" s="497"/>
      <c r="S796" s="134">
        <v>9.83</v>
      </c>
      <c r="T796" s="151">
        <v>41842</v>
      </c>
      <c r="U796" s="134">
        <v>13.5</v>
      </c>
      <c r="V796" s="151">
        <v>41838</v>
      </c>
      <c r="W796" s="196">
        <v>1</v>
      </c>
      <c r="X796" s="151">
        <v>41829</v>
      </c>
      <c r="Y796" s="134">
        <f t="shared" si="12"/>
        <v>2.8912999999999998</v>
      </c>
      <c r="AC796" s="134">
        <v>19.260000000000002</v>
      </c>
      <c r="AD796" s="151">
        <v>41838</v>
      </c>
      <c r="AE796" s="134">
        <v>19.940000000000001</v>
      </c>
      <c r="AF796" s="151">
        <v>41838</v>
      </c>
      <c r="AG796" s="197">
        <v>4.4000000000000004</v>
      </c>
      <c r="AH796" s="151">
        <v>41843</v>
      </c>
      <c r="AI796" s="198">
        <v>5</v>
      </c>
      <c r="AJ796" s="151">
        <v>41778</v>
      </c>
      <c r="AK796" s="199">
        <v>5</v>
      </c>
      <c r="AL796" s="151">
        <v>41709</v>
      </c>
      <c r="BE796" s="200">
        <v>5</v>
      </c>
      <c r="BF796" s="201">
        <v>41555</v>
      </c>
      <c r="BG796" s="203">
        <v>30.1</v>
      </c>
      <c r="BH796" s="151">
        <v>41842</v>
      </c>
      <c r="BM796" s="204">
        <v>73</v>
      </c>
      <c r="BN796" s="151">
        <v>41842</v>
      </c>
      <c r="BQ796" s="205">
        <v>4.7</v>
      </c>
      <c r="BR796" s="151">
        <v>41842</v>
      </c>
      <c r="BS796" s="206">
        <v>49.3</v>
      </c>
      <c r="BT796" s="151">
        <v>41842</v>
      </c>
      <c r="BU796" s="207">
        <v>14.5</v>
      </c>
      <c r="BV796" s="151">
        <v>41842</v>
      </c>
      <c r="BW796" s="206">
        <v>63</v>
      </c>
      <c r="BX796" s="151">
        <v>41842</v>
      </c>
      <c r="BY796" s="210">
        <v>7.2</v>
      </c>
      <c r="BZ796" s="151">
        <v>41842</v>
      </c>
      <c r="CA796" s="206">
        <v>34.700000000000003</v>
      </c>
      <c r="CB796" s="151">
        <v>41842</v>
      </c>
      <c r="CC796" s="208">
        <v>5.8</v>
      </c>
      <c r="CD796" s="151">
        <v>41838</v>
      </c>
      <c r="CL796" s="209">
        <v>7</v>
      </c>
      <c r="CM796" s="201">
        <v>41810</v>
      </c>
    </row>
    <row r="797" spans="1:91" ht="15">
      <c r="A797" s="152" t="s">
        <v>8019</v>
      </c>
      <c r="B797" s="110" t="s">
        <v>235</v>
      </c>
      <c r="C797" s="110" t="s">
        <v>8081</v>
      </c>
      <c r="D797" s="110">
        <v>11347</v>
      </c>
      <c r="E797" s="111">
        <v>11</v>
      </c>
      <c r="F797" s="111">
        <v>569</v>
      </c>
      <c r="K797" s="134">
        <v>5</v>
      </c>
      <c r="L797" s="151">
        <v>41701</v>
      </c>
      <c r="M797" s="169">
        <v>2.85</v>
      </c>
      <c r="N797" s="151">
        <v>41838</v>
      </c>
      <c r="Q797" s="497"/>
      <c r="S797" s="134">
        <v>10.15</v>
      </c>
      <c r="T797" s="151">
        <v>41842</v>
      </c>
      <c r="U797" s="134">
        <v>13.5</v>
      </c>
      <c r="V797" s="151">
        <v>41838</v>
      </c>
      <c r="W797" s="196">
        <v>9</v>
      </c>
      <c r="X797" s="151">
        <v>41829</v>
      </c>
      <c r="Y797" s="134">
        <f t="shared" si="12"/>
        <v>3.5615500000000004</v>
      </c>
      <c r="AC797" s="134">
        <v>21.11</v>
      </c>
      <c r="AD797" s="151">
        <v>41838</v>
      </c>
      <c r="AE797" s="134">
        <v>21.85</v>
      </c>
      <c r="AF797" s="151">
        <v>41838</v>
      </c>
      <c r="AG797" s="197">
        <v>4.0999999999999996</v>
      </c>
      <c r="AH797" s="151">
        <v>41843</v>
      </c>
      <c r="AI797" s="198">
        <v>5</v>
      </c>
      <c r="AJ797" s="151">
        <v>41778</v>
      </c>
      <c r="AK797" s="199">
        <v>5</v>
      </c>
      <c r="AL797" s="151">
        <v>41709</v>
      </c>
      <c r="BE797" s="200">
        <v>5</v>
      </c>
      <c r="BF797" s="201">
        <v>41555</v>
      </c>
      <c r="BG797" s="203">
        <v>30</v>
      </c>
      <c r="BH797" s="151">
        <v>41842</v>
      </c>
      <c r="BM797" s="204">
        <v>69.8</v>
      </c>
      <c r="BN797" s="151">
        <v>41842</v>
      </c>
      <c r="BQ797" s="205">
        <v>5.4</v>
      </c>
      <c r="BR797" s="151">
        <v>41842</v>
      </c>
      <c r="BS797" s="206">
        <v>46.5</v>
      </c>
      <c r="BT797" s="151">
        <v>41842</v>
      </c>
      <c r="BU797" s="207">
        <v>16.3</v>
      </c>
      <c r="BV797" s="151">
        <v>41842</v>
      </c>
      <c r="BW797" s="206">
        <v>61.6</v>
      </c>
      <c r="BX797" s="151">
        <v>41842</v>
      </c>
      <c r="BY797" s="210">
        <v>7.77</v>
      </c>
      <c r="BZ797" s="151">
        <v>41842</v>
      </c>
      <c r="CA797" s="206">
        <v>36.6</v>
      </c>
      <c r="CB797" s="151">
        <v>41842</v>
      </c>
      <c r="CC797" s="208">
        <v>5.8</v>
      </c>
      <c r="CD797" s="151">
        <v>41838</v>
      </c>
      <c r="CL797" s="209">
        <v>7</v>
      </c>
      <c r="CM797" s="201">
        <v>41810</v>
      </c>
    </row>
    <row r="798" spans="1:91" ht="15">
      <c r="A798" s="152" t="s">
        <v>8020</v>
      </c>
      <c r="B798" s="110" t="s">
        <v>233</v>
      </c>
      <c r="C798" s="110" t="s">
        <v>381</v>
      </c>
      <c r="D798" s="110">
        <v>11171</v>
      </c>
      <c r="E798" s="111">
        <v>6</v>
      </c>
      <c r="F798" s="111">
        <v>585</v>
      </c>
      <c r="K798" s="134">
        <v>5</v>
      </c>
      <c r="L798" s="151">
        <v>41701</v>
      </c>
      <c r="M798" s="169">
        <v>2.5499999999999998</v>
      </c>
      <c r="N798" s="151">
        <v>41838</v>
      </c>
      <c r="Q798" s="497"/>
      <c r="S798" s="134">
        <v>8.69</v>
      </c>
      <c r="T798" s="151">
        <v>41842</v>
      </c>
      <c r="U798" s="134">
        <v>13.5</v>
      </c>
      <c r="V798" s="151">
        <v>41838</v>
      </c>
      <c r="W798" s="196">
        <v>9</v>
      </c>
      <c r="X798" s="151">
        <v>41829</v>
      </c>
      <c r="Y798" s="134">
        <f t="shared" si="12"/>
        <v>3.1638600000000001</v>
      </c>
      <c r="AC798" s="134">
        <v>18.89</v>
      </c>
      <c r="AD798" s="151">
        <v>41838</v>
      </c>
      <c r="AE798" s="134">
        <v>19.53</v>
      </c>
      <c r="AF798" s="151">
        <v>41838</v>
      </c>
      <c r="AG798" s="197">
        <v>4.8</v>
      </c>
      <c r="AH798" s="151">
        <v>41843</v>
      </c>
      <c r="AI798" s="198">
        <v>3</v>
      </c>
      <c r="AJ798" s="151">
        <v>41778</v>
      </c>
      <c r="AK798" s="199">
        <v>4</v>
      </c>
      <c r="AL798" s="151">
        <v>41709</v>
      </c>
      <c r="BE798" s="200">
        <v>4</v>
      </c>
      <c r="BF798" s="201">
        <v>41555</v>
      </c>
      <c r="BG798" s="203">
        <v>0.9</v>
      </c>
      <c r="BH798" s="151">
        <v>41842</v>
      </c>
      <c r="BM798" s="204">
        <v>66.7</v>
      </c>
      <c r="BN798" s="151">
        <v>41842</v>
      </c>
      <c r="BQ798" s="205">
        <v>10.4</v>
      </c>
      <c r="BR798" s="151">
        <v>41842</v>
      </c>
      <c r="BS798" s="206">
        <v>44.5</v>
      </c>
      <c r="BT798" s="151">
        <v>41842</v>
      </c>
      <c r="BU798" s="207">
        <v>16.2</v>
      </c>
      <c r="BV798" s="151">
        <v>41842</v>
      </c>
      <c r="BW798" s="206">
        <v>70.3</v>
      </c>
      <c r="BX798" s="151">
        <v>41842</v>
      </c>
      <c r="BY798" s="210">
        <v>7.91</v>
      </c>
      <c r="BZ798" s="151">
        <v>41842</v>
      </c>
      <c r="CA798" s="206">
        <v>34.700000000000003</v>
      </c>
      <c r="CB798" s="151">
        <v>41842</v>
      </c>
      <c r="CC798" s="208">
        <v>5.9</v>
      </c>
      <c r="CD798" s="151">
        <v>41838</v>
      </c>
      <c r="CL798" s="209">
        <v>7</v>
      </c>
      <c r="CM798" s="201">
        <v>41810</v>
      </c>
    </row>
    <row r="799" spans="1:91" ht="15">
      <c r="A799" s="152" t="s">
        <v>8020</v>
      </c>
      <c r="B799" s="110" t="s">
        <v>235</v>
      </c>
      <c r="C799" s="110" t="s">
        <v>8082</v>
      </c>
      <c r="D799" s="110">
        <v>11590</v>
      </c>
      <c r="E799" s="111">
        <v>6</v>
      </c>
      <c r="F799" s="111">
        <v>681</v>
      </c>
      <c r="K799" s="134">
        <v>5</v>
      </c>
      <c r="L799" s="151">
        <v>41701</v>
      </c>
      <c r="M799" s="169">
        <v>3.75</v>
      </c>
      <c r="N799" s="151">
        <v>41838</v>
      </c>
      <c r="Q799" s="497"/>
      <c r="S799" s="134">
        <v>13.06</v>
      </c>
      <c r="T799" s="151">
        <v>41842</v>
      </c>
      <c r="U799" s="134">
        <v>13.5</v>
      </c>
      <c r="V799" s="151">
        <v>41838</v>
      </c>
      <c r="W799" s="196">
        <v>9</v>
      </c>
      <c r="X799" s="151">
        <v>41829</v>
      </c>
      <c r="Y799" s="134">
        <f t="shared" si="12"/>
        <v>4.3654399999999995</v>
      </c>
      <c r="AC799" s="134">
        <v>27.78</v>
      </c>
      <c r="AD799" s="151">
        <v>41838</v>
      </c>
      <c r="AE799" s="134">
        <v>28.72</v>
      </c>
      <c r="AF799" s="151">
        <v>41838</v>
      </c>
      <c r="AG799" s="197">
        <v>4.5999999999999996</v>
      </c>
      <c r="AH799" s="151">
        <v>41843</v>
      </c>
      <c r="AI799" s="198">
        <v>3</v>
      </c>
      <c r="AJ799" s="151">
        <v>41778</v>
      </c>
      <c r="AK799" s="199">
        <v>4</v>
      </c>
      <c r="AL799" s="151">
        <v>41709</v>
      </c>
      <c r="BE799" s="200">
        <v>4</v>
      </c>
      <c r="BF799" s="201">
        <v>41555</v>
      </c>
      <c r="BG799" s="203">
        <v>-0.3</v>
      </c>
      <c r="BH799" s="151">
        <v>41842</v>
      </c>
      <c r="BM799" s="204">
        <v>66.599999999999994</v>
      </c>
      <c r="BN799" s="151">
        <v>41842</v>
      </c>
      <c r="BQ799" s="205">
        <v>10.1</v>
      </c>
      <c r="BR799" s="151">
        <v>41842</v>
      </c>
      <c r="BS799" s="206">
        <v>45.5</v>
      </c>
      <c r="BT799" s="151">
        <v>41842</v>
      </c>
      <c r="BU799" s="207">
        <v>15.2</v>
      </c>
      <c r="BV799" s="151">
        <v>41842</v>
      </c>
      <c r="BW799" s="206">
        <v>60.6</v>
      </c>
      <c r="BX799" s="151">
        <v>41842</v>
      </c>
      <c r="BY799" s="210">
        <v>7.66</v>
      </c>
      <c r="BZ799" s="151">
        <v>41842</v>
      </c>
      <c r="CA799" s="206">
        <v>33.4</v>
      </c>
      <c r="CB799" s="151">
        <v>41842</v>
      </c>
      <c r="CC799" s="208">
        <v>5.9</v>
      </c>
      <c r="CD799" s="151">
        <v>41838</v>
      </c>
      <c r="CL799" s="209">
        <v>7</v>
      </c>
      <c r="CM799" s="201">
        <v>41810</v>
      </c>
    </row>
    <row r="800" spans="1:91" ht="15">
      <c r="A800" s="152" t="s">
        <v>8020</v>
      </c>
      <c r="B800" s="110" t="s">
        <v>233</v>
      </c>
      <c r="C800" s="110" t="s">
        <v>8083</v>
      </c>
      <c r="D800" s="110">
        <v>11638</v>
      </c>
      <c r="E800" s="111">
        <v>7</v>
      </c>
      <c r="F800" s="111">
        <v>729</v>
      </c>
      <c r="K800" s="134">
        <v>5</v>
      </c>
      <c r="L800" s="151">
        <v>41701</v>
      </c>
      <c r="M800" s="169">
        <v>2.85</v>
      </c>
      <c r="N800" s="151">
        <v>41838</v>
      </c>
      <c r="Q800" s="497"/>
      <c r="S800" s="134">
        <v>9.68</v>
      </c>
      <c r="T800" s="151">
        <v>41842</v>
      </c>
      <c r="U800" s="134">
        <v>13.5</v>
      </c>
      <c r="V800" s="151">
        <v>41838</v>
      </c>
      <c r="W800" s="196">
        <v>9</v>
      </c>
      <c r="X800" s="151">
        <v>41829</v>
      </c>
      <c r="Y800" s="134">
        <f t="shared" si="12"/>
        <v>3.4816000000000003</v>
      </c>
      <c r="AC800" s="134">
        <v>21.11</v>
      </c>
      <c r="AD800" s="151">
        <v>41838</v>
      </c>
      <c r="AE800" s="134">
        <v>21.76</v>
      </c>
      <c r="AF800" s="151">
        <v>41838</v>
      </c>
      <c r="AG800" s="197">
        <v>4.5999999999999996</v>
      </c>
      <c r="AH800" s="151">
        <v>41843</v>
      </c>
      <c r="AI800" s="198">
        <v>3</v>
      </c>
      <c r="AJ800" s="151">
        <v>41778</v>
      </c>
      <c r="AK800" s="199">
        <v>4</v>
      </c>
      <c r="AL800" s="151">
        <v>41709</v>
      </c>
      <c r="BE800" s="200">
        <v>4</v>
      </c>
      <c r="BF800" s="201">
        <v>41555</v>
      </c>
      <c r="BG800" s="203">
        <v>-1.3</v>
      </c>
      <c r="BH800" s="151">
        <v>41842</v>
      </c>
      <c r="BM800" s="204">
        <v>65.5</v>
      </c>
      <c r="BN800" s="151">
        <v>41842</v>
      </c>
      <c r="BQ800" s="205">
        <v>10.6</v>
      </c>
      <c r="BR800" s="151">
        <v>41842</v>
      </c>
      <c r="BS800" s="206">
        <v>44.5</v>
      </c>
      <c r="BT800" s="151">
        <v>41842</v>
      </c>
      <c r="BU800" s="207">
        <v>16</v>
      </c>
      <c r="BV800" s="151">
        <v>41842</v>
      </c>
      <c r="BW800" s="206">
        <v>68.8</v>
      </c>
      <c r="BX800" s="151">
        <v>41842</v>
      </c>
      <c r="BY800" s="210">
        <v>7.46</v>
      </c>
      <c r="BZ800" s="151">
        <v>41842</v>
      </c>
      <c r="CA800" s="206">
        <v>34.4</v>
      </c>
      <c r="CB800" s="151">
        <v>41842</v>
      </c>
      <c r="CC800" s="208">
        <v>6.2</v>
      </c>
      <c r="CD800" s="151">
        <v>41838</v>
      </c>
      <c r="CL800" s="209">
        <v>5</v>
      </c>
      <c r="CM800" s="201">
        <v>41810</v>
      </c>
    </row>
    <row r="801" spans="1:91" ht="15">
      <c r="A801" s="152" t="s">
        <v>8020</v>
      </c>
      <c r="B801" s="110" t="s">
        <v>235</v>
      </c>
      <c r="C801" s="110" t="s">
        <v>8081</v>
      </c>
      <c r="D801" s="110">
        <v>11239</v>
      </c>
      <c r="E801" s="111">
        <v>8</v>
      </c>
      <c r="F801" s="111">
        <v>569</v>
      </c>
      <c r="K801" s="134">
        <v>5</v>
      </c>
      <c r="L801" s="151">
        <v>41701</v>
      </c>
      <c r="M801" s="169">
        <v>3.6</v>
      </c>
      <c r="N801" s="151">
        <v>41838</v>
      </c>
      <c r="Q801" s="497"/>
      <c r="S801" s="134">
        <v>12.24</v>
      </c>
      <c r="T801" s="151">
        <v>41842</v>
      </c>
      <c r="U801" s="134">
        <v>13.5</v>
      </c>
      <c r="V801" s="151">
        <v>41838</v>
      </c>
      <c r="W801" s="196">
        <v>1</v>
      </c>
      <c r="X801" s="151">
        <v>41829</v>
      </c>
      <c r="Y801" s="134">
        <f t="shared" si="12"/>
        <v>4.4679599999999997</v>
      </c>
      <c r="AC801" s="134">
        <v>26.67</v>
      </c>
      <c r="AD801" s="151">
        <v>41838</v>
      </c>
      <c r="AE801" s="134">
        <v>27.58</v>
      </c>
      <c r="AF801" s="151">
        <v>41838</v>
      </c>
      <c r="AG801" s="197">
        <v>4.4000000000000004</v>
      </c>
      <c r="AH801" s="151">
        <v>41843</v>
      </c>
      <c r="AI801" s="198">
        <v>5</v>
      </c>
      <c r="AJ801" s="151">
        <v>41778</v>
      </c>
      <c r="AK801" s="199">
        <v>5</v>
      </c>
      <c r="AL801" s="151">
        <v>41709</v>
      </c>
      <c r="BE801" s="200">
        <v>5</v>
      </c>
      <c r="BF801" s="201">
        <v>41555</v>
      </c>
      <c r="BG801" s="203">
        <v>2.2999999999999998</v>
      </c>
      <c r="BH801" s="151">
        <v>41842</v>
      </c>
      <c r="BM801" s="204">
        <v>66.7</v>
      </c>
      <c r="BN801" s="151">
        <v>41842</v>
      </c>
      <c r="BQ801" s="205">
        <v>10.3</v>
      </c>
      <c r="BR801" s="151">
        <v>41842</v>
      </c>
      <c r="BS801" s="206">
        <v>44.4</v>
      </c>
      <c r="BT801" s="151">
        <v>41842</v>
      </c>
      <c r="BU801" s="207">
        <v>16.2</v>
      </c>
      <c r="BV801" s="151">
        <v>41842</v>
      </c>
      <c r="BW801" s="206">
        <v>64</v>
      </c>
      <c r="BX801" s="151">
        <v>41842</v>
      </c>
      <c r="BY801" s="210">
        <v>7.71</v>
      </c>
      <c r="BZ801" s="151">
        <v>41842</v>
      </c>
      <c r="CA801" s="206">
        <v>34.700000000000003</v>
      </c>
      <c r="CB801" s="151">
        <v>41842</v>
      </c>
      <c r="CC801" s="208">
        <v>5.9</v>
      </c>
      <c r="CD801" s="151">
        <v>41838</v>
      </c>
      <c r="CL801" s="209">
        <v>3</v>
      </c>
      <c r="CM801" s="201">
        <v>41810</v>
      </c>
    </row>
    <row r="802" spans="1:91" ht="15">
      <c r="A802" s="152" t="s">
        <v>8070</v>
      </c>
      <c r="B802" s="110" t="s">
        <v>233</v>
      </c>
      <c r="C802" s="110" t="s">
        <v>381</v>
      </c>
      <c r="D802" s="110">
        <v>11020</v>
      </c>
      <c r="E802" s="111">
        <v>2</v>
      </c>
      <c r="F802" s="111">
        <v>557</v>
      </c>
      <c r="K802" s="134">
        <v>5</v>
      </c>
      <c r="L802" s="151">
        <v>41701</v>
      </c>
      <c r="M802" s="169">
        <v>4.3</v>
      </c>
      <c r="N802" s="151">
        <v>41838</v>
      </c>
      <c r="Q802" s="497"/>
      <c r="S802" s="134">
        <v>16.3</v>
      </c>
      <c r="T802" s="151">
        <v>41842</v>
      </c>
      <c r="U802" s="134">
        <v>13.5</v>
      </c>
      <c r="V802" s="151">
        <v>41838</v>
      </c>
      <c r="W802" s="196">
        <v>9</v>
      </c>
      <c r="X802" s="151">
        <v>41829</v>
      </c>
      <c r="Y802" s="134">
        <f t="shared" si="12"/>
        <v>3.8656799999999998</v>
      </c>
      <c r="AC802" s="134">
        <v>31.85</v>
      </c>
      <c r="AD802" s="151">
        <v>41838</v>
      </c>
      <c r="AE802" s="134">
        <v>33.04</v>
      </c>
      <c r="AF802" s="151">
        <v>41838</v>
      </c>
      <c r="AG802" s="197">
        <v>5.3</v>
      </c>
      <c r="AH802" s="151">
        <v>41843</v>
      </c>
      <c r="AI802" s="198">
        <v>5</v>
      </c>
      <c r="AJ802" s="151">
        <v>41778</v>
      </c>
      <c r="AK802" s="199">
        <v>5</v>
      </c>
      <c r="AL802" s="151">
        <v>41709</v>
      </c>
      <c r="BE802" s="200">
        <v>5</v>
      </c>
      <c r="BF802" s="201">
        <v>41555</v>
      </c>
      <c r="BG802" s="203">
        <v>-6.5</v>
      </c>
      <c r="BH802" s="151">
        <v>41842</v>
      </c>
      <c r="BM802" s="204">
        <v>64.599999999999994</v>
      </c>
      <c r="BN802" s="151">
        <v>41842</v>
      </c>
      <c r="BQ802" s="205">
        <v>10.4</v>
      </c>
      <c r="BR802" s="151">
        <v>41842</v>
      </c>
      <c r="BS802" s="206">
        <v>49.3</v>
      </c>
      <c r="BT802" s="151">
        <v>41842</v>
      </c>
      <c r="BU802" s="207">
        <v>11.7</v>
      </c>
      <c r="BV802" s="151">
        <v>41842</v>
      </c>
      <c r="BW802" s="206">
        <v>12.9</v>
      </c>
      <c r="BX802" s="151">
        <v>41842</v>
      </c>
      <c r="BY802" s="210">
        <v>6.23</v>
      </c>
      <c r="BZ802" s="151">
        <v>41842</v>
      </c>
      <c r="CA802" s="206">
        <v>28.2</v>
      </c>
      <c r="CB802" s="151">
        <v>41842</v>
      </c>
      <c r="CC802" s="208">
        <v>5.6</v>
      </c>
      <c r="CD802" s="151">
        <v>41838</v>
      </c>
      <c r="CL802" s="209">
        <v>3</v>
      </c>
      <c r="CM802" s="201">
        <v>41810</v>
      </c>
    </row>
    <row r="803" spans="1:91" ht="15">
      <c r="A803" s="152" t="s">
        <v>8070</v>
      </c>
      <c r="B803" s="110" t="s">
        <v>235</v>
      </c>
      <c r="C803" s="110" t="s">
        <v>8082</v>
      </c>
      <c r="D803" s="110">
        <v>11442</v>
      </c>
      <c r="E803" s="111">
        <v>2</v>
      </c>
      <c r="F803" s="111">
        <v>665</v>
      </c>
      <c r="K803" s="134">
        <v>5</v>
      </c>
      <c r="L803" s="151">
        <v>41701</v>
      </c>
      <c r="M803" s="169">
        <v>6.55</v>
      </c>
      <c r="N803" s="151">
        <v>41838</v>
      </c>
      <c r="Q803" s="497"/>
      <c r="S803" s="134">
        <v>23.85</v>
      </c>
      <c r="T803" s="151">
        <v>41842</v>
      </c>
      <c r="U803" s="134">
        <v>13.5</v>
      </c>
      <c r="V803" s="151">
        <v>41838</v>
      </c>
      <c r="W803" s="196">
        <v>9</v>
      </c>
      <c r="X803" s="151">
        <v>41829</v>
      </c>
      <c r="Y803" s="134">
        <f t="shared" si="12"/>
        <v>6.7797000000000001</v>
      </c>
      <c r="AC803" s="134">
        <v>48.52</v>
      </c>
      <c r="AD803" s="151">
        <v>41838</v>
      </c>
      <c r="AE803" s="134">
        <v>50.22</v>
      </c>
      <c r="AF803" s="151">
        <v>41838</v>
      </c>
      <c r="AG803" s="197">
        <v>5.5</v>
      </c>
      <c r="AH803" s="151">
        <v>41843</v>
      </c>
      <c r="AI803" s="198">
        <v>7</v>
      </c>
      <c r="AJ803" s="151">
        <v>41778</v>
      </c>
      <c r="AK803" s="199">
        <v>5</v>
      </c>
      <c r="AL803" s="151">
        <v>41709</v>
      </c>
      <c r="BE803" s="200">
        <v>5</v>
      </c>
      <c r="BF803" s="201">
        <v>41555</v>
      </c>
      <c r="BG803" s="203">
        <v>-11.3</v>
      </c>
      <c r="BH803" s="151">
        <v>41842</v>
      </c>
      <c r="BM803" s="204">
        <v>62.6</v>
      </c>
      <c r="BN803" s="151">
        <v>41842</v>
      </c>
      <c r="BQ803" s="205">
        <v>11.5</v>
      </c>
      <c r="BR803" s="151">
        <v>41842</v>
      </c>
      <c r="BS803" s="206">
        <v>47.5</v>
      </c>
      <c r="BT803" s="151">
        <v>41842</v>
      </c>
      <c r="BU803" s="207">
        <v>13.5</v>
      </c>
      <c r="BV803" s="151">
        <v>41842</v>
      </c>
      <c r="BW803" s="206">
        <v>13.7</v>
      </c>
      <c r="BX803" s="151">
        <v>41842</v>
      </c>
      <c r="BY803" s="210">
        <v>7.19</v>
      </c>
      <c r="BZ803" s="151">
        <v>41842</v>
      </c>
      <c r="CA803" s="206">
        <v>30.9</v>
      </c>
      <c r="CB803" s="151">
        <v>41842</v>
      </c>
      <c r="CC803" s="208">
        <v>5.8</v>
      </c>
      <c r="CD803" s="151">
        <v>41838</v>
      </c>
      <c r="CL803" s="209">
        <v>3</v>
      </c>
      <c r="CM803" s="201">
        <v>41810</v>
      </c>
    </row>
    <row r="804" spans="1:91" ht="15">
      <c r="A804" s="152" t="s">
        <v>8070</v>
      </c>
      <c r="B804" s="110" t="s">
        <v>233</v>
      </c>
      <c r="C804" s="110" t="s">
        <v>8083</v>
      </c>
      <c r="D804" s="110">
        <v>11749</v>
      </c>
      <c r="E804" s="111">
        <v>10</v>
      </c>
      <c r="F804" s="111">
        <v>741</v>
      </c>
      <c r="K804" s="134">
        <v>5</v>
      </c>
      <c r="L804" s="151">
        <v>41701</v>
      </c>
      <c r="M804" s="169">
        <v>4.2</v>
      </c>
      <c r="N804" s="151">
        <v>41838</v>
      </c>
      <c r="Q804" s="497"/>
      <c r="S804" s="134">
        <v>15.69</v>
      </c>
      <c r="T804" s="151">
        <v>41842</v>
      </c>
      <c r="U804" s="134">
        <v>13.5</v>
      </c>
      <c r="V804" s="151">
        <v>41838</v>
      </c>
      <c r="W804" s="196">
        <v>9</v>
      </c>
      <c r="X804" s="151">
        <v>41829</v>
      </c>
      <c r="Y804" s="134">
        <f t="shared" si="12"/>
        <v>3.9962499999999999</v>
      </c>
      <c r="AC804" s="134">
        <v>31.11</v>
      </c>
      <c r="AD804" s="151">
        <v>41838</v>
      </c>
      <c r="AE804" s="134">
        <v>31.97</v>
      </c>
      <c r="AF804" s="151">
        <v>41838</v>
      </c>
      <c r="AG804" s="197">
        <v>5.3</v>
      </c>
      <c r="AH804" s="151">
        <v>41843</v>
      </c>
      <c r="AI804" s="198">
        <v>5</v>
      </c>
      <c r="AJ804" s="151">
        <v>41778</v>
      </c>
      <c r="AK804" s="199">
        <v>4</v>
      </c>
      <c r="AL804" s="151">
        <v>41709</v>
      </c>
      <c r="BE804" s="200">
        <v>4</v>
      </c>
      <c r="BF804" s="201">
        <v>41555</v>
      </c>
      <c r="BG804" s="203">
        <v>-6.8</v>
      </c>
      <c r="BH804" s="151">
        <v>41842</v>
      </c>
      <c r="BM804" s="204">
        <v>64.599999999999994</v>
      </c>
      <c r="BN804" s="151">
        <v>41842</v>
      </c>
      <c r="BQ804" s="205">
        <v>10.199999999999999</v>
      </c>
      <c r="BR804" s="151">
        <v>41842</v>
      </c>
      <c r="BS804" s="206">
        <v>49.1</v>
      </c>
      <c r="BT804" s="151">
        <v>41842</v>
      </c>
      <c r="BU804" s="207">
        <v>12.5</v>
      </c>
      <c r="BV804" s="151">
        <v>41842</v>
      </c>
      <c r="BW804" s="206">
        <v>14.1</v>
      </c>
      <c r="BX804" s="151">
        <v>41842</v>
      </c>
      <c r="BY804" s="210">
        <v>6.51</v>
      </c>
      <c r="BZ804" s="151">
        <v>41842</v>
      </c>
      <c r="CA804" s="206">
        <v>29.7</v>
      </c>
      <c r="CB804" s="151">
        <v>41842</v>
      </c>
      <c r="CC804" s="208">
        <v>6.5</v>
      </c>
      <c r="CD804" s="151">
        <v>41838</v>
      </c>
      <c r="CL804" s="209">
        <v>3</v>
      </c>
      <c r="CM804" s="201">
        <v>41810</v>
      </c>
    </row>
    <row r="805" spans="1:91" ht="15">
      <c r="A805" s="152" t="s">
        <v>8070</v>
      </c>
      <c r="B805" s="110" t="s">
        <v>235</v>
      </c>
      <c r="C805" s="110" t="s">
        <v>8081</v>
      </c>
      <c r="D805" s="110">
        <v>11372</v>
      </c>
      <c r="E805" s="111">
        <v>12</v>
      </c>
      <c r="F805" s="111">
        <v>525</v>
      </c>
      <c r="K805" s="194">
        <v>7</v>
      </c>
      <c r="L805" s="151">
        <v>41701</v>
      </c>
      <c r="M805" s="169">
        <v>5.9</v>
      </c>
      <c r="N805" s="151">
        <v>41838</v>
      </c>
      <c r="Q805" s="497"/>
      <c r="S805" s="134">
        <v>21.61</v>
      </c>
      <c r="T805" s="151">
        <v>41842</v>
      </c>
      <c r="U805" s="134">
        <v>13.5</v>
      </c>
      <c r="V805" s="151">
        <v>41838</v>
      </c>
      <c r="W805" s="196">
        <v>9</v>
      </c>
      <c r="X805" s="151">
        <v>41829</v>
      </c>
      <c r="Y805" s="134">
        <f t="shared" si="12"/>
        <v>5.9650799999999995</v>
      </c>
      <c r="AC805" s="134">
        <v>43.7</v>
      </c>
      <c r="AD805" s="151">
        <v>41838</v>
      </c>
      <c r="AE805" s="134">
        <v>45.19</v>
      </c>
      <c r="AF805" s="151">
        <v>41838</v>
      </c>
      <c r="AG805" s="197">
        <v>5.0999999999999996</v>
      </c>
      <c r="AH805" s="151">
        <v>41843</v>
      </c>
      <c r="AI805" s="198">
        <v>5</v>
      </c>
      <c r="AJ805" s="151">
        <v>41778</v>
      </c>
      <c r="AK805" s="199">
        <v>5</v>
      </c>
      <c r="AL805" s="151">
        <v>41709</v>
      </c>
      <c r="BE805" s="200">
        <v>5</v>
      </c>
      <c r="BF805" s="201">
        <v>41555</v>
      </c>
      <c r="BG805" s="203">
        <v>-8.6</v>
      </c>
      <c r="BH805" s="151">
        <v>41842</v>
      </c>
      <c r="BM805" s="204">
        <v>63.3</v>
      </c>
      <c r="BN805" s="151">
        <v>41842</v>
      </c>
      <c r="BQ805" s="205">
        <v>10.9</v>
      </c>
      <c r="BR805" s="151">
        <v>41842</v>
      </c>
      <c r="BS805" s="206">
        <v>47.8</v>
      </c>
      <c r="BT805" s="151">
        <v>41842</v>
      </c>
      <c r="BU805" s="207">
        <v>13.2</v>
      </c>
      <c r="BV805" s="151">
        <v>41842</v>
      </c>
      <c r="BW805" s="206">
        <v>11.9</v>
      </c>
      <c r="BX805" s="151">
        <v>41842</v>
      </c>
      <c r="BY805" s="210">
        <v>6.76</v>
      </c>
      <c r="BZ805" s="151">
        <v>41842</v>
      </c>
      <c r="CA805" s="206">
        <v>30.5</v>
      </c>
      <c r="CB805" s="151">
        <v>41842</v>
      </c>
      <c r="CC805" s="208">
        <v>5.9</v>
      </c>
      <c r="CD805" s="151">
        <v>41838</v>
      </c>
      <c r="CL805" s="209">
        <v>3</v>
      </c>
      <c r="CM805" s="201">
        <v>41810</v>
      </c>
    </row>
    <row r="806" spans="1:91" ht="15">
      <c r="A806" s="152" t="s">
        <v>8071</v>
      </c>
      <c r="B806" s="110" t="s">
        <v>233</v>
      </c>
      <c r="C806" s="110" t="s">
        <v>381</v>
      </c>
      <c r="D806" s="110">
        <v>11007</v>
      </c>
      <c r="E806" s="111">
        <v>2</v>
      </c>
      <c r="F806" s="111">
        <v>505</v>
      </c>
      <c r="I806" s="373"/>
      <c r="K806" s="194">
        <v>5</v>
      </c>
      <c r="L806" s="151">
        <v>41701</v>
      </c>
      <c r="M806" s="169">
        <v>4.9000000000000004</v>
      </c>
      <c r="N806" s="151">
        <v>41838</v>
      </c>
      <c r="Q806" s="497"/>
      <c r="S806" s="134">
        <v>17.850000000000001</v>
      </c>
      <c r="T806" s="151">
        <v>41842</v>
      </c>
      <c r="U806" s="194">
        <v>13.5</v>
      </c>
      <c r="V806" s="151">
        <v>41838</v>
      </c>
      <c r="W806" s="196">
        <v>9</v>
      </c>
      <c r="X806" s="151">
        <v>41829</v>
      </c>
      <c r="Y806" s="134">
        <f t="shared" si="12"/>
        <v>4.7187000000000001</v>
      </c>
      <c r="AA806" s="194"/>
      <c r="AC806" s="194">
        <v>36.299999999999997</v>
      </c>
      <c r="AD806" s="151">
        <v>41838</v>
      </c>
      <c r="AE806" s="137">
        <v>37.450000000000003</v>
      </c>
      <c r="AF806" s="151">
        <v>41838</v>
      </c>
      <c r="AG806" s="197">
        <v>5</v>
      </c>
      <c r="AH806" s="151">
        <v>41843</v>
      </c>
      <c r="AI806" s="198">
        <v>5</v>
      </c>
      <c r="AJ806" s="151">
        <v>41778</v>
      </c>
      <c r="AK806" s="199">
        <v>5</v>
      </c>
      <c r="AL806" s="151">
        <v>41709</v>
      </c>
      <c r="AM806" s="194"/>
      <c r="BE806" s="200">
        <v>5</v>
      </c>
      <c r="BF806" s="201">
        <v>41555</v>
      </c>
      <c r="BG806" s="203">
        <v>-5</v>
      </c>
      <c r="BH806" s="151">
        <v>41842</v>
      </c>
      <c r="BM806" s="204">
        <v>67.099999999999994</v>
      </c>
      <c r="BN806" s="151">
        <v>41842</v>
      </c>
      <c r="BQ806" s="205">
        <v>9.4</v>
      </c>
      <c r="BR806" s="151">
        <v>41842</v>
      </c>
      <c r="BS806" s="206">
        <v>47.7</v>
      </c>
      <c r="BT806" s="151">
        <v>41842</v>
      </c>
      <c r="BU806" s="207">
        <v>12.6</v>
      </c>
      <c r="BV806" s="151">
        <v>41842</v>
      </c>
      <c r="BW806" s="206">
        <v>16.8</v>
      </c>
      <c r="BX806" s="151">
        <v>41842</v>
      </c>
      <c r="BY806" s="210">
        <v>7.3</v>
      </c>
      <c r="BZ806" s="151">
        <v>41842</v>
      </c>
      <c r="CA806" s="206">
        <v>29.1</v>
      </c>
      <c r="CB806" s="151">
        <v>41842</v>
      </c>
      <c r="CC806" s="208">
        <v>6.1</v>
      </c>
      <c r="CD806" s="151">
        <v>41838</v>
      </c>
      <c r="CL806" s="209">
        <v>3</v>
      </c>
      <c r="CM806" s="201">
        <v>41810</v>
      </c>
    </row>
    <row r="807" spans="1:91" ht="15">
      <c r="A807" s="152" t="s">
        <v>8071</v>
      </c>
      <c r="B807" s="110" t="s">
        <v>235</v>
      </c>
      <c r="C807" s="110" t="s">
        <v>8082</v>
      </c>
      <c r="D807" s="110">
        <v>11501</v>
      </c>
      <c r="E807" s="111">
        <v>3</v>
      </c>
      <c r="F807" s="111">
        <v>757</v>
      </c>
      <c r="K807" s="134">
        <v>5</v>
      </c>
      <c r="L807" s="151">
        <v>41701</v>
      </c>
      <c r="M807" s="169">
        <v>5.9</v>
      </c>
      <c r="N807" s="151">
        <v>41838</v>
      </c>
      <c r="Q807" s="497"/>
      <c r="S807" s="134">
        <v>20.73</v>
      </c>
      <c r="T807" s="151">
        <v>41842</v>
      </c>
      <c r="U807" s="134">
        <v>13.5</v>
      </c>
      <c r="V807" s="151">
        <v>41838</v>
      </c>
      <c r="W807" s="196">
        <v>9</v>
      </c>
      <c r="X807" s="151">
        <v>41829</v>
      </c>
      <c r="Y807" s="134">
        <f t="shared" si="12"/>
        <v>6.4207000000000001</v>
      </c>
      <c r="AC807" s="134">
        <v>43.7</v>
      </c>
      <c r="AD807" s="151">
        <v>41838</v>
      </c>
      <c r="AE807" s="134">
        <v>44.9</v>
      </c>
      <c r="AF807" s="151">
        <v>41838</v>
      </c>
      <c r="AG807" s="197">
        <v>5.0999999999999996</v>
      </c>
      <c r="AH807" s="151">
        <v>41843</v>
      </c>
      <c r="AI807" s="198">
        <v>7</v>
      </c>
      <c r="AJ807" s="151">
        <v>41778</v>
      </c>
      <c r="AK807" s="199">
        <v>5</v>
      </c>
      <c r="AL807" s="151">
        <v>41709</v>
      </c>
      <c r="BE807" s="200">
        <v>5</v>
      </c>
      <c r="BF807" s="201">
        <v>41555</v>
      </c>
      <c r="BG807" s="203">
        <v>-8.1</v>
      </c>
      <c r="BH807" s="151">
        <v>41842</v>
      </c>
      <c r="BM807" s="204">
        <v>65</v>
      </c>
      <c r="BN807" s="151">
        <v>41842</v>
      </c>
      <c r="BQ807" s="205">
        <v>9.6</v>
      </c>
      <c r="BR807" s="151">
        <v>41842</v>
      </c>
      <c r="BS807" s="206">
        <v>46.2</v>
      </c>
      <c r="BT807" s="151">
        <v>41842</v>
      </c>
      <c r="BU807" s="207">
        <v>14.3</v>
      </c>
      <c r="BV807" s="151">
        <v>41842</v>
      </c>
      <c r="BW807" s="206">
        <v>17.3</v>
      </c>
      <c r="BX807" s="151">
        <v>41842</v>
      </c>
      <c r="BY807" s="210">
        <v>7.99</v>
      </c>
      <c r="BZ807" s="151">
        <v>41842</v>
      </c>
      <c r="CA807" s="206">
        <v>31.9</v>
      </c>
      <c r="CB807" s="151">
        <v>41842</v>
      </c>
      <c r="CC807" s="208">
        <v>6.5</v>
      </c>
      <c r="CD807" s="151">
        <v>41838</v>
      </c>
      <c r="CL807" s="209">
        <v>3</v>
      </c>
      <c r="CM807" s="201">
        <v>41810</v>
      </c>
    </row>
    <row r="808" spans="1:91" ht="15">
      <c r="A808" s="152" t="s">
        <v>8071</v>
      </c>
      <c r="B808" s="110" t="s">
        <v>233</v>
      </c>
      <c r="C808" s="110" t="s">
        <v>8083</v>
      </c>
      <c r="D808" s="110">
        <v>11667</v>
      </c>
      <c r="E808" s="111">
        <v>8</v>
      </c>
      <c r="F808" s="111">
        <v>701</v>
      </c>
      <c r="K808" s="134">
        <v>5</v>
      </c>
      <c r="L808" s="151">
        <v>41701</v>
      </c>
      <c r="M808" s="169">
        <v>4.25</v>
      </c>
      <c r="N808" s="151">
        <v>41838</v>
      </c>
      <c r="Q808" s="497"/>
      <c r="S808" s="134">
        <v>15.55</v>
      </c>
      <c r="T808" s="151">
        <v>41842</v>
      </c>
      <c r="U808" s="134">
        <v>13.5</v>
      </c>
      <c r="V808" s="151">
        <v>41838</v>
      </c>
      <c r="W808" s="196">
        <v>9</v>
      </c>
      <c r="X808" s="151">
        <v>41829</v>
      </c>
      <c r="Y808" s="134">
        <f t="shared" si="12"/>
        <v>4.2131399999999992</v>
      </c>
      <c r="AC808" s="134">
        <v>31.48</v>
      </c>
      <c r="AD808" s="151">
        <v>41838</v>
      </c>
      <c r="AE808" s="134">
        <v>32.659999999999997</v>
      </c>
      <c r="AF808" s="151">
        <v>41838</v>
      </c>
      <c r="AG808" s="197">
        <v>4.9000000000000004</v>
      </c>
      <c r="AH808" s="151">
        <v>41843</v>
      </c>
      <c r="AI808" s="198">
        <v>5</v>
      </c>
      <c r="AJ808" s="151">
        <v>41778</v>
      </c>
      <c r="AK808" s="199">
        <v>5</v>
      </c>
      <c r="AL808" s="151">
        <v>41709</v>
      </c>
      <c r="BE808" s="200">
        <v>5</v>
      </c>
      <c r="BF808" s="201">
        <v>41555</v>
      </c>
      <c r="BG808" s="203">
        <v>-3.8</v>
      </c>
      <c r="BH808" s="151">
        <v>41842</v>
      </c>
      <c r="BM808" s="204">
        <v>66.7</v>
      </c>
      <c r="BN808" s="151">
        <v>41842</v>
      </c>
      <c r="BQ808" s="205">
        <v>9.1999999999999993</v>
      </c>
      <c r="BR808" s="151">
        <v>41842</v>
      </c>
      <c r="BS808" s="206">
        <v>47.6</v>
      </c>
      <c r="BT808" s="151">
        <v>41842</v>
      </c>
      <c r="BU808" s="207">
        <v>12.9</v>
      </c>
      <c r="BV808" s="151">
        <v>41842</v>
      </c>
      <c r="BW808" s="206">
        <v>20.6</v>
      </c>
      <c r="BX808" s="151">
        <v>41842</v>
      </c>
      <c r="BY808" s="210">
        <v>7.25</v>
      </c>
      <c r="BZ808" s="151">
        <v>41842</v>
      </c>
      <c r="CA808" s="206">
        <v>29.7</v>
      </c>
      <c r="CB808" s="151">
        <v>41842</v>
      </c>
      <c r="CC808" s="208">
        <v>5.6</v>
      </c>
      <c r="CD808" s="151">
        <v>41838</v>
      </c>
      <c r="CL808" s="209">
        <v>3</v>
      </c>
      <c r="CM808" s="201">
        <v>41810</v>
      </c>
    </row>
    <row r="809" spans="1:91" ht="15">
      <c r="A809" s="152" t="s">
        <v>8071</v>
      </c>
      <c r="B809" s="110" t="s">
        <v>235</v>
      </c>
      <c r="C809" s="110" t="s">
        <v>8081</v>
      </c>
      <c r="D809" s="110">
        <v>11351</v>
      </c>
      <c r="E809" s="111">
        <v>11</v>
      </c>
      <c r="F809" s="111">
        <v>585</v>
      </c>
      <c r="K809" s="134">
        <v>5</v>
      </c>
      <c r="L809" s="151">
        <v>41701</v>
      </c>
      <c r="M809" s="169">
        <v>6.1</v>
      </c>
      <c r="N809" s="151">
        <v>41838</v>
      </c>
      <c r="Q809" s="497"/>
      <c r="S809" s="134">
        <v>21.98</v>
      </c>
      <c r="T809" s="151">
        <v>41842</v>
      </c>
      <c r="U809" s="134">
        <v>13.5</v>
      </c>
      <c r="V809" s="151">
        <v>41838</v>
      </c>
      <c r="W809" s="196">
        <v>9</v>
      </c>
      <c r="X809" s="151">
        <v>41829</v>
      </c>
      <c r="Y809" s="134">
        <f t="shared" si="12"/>
        <v>6.1670399999999992</v>
      </c>
      <c r="AC809" s="134">
        <v>45.19</v>
      </c>
      <c r="AD809" s="151">
        <v>41838</v>
      </c>
      <c r="AE809" s="134">
        <v>46.72</v>
      </c>
      <c r="AF809" s="151">
        <v>41838</v>
      </c>
      <c r="AG809" s="197">
        <v>5</v>
      </c>
      <c r="AH809" s="151">
        <v>41843</v>
      </c>
      <c r="AI809" s="198">
        <v>7</v>
      </c>
      <c r="AJ809" s="151">
        <v>41778</v>
      </c>
      <c r="AK809" s="199">
        <v>5</v>
      </c>
      <c r="AL809" s="151">
        <v>41709</v>
      </c>
      <c r="BE809" s="200">
        <v>5</v>
      </c>
      <c r="BF809" s="201">
        <v>41555</v>
      </c>
      <c r="BG809" s="203">
        <v>-4.9000000000000004</v>
      </c>
      <c r="BH809" s="151">
        <v>41842</v>
      </c>
      <c r="BM809" s="204">
        <v>67.099999999999994</v>
      </c>
      <c r="BN809" s="151">
        <v>41842</v>
      </c>
      <c r="BQ809" s="205">
        <v>9.5</v>
      </c>
      <c r="BR809" s="151">
        <v>41842</v>
      </c>
      <c r="BS809" s="206">
        <v>47</v>
      </c>
      <c r="BT809" s="151">
        <v>41842</v>
      </c>
      <c r="BU809" s="207">
        <v>13.2</v>
      </c>
      <c r="BV809" s="151">
        <v>41842</v>
      </c>
      <c r="BW809" s="206">
        <v>15.3</v>
      </c>
      <c r="BX809" s="151">
        <v>41842</v>
      </c>
      <c r="BY809" s="210">
        <v>7.5</v>
      </c>
      <c r="BZ809" s="151">
        <v>41842</v>
      </c>
      <c r="CA809" s="206">
        <v>30.1</v>
      </c>
      <c r="CB809" s="151">
        <v>41842</v>
      </c>
      <c r="CC809" s="208">
        <v>5.9</v>
      </c>
      <c r="CD809" s="151">
        <v>41838</v>
      </c>
      <c r="CL809" s="209">
        <v>3</v>
      </c>
      <c r="CM809" s="201">
        <v>41810</v>
      </c>
    </row>
    <row r="810" spans="1:91" ht="15">
      <c r="A810" s="152" t="s">
        <v>8072</v>
      </c>
      <c r="B810" s="110" t="s">
        <v>233</v>
      </c>
      <c r="C810" s="110" t="s">
        <v>381</v>
      </c>
      <c r="D810" s="110">
        <v>11131</v>
      </c>
      <c r="E810" s="111">
        <v>5</v>
      </c>
      <c r="F810" s="111">
        <v>569</v>
      </c>
      <c r="K810" s="194">
        <v>7</v>
      </c>
      <c r="L810" s="151">
        <v>41701</v>
      </c>
      <c r="M810" s="169">
        <v>5.2</v>
      </c>
      <c r="N810" s="151">
        <v>41838</v>
      </c>
      <c r="Q810" s="497"/>
      <c r="S810" s="134">
        <v>19.77</v>
      </c>
      <c r="T810" s="151">
        <v>41842</v>
      </c>
      <c r="U810" s="134">
        <v>13.5</v>
      </c>
      <c r="V810" s="151">
        <v>41838</v>
      </c>
      <c r="W810" s="196">
        <v>9</v>
      </c>
      <c r="X810" s="151">
        <v>41829</v>
      </c>
      <c r="Y810" s="134">
        <f t="shared" si="12"/>
        <v>4.5508800000000003</v>
      </c>
      <c r="AC810" s="134">
        <v>38.520000000000003</v>
      </c>
      <c r="AD810" s="151">
        <v>41838</v>
      </c>
      <c r="AE810" s="134">
        <v>39.92</v>
      </c>
      <c r="AF810" s="151">
        <v>41838</v>
      </c>
      <c r="AG810" s="197">
        <v>4.4000000000000004</v>
      </c>
      <c r="AH810" s="151">
        <v>41843</v>
      </c>
      <c r="AI810" s="198">
        <v>5</v>
      </c>
      <c r="AJ810" s="151">
        <v>41778</v>
      </c>
      <c r="AK810" s="199">
        <v>5</v>
      </c>
      <c r="AL810" s="151">
        <v>41709</v>
      </c>
      <c r="BE810" s="200">
        <v>5</v>
      </c>
      <c r="BF810" s="201">
        <v>41555</v>
      </c>
      <c r="BG810" s="203">
        <v>-2.2999999999999998</v>
      </c>
      <c r="BH810" s="151">
        <v>41842</v>
      </c>
      <c r="BM810" s="204">
        <v>65.3</v>
      </c>
      <c r="BN810" s="151">
        <v>41842</v>
      </c>
      <c r="BQ810" s="205">
        <v>9.4</v>
      </c>
      <c r="BR810" s="151">
        <v>41842</v>
      </c>
      <c r="BS810" s="206">
        <v>49.5</v>
      </c>
      <c r="BT810" s="151">
        <v>41842</v>
      </c>
      <c r="BU810" s="207">
        <v>11.4</v>
      </c>
      <c r="BV810" s="151">
        <v>41842</v>
      </c>
      <c r="BW810" s="206">
        <v>12.7</v>
      </c>
      <c r="BX810" s="151">
        <v>41842</v>
      </c>
      <c r="BY810" s="210">
        <v>7.02</v>
      </c>
      <c r="BZ810" s="151">
        <v>41842</v>
      </c>
      <c r="CA810" s="206">
        <v>27.4</v>
      </c>
      <c r="CB810" s="151">
        <v>41842</v>
      </c>
      <c r="CC810" s="208">
        <v>5.7</v>
      </c>
      <c r="CD810" s="151">
        <v>41838</v>
      </c>
      <c r="CL810" s="209">
        <v>3</v>
      </c>
      <c r="CM810" s="201">
        <v>41810</v>
      </c>
    </row>
    <row r="811" spans="1:91" ht="15">
      <c r="A811" s="152" t="s">
        <v>8072</v>
      </c>
      <c r="B811" s="110" t="s">
        <v>235</v>
      </c>
      <c r="C811" s="110" t="s">
        <v>8082</v>
      </c>
      <c r="D811" s="110">
        <v>11601</v>
      </c>
      <c r="E811" s="111">
        <v>6</v>
      </c>
      <c r="F811" s="111">
        <v>725</v>
      </c>
      <c r="K811" s="134">
        <v>5</v>
      </c>
      <c r="L811" s="151">
        <v>41701</v>
      </c>
      <c r="M811" s="169">
        <v>5.35</v>
      </c>
      <c r="N811" s="151">
        <v>41838</v>
      </c>
      <c r="Q811" s="497"/>
      <c r="S811" s="134">
        <v>19.43</v>
      </c>
      <c r="T811" s="151">
        <v>41842</v>
      </c>
      <c r="U811" s="134">
        <v>13.5</v>
      </c>
      <c r="V811" s="151">
        <v>41838</v>
      </c>
      <c r="W811" s="196">
        <v>9</v>
      </c>
      <c r="X811" s="151">
        <v>41829</v>
      </c>
      <c r="Y811" s="134">
        <f t="shared" si="12"/>
        <v>5.3869199999999999</v>
      </c>
      <c r="AC811" s="134">
        <v>39.630000000000003</v>
      </c>
      <c r="AD811" s="151">
        <v>41838</v>
      </c>
      <c r="AE811" s="134">
        <v>40.81</v>
      </c>
      <c r="AF811" s="151">
        <v>41838</v>
      </c>
      <c r="AG811" s="197">
        <v>4.2</v>
      </c>
      <c r="AH811" s="151">
        <v>41843</v>
      </c>
      <c r="AI811" s="198">
        <v>5</v>
      </c>
      <c r="AJ811" s="151">
        <v>41778</v>
      </c>
      <c r="AK811" s="199">
        <v>5</v>
      </c>
      <c r="AL811" s="151">
        <v>41709</v>
      </c>
      <c r="BE811" s="200">
        <v>5</v>
      </c>
      <c r="BF811" s="201">
        <v>41555</v>
      </c>
      <c r="BG811" s="203">
        <v>-6</v>
      </c>
      <c r="BH811" s="151">
        <v>41842</v>
      </c>
      <c r="BM811" s="204">
        <v>65.5</v>
      </c>
      <c r="BN811" s="151">
        <v>41842</v>
      </c>
      <c r="BQ811" s="205">
        <v>9.5</v>
      </c>
      <c r="BR811" s="151">
        <v>41842</v>
      </c>
      <c r="BS811" s="206">
        <v>47.6</v>
      </c>
      <c r="BT811" s="151">
        <v>41842</v>
      </c>
      <c r="BU811" s="207">
        <v>13.2</v>
      </c>
      <c r="BV811" s="151">
        <v>41842</v>
      </c>
      <c r="BW811" s="206">
        <v>15.6</v>
      </c>
      <c r="BX811" s="151">
        <v>41842</v>
      </c>
      <c r="BY811" s="210">
        <v>7.8</v>
      </c>
      <c r="BZ811" s="151">
        <v>41842</v>
      </c>
      <c r="CA811" s="206">
        <v>30.3</v>
      </c>
      <c r="CB811" s="151">
        <v>41842</v>
      </c>
      <c r="CC811" s="208">
        <v>6.3</v>
      </c>
      <c r="CD811" s="151">
        <v>41838</v>
      </c>
      <c r="CL811" s="209">
        <v>3</v>
      </c>
      <c r="CM811" s="201">
        <v>41810</v>
      </c>
    </row>
    <row r="812" spans="1:91" ht="15">
      <c r="A812" s="152" t="s">
        <v>8072</v>
      </c>
      <c r="B812" s="110" t="s">
        <v>235</v>
      </c>
      <c r="C812" s="110" t="s">
        <v>8081</v>
      </c>
      <c r="D812" s="110">
        <v>11337</v>
      </c>
      <c r="E812" s="111">
        <v>11</v>
      </c>
      <c r="F812" s="111">
        <v>529</v>
      </c>
      <c r="K812" s="194">
        <v>7</v>
      </c>
      <c r="L812" s="151">
        <v>41701</v>
      </c>
      <c r="M812" s="169">
        <v>5.95</v>
      </c>
      <c r="N812" s="151">
        <v>41838</v>
      </c>
      <c r="Q812" s="497"/>
      <c r="S812" s="134">
        <v>22.26</v>
      </c>
      <c r="T812" s="151">
        <v>41842</v>
      </c>
      <c r="U812" s="134">
        <v>13.5</v>
      </c>
      <c r="V812" s="151">
        <v>41838</v>
      </c>
      <c r="W812" s="196">
        <v>9</v>
      </c>
      <c r="X812" s="151">
        <v>41829</v>
      </c>
      <c r="Y812" s="134">
        <f t="shared" si="12"/>
        <v>5.34924</v>
      </c>
      <c r="AC812" s="134">
        <v>44.07</v>
      </c>
      <c r="AD812" s="151">
        <v>41838</v>
      </c>
      <c r="AE812" s="134">
        <v>45.72</v>
      </c>
      <c r="AF812" s="151">
        <v>41838</v>
      </c>
      <c r="AG812" s="197">
        <v>3.9</v>
      </c>
      <c r="AH812" s="151">
        <v>41843</v>
      </c>
      <c r="AI812" s="198">
        <v>5</v>
      </c>
      <c r="AJ812" s="151">
        <v>41778</v>
      </c>
      <c r="AK812" s="199">
        <v>7</v>
      </c>
      <c r="AL812" s="151">
        <v>41709</v>
      </c>
      <c r="BE812" s="200">
        <v>7</v>
      </c>
      <c r="BF812" s="201">
        <v>41555</v>
      </c>
      <c r="BG812" s="203">
        <v>-3.8</v>
      </c>
      <c r="BH812" s="151">
        <v>41842</v>
      </c>
      <c r="BM812" s="204">
        <v>64.599999999999994</v>
      </c>
      <c r="BN812" s="151">
        <v>41842</v>
      </c>
      <c r="BQ812" s="205">
        <v>9.6999999999999993</v>
      </c>
      <c r="BR812" s="151">
        <v>41842</v>
      </c>
      <c r="BS812" s="206">
        <v>48.7</v>
      </c>
      <c r="BT812" s="151">
        <v>41842</v>
      </c>
      <c r="BU812" s="207">
        <v>11.7</v>
      </c>
      <c r="BV812" s="151">
        <v>41842</v>
      </c>
      <c r="BW812" s="206">
        <v>11.3</v>
      </c>
      <c r="BX812" s="151">
        <v>41842</v>
      </c>
      <c r="BY812" s="210">
        <v>7.34</v>
      </c>
      <c r="BZ812" s="151">
        <v>41842</v>
      </c>
      <c r="CA812" s="206">
        <v>27.7</v>
      </c>
      <c r="CB812" s="151">
        <v>41842</v>
      </c>
      <c r="CC812" s="208">
        <v>5.6</v>
      </c>
      <c r="CD812" s="151">
        <v>41838</v>
      </c>
      <c r="CL812" s="209">
        <v>3</v>
      </c>
      <c r="CM812" s="201">
        <v>41810</v>
      </c>
    </row>
    <row r="813" spans="1:91" ht="15">
      <c r="A813" s="152" t="s">
        <v>8072</v>
      </c>
      <c r="B813" s="110" t="s">
        <v>233</v>
      </c>
      <c r="C813" s="110" t="s">
        <v>8083</v>
      </c>
      <c r="D813" s="110">
        <v>11793</v>
      </c>
      <c r="E813" s="111">
        <v>12</v>
      </c>
      <c r="F813" s="111">
        <v>629</v>
      </c>
      <c r="K813" s="134">
        <v>5</v>
      </c>
      <c r="L813" s="151">
        <v>41701</v>
      </c>
      <c r="M813" s="169">
        <v>5.45</v>
      </c>
      <c r="N813" s="151">
        <v>41838</v>
      </c>
      <c r="Q813" s="497"/>
      <c r="S813" s="134">
        <v>20.21</v>
      </c>
      <c r="T813" s="151">
        <v>41842</v>
      </c>
      <c r="U813" s="134">
        <v>13.5</v>
      </c>
      <c r="V813" s="151">
        <v>41838</v>
      </c>
      <c r="W813" s="196">
        <v>1</v>
      </c>
      <c r="X813" s="151">
        <v>41829</v>
      </c>
      <c r="Y813" s="134">
        <f t="shared" si="12"/>
        <v>5.4379</v>
      </c>
      <c r="AC813" s="134">
        <v>40.369999999999997</v>
      </c>
      <c r="AD813" s="151">
        <v>41838</v>
      </c>
      <c r="AE813" s="134">
        <v>41.83</v>
      </c>
      <c r="AF813" s="151">
        <v>41838</v>
      </c>
      <c r="AG813" s="197">
        <v>4.8</v>
      </c>
      <c r="AH813" s="151">
        <v>41843</v>
      </c>
      <c r="AI813" s="198">
        <v>7</v>
      </c>
      <c r="AJ813" s="151">
        <v>41778</v>
      </c>
      <c r="AK813" s="199">
        <v>5</v>
      </c>
      <c r="AL813" s="151">
        <v>41709</v>
      </c>
      <c r="BE813" s="200">
        <v>5</v>
      </c>
      <c r="BF813" s="201">
        <v>41555</v>
      </c>
      <c r="BG813" s="203">
        <v>-6.3</v>
      </c>
      <c r="BH813" s="151">
        <v>41842</v>
      </c>
      <c r="BM813" s="204">
        <v>64.900000000000006</v>
      </c>
      <c r="BN813" s="151">
        <v>41842</v>
      </c>
      <c r="BQ813" s="205">
        <v>10.5</v>
      </c>
      <c r="BR813" s="151">
        <v>41842</v>
      </c>
      <c r="BS813" s="206">
        <v>48.3</v>
      </c>
      <c r="BT813" s="151">
        <v>41842</v>
      </c>
      <c r="BU813" s="207">
        <v>13</v>
      </c>
      <c r="BV813" s="151">
        <v>41842</v>
      </c>
      <c r="BW813" s="206">
        <v>14.5</v>
      </c>
      <c r="BX813" s="151">
        <v>41842</v>
      </c>
      <c r="BY813" s="210">
        <v>6.98</v>
      </c>
      <c r="BZ813" s="151">
        <v>41842</v>
      </c>
      <c r="CA813" s="206">
        <v>30.4</v>
      </c>
      <c r="CB813" s="151">
        <v>41842</v>
      </c>
      <c r="CC813" s="208">
        <v>5.7</v>
      </c>
      <c r="CD813" s="151">
        <v>41838</v>
      </c>
      <c r="CL813" s="209">
        <v>3</v>
      </c>
      <c r="CM813" s="201">
        <v>41810</v>
      </c>
    </row>
    <row r="814" spans="1:91" ht="15">
      <c r="A814" s="152" t="s">
        <v>8073</v>
      </c>
      <c r="B814" s="110" t="s">
        <v>235</v>
      </c>
      <c r="C814" s="110" t="s">
        <v>8082</v>
      </c>
      <c r="D814" s="110">
        <v>11404</v>
      </c>
      <c r="E814" s="111">
        <v>1</v>
      </c>
      <c r="F814" s="111">
        <v>657</v>
      </c>
      <c r="I814" s="373"/>
      <c r="K814" s="194">
        <v>5</v>
      </c>
      <c r="L814" s="151">
        <v>41701</v>
      </c>
      <c r="M814" s="169">
        <v>5.75</v>
      </c>
      <c r="N814" s="151">
        <v>41838</v>
      </c>
      <c r="Q814" s="497"/>
      <c r="S814" s="134">
        <v>20.29</v>
      </c>
      <c r="T814" s="151">
        <v>41842</v>
      </c>
      <c r="U814" s="194">
        <v>13.5</v>
      </c>
      <c r="V814" s="151">
        <v>41838</v>
      </c>
      <c r="W814" s="196">
        <v>9</v>
      </c>
      <c r="X814" s="151">
        <v>41829</v>
      </c>
      <c r="Y814" s="134">
        <f t="shared" si="12"/>
        <v>6.16</v>
      </c>
      <c r="AA814" s="194"/>
      <c r="AC814" s="194">
        <v>42.59</v>
      </c>
      <c r="AD814" s="151">
        <v>41838</v>
      </c>
      <c r="AE814" s="137">
        <v>44</v>
      </c>
      <c r="AF814" s="151">
        <v>41838</v>
      </c>
      <c r="AG814" s="197">
        <v>4.4000000000000004</v>
      </c>
      <c r="AH814" s="151">
        <v>41843</v>
      </c>
      <c r="AI814" s="198">
        <v>5</v>
      </c>
      <c r="AJ814" s="151">
        <v>41778</v>
      </c>
      <c r="AK814" s="199">
        <v>4</v>
      </c>
      <c r="AL814" s="151">
        <v>41709</v>
      </c>
      <c r="AM814" s="194"/>
      <c r="BE814" s="200">
        <v>4</v>
      </c>
      <c r="BF814" s="201">
        <v>41555</v>
      </c>
      <c r="BG814" s="203">
        <v>-6.3</v>
      </c>
      <c r="BH814" s="151">
        <v>41842</v>
      </c>
      <c r="BM814" s="204">
        <v>63.5</v>
      </c>
      <c r="BN814" s="151">
        <v>41842</v>
      </c>
      <c r="BQ814" s="205">
        <v>10.3</v>
      </c>
      <c r="BR814" s="151">
        <v>41842</v>
      </c>
      <c r="BS814" s="206">
        <v>46.1</v>
      </c>
      <c r="BT814" s="151">
        <v>41842</v>
      </c>
      <c r="BU814" s="207">
        <v>14</v>
      </c>
      <c r="BV814" s="151">
        <v>41842</v>
      </c>
      <c r="BW814" s="206">
        <v>14.4</v>
      </c>
      <c r="BX814" s="151">
        <v>41842</v>
      </c>
      <c r="BY814" s="210">
        <v>8.1300000000000008</v>
      </c>
      <c r="BZ814" s="151">
        <v>41842</v>
      </c>
      <c r="CA814" s="206">
        <v>31.1</v>
      </c>
      <c r="CB814" s="151">
        <v>41842</v>
      </c>
      <c r="CC814" s="208">
        <v>6</v>
      </c>
      <c r="CD814" s="151">
        <v>41838</v>
      </c>
      <c r="CL814" s="209">
        <v>3</v>
      </c>
      <c r="CM814" s="201">
        <v>41810</v>
      </c>
    </row>
    <row r="815" spans="1:91" ht="15">
      <c r="A815" s="152" t="s">
        <v>8073</v>
      </c>
      <c r="B815" s="110" t="s">
        <v>233</v>
      </c>
      <c r="C815" s="110" t="s">
        <v>381</v>
      </c>
      <c r="D815" s="110">
        <v>11104</v>
      </c>
      <c r="E815" s="111">
        <v>4</v>
      </c>
      <c r="F815" s="111">
        <v>605</v>
      </c>
      <c r="K815" s="134">
        <v>5</v>
      </c>
      <c r="L815" s="151">
        <v>41701</v>
      </c>
      <c r="M815" s="169">
        <v>5.0999999999999996</v>
      </c>
      <c r="N815" s="151">
        <v>41838</v>
      </c>
      <c r="Q815" s="497"/>
      <c r="S815" s="134">
        <v>18.37</v>
      </c>
      <c r="T815" s="151">
        <v>41842</v>
      </c>
      <c r="U815" s="134">
        <v>13.5</v>
      </c>
      <c r="V815" s="151">
        <v>41838</v>
      </c>
      <c r="W815" s="196">
        <v>9</v>
      </c>
      <c r="X815" s="151">
        <v>41829</v>
      </c>
      <c r="Y815" s="134">
        <f t="shared" si="12"/>
        <v>4.9136299999999995</v>
      </c>
      <c r="AC815" s="134">
        <v>37.78</v>
      </c>
      <c r="AD815" s="151">
        <v>41838</v>
      </c>
      <c r="AE815" s="134">
        <v>38.69</v>
      </c>
      <c r="AF815" s="151">
        <v>41838</v>
      </c>
      <c r="AG815" s="197">
        <v>4.5</v>
      </c>
      <c r="AH815" s="151">
        <v>41843</v>
      </c>
      <c r="AI815" s="198">
        <v>3</v>
      </c>
      <c r="AJ815" s="151">
        <v>41778</v>
      </c>
      <c r="AK815" s="199">
        <v>5</v>
      </c>
      <c r="AL815" s="151">
        <v>41709</v>
      </c>
      <c r="BE815" s="200">
        <v>5</v>
      </c>
      <c r="BF815" s="201">
        <v>41555</v>
      </c>
      <c r="BG815" s="203">
        <v>-3.1</v>
      </c>
      <c r="BH815" s="151">
        <v>41842</v>
      </c>
      <c r="BM815" s="204">
        <v>65.400000000000006</v>
      </c>
      <c r="BN815" s="151">
        <v>41842</v>
      </c>
      <c r="BQ815" s="205">
        <v>9.6</v>
      </c>
      <c r="BR815" s="151">
        <v>41842</v>
      </c>
      <c r="BS815" s="206">
        <v>47.5</v>
      </c>
      <c r="BT815" s="151">
        <v>41842</v>
      </c>
      <c r="BU815" s="207">
        <v>12.7</v>
      </c>
      <c r="BV815" s="151">
        <v>41842</v>
      </c>
      <c r="BW815" s="206">
        <v>12.4</v>
      </c>
      <c r="BX815" s="151">
        <v>41842</v>
      </c>
      <c r="BY815" s="210">
        <v>7.51</v>
      </c>
      <c r="BZ815" s="151">
        <v>41842</v>
      </c>
      <c r="CA815" s="206">
        <v>29.2</v>
      </c>
      <c r="CB815" s="151">
        <v>41842</v>
      </c>
      <c r="CC815" s="208">
        <v>6.8</v>
      </c>
      <c r="CD815" s="151">
        <v>41838</v>
      </c>
      <c r="CL815" s="209">
        <v>3</v>
      </c>
      <c r="CM815" s="201">
        <v>41810</v>
      </c>
    </row>
    <row r="816" spans="1:91" ht="15">
      <c r="A816" s="152" t="s">
        <v>8073</v>
      </c>
      <c r="B816" s="110" t="s">
        <v>235</v>
      </c>
      <c r="C816" s="110" t="s">
        <v>8081</v>
      </c>
      <c r="D816" s="110">
        <v>11201</v>
      </c>
      <c r="E816" s="111">
        <v>7</v>
      </c>
      <c r="F816" s="111">
        <v>561</v>
      </c>
      <c r="K816" s="134">
        <v>5</v>
      </c>
      <c r="L816" s="151">
        <v>41701</v>
      </c>
      <c r="M816" s="169">
        <v>6.25</v>
      </c>
      <c r="N816" s="151">
        <v>41838</v>
      </c>
      <c r="Q816" s="497"/>
      <c r="S816" s="134">
        <v>22.51</v>
      </c>
      <c r="T816" s="151">
        <v>41842</v>
      </c>
      <c r="U816" s="134">
        <v>13.5</v>
      </c>
      <c r="V816" s="151">
        <v>41838</v>
      </c>
      <c r="W816" s="196">
        <v>9</v>
      </c>
      <c r="X816" s="151">
        <v>41829</v>
      </c>
      <c r="Y816" s="134">
        <f t="shared" si="12"/>
        <v>6.2578700000000005</v>
      </c>
      <c r="AC816" s="134">
        <v>46.3</v>
      </c>
      <c r="AD816" s="151">
        <v>41838</v>
      </c>
      <c r="AE816" s="134">
        <v>47.77</v>
      </c>
      <c r="AF816" s="151">
        <v>41838</v>
      </c>
      <c r="AG816" s="197">
        <v>4.4000000000000004</v>
      </c>
      <c r="AH816" s="151">
        <v>41843</v>
      </c>
      <c r="AI816" s="198">
        <v>5</v>
      </c>
      <c r="AJ816" s="151">
        <v>41778</v>
      </c>
      <c r="AK816" s="199">
        <v>5</v>
      </c>
      <c r="AL816" s="151">
        <v>41709</v>
      </c>
      <c r="BE816" s="200">
        <v>5</v>
      </c>
      <c r="BF816" s="201">
        <v>41555</v>
      </c>
      <c r="BG816" s="203">
        <v>-6.9</v>
      </c>
      <c r="BH816" s="151">
        <v>41842</v>
      </c>
      <c r="BM816" s="204">
        <v>63.9</v>
      </c>
      <c r="BN816" s="151">
        <v>41842</v>
      </c>
      <c r="BQ816" s="205">
        <v>10.4</v>
      </c>
      <c r="BR816" s="151">
        <v>41842</v>
      </c>
      <c r="BS816" s="206">
        <v>47.1</v>
      </c>
      <c r="BT816" s="151">
        <v>41842</v>
      </c>
      <c r="BU816" s="207">
        <v>13.1</v>
      </c>
      <c r="BV816" s="151">
        <v>41842</v>
      </c>
      <c r="BW816" s="206">
        <v>10.7</v>
      </c>
      <c r="BX816" s="151">
        <v>41842</v>
      </c>
      <c r="BY816" s="210">
        <v>7.5</v>
      </c>
      <c r="BZ816" s="151">
        <v>41842</v>
      </c>
      <c r="CA816" s="206">
        <v>29.8</v>
      </c>
      <c r="CB816" s="151">
        <v>41842</v>
      </c>
      <c r="CC816" s="208">
        <v>6.1</v>
      </c>
      <c r="CD816" s="151">
        <v>41838</v>
      </c>
      <c r="CL816" s="209">
        <v>3</v>
      </c>
      <c r="CM816" s="201">
        <v>41810</v>
      </c>
    </row>
    <row r="817" spans="1:91" ht="15">
      <c r="A817" s="152" t="s">
        <v>8073</v>
      </c>
      <c r="B817" s="110" t="s">
        <v>233</v>
      </c>
      <c r="C817" s="110" t="s">
        <v>8083</v>
      </c>
      <c r="D817" s="110">
        <v>11755</v>
      </c>
      <c r="E817" s="111">
        <v>10</v>
      </c>
      <c r="F817" s="111">
        <v>765</v>
      </c>
      <c r="K817" s="134">
        <v>5</v>
      </c>
      <c r="L817" s="151">
        <v>41701</v>
      </c>
      <c r="M817" s="169">
        <v>4.45</v>
      </c>
      <c r="N817" s="151">
        <v>41838</v>
      </c>
      <c r="Q817" s="497"/>
      <c r="S817" s="134">
        <v>16.11</v>
      </c>
      <c r="T817" s="151">
        <v>41842</v>
      </c>
      <c r="U817" s="134">
        <v>13.5</v>
      </c>
      <c r="V817" s="151">
        <v>41838</v>
      </c>
      <c r="W817" s="196">
        <v>9</v>
      </c>
      <c r="X817" s="151">
        <v>41829</v>
      </c>
      <c r="Y817" s="134">
        <f t="shared" si="12"/>
        <v>4.4461399999999998</v>
      </c>
      <c r="AC817" s="134">
        <v>32.96</v>
      </c>
      <c r="AD817" s="151">
        <v>41838</v>
      </c>
      <c r="AE817" s="134">
        <v>33.94</v>
      </c>
      <c r="AF817" s="151">
        <v>41838</v>
      </c>
      <c r="AG817" s="197">
        <v>4.9000000000000004</v>
      </c>
      <c r="AH817" s="151">
        <v>41843</v>
      </c>
      <c r="AI817" s="198">
        <v>5</v>
      </c>
      <c r="AJ817" s="151">
        <v>41778</v>
      </c>
      <c r="AK817" s="199">
        <v>5</v>
      </c>
      <c r="AL817" s="151">
        <v>41709</v>
      </c>
      <c r="BE817" s="200">
        <v>5</v>
      </c>
      <c r="BF817" s="201">
        <v>41555</v>
      </c>
      <c r="BG817" s="203">
        <v>-2.5</v>
      </c>
      <c r="BH817" s="151">
        <v>41842</v>
      </c>
      <c r="BM817" s="204">
        <v>65.599999999999994</v>
      </c>
      <c r="BN817" s="151">
        <v>41842</v>
      </c>
      <c r="BQ817" s="205">
        <v>10.3</v>
      </c>
      <c r="BR817" s="151">
        <v>41842</v>
      </c>
      <c r="BS817" s="206">
        <v>47.5</v>
      </c>
      <c r="BT817" s="151">
        <v>41842</v>
      </c>
      <c r="BU817" s="207">
        <v>13.1</v>
      </c>
      <c r="BV817" s="151">
        <v>41842</v>
      </c>
      <c r="BW817" s="206">
        <v>16.5</v>
      </c>
      <c r="BX817" s="151">
        <v>41842</v>
      </c>
      <c r="BY817" s="210">
        <v>7.29</v>
      </c>
      <c r="BZ817" s="151">
        <v>41842</v>
      </c>
      <c r="CA817" s="206">
        <v>30</v>
      </c>
      <c r="CB817" s="151">
        <v>41842</v>
      </c>
      <c r="CC817" s="208">
        <v>6.3</v>
      </c>
      <c r="CD817" s="151">
        <v>41838</v>
      </c>
      <c r="CL817" s="209">
        <v>3</v>
      </c>
      <c r="CM817" s="201">
        <v>41810</v>
      </c>
    </row>
    <row r="818" spans="1:91" ht="15">
      <c r="A818" s="152" t="s">
        <v>8074</v>
      </c>
      <c r="B818" s="110" t="s">
        <v>233</v>
      </c>
      <c r="C818" s="110" t="s">
        <v>381</v>
      </c>
      <c r="D818" s="110">
        <v>10981</v>
      </c>
      <c r="E818" s="111">
        <v>1</v>
      </c>
      <c r="F818" s="111">
        <v>545</v>
      </c>
      <c r="I818" s="373"/>
      <c r="K818" s="194">
        <v>5</v>
      </c>
      <c r="L818" s="151">
        <v>41701</v>
      </c>
      <c r="M818" s="169">
        <v>4.8499999999999996</v>
      </c>
      <c r="N818" s="151">
        <v>41838</v>
      </c>
      <c r="Q818" s="497"/>
      <c r="S818" s="134">
        <v>17.260000000000002</v>
      </c>
      <c r="T818" s="151">
        <v>41842</v>
      </c>
      <c r="U818" s="194">
        <v>13.5</v>
      </c>
      <c r="V818" s="151">
        <v>41838</v>
      </c>
      <c r="W818" s="196">
        <v>9</v>
      </c>
      <c r="X818" s="151">
        <v>41829</v>
      </c>
      <c r="Y818" s="134">
        <f t="shared" si="12"/>
        <v>4.8561700000000005</v>
      </c>
      <c r="AA818" s="194"/>
      <c r="AC818" s="194">
        <v>35.93</v>
      </c>
      <c r="AD818" s="151">
        <v>41838</v>
      </c>
      <c r="AE818" s="137">
        <v>37.07</v>
      </c>
      <c r="AF818" s="151">
        <v>41838</v>
      </c>
      <c r="AG818" s="197">
        <v>4.4000000000000004</v>
      </c>
      <c r="AH818" s="151">
        <v>41843</v>
      </c>
      <c r="AI818" s="198">
        <v>7</v>
      </c>
      <c r="AJ818" s="151">
        <v>41778</v>
      </c>
      <c r="AK818" s="199">
        <v>7</v>
      </c>
      <c r="AL818" s="151">
        <v>41709</v>
      </c>
      <c r="AM818" s="194"/>
      <c r="BE818" s="200">
        <v>7</v>
      </c>
      <c r="BF818" s="201">
        <v>41555</v>
      </c>
      <c r="BG818" s="203">
        <v>1.6</v>
      </c>
      <c r="BH818" s="151">
        <v>41842</v>
      </c>
      <c r="BM818" s="204">
        <v>66</v>
      </c>
      <c r="BN818" s="151">
        <v>41842</v>
      </c>
      <c r="BQ818" s="205">
        <v>9.5</v>
      </c>
      <c r="BR818" s="151">
        <v>41842</v>
      </c>
      <c r="BS818" s="206">
        <v>46.6</v>
      </c>
      <c r="BT818" s="151">
        <v>41842</v>
      </c>
      <c r="BU818" s="207">
        <v>13.1</v>
      </c>
      <c r="BV818" s="151">
        <v>41842</v>
      </c>
      <c r="BW818" s="206">
        <v>13.6</v>
      </c>
      <c r="BX818" s="151">
        <v>41842</v>
      </c>
      <c r="BY818" s="210">
        <v>7.36</v>
      </c>
      <c r="BZ818" s="151">
        <v>41842</v>
      </c>
      <c r="CA818" s="206">
        <v>29.5</v>
      </c>
      <c r="CB818" s="151">
        <v>41842</v>
      </c>
      <c r="CC818" s="208">
        <v>6.1</v>
      </c>
      <c r="CD818" s="151">
        <v>41838</v>
      </c>
      <c r="CL818" s="209">
        <v>3</v>
      </c>
      <c r="CM818" s="201">
        <v>41810</v>
      </c>
    </row>
    <row r="819" spans="1:91" ht="15">
      <c r="A819" s="152" t="s">
        <v>8074</v>
      </c>
      <c r="B819" s="110" t="s">
        <v>235</v>
      </c>
      <c r="C819" s="110" t="s">
        <v>8082</v>
      </c>
      <c r="D819" s="110">
        <v>11542</v>
      </c>
      <c r="E819" s="111">
        <v>5</v>
      </c>
      <c r="F819" s="111">
        <v>633</v>
      </c>
      <c r="K819" s="134">
        <v>5</v>
      </c>
      <c r="L819" s="151">
        <v>41701</v>
      </c>
      <c r="M819" s="169">
        <v>6.9</v>
      </c>
      <c r="N819" s="151">
        <v>41838</v>
      </c>
      <c r="Q819" s="497"/>
      <c r="S819" s="134">
        <v>23.98</v>
      </c>
      <c r="T819" s="151">
        <v>41842</v>
      </c>
      <c r="U819" s="134">
        <v>13.5</v>
      </c>
      <c r="V819" s="151">
        <v>41838</v>
      </c>
      <c r="W819" s="196">
        <v>9</v>
      </c>
      <c r="X819" s="151">
        <v>41829</v>
      </c>
      <c r="Y819" s="134">
        <f t="shared" si="12"/>
        <v>7.195759999999999</v>
      </c>
      <c r="AC819" s="134">
        <v>51.11</v>
      </c>
      <c r="AD819" s="151">
        <v>41838</v>
      </c>
      <c r="AE819" s="134">
        <v>52.91</v>
      </c>
      <c r="AF819" s="151">
        <v>41838</v>
      </c>
      <c r="AG819" s="197">
        <v>4.5</v>
      </c>
      <c r="AH819" s="151">
        <v>41843</v>
      </c>
      <c r="AI819" s="198">
        <v>5</v>
      </c>
      <c r="AJ819" s="151">
        <v>41778</v>
      </c>
      <c r="AK819" s="199">
        <v>5</v>
      </c>
      <c r="AL819" s="151">
        <v>41709</v>
      </c>
      <c r="BE819" s="200">
        <v>5</v>
      </c>
      <c r="BF819" s="201">
        <v>41555</v>
      </c>
      <c r="BG819" s="203">
        <v>-4.9000000000000004</v>
      </c>
      <c r="BH819" s="151">
        <v>41842</v>
      </c>
      <c r="BM819" s="204">
        <v>64.099999999999994</v>
      </c>
      <c r="BN819" s="151">
        <v>41842</v>
      </c>
      <c r="BQ819" s="205">
        <v>10</v>
      </c>
      <c r="BR819" s="151">
        <v>41842</v>
      </c>
      <c r="BS819" s="206">
        <v>45.3</v>
      </c>
      <c r="BT819" s="151">
        <v>41842</v>
      </c>
      <c r="BU819" s="207">
        <v>13.6</v>
      </c>
      <c r="BV819" s="151">
        <v>41842</v>
      </c>
      <c r="BW819" s="206">
        <v>12.2</v>
      </c>
      <c r="BX819" s="151">
        <v>41842</v>
      </c>
      <c r="BY819" s="210">
        <v>8.09</v>
      </c>
      <c r="BZ819" s="151">
        <v>41842</v>
      </c>
      <c r="CA819" s="206">
        <v>29.7</v>
      </c>
      <c r="CB819" s="151">
        <v>41842</v>
      </c>
      <c r="CC819" s="208">
        <v>5.8</v>
      </c>
      <c r="CD819" s="151">
        <v>41838</v>
      </c>
      <c r="CL819" s="209">
        <v>3</v>
      </c>
      <c r="CM819" s="201">
        <v>41810</v>
      </c>
    </row>
    <row r="820" spans="1:91" ht="15">
      <c r="A820" s="152" t="s">
        <v>8074</v>
      </c>
      <c r="B820" s="110" t="s">
        <v>235</v>
      </c>
      <c r="C820" s="110" t="s">
        <v>8081</v>
      </c>
      <c r="D820" s="110">
        <v>11202</v>
      </c>
      <c r="E820" s="111">
        <v>7</v>
      </c>
      <c r="F820" s="111">
        <v>565</v>
      </c>
      <c r="K820" s="134">
        <v>5</v>
      </c>
      <c r="L820" s="151">
        <v>41701</v>
      </c>
      <c r="M820" s="169">
        <v>5.65</v>
      </c>
      <c r="N820" s="151">
        <v>41838</v>
      </c>
      <c r="Q820" s="497"/>
      <c r="S820" s="134">
        <v>19.89</v>
      </c>
      <c r="T820" s="151">
        <v>41842</v>
      </c>
      <c r="U820" s="134">
        <v>13.5</v>
      </c>
      <c r="V820" s="151">
        <v>41838</v>
      </c>
      <c r="W820" s="196">
        <v>9</v>
      </c>
      <c r="X820" s="151">
        <v>41829</v>
      </c>
      <c r="Y820" s="134">
        <f t="shared" si="12"/>
        <v>5.6264000000000003</v>
      </c>
      <c r="AC820" s="134">
        <v>41.85</v>
      </c>
      <c r="AD820" s="151">
        <v>41838</v>
      </c>
      <c r="AE820" s="134">
        <v>43.28</v>
      </c>
      <c r="AF820" s="151">
        <v>41838</v>
      </c>
      <c r="AG820" s="197">
        <v>4.0999999999999996</v>
      </c>
      <c r="AH820" s="151">
        <v>41843</v>
      </c>
      <c r="AI820" s="198">
        <v>3</v>
      </c>
      <c r="AJ820" s="151">
        <v>41778</v>
      </c>
      <c r="AK820" s="199">
        <v>5</v>
      </c>
      <c r="AL820" s="151">
        <v>41709</v>
      </c>
      <c r="BE820" s="200">
        <v>5</v>
      </c>
      <c r="BF820" s="201">
        <v>41555</v>
      </c>
      <c r="BG820" s="203">
        <v>-2.4</v>
      </c>
      <c r="BH820" s="151">
        <v>41842</v>
      </c>
      <c r="BM820" s="204">
        <v>65.400000000000006</v>
      </c>
      <c r="BN820" s="151">
        <v>41842</v>
      </c>
      <c r="BQ820" s="205">
        <v>9.6999999999999993</v>
      </c>
      <c r="BR820" s="151">
        <v>41842</v>
      </c>
      <c r="BS820" s="206">
        <v>46</v>
      </c>
      <c r="BT820" s="151">
        <v>41842</v>
      </c>
      <c r="BU820" s="207">
        <v>13</v>
      </c>
      <c r="BV820" s="151">
        <v>41842</v>
      </c>
      <c r="BW820" s="206">
        <v>11.9</v>
      </c>
      <c r="BX820" s="151">
        <v>41842</v>
      </c>
      <c r="BY820" s="210">
        <v>7.67</v>
      </c>
      <c r="BZ820" s="151">
        <v>41842</v>
      </c>
      <c r="CA820" s="206">
        <v>28.9</v>
      </c>
      <c r="CB820" s="151">
        <v>41842</v>
      </c>
      <c r="CC820" s="208">
        <v>5.9</v>
      </c>
      <c r="CD820" s="151">
        <v>41838</v>
      </c>
      <c r="CL820" s="209">
        <v>3</v>
      </c>
      <c r="CM820" s="201">
        <v>41810</v>
      </c>
    </row>
    <row r="821" spans="1:91" ht="15">
      <c r="A821" s="152" t="s">
        <v>8074</v>
      </c>
      <c r="B821" s="110" t="s">
        <v>233</v>
      </c>
      <c r="C821" s="110" t="s">
        <v>8083</v>
      </c>
      <c r="D821" s="110">
        <v>11660</v>
      </c>
      <c r="E821" s="111">
        <v>8</v>
      </c>
      <c r="F821" s="111">
        <v>673</v>
      </c>
      <c r="K821" s="134">
        <v>5</v>
      </c>
      <c r="L821" s="151">
        <v>41701</v>
      </c>
      <c r="M821" s="169">
        <v>5</v>
      </c>
      <c r="N821" s="151">
        <v>41838</v>
      </c>
      <c r="Q821" s="497"/>
      <c r="S821" s="134">
        <v>17.87</v>
      </c>
      <c r="T821" s="151">
        <v>41842</v>
      </c>
      <c r="U821" s="134">
        <v>13.5</v>
      </c>
      <c r="V821" s="151">
        <v>41838</v>
      </c>
      <c r="W821" s="196">
        <v>9</v>
      </c>
      <c r="X821" s="151">
        <v>41829</v>
      </c>
      <c r="Y821" s="134">
        <f t="shared" si="12"/>
        <v>4.8488599999999993</v>
      </c>
      <c r="AC821" s="134">
        <v>37.04</v>
      </c>
      <c r="AD821" s="151">
        <v>41838</v>
      </c>
      <c r="AE821" s="134">
        <v>38.18</v>
      </c>
      <c r="AF821" s="151">
        <v>41838</v>
      </c>
      <c r="AG821" s="197">
        <v>4.5</v>
      </c>
      <c r="AH821" s="151">
        <v>41843</v>
      </c>
      <c r="AI821" s="198">
        <v>5</v>
      </c>
      <c r="AJ821" s="151">
        <v>41778</v>
      </c>
      <c r="AK821" s="199">
        <v>5</v>
      </c>
      <c r="AL821" s="151">
        <v>41709</v>
      </c>
      <c r="BE821" s="200">
        <v>5</v>
      </c>
      <c r="BF821" s="201">
        <v>41555</v>
      </c>
      <c r="BG821" s="203">
        <v>-4.2</v>
      </c>
      <c r="BH821" s="151">
        <v>41842</v>
      </c>
      <c r="BM821" s="204">
        <v>67.099999999999994</v>
      </c>
      <c r="BN821" s="151">
        <v>41842</v>
      </c>
      <c r="BQ821" s="205">
        <v>9.9</v>
      </c>
      <c r="BR821" s="151">
        <v>41842</v>
      </c>
      <c r="BS821" s="206">
        <v>46.8</v>
      </c>
      <c r="BT821" s="151">
        <v>41842</v>
      </c>
      <c r="BU821" s="207">
        <v>12.7</v>
      </c>
      <c r="BV821" s="151">
        <v>41842</v>
      </c>
      <c r="BW821" s="206">
        <v>14</v>
      </c>
      <c r="BX821" s="151">
        <v>41842</v>
      </c>
      <c r="BY821" s="210">
        <v>7.3</v>
      </c>
      <c r="BZ821" s="151">
        <v>41842</v>
      </c>
      <c r="CA821" s="206">
        <v>28.7</v>
      </c>
      <c r="CB821" s="151">
        <v>41842</v>
      </c>
      <c r="CC821" s="208">
        <v>6.2</v>
      </c>
      <c r="CD821" s="151">
        <v>41838</v>
      </c>
      <c r="CL821" s="209">
        <v>3</v>
      </c>
      <c r="CM821" s="201">
        <v>41810</v>
      </c>
    </row>
    <row r="822" spans="1:91" ht="15">
      <c r="A822" s="152" t="s">
        <v>8075</v>
      </c>
      <c r="B822" s="110" t="s">
        <v>233</v>
      </c>
      <c r="C822" s="110" t="s">
        <v>381</v>
      </c>
      <c r="D822" s="110">
        <v>11095</v>
      </c>
      <c r="E822" s="111">
        <v>4</v>
      </c>
      <c r="F822" s="111">
        <v>569</v>
      </c>
      <c r="K822" s="134">
        <v>5</v>
      </c>
      <c r="L822" s="151">
        <v>41701</v>
      </c>
      <c r="M822" s="169">
        <v>5.55</v>
      </c>
      <c r="N822" s="151">
        <v>41838</v>
      </c>
      <c r="Q822" s="497"/>
      <c r="S822" s="134">
        <v>21.39</v>
      </c>
      <c r="T822" s="151">
        <v>41842</v>
      </c>
      <c r="U822" s="134">
        <v>13.5</v>
      </c>
      <c r="V822" s="151">
        <v>41838</v>
      </c>
      <c r="W822" s="196">
        <v>9</v>
      </c>
      <c r="X822" s="151">
        <v>41829</v>
      </c>
      <c r="Y822" s="134">
        <f t="shared" si="12"/>
        <v>4.5156000000000001</v>
      </c>
      <c r="AC822" s="134">
        <v>41.11</v>
      </c>
      <c r="AD822" s="151">
        <v>41838</v>
      </c>
      <c r="AE822" s="134">
        <v>42.6</v>
      </c>
      <c r="AF822" s="151">
        <v>41838</v>
      </c>
      <c r="AG822" s="197">
        <v>5.2</v>
      </c>
      <c r="AH822" s="151">
        <v>41843</v>
      </c>
      <c r="AI822" s="198">
        <v>5</v>
      </c>
      <c r="AJ822" s="151">
        <v>41778</v>
      </c>
      <c r="AK822" s="199">
        <v>7</v>
      </c>
      <c r="AL822" s="151">
        <v>41709</v>
      </c>
      <c r="BE822" s="200">
        <v>7</v>
      </c>
      <c r="BF822" s="201">
        <v>41555</v>
      </c>
      <c r="BG822" s="203">
        <v>-5</v>
      </c>
      <c r="BH822" s="151">
        <v>41842</v>
      </c>
      <c r="BM822" s="204">
        <v>67.400000000000006</v>
      </c>
      <c r="BN822" s="151">
        <v>41842</v>
      </c>
      <c r="BQ822" s="205">
        <v>8.6999999999999993</v>
      </c>
      <c r="BR822" s="151">
        <v>41842</v>
      </c>
      <c r="BS822" s="206">
        <v>50.2</v>
      </c>
      <c r="BT822" s="151">
        <v>41842</v>
      </c>
      <c r="BU822" s="207">
        <v>10.6</v>
      </c>
      <c r="BV822" s="151">
        <v>41842</v>
      </c>
      <c r="BW822" s="206">
        <v>15.2</v>
      </c>
      <c r="BX822" s="151">
        <v>41842</v>
      </c>
      <c r="BY822" s="210">
        <v>6.12</v>
      </c>
      <c r="BZ822" s="151">
        <v>41842</v>
      </c>
      <c r="CA822" s="206">
        <v>25.9</v>
      </c>
      <c r="CB822" s="151">
        <v>41842</v>
      </c>
      <c r="CC822" s="208">
        <v>5.7</v>
      </c>
      <c r="CD822" s="151">
        <v>41838</v>
      </c>
      <c r="CL822" s="209">
        <v>3</v>
      </c>
      <c r="CM822" s="201">
        <v>41810</v>
      </c>
    </row>
    <row r="823" spans="1:91" ht="15">
      <c r="A823" s="152" t="s">
        <v>8075</v>
      </c>
      <c r="B823" s="110" t="s">
        <v>235</v>
      </c>
      <c r="C823" s="110" t="s">
        <v>8082</v>
      </c>
      <c r="D823" s="110">
        <v>11518</v>
      </c>
      <c r="E823" s="111">
        <v>4</v>
      </c>
      <c r="F823" s="111">
        <v>681</v>
      </c>
      <c r="K823" s="134">
        <v>5</v>
      </c>
      <c r="L823" s="151">
        <v>41701</v>
      </c>
      <c r="M823" s="169">
        <v>6.7</v>
      </c>
      <c r="N823" s="151">
        <v>41838</v>
      </c>
      <c r="Q823" s="497"/>
      <c r="S823" s="134">
        <v>25.13</v>
      </c>
      <c r="T823" s="151">
        <v>41842</v>
      </c>
      <c r="U823" s="134">
        <v>13.5</v>
      </c>
      <c r="V823" s="151">
        <v>41838</v>
      </c>
      <c r="W823" s="196">
        <v>9</v>
      </c>
      <c r="X823" s="151">
        <v>41829</v>
      </c>
      <c r="Y823" s="134">
        <f t="shared" si="12"/>
        <v>6.1130300000000002</v>
      </c>
      <c r="AC823" s="134">
        <v>49.63</v>
      </c>
      <c r="AD823" s="151">
        <v>41838</v>
      </c>
      <c r="AE823" s="134">
        <v>51.37</v>
      </c>
      <c r="AF823" s="151">
        <v>41838</v>
      </c>
      <c r="AG823" s="197">
        <v>5.2</v>
      </c>
      <c r="AH823" s="151">
        <v>41843</v>
      </c>
      <c r="AI823" s="198">
        <v>7</v>
      </c>
      <c r="AJ823" s="151">
        <v>41778</v>
      </c>
      <c r="AK823" s="199">
        <v>5</v>
      </c>
      <c r="AL823" s="151">
        <v>41709</v>
      </c>
      <c r="BE823" s="200">
        <v>5</v>
      </c>
      <c r="BF823" s="201">
        <v>41555</v>
      </c>
      <c r="BG823" s="203">
        <v>-6.7</v>
      </c>
      <c r="BH823" s="151">
        <v>41842</v>
      </c>
      <c r="BM823" s="204">
        <v>66.099999999999994</v>
      </c>
      <c r="BN823" s="151">
        <v>41842</v>
      </c>
      <c r="BQ823" s="205">
        <v>9.6</v>
      </c>
      <c r="BR823" s="151">
        <v>41842</v>
      </c>
      <c r="BS823" s="206">
        <v>48.9</v>
      </c>
      <c r="BT823" s="151">
        <v>41842</v>
      </c>
      <c r="BU823" s="207">
        <v>11.9</v>
      </c>
      <c r="BV823" s="151">
        <v>41842</v>
      </c>
      <c r="BW823" s="206">
        <v>17.3</v>
      </c>
      <c r="BX823" s="151">
        <v>41842</v>
      </c>
      <c r="BY823" s="210">
        <v>6.99</v>
      </c>
      <c r="BZ823" s="151">
        <v>41842</v>
      </c>
      <c r="CA823" s="206">
        <v>28.2</v>
      </c>
      <c r="CB823" s="151">
        <v>41842</v>
      </c>
      <c r="CC823" s="208">
        <v>5.8</v>
      </c>
      <c r="CD823" s="151">
        <v>41838</v>
      </c>
      <c r="CL823" s="209">
        <v>3</v>
      </c>
      <c r="CM823" s="201">
        <v>41810</v>
      </c>
    </row>
    <row r="824" spans="1:91" ht="15">
      <c r="A824" s="152" t="s">
        <v>8075</v>
      </c>
      <c r="B824" s="110" t="s">
        <v>233</v>
      </c>
      <c r="C824" s="110" t="s">
        <v>8083</v>
      </c>
      <c r="D824" s="110">
        <v>11707</v>
      </c>
      <c r="E824" s="111">
        <v>9</v>
      </c>
      <c r="F824" s="111">
        <v>717</v>
      </c>
      <c r="K824" s="134">
        <v>5</v>
      </c>
      <c r="L824" s="151">
        <v>41701</v>
      </c>
      <c r="M824" s="169">
        <v>4.0999999999999996</v>
      </c>
      <c r="N824" s="151">
        <v>41838</v>
      </c>
      <c r="Q824" s="497"/>
      <c r="S824" s="134">
        <v>15.64</v>
      </c>
      <c r="T824" s="151">
        <v>41842</v>
      </c>
      <c r="U824" s="134">
        <v>13.5</v>
      </c>
      <c r="V824" s="151">
        <v>41838</v>
      </c>
      <c r="W824" s="196">
        <v>9</v>
      </c>
      <c r="X824" s="151">
        <v>41829</v>
      </c>
      <c r="Y824" s="134">
        <f t="shared" si="12"/>
        <v>3.4787399999999997</v>
      </c>
      <c r="AC824" s="134">
        <v>30.37</v>
      </c>
      <c r="AD824" s="151">
        <v>41838</v>
      </c>
      <c r="AE824" s="134">
        <v>31.34</v>
      </c>
      <c r="AF824" s="151">
        <v>41838</v>
      </c>
      <c r="AG824" s="197">
        <v>5.3</v>
      </c>
      <c r="AH824" s="151">
        <v>41843</v>
      </c>
      <c r="AI824" s="198">
        <v>5</v>
      </c>
      <c r="AJ824" s="151">
        <v>41778</v>
      </c>
      <c r="AK824" s="199">
        <v>5</v>
      </c>
      <c r="AL824" s="151">
        <v>41709</v>
      </c>
      <c r="BE824" s="200">
        <v>5</v>
      </c>
      <c r="BF824" s="201">
        <v>41555</v>
      </c>
      <c r="BG824" s="203">
        <v>-3.7</v>
      </c>
      <c r="BH824" s="151">
        <v>41842</v>
      </c>
      <c r="BM824" s="204">
        <v>66.900000000000006</v>
      </c>
      <c r="BN824" s="151">
        <v>41842</v>
      </c>
      <c r="BQ824" s="205">
        <v>9</v>
      </c>
      <c r="BR824" s="151">
        <v>41842</v>
      </c>
      <c r="BS824" s="206">
        <v>49.9</v>
      </c>
      <c r="BT824" s="151">
        <v>41842</v>
      </c>
      <c r="BU824" s="207">
        <v>11.1</v>
      </c>
      <c r="BV824" s="151">
        <v>41842</v>
      </c>
      <c r="BW824" s="206">
        <v>19.7</v>
      </c>
      <c r="BX824" s="151">
        <v>41842</v>
      </c>
      <c r="BY824" s="210">
        <v>6.22</v>
      </c>
      <c r="BZ824" s="151">
        <v>41842</v>
      </c>
      <c r="CA824" s="206">
        <v>27</v>
      </c>
      <c r="CB824" s="151">
        <v>41842</v>
      </c>
      <c r="CC824" s="208">
        <v>6.1</v>
      </c>
      <c r="CD824" s="151">
        <v>41838</v>
      </c>
      <c r="CL824" s="209">
        <v>3</v>
      </c>
      <c r="CM824" s="201">
        <v>41810</v>
      </c>
    </row>
    <row r="825" spans="1:91" ht="15">
      <c r="A825" s="152" t="s">
        <v>8075</v>
      </c>
      <c r="B825" s="110" t="s">
        <v>235</v>
      </c>
      <c r="C825" s="110" t="s">
        <v>8081</v>
      </c>
      <c r="D825" s="110">
        <v>11362</v>
      </c>
      <c r="E825" s="111">
        <v>12</v>
      </c>
      <c r="F825" s="111">
        <v>485</v>
      </c>
      <c r="K825" s="134">
        <v>5</v>
      </c>
      <c r="L825" s="151">
        <v>41701</v>
      </c>
      <c r="M825" s="169">
        <v>5.75</v>
      </c>
      <c r="N825" s="151">
        <v>41838</v>
      </c>
      <c r="Q825" s="497"/>
      <c r="S825" s="134">
        <v>21.54</v>
      </c>
      <c r="T825" s="151">
        <v>41842</v>
      </c>
      <c r="U825" s="134">
        <v>13.5</v>
      </c>
      <c r="V825" s="151">
        <v>41838</v>
      </c>
      <c r="W825" s="196">
        <v>9</v>
      </c>
      <c r="X825" s="151">
        <v>41829</v>
      </c>
      <c r="Y825" s="134">
        <f t="shared" si="12"/>
        <v>5.0982000000000003</v>
      </c>
      <c r="AC825" s="134">
        <v>42.59</v>
      </c>
      <c r="AD825" s="151">
        <v>41838</v>
      </c>
      <c r="AE825" s="134">
        <v>43.95</v>
      </c>
      <c r="AF825" s="151">
        <v>41838</v>
      </c>
      <c r="AG825" s="197">
        <v>5.0999999999999996</v>
      </c>
      <c r="AH825" s="151">
        <v>41843</v>
      </c>
      <c r="AI825" s="198">
        <v>5</v>
      </c>
      <c r="AJ825" s="151">
        <v>41778</v>
      </c>
      <c r="AK825" s="199">
        <v>5</v>
      </c>
      <c r="AL825" s="151">
        <v>41709</v>
      </c>
      <c r="BE825" s="200">
        <v>5</v>
      </c>
      <c r="BF825" s="201">
        <v>41555</v>
      </c>
      <c r="BG825" s="203">
        <v>-7.9</v>
      </c>
      <c r="BH825" s="151">
        <v>41842</v>
      </c>
      <c r="BM825" s="204">
        <v>66.2</v>
      </c>
      <c r="BN825" s="151">
        <v>41842</v>
      </c>
      <c r="BQ825" s="205">
        <v>9.5</v>
      </c>
      <c r="BR825" s="151">
        <v>41842</v>
      </c>
      <c r="BS825" s="206">
        <v>49</v>
      </c>
      <c r="BT825" s="151">
        <v>41842</v>
      </c>
      <c r="BU825" s="207">
        <v>11.6</v>
      </c>
      <c r="BV825" s="151">
        <v>41842</v>
      </c>
      <c r="BW825" s="206">
        <v>16.8</v>
      </c>
      <c r="BX825" s="151">
        <v>41842</v>
      </c>
      <c r="BY825" s="210">
        <v>6.65</v>
      </c>
      <c r="BZ825" s="151">
        <v>41842</v>
      </c>
      <c r="CA825" s="206">
        <v>27.6</v>
      </c>
      <c r="CB825" s="151">
        <v>41842</v>
      </c>
      <c r="CC825" s="208">
        <v>6.1</v>
      </c>
      <c r="CD825" s="151">
        <v>41838</v>
      </c>
      <c r="CL825" s="209">
        <v>3</v>
      </c>
      <c r="CM825" s="201">
        <v>41810</v>
      </c>
    </row>
    <row r="826" spans="1:91" ht="15">
      <c r="A826" s="152" t="s">
        <v>8076</v>
      </c>
      <c r="B826" s="110" t="s">
        <v>233</v>
      </c>
      <c r="C826" s="110" t="s">
        <v>381</v>
      </c>
      <c r="D826" s="110">
        <v>11015</v>
      </c>
      <c r="E826" s="111">
        <v>2</v>
      </c>
      <c r="F826" s="111">
        <v>537</v>
      </c>
      <c r="I826" s="373"/>
      <c r="K826" s="194">
        <v>5</v>
      </c>
      <c r="L826" s="151">
        <v>41701</v>
      </c>
      <c r="M826" s="169">
        <v>4.8</v>
      </c>
      <c r="N826" s="151">
        <v>41838</v>
      </c>
      <c r="Q826" s="497"/>
      <c r="S826" s="134">
        <v>17.71</v>
      </c>
      <c r="T826" s="151">
        <v>41842</v>
      </c>
      <c r="U826" s="194">
        <v>13.5</v>
      </c>
      <c r="V826" s="151">
        <v>41838</v>
      </c>
      <c r="W826" s="196">
        <v>9</v>
      </c>
      <c r="X826" s="151">
        <v>41829</v>
      </c>
      <c r="Y826" s="134">
        <f t="shared" si="12"/>
        <v>4.5276300000000003</v>
      </c>
      <c r="AA826" s="194"/>
      <c r="AC826" s="194">
        <v>35.56</v>
      </c>
      <c r="AD826" s="151">
        <v>41838</v>
      </c>
      <c r="AE826" s="137">
        <v>36.81</v>
      </c>
      <c r="AF826" s="151">
        <v>41838</v>
      </c>
      <c r="AG826" s="197">
        <v>5</v>
      </c>
      <c r="AH826" s="151">
        <v>41843</v>
      </c>
      <c r="AI826" s="198">
        <v>5</v>
      </c>
      <c r="AJ826" s="151">
        <v>41778</v>
      </c>
      <c r="AK826" s="199">
        <v>5</v>
      </c>
      <c r="AL826" s="151">
        <v>41709</v>
      </c>
      <c r="AM826" s="194"/>
      <c r="BE826" s="200">
        <v>5</v>
      </c>
      <c r="BF826" s="201">
        <v>41555</v>
      </c>
      <c r="BG826" s="203">
        <v>-2.4</v>
      </c>
      <c r="BH826" s="151">
        <v>41842</v>
      </c>
      <c r="BM826" s="204">
        <v>66.2</v>
      </c>
      <c r="BN826" s="151">
        <v>41842</v>
      </c>
      <c r="BQ826" s="205">
        <v>9.4</v>
      </c>
      <c r="BR826" s="151">
        <v>41842</v>
      </c>
      <c r="BS826" s="206">
        <v>48.1</v>
      </c>
      <c r="BT826" s="151">
        <v>41842</v>
      </c>
      <c r="BU826" s="207">
        <v>12.3</v>
      </c>
      <c r="BV826" s="151">
        <v>41842</v>
      </c>
      <c r="BW826" s="206">
        <v>11.3</v>
      </c>
      <c r="BX826" s="151">
        <v>41842</v>
      </c>
      <c r="BY826" s="210">
        <v>6.5</v>
      </c>
      <c r="BZ826" s="151">
        <v>41842</v>
      </c>
      <c r="CA826" s="206">
        <v>28.7</v>
      </c>
      <c r="CB826" s="151">
        <v>41842</v>
      </c>
      <c r="CC826" s="208">
        <v>5.8</v>
      </c>
      <c r="CD826" s="151">
        <v>41838</v>
      </c>
      <c r="CL826" s="209">
        <v>3</v>
      </c>
      <c r="CM826" s="201">
        <v>41810</v>
      </c>
    </row>
    <row r="827" spans="1:91" ht="15">
      <c r="A827" s="152" t="s">
        <v>8076</v>
      </c>
      <c r="B827" s="110" t="s">
        <v>235</v>
      </c>
      <c r="C827" s="110" t="s">
        <v>8082</v>
      </c>
      <c r="D827" s="110">
        <v>11584</v>
      </c>
      <c r="E827" s="111">
        <v>6</v>
      </c>
      <c r="F827" s="111">
        <v>657</v>
      </c>
      <c r="K827" s="134">
        <v>5</v>
      </c>
      <c r="L827" s="151">
        <v>41701</v>
      </c>
      <c r="M827" s="169">
        <v>6</v>
      </c>
      <c r="N827" s="151">
        <v>41838</v>
      </c>
      <c r="Q827" s="497"/>
      <c r="S827" s="134">
        <v>21.98</v>
      </c>
      <c r="T827" s="151">
        <v>41842</v>
      </c>
      <c r="U827" s="134">
        <v>13.5</v>
      </c>
      <c r="V827" s="151">
        <v>41838</v>
      </c>
      <c r="W827" s="196">
        <v>9</v>
      </c>
      <c r="X827" s="151">
        <v>41829</v>
      </c>
      <c r="Y827" s="134">
        <f t="shared" si="12"/>
        <v>6.0338599999999998</v>
      </c>
      <c r="AC827" s="134">
        <v>44.44</v>
      </c>
      <c r="AD827" s="151">
        <v>41838</v>
      </c>
      <c r="AE827" s="134">
        <v>46.06</v>
      </c>
      <c r="AF827" s="151">
        <v>41838</v>
      </c>
      <c r="AG827" s="197">
        <v>4.9000000000000004</v>
      </c>
      <c r="AH827" s="151">
        <v>41843</v>
      </c>
      <c r="AI827" s="198">
        <v>7</v>
      </c>
      <c r="AJ827" s="151">
        <v>41778</v>
      </c>
      <c r="AK827" s="199">
        <v>4</v>
      </c>
      <c r="AL827" s="151">
        <v>41709</v>
      </c>
      <c r="BE827" s="200">
        <v>4</v>
      </c>
      <c r="BF827" s="201">
        <v>41555</v>
      </c>
      <c r="BG827" s="203">
        <v>-8.1999999999999993</v>
      </c>
      <c r="BH827" s="151">
        <v>41842</v>
      </c>
      <c r="BM827" s="204">
        <v>64.5</v>
      </c>
      <c r="BN827" s="151">
        <v>41842</v>
      </c>
      <c r="BQ827" s="205">
        <v>10</v>
      </c>
      <c r="BR827" s="151">
        <v>41842</v>
      </c>
      <c r="BS827" s="206">
        <v>47.7</v>
      </c>
      <c r="BT827" s="151">
        <v>41842</v>
      </c>
      <c r="BU827" s="207">
        <v>13.1</v>
      </c>
      <c r="BV827" s="151">
        <v>41842</v>
      </c>
      <c r="BW827" s="206">
        <v>10.1</v>
      </c>
      <c r="BX827" s="151">
        <v>41842</v>
      </c>
      <c r="BY827" s="210">
        <v>7.27</v>
      </c>
      <c r="BZ827" s="151">
        <v>41842</v>
      </c>
      <c r="CA827" s="206">
        <v>30.2</v>
      </c>
      <c r="CB827" s="151">
        <v>41842</v>
      </c>
      <c r="CC827" s="208">
        <v>5.7</v>
      </c>
      <c r="CD827" s="151">
        <v>41838</v>
      </c>
      <c r="CL827" s="209">
        <v>3</v>
      </c>
      <c r="CM827" s="201">
        <v>41810</v>
      </c>
    </row>
    <row r="828" spans="1:91" ht="15">
      <c r="A828" s="152" t="s">
        <v>8076</v>
      </c>
      <c r="B828" s="110" t="s">
        <v>233</v>
      </c>
      <c r="C828" s="110" t="s">
        <v>8083</v>
      </c>
      <c r="D828" s="110">
        <v>11712</v>
      </c>
      <c r="E828" s="111">
        <v>9</v>
      </c>
      <c r="F828" s="111">
        <v>737</v>
      </c>
      <c r="K828" s="191">
        <v>3</v>
      </c>
      <c r="L828" s="151">
        <v>41701</v>
      </c>
      <c r="M828" s="169">
        <v>4.2</v>
      </c>
      <c r="N828" s="151">
        <v>41838</v>
      </c>
      <c r="Q828" s="497"/>
      <c r="S828" s="134">
        <v>15.41</v>
      </c>
      <c r="T828" s="151">
        <v>41842</v>
      </c>
      <c r="U828" s="134">
        <v>13.5</v>
      </c>
      <c r="V828" s="151">
        <v>41838</v>
      </c>
      <c r="W828" s="196">
        <v>9</v>
      </c>
      <c r="X828" s="151">
        <v>41829</v>
      </c>
      <c r="Y828" s="134">
        <f t="shared" si="12"/>
        <v>4.1049600000000002</v>
      </c>
      <c r="AC828" s="134">
        <v>31.11</v>
      </c>
      <c r="AD828" s="151">
        <v>41838</v>
      </c>
      <c r="AE828" s="134">
        <v>32.07</v>
      </c>
      <c r="AF828" s="151">
        <v>41838</v>
      </c>
      <c r="AG828" s="197">
        <v>5.2</v>
      </c>
      <c r="AH828" s="151">
        <v>41843</v>
      </c>
      <c r="AI828" s="198">
        <v>7</v>
      </c>
      <c r="AJ828" s="151">
        <v>41778</v>
      </c>
      <c r="AK828" s="199">
        <v>5</v>
      </c>
      <c r="AL828" s="151">
        <v>41709</v>
      </c>
      <c r="BE828" s="200">
        <v>5</v>
      </c>
      <c r="BF828" s="201">
        <v>41555</v>
      </c>
      <c r="BG828" s="203">
        <v>-4.5999999999999996</v>
      </c>
      <c r="BH828" s="151">
        <v>41842</v>
      </c>
      <c r="BM828" s="204">
        <v>65.7</v>
      </c>
      <c r="BN828" s="151">
        <v>41842</v>
      </c>
      <c r="BQ828" s="205">
        <v>9.6999999999999993</v>
      </c>
      <c r="BR828" s="151">
        <v>41842</v>
      </c>
      <c r="BS828" s="206">
        <v>48.1</v>
      </c>
      <c r="BT828" s="151">
        <v>41842</v>
      </c>
      <c r="BU828" s="207">
        <v>12.8</v>
      </c>
      <c r="BV828" s="151">
        <v>41842</v>
      </c>
      <c r="BW828" s="206">
        <v>13</v>
      </c>
      <c r="BX828" s="151">
        <v>41842</v>
      </c>
      <c r="BY828" s="210">
        <v>6.63</v>
      </c>
      <c r="BZ828" s="151">
        <v>41842</v>
      </c>
      <c r="CA828" s="206">
        <v>29.8</v>
      </c>
      <c r="CB828" s="151">
        <v>41842</v>
      </c>
      <c r="CC828" s="208">
        <v>6.2</v>
      </c>
      <c r="CD828" s="151">
        <v>41838</v>
      </c>
      <c r="CL828" s="209">
        <v>3</v>
      </c>
      <c r="CM828" s="201">
        <v>41810</v>
      </c>
    </row>
    <row r="829" spans="1:91" ht="15">
      <c r="A829" s="152" t="s">
        <v>8076</v>
      </c>
      <c r="B829" s="110" t="s">
        <v>235</v>
      </c>
      <c r="C829" s="110" t="s">
        <v>8081</v>
      </c>
      <c r="D829" s="110">
        <v>11312</v>
      </c>
      <c r="E829" s="111">
        <v>10</v>
      </c>
      <c r="F829" s="111">
        <v>573</v>
      </c>
      <c r="K829" s="134">
        <v>5</v>
      </c>
      <c r="L829" s="151">
        <v>41701</v>
      </c>
      <c r="M829" s="169">
        <v>5.3</v>
      </c>
      <c r="N829" s="151">
        <v>41838</v>
      </c>
      <c r="Q829" s="497"/>
      <c r="S829" s="134">
        <v>19.59</v>
      </c>
      <c r="T829" s="151">
        <v>41842</v>
      </c>
      <c r="U829" s="134">
        <v>13.5</v>
      </c>
      <c r="V829" s="151">
        <v>41838</v>
      </c>
      <c r="W829" s="196">
        <v>9</v>
      </c>
      <c r="X829" s="151">
        <v>41829</v>
      </c>
      <c r="Y829" s="134">
        <f t="shared" si="12"/>
        <v>5.1968000000000005</v>
      </c>
      <c r="AC829" s="134">
        <v>39.26</v>
      </c>
      <c r="AD829" s="151">
        <v>41838</v>
      </c>
      <c r="AE829" s="134">
        <v>40.6</v>
      </c>
      <c r="AF829" s="151">
        <v>41838</v>
      </c>
      <c r="AG829" s="197">
        <v>4.7</v>
      </c>
      <c r="AH829" s="151">
        <v>41843</v>
      </c>
      <c r="AI829" s="198">
        <v>7</v>
      </c>
      <c r="AJ829" s="151">
        <v>41778</v>
      </c>
      <c r="AK829" s="199">
        <v>5</v>
      </c>
      <c r="AL829" s="151">
        <v>41709</v>
      </c>
      <c r="BE829" s="200">
        <v>5</v>
      </c>
      <c r="BF829" s="201">
        <v>41555</v>
      </c>
      <c r="BG829" s="203">
        <v>-2.6</v>
      </c>
      <c r="BH829" s="151">
        <v>41842</v>
      </c>
      <c r="BM829" s="204">
        <v>65</v>
      </c>
      <c r="BN829" s="151">
        <v>41842</v>
      </c>
      <c r="BQ829" s="205">
        <v>9.8000000000000007</v>
      </c>
      <c r="BR829" s="151">
        <v>41842</v>
      </c>
      <c r="BS829" s="206">
        <v>48.3</v>
      </c>
      <c r="BT829" s="151">
        <v>41842</v>
      </c>
      <c r="BU829" s="207">
        <v>12.8</v>
      </c>
      <c r="BV829" s="151">
        <v>41842</v>
      </c>
      <c r="BW829" s="206">
        <v>9.1999999999999993</v>
      </c>
      <c r="BX829" s="151">
        <v>41842</v>
      </c>
      <c r="BY829" s="210">
        <v>6.99</v>
      </c>
      <c r="BZ829" s="151">
        <v>41842</v>
      </c>
      <c r="CA829" s="206">
        <v>29.8</v>
      </c>
      <c r="CB829" s="151">
        <v>41842</v>
      </c>
      <c r="CC829" s="208">
        <v>5.9</v>
      </c>
      <c r="CD829" s="151">
        <v>41838</v>
      </c>
      <c r="CL829" s="209">
        <v>3</v>
      </c>
      <c r="CM829" s="201">
        <v>41810</v>
      </c>
    </row>
    <row r="830" spans="1:91" ht="15">
      <c r="A830" s="152" t="s">
        <v>8077</v>
      </c>
      <c r="B830" s="110" t="s">
        <v>235</v>
      </c>
      <c r="C830" s="110" t="s">
        <v>8082</v>
      </c>
      <c r="D830" s="110">
        <v>11433</v>
      </c>
      <c r="E830" s="111">
        <v>2</v>
      </c>
      <c r="F830" s="111">
        <v>629</v>
      </c>
      <c r="K830" s="134">
        <v>5</v>
      </c>
      <c r="L830" s="151">
        <v>41701</v>
      </c>
      <c r="M830" s="169">
        <v>5.7</v>
      </c>
      <c r="N830" s="151">
        <v>41838</v>
      </c>
      <c r="Q830" s="497"/>
      <c r="S830" s="134">
        <v>21.04</v>
      </c>
      <c r="T830" s="151">
        <v>41842</v>
      </c>
      <c r="U830" s="134">
        <v>13.5</v>
      </c>
      <c r="V830" s="151">
        <v>41838</v>
      </c>
      <c r="W830" s="196">
        <v>9</v>
      </c>
      <c r="X830" s="151">
        <v>41829</v>
      </c>
      <c r="Y830" s="134">
        <f t="shared" si="12"/>
        <v>5.4637500000000001</v>
      </c>
      <c r="AC830" s="134">
        <v>42.22</v>
      </c>
      <c r="AD830" s="151">
        <v>41838</v>
      </c>
      <c r="AE830" s="134">
        <v>43.71</v>
      </c>
      <c r="AF830" s="151">
        <v>41838</v>
      </c>
      <c r="AG830" s="197">
        <v>4.5999999999999996</v>
      </c>
      <c r="AH830" s="151">
        <v>41843</v>
      </c>
      <c r="AI830" s="198">
        <v>5</v>
      </c>
      <c r="AJ830" s="151">
        <v>41778</v>
      </c>
      <c r="AK830" s="199">
        <v>4</v>
      </c>
      <c r="AL830" s="151">
        <v>41709</v>
      </c>
      <c r="BE830" s="200">
        <v>4</v>
      </c>
      <c r="BF830" s="201">
        <v>41555</v>
      </c>
      <c r="BG830" s="203">
        <v>-8.1999999999999993</v>
      </c>
      <c r="BH830" s="151">
        <v>41842</v>
      </c>
      <c r="BM830" s="204">
        <v>65.400000000000006</v>
      </c>
      <c r="BN830" s="151">
        <v>41842</v>
      </c>
      <c r="BQ830" s="205">
        <v>10.3</v>
      </c>
      <c r="BR830" s="151">
        <v>41842</v>
      </c>
      <c r="BS830" s="206">
        <v>48.1</v>
      </c>
      <c r="BT830" s="151">
        <v>41842</v>
      </c>
      <c r="BU830" s="207">
        <v>12.5</v>
      </c>
      <c r="BV830" s="151">
        <v>41842</v>
      </c>
      <c r="BW830" s="206">
        <v>15</v>
      </c>
      <c r="BX830" s="151">
        <v>41842</v>
      </c>
      <c r="BY830" s="210">
        <v>7.41</v>
      </c>
      <c r="BZ830" s="151">
        <v>41842</v>
      </c>
      <c r="CA830" s="206">
        <v>29.1</v>
      </c>
      <c r="CB830" s="151">
        <v>41842</v>
      </c>
      <c r="CC830" s="208">
        <v>5.8</v>
      </c>
      <c r="CD830" s="151">
        <v>41838</v>
      </c>
      <c r="CL830" s="209">
        <v>3</v>
      </c>
      <c r="CM830" s="201">
        <v>41810</v>
      </c>
    </row>
    <row r="831" spans="1:91" ht="15">
      <c r="A831" s="152" t="s">
        <v>8077</v>
      </c>
      <c r="B831" s="110" t="s">
        <v>233</v>
      </c>
      <c r="C831" s="110" t="s">
        <v>381</v>
      </c>
      <c r="D831" s="110">
        <v>11138</v>
      </c>
      <c r="E831" s="111">
        <v>5</v>
      </c>
      <c r="F831" s="111">
        <v>597</v>
      </c>
      <c r="K831" s="134">
        <v>5</v>
      </c>
      <c r="L831" s="151">
        <v>41701</v>
      </c>
      <c r="M831" s="169">
        <v>4.8</v>
      </c>
      <c r="N831" s="151">
        <v>41838</v>
      </c>
      <c r="Q831" s="497"/>
      <c r="S831" s="134">
        <v>17.72</v>
      </c>
      <c r="T831" s="151">
        <v>41842</v>
      </c>
      <c r="U831" s="134">
        <v>13.5</v>
      </c>
      <c r="V831" s="151">
        <v>41838</v>
      </c>
      <c r="W831" s="196">
        <v>9</v>
      </c>
      <c r="X831" s="151">
        <v>41829</v>
      </c>
      <c r="Y831" s="134">
        <f t="shared" si="12"/>
        <v>4.37087</v>
      </c>
      <c r="AC831" s="134">
        <v>35.56</v>
      </c>
      <c r="AD831" s="151">
        <v>41838</v>
      </c>
      <c r="AE831" s="134">
        <v>36.729999999999997</v>
      </c>
      <c r="AF831" s="151">
        <v>41838</v>
      </c>
      <c r="AG831" s="197">
        <v>4.8</v>
      </c>
      <c r="AH831" s="151">
        <v>41843</v>
      </c>
      <c r="AI831" s="198">
        <v>3</v>
      </c>
      <c r="AJ831" s="151">
        <v>41778</v>
      </c>
      <c r="AK831" s="199">
        <v>4</v>
      </c>
      <c r="AL831" s="151">
        <v>41709</v>
      </c>
      <c r="BE831" s="200">
        <v>4</v>
      </c>
      <c r="BF831" s="201">
        <v>41555</v>
      </c>
      <c r="BG831" s="203">
        <v>-4.8</v>
      </c>
      <c r="BH831" s="151">
        <v>41842</v>
      </c>
      <c r="BM831" s="204">
        <v>66.2</v>
      </c>
      <c r="BN831" s="151">
        <v>41842</v>
      </c>
      <c r="BQ831" s="205">
        <v>10.1</v>
      </c>
      <c r="BR831" s="151">
        <v>41842</v>
      </c>
      <c r="BS831" s="206">
        <v>48.3</v>
      </c>
      <c r="BT831" s="151">
        <v>41842</v>
      </c>
      <c r="BU831" s="207">
        <v>11.9</v>
      </c>
      <c r="BV831" s="151">
        <v>41842</v>
      </c>
      <c r="BW831" s="206">
        <v>14.4</v>
      </c>
      <c r="BX831" s="151">
        <v>41842</v>
      </c>
      <c r="BY831" s="210">
        <v>6.78</v>
      </c>
      <c r="BZ831" s="151">
        <v>41842</v>
      </c>
      <c r="CA831" s="206">
        <v>27.8</v>
      </c>
      <c r="CB831" s="151">
        <v>41842</v>
      </c>
      <c r="CC831" s="208">
        <v>6</v>
      </c>
      <c r="CD831" s="151">
        <v>41838</v>
      </c>
      <c r="CL831" s="209">
        <v>3</v>
      </c>
      <c r="CM831" s="201">
        <v>41810</v>
      </c>
    </row>
    <row r="832" spans="1:91" ht="15">
      <c r="A832" s="152" t="s">
        <v>8077</v>
      </c>
      <c r="B832" s="110" t="s">
        <v>233</v>
      </c>
      <c r="C832" s="110" t="s">
        <v>8083</v>
      </c>
      <c r="D832" s="110">
        <v>11631</v>
      </c>
      <c r="E832" s="111">
        <v>7</v>
      </c>
      <c r="F832" s="111">
        <v>701</v>
      </c>
      <c r="K832" s="134">
        <v>5</v>
      </c>
      <c r="L832" s="151">
        <v>41701</v>
      </c>
      <c r="M832" s="169">
        <v>4.45</v>
      </c>
      <c r="N832" s="151">
        <v>41838</v>
      </c>
      <c r="Q832" s="497"/>
      <c r="S832" s="134">
        <v>16.489999999999998</v>
      </c>
      <c r="T832" s="151">
        <v>41842</v>
      </c>
      <c r="U832" s="134">
        <v>13.5</v>
      </c>
      <c r="V832" s="151">
        <v>41838</v>
      </c>
      <c r="W832" s="196">
        <v>9</v>
      </c>
      <c r="X832" s="151">
        <v>41829</v>
      </c>
      <c r="Y832" s="134">
        <f t="shared" si="12"/>
        <v>4.1369899999999999</v>
      </c>
      <c r="AC832" s="134">
        <v>32.96</v>
      </c>
      <c r="AD832" s="151">
        <v>41838</v>
      </c>
      <c r="AE832" s="134">
        <v>34.19</v>
      </c>
      <c r="AF832" s="151">
        <v>41838</v>
      </c>
      <c r="AG832" s="197">
        <v>4.5</v>
      </c>
      <c r="AH832" s="151">
        <v>41843</v>
      </c>
      <c r="AI832" s="198">
        <v>5</v>
      </c>
      <c r="AJ832" s="151">
        <v>41778</v>
      </c>
      <c r="AK832" s="199">
        <v>4</v>
      </c>
      <c r="AL832" s="151">
        <v>41709</v>
      </c>
      <c r="BE832" s="200">
        <v>4</v>
      </c>
      <c r="BF832" s="201">
        <v>41555</v>
      </c>
      <c r="BG832" s="203">
        <v>-6.4</v>
      </c>
      <c r="BH832" s="151">
        <v>41842</v>
      </c>
      <c r="BM832" s="204">
        <v>66</v>
      </c>
      <c r="BN832" s="151">
        <v>41842</v>
      </c>
      <c r="BQ832" s="205">
        <v>10.6</v>
      </c>
      <c r="BR832" s="151">
        <v>41842</v>
      </c>
      <c r="BS832" s="206">
        <v>48.2</v>
      </c>
      <c r="BT832" s="151">
        <v>41842</v>
      </c>
      <c r="BU832" s="207">
        <v>12.1</v>
      </c>
      <c r="BV832" s="151">
        <v>41842</v>
      </c>
      <c r="BW832" s="206">
        <v>14.6</v>
      </c>
      <c r="BX832" s="151">
        <v>41842</v>
      </c>
      <c r="BY832" s="210">
        <v>6.73</v>
      </c>
      <c r="BZ832" s="151">
        <v>41842</v>
      </c>
      <c r="CA832" s="206">
        <v>28.4</v>
      </c>
      <c r="CB832" s="151">
        <v>41842</v>
      </c>
      <c r="CC832" s="208">
        <v>5.6</v>
      </c>
      <c r="CD832" s="151">
        <v>41838</v>
      </c>
      <c r="CL832" s="209">
        <v>3</v>
      </c>
      <c r="CM832" s="201">
        <v>41810</v>
      </c>
    </row>
    <row r="833" spans="1:91" ht="15">
      <c r="A833" s="152" t="s">
        <v>8077</v>
      </c>
      <c r="B833" s="110" t="s">
        <v>235</v>
      </c>
      <c r="C833" s="110" t="s">
        <v>8081</v>
      </c>
      <c r="D833" s="110">
        <v>11379</v>
      </c>
      <c r="E833" s="111">
        <v>12</v>
      </c>
      <c r="F833" s="111">
        <v>553</v>
      </c>
      <c r="K833" s="134">
        <v>5</v>
      </c>
      <c r="L833" s="151">
        <v>41701</v>
      </c>
      <c r="M833" s="169">
        <v>6.2</v>
      </c>
      <c r="N833" s="151">
        <v>41838</v>
      </c>
      <c r="Q833" s="497"/>
      <c r="S833" s="134">
        <v>21.93</v>
      </c>
      <c r="T833" s="151">
        <v>41842</v>
      </c>
      <c r="U833" s="134">
        <v>13.5</v>
      </c>
      <c r="V833" s="151">
        <v>41838</v>
      </c>
      <c r="W833" s="196">
        <v>9</v>
      </c>
      <c r="X833" s="151">
        <v>41829</v>
      </c>
      <c r="Y833" s="134">
        <f t="shared" si="12"/>
        <v>6.7982199999999997</v>
      </c>
      <c r="AC833" s="134">
        <v>45.93</v>
      </c>
      <c r="AD833" s="151">
        <v>41838</v>
      </c>
      <c r="AE833" s="134">
        <v>47.54</v>
      </c>
      <c r="AF833" s="151">
        <v>41838</v>
      </c>
      <c r="AG833" s="197">
        <v>4.3</v>
      </c>
      <c r="AH833" s="151">
        <v>41843</v>
      </c>
      <c r="AI833" s="198">
        <v>3</v>
      </c>
      <c r="AJ833" s="151">
        <v>41778</v>
      </c>
      <c r="AK833" s="199">
        <v>5</v>
      </c>
      <c r="AL833" s="151">
        <v>41709</v>
      </c>
      <c r="BE833" s="200">
        <v>5</v>
      </c>
      <c r="BF833" s="201">
        <v>41555</v>
      </c>
      <c r="BG833" s="203">
        <v>-6.1</v>
      </c>
      <c r="BH833" s="151">
        <v>41842</v>
      </c>
      <c r="BM833" s="204">
        <v>64.900000000000006</v>
      </c>
      <c r="BN833" s="151">
        <v>41842</v>
      </c>
      <c r="BQ833" s="205">
        <v>10.4</v>
      </c>
      <c r="BR833" s="151">
        <v>41842</v>
      </c>
      <c r="BS833" s="206">
        <v>46.1</v>
      </c>
      <c r="BT833" s="151">
        <v>41842</v>
      </c>
      <c r="BU833" s="207">
        <v>14.3</v>
      </c>
      <c r="BV833" s="151">
        <v>41842</v>
      </c>
      <c r="BW833" s="206">
        <v>18.2</v>
      </c>
      <c r="BX833" s="151">
        <v>41842</v>
      </c>
      <c r="BY833" s="210">
        <v>7.18</v>
      </c>
      <c r="BZ833" s="151">
        <v>41842</v>
      </c>
      <c r="CA833" s="206">
        <v>31.8</v>
      </c>
      <c r="CB833" s="151">
        <v>41842</v>
      </c>
      <c r="CC833" s="208">
        <v>5.8</v>
      </c>
      <c r="CD833" s="151">
        <v>41838</v>
      </c>
      <c r="CL833" s="209">
        <v>3</v>
      </c>
      <c r="CM833" s="201">
        <v>41810</v>
      </c>
    </row>
    <row r="834" spans="1:91" ht="15">
      <c r="A834" s="152" t="s">
        <v>8078</v>
      </c>
      <c r="B834" s="110" t="s">
        <v>235</v>
      </c>
      <c r="C834" s="110" t="s">
        <v>8082</v>
      </c>
      <c r="D834" s="110">
        <v>11489</v>
      </c>
      <c r="E834" s="111">
        <v>3</v>
      </c>
      <c r="F834" s="111">
        <v>709</v>
      </c>
      <c r="K834" s="134">
        <v>5</v>
      </c>
      <c r="L834" s="151">
        <v>41701</v>
      </c>
      <c r="M834" s="169">
        <v>4.8499999999999996</v>
      </c>
      <c r="N834" s="151">
        <v>41838</v>
      </c>
      <c r="Q834" s="497"/>
      <c r="S834" s="134">
        <v>17.329999999999998</v>
      </c>
      <c r="T834" s="151">
        <v>41842</v>
      </c>
      <c r="U834" s="134">
        <v>13.5</v>
      </c>
      <c r="V834" s="151">
        <v>41838</v>
      </c>
      <c r="W834" s="196">
        <v>9</v>
      </c>
      <c r="X834" s="151">
        <v>41829</v>
      </c>
      <c r="Y834" s="134">
        <f t="shared" si="12"/>
        <v>4.7603200000000001</v>
      </c>
      <c r="AC834" s="134">
        <v>35.93</v>
      </c>
      <c r="AD834" s="151">
        <v>41838</v>
      </c>
      <c r="AE834" s="134">
        <v>37.19</v>
      </c>
      <c r="AF834" s="151">
        <v>41838</v>
      </c>
      <c r="AG834" s="197">
        <v>5</v>
      </c>
      <c r="AH834" s="151">
        <v>41843</v>
      </c>
      <c r="AI834" s="198">
        <v>5</v>
      </c>
      <c r="AJ834" s="151">
        <v>41778</v>
      </c>
      <c r="AK834" s="199">
        <v>5</v>
      </c>
      <c r="AL834" s="151">
        <v>41709</v>
      </c>
      <c r="BE834" s="200">
        <v>5</v>
      </c>
      <c r="BF834" s="201">
        <v>41555</v>
      </c>
      <c r="BG834" s="203">
        <v>-4.7</v>
      </c>
      <c r="BH834" s="151">
        <v>41842</v>
      </c>
      <c r="BM834" s="204">
        <v>65.2</v>
      </c>
      <c r="BN834" s="151">
        <v>41842</v>
      </c>
      <c r="BQ834" s="205">
        <v>10.199999999999999</v>
      </c>
      <c r="BR834" s="151">
        <v>41842</v>
      </c>
      <c r="BS834" s="206">
        <v>46.6</v>
      </c>
      <c r="BT834" s="151">
        <v>41842</v>
      </c>
      <c r="BU834" s="207">
        <v>12.8</v>
      </c>
      <c r="BV834" s="151">
        <v>41842</v>
      </c>
      <c r="BW834" s="206">
        <v>16.399999999999999</v>
      </c>
      <c r="BX834" s="151">
        <v>41842</v>
      </c>
      <c r="BY834" s="210">
        <v>7.58</v>
      </c>
      <c r="BZ834" s="151">
        <v>41842</v>
      </c>
      <c r="CA834" s="206">
        <v>28.8</v>
      </c>
      <c r="CB834" s="151">
        <v>41842</v>
      </c>
      <c r="CC834" s="208">
        <v>5.8</v>
      </c>
      <c r="CD834" s="151">
        <v>41838</v>
      </c>
      <c r="CL834" s="209">
        <v>3</v>
      </c>
      <c r="CM834" s="201">
        <v>41810</v>
      </c>
    </row>
    <row r="835" spans="1:91" ht="15">
      <c r="A835" s="152" t="s">
        <v>8078</v>
      </c>
      <c r="B835" s="110" t="s">
        <v>233</v>
      </c>
      <c r="C835" s="110" t="s">
        <v>381</v>
      </c>
      <c r="D835" s="110">
        <v>11161</v>
      </c>
      <c r="E835" s="111">
        <v>6</v>
      </c>
      <c r="F835" s="111">
        <v>545</v>
      </c>
      <c r="K835" s="134">
        <v>5</v>
      </c>
      <c r="L835" s="151">
        <v>41701</v>
      </c>
      <c r="M835" s="169">
        <v>4.3499999999999996</v>
      </c>
      <c r="N835" s="151">
        <v>41838</v>
      </c>
      <c r="Q835" s="497"/>
      <c r="S835" s="134">
        <v>15.9</v>
      </c>
      <c r="T835" s="151">
        <v>41842</v>
      </c>
      <c r="U835" s="134">
        <v>13.5</v>
      </c>
      <c r="V835" s="151">
        <v>41838</v>
      </c>
      <c r="W835" s="196">
        <v>9</v>
      </c>
      <c r="X835" s="151">
        <v>41829</v>
      </c>
      <c r="Y835" s="134">
        <f t="shared" ref="Y835:Y865" si="13">(AE835*BU835)/100</f>
        <v>3.8984399999999999</v>
      </c>
      <c r="AC835" s="134">
        <v>32.22</v>
      </c>
      <c r="AD835" s="151">
        <v>41838</v>
      </c>
      <c r="AE835" s="134">
        <v>33.32</v>
      </c>
      <c r="AF835" s="151">
        <v>41838</v>
      </c>
      <c r="AG835" s="197">
        <v>5</v>
      </c>
      <c r="AH835" s="151">
        <v>41843</v>
      </c>
      <c r="AI835" s="198">
        <v>3</v>
      </c>
      <c r="AJ835" s="151">
        <v>41778</v>
      </c>
      <c r="AK835" s="199">
        <v>5</v>
      </c>
      <c r="AL835" s="151">
        <v>41709</v>
      </c>
      <c r="BE835" s="200">
        <v>5</v>
      </c>
      <c r="BF835" s="201">
        <v>41555</v>
      </c>
      <c r="BG835" s="203">
        <v>-4.3</v>
      </c>
      <c r="BH835" s="151">
        <v>41842</v>
      </c>
      <c r="BM835" s="204">
        <v>66.8</v>
      </c>
      <c r="BN835" s="151">
        <v>41842</v>
      </c>
      <c r="BQ835" s="205">
        <v>10</v>
      </c>
      <c r="BR835" s="151">
        <v>41842</v>
      </c>
      <c r="BS835" s="206">
        <v>47.7</v>
      </c>
      <c r="BT835" s="151">
        <v>41842</v>
      </c>
      <c r="BU835" s="207">
        <v>11.7</v>
      </c>
      <c r="BV835" s="151">
        <v>41842</v>
      </c>
      <c r="BW835" s="206">
        <v>17.600000000000001</v>
      </c>
      <c r="BX835" s="151">
        <v>41842</v>
      </c>
      <c r="BY835" s="210">
        <v>6.73</v>
      </c>
      <c r="BZ835" s="151">
        <v>41842</v>
      </c>
      <c r="CA835" s="206">
        <v>27</v>
      </c>
      <c r="CB835" s="151">
        <v>41842</v>
      </c>
      <c r="CC835" s="208">
        <v>5.9</v>
      </c>
      <c r="CD835" s="151">
        <v>41838</v>
      </c>
      <c r="CL835" s="209">
        <v>3</v>
      </c>
      <c r="CM835" s="201">
        <v>41810</v>
      </c>
    </row>
    <row r="836" spans="1:91" ht="15">
      <c r="A836" s="152" t="s">
        <v>8078</v>
      </c>
      <c r="B836" s="110" t="s">
        <v>235</v>
      </c>
      <c r="C836" s="110" t="s">
        <v>8081</v>
      </c>
      <c r="D836" s="110">
        <v>11315</v>
      </c>
      <c r="E836" s="111">
        <v>10</v>
      </c>
      <c r="F836" s="111">
        <v>585</v>
      </c>
      <c r="K836" s="134">
        <v>5</v>
      </c>
      <c r="L836" s="151">
        <v>41701</v>
      </c>
      <c r="M836" s="169">
        <v>5.4</v>
      </c>
      <c r="N836" s="151">
        <v>41838</v>
      </c>
      <c r="Q836" s="497"/>
      <c r="S836" s="134">
        <v>19.03</v>
      </c>
      <c r="T836" s="151">
        <v>41842</v>
      </c>
      <c r="U836" s="134">
        <v>13.5</v>
      </c>
      <c r="V836" s="151">
        <v>41838</v>
      </c>
      <c r="W836" s="196">
        <v>9</v>
      </c>
      <c r="X836" s="151">
        <v>41829</v>
      </c>
      <c r="Y836" s="134">
        <f t="shared" si="13"/>
        <v>5.165</v>
      </c>
      <c r="AC836" s="134">
        <v>40</v>
      </c>
      <c r="AD836" s="151">
        <v>41838</v>
      </c>
      <c r="AE836" s="134">
        <v>41.32</v>
      </c>
      <c r="AF836" s="151">
        <v>41838</v>
      </c>
      <c r="AG836" s="197">
        <v>4.7</v>
      </c>
      <c r="AH836" s="151">
        <v>41843</v>
      </c>
      <c r="AI836" s="198">
        <v>5</v>
      </c>
      <c r="AJ836" s="151">
        <v>41778</v>
      </c>
      <c r="AK836" s="199">
        <v>5</v>
      </c>
      <c r="AL836" s="151">
        <v>41709</v>
      </c>
      <c r="BE836" s="200">
        <v>5</v>
      </c>
      <c r="BF836" s="201">
        <v>41555</v>
      </c>
      <c r="BG836" s="203">
        <v>-5.3</v>
      </c>
      <c r="BH836" s="151">
        <v>41842</v>
      </c>
      <c r="BM836" s="204">
        <v>66.5</v>
      </c>
      <c r="BN836" s="151">
        <v>41842</v>
      </c>
      <c r="BQ836" s="205">
        <v>9.1999999999999993</v>
      </c>
      <c r="BR836" s="151">
        <v>41842</v>
      </c>
      <c r="BS836" s="206">
        <v>46.1</v>
      </c>
      <c r="BT836" s="151">
        <v>41842</v>
      </c>
      <c r="BU836" s="207">
        <v>12.5</v>
      </c>
      <c r="BV836" s="151">
        <v>41842</v>
      </c>
      <c r="BW836" s="206">
        <v>15.2</v>
      </c>
      <c r="BX836" s="151">
        <v>41842</v>
      </c>
      <c r="BY836" s="210">
        <v>7.32</v>
      </c>
      <c r="BZ836" s="151">
        <v>41842</v>
      </c>
      <c r="CA836" s="206">
        <v>27.9</v>
      </c>
      <c r="CB836" s="151">
        <v>41842</v>
      </c>
      <c r="CC836" s="208">
        <v>6</v>
      </c>
      <c r="CD836" s="151">
        <v>41838</v>
      </c>
      <c r="CL836" s="209">
        <v>3</v>
      </c>
      <c r="CM836" s="201">
        <v>41810</v>
      </c>
    </row>
    <row r="837" spans="1:91" ht="15">
      <c r="A837" s="152" t="s">
        <v>8078</v>
      </c>
      <c r="B837" s="110" t="s">
        <v>233</v>
      </c>
      <c r="C837" s="110" t="s">
        <v>8083</v>
      </c>
      <c r="D837" s="110">
        <v>11763</v>
      </c>
      <c r="E837" s="111">
        <v>11</v>
      </c>
      <c r="F837" s="111">
        <v>653</v>
      </c>
      <c r="K837" s="134">
        <v>5</v>
      </c>
      <c r="L837" s="151">
        <v>41701</v>
      </c>
      <c r="M837" s="169">
        <v>4.8499999999999996</v>
      </c>
      <c r="N837" s="151">
        <v>41838</v>
      </c>
      <c r="Q837" s="497"/>
      <c r="S837" s="134">
        <v>17.59</v>
      </c>
      <c r="T837" s="151">
        <v>41842</v>
      </c>
      <c r="U837" s="134">
        <v>13.5</v>
      </c>
      <c r="V837" s="151">
        <v>41838</v>
      </c>
      <c r="W837" s="196">
        <v>9</v>
      </c>
      <c r="X837" s="151">
        <v>41829</v>
      </c>
      <c r="Y837" s="134">
        <f t="shared" si="13"/>
        <v>4.6487499999999997</v>
      </c>
      <c r="AC837" s="134">
        <v>35.93</v>
      </c>
      <c r="AD837" s="151">
        <v>41838</v>
      </c>
      <c r="AE837" s="134">
        <v>37.19</v>
      </c>
      <c r="AF837" s="151">
        <v>41838</v>
      </c>
      <c r="AG837" s="197">
        <v>5.0999999999999996</v>
      </c>
      <c r="AH837" s="151">
        <v>41843</v>
      </c>
      <c r="AI837" s="198">
        <v>5</v>
      </c>
      <c r="AJ837" s="151">
        <v>41778</v>
      </c>
      <c r="AK837" s="199">
        <v>5</v>
      </c>
      <c r="AL837" s="151">
        <v>41709</v>
      </c>
      <c r="BE837" s="200">
        <v>5</v>
      </c>
      <c r="BF837" s="201">
        <v>41555</v>
      </c>
      <c r="BG837" s="203">
        <v>-5.8</v>
      </c>
      <c r="BH837" s="151">
        <v>41842</v>
      </c>
      <c r="BM837" s="204">
        <v>66.099999999999994</v>
      </c>
      <c r="BN837" s="151">
        <v>41842</v>
      </c>
      <c r="BQ837" s="205">
        <v>10.4</v>
      </c>
      <c r="BR837" s="151">
        <v>41842</v>
      </c>
      <c r="BS837" s="206">
        <v>47.3</v>
      </c>
      <c r="BT837" s="151">
        <v>41842</v>
      </c>
      <c r="BU837" s="207">
        <v>12.5</v>
      </c>
      <c r="BV837" s="151">
        <v>41842</v>
      </c>
      <c r="BW837" s="206">
        <v>13.8</v>
      </c>
      <c r="BX837" s="151">
        <v>41842</v>
      </c>
      <c r="BY837" s="210">
        <v>6.99</v>
      </c>
      <c r="BZ837" s="151">
        <v>41842</v>
      </c>
      <c r="CA837" s="206">
        <v>28.5</v>
      </c>
      <c r="CB837" s="151">
        <v>41842</v>
      </c>
      <c r="CC837" s="208">
        <v>5.8</v>
      </c>
      <c r="CD837" s="151">
        <v>41838</v>
      </c>
      <c r="CL837" s="209">
        <v>3</v>
      </c>
      <c r="CM837" s="201">
        <v>41810</v>
      </c>
    </row>
    <row r="838" spans="1:91" ht="15">
      <c r="A838" s="152" t="s">
        <v>8079</v>
      </c>
      <c r="B838" s="110" t="s">
        <v>233</v>
      </c>
      <c r="C838" s="110" t="s">
        <v>381</v>
      </c>
      <c r="D838" s="110">
        <v>10998</v>
      </c>
      <c r="E838" s="111">
        <v>1</v>
      </c>
      <c r="F838" s="111">
        <v>613</v>
      </c>
      <c r="I838" s="373">
        <v>44</v>
      </c>
      <c r="J838" s="195">
        <v>41701</v>
      </c>
      <c r="K838" s="194">
        <v>5</v>
      </c>
      <c r="L838" s="151">
        <v>41701</v>
      </c>
      <c r="M838" s="169">
        <v>4.1500000000000004</v>
      </c>
      <c r="N838" s="151">
        <v>41838</v>
      </c>
      <c r="Q838" s="497"/>
      <c r="S838" s="134">
        <v>14.83</v>
      </c>
      <c r="T838" s="151">
        <v>41842</v>
      </c>
      <c r="U838" s="194">
        <v>13.5</v>
      </c>
      <c r="V838" s="151">
        <v>41838</v>
      </c>
      <c r="W838" s="196">
        <v>9</v>
      </c>
      <c r="X838" s="151">
        <v>41829</v>
      </c>
      <c r="Y838" s="134">
        <f t="shared" si="13"/>
        <v>4.3951799999999999</v>
      </c>
      <c r="AA838" s="194"/>
      <c r="AC838" s="194">
        <v>30.74</v>
      </c>
      <c r="AD838" s="151">
        <v>41838</v>
      </c>
      <c r="AE838" s="137">
        <v>31.62</v>
      </c>
      <c r="AF838" s="151">
        <v>41838</v>
      </c>
      <c r="AG838" s="197">
        <v>4.7</v>
      </c>
      <c r="AH838" s="151">
        <v>41843</v>
      </c>
      <c r="AI838" s="198">
        <v>5</v>
      </c>
      <c r="AJ838" s="151">
        <v>41778</v>
      </c>
      <c r="AK838" s="199">
        <v>5</v>
      </c>
      <c r="AL838" s="151">
        <v>41709</v>
      </c>
      <c r="AM838" s="194"/>
      <c r="BE838" s="200">
        <v>5</v>
      </c>
      <c r="BF838" s="201">
        <v>41555</v>
      </c>
      <c r="BG838" s="203">
        <v>-1.8</v>
      </c>
      <c r="BH838" s="151">
        <v>41842</v>
      </c>
      <c r="BM838" s="204">
        <v>64.3</v>
      </c>
      <c r="BN838" s="151">
        <v>41842</v>
      </c>
      <c r="BQ838" s="205">
        <v>11.1</v>
      </c>
      <c r="BR838" s="151">
        <v>41842</v>
      </c>
      <c r="BS838" s="206">
        <v>46.9</v>
      </c>
      <c r="BT838" s="151">
        <v>41842</v>
      </c>
      <c r="BU838" s="207">
        <v>13.9</v>
      </c>
      <c r="BV838" s="151">
        <v>41842</v>
      </c>
      <c r="BW838" s="206">
        <v>21.5</v>
      </c>
      <c r="BX838" s="151">
        <v>41842</v>
      </c>
      <c r="BY838" s="210">
        <v>6.82</v>
      </c>
      <c r="BZ838" s="151">
        <v>41842</v>
      </c>
      <c r="CA838" s="206">
        <v>31.5</v>
      </c>
      <c r="CB838" s="151">
        <v>41842</v>
      </c>
      <c r="CC838" s="208">
        <v>6.4</v>
      </c>
      <c r="CD838" s="151">
        <v>41838</v>
      </c>
      <c r="CL838" s="209">
        <v>3</v>
      </c>
      <c r="CM838" s="201">
        <v>41810</v>
      </c>
    </row>
    <row r="839" spans="1:91" ht="15">
      <c r="A839" s="152" t="s">
        <v>8079</v>
      </c>
      <c r="B839" s="110" t="s">
        <v>235</v>
      </c>
      <c r="C839" s="110" t="s">
        <v>8082</v>
      </c>
      <c r="D839" s="110">
        <v>11399</v>
      </c>
      <c r="E839" s="111">
        <v>1</v>
      </c>
      <c r="F839" s="111">
        <v>637</v>
      </c>
      <c r="I839" s="373"/>
      <c r="K839" s="194">
        <v>5</v>
      </c>
      <c r="L839" s="151">
        <v>41701</v>
      </c>
      <c r="M839" s="169">
        <v>5.25</v>
      </c>
      <c r="N839" s="151">
        <v>41838</v>
      </c>
      <c r="Q839" s="497"/>
      <c r="S839" s="134">
        <v>18.739999999999998</v>
      </c>
      <c r="T839" s="151">
        <v>41842</v>
      </c>
      <c r="U839" s="194">
        <v>13.5</v>
      </c>
      <c r="V839" s="151">
        <v>41838</v>
      </c>
      <c r="W839" s="196">
        <v>9</v>
      </c>
      <c r="X839" s="151">
        <v>41829</v>
      </c>
      <c r="Y839" s="134">
        <f t="shared" si="13"/>
        <v>5.6879400000000002</v>
      </c>
      <c r="AA839" s="194"/>
      <c r="AC839" s="194">
        <v>38.89</v>
      </c>
      <c r="AD839" s="151">
        <v>41838</v>
      </c>
      <c r="AE839" s="137">
        <v>40.340000000000003</v>
      </c>
      <c r="AF839" s="151">
        <v>41838</v>
      </c>
      <c r="AG839" s="197">
        <v>4.5</v>
      </c>
      <c r="AH839" s="151">
        <v>41843</v>
      </c>
      <c r="AI839" s="198">
        <v>5</v>
      </c>
      <c r="AJ839" s="151">
        <v>41778</v>
      </c>
      <c r="AK839" s="199">
        <v>5</v>
      </c>
      <c r="AL839" s="151">
        <v>41709</v>
      </c>
      <c r="AM839" s="194"/>
      <c r="BE839" s="200">
        <v>5</v>
      </c>
      <c r="BF839" s="201">
        <v>41555</v>
      </c>
      <c r="BG839" s="203">
        <v>-1.7</v>
      </c>
      <c r="BH839" s="151">
        <v>41842</v>
      </c>
      <c r="BM839" s="204">
        <v>62.6</v>
      </c>
      <c r="BN839" s="151">
        <v>41842</v>
      </c>
      <c r="BQ839" s="205">
        <v>11</v>
      </c>
      <c r="BR839" s="151">
        <v>41842</v>
      </c>
      <c r="BS839" s="206">
        <v>46.5</v>
      </c>
      <c r="BT839" s="151">
        <v>41842</v>
      </c>
      <c r="BU839" s="207">
        <v>14.1</v>
      </c>
      <c r="BV839" s="151">
        <v>41842</v>
      </c>
      <c r="BW839" s="206">
        <v>19.100000000000001</v>
      </c>
      <c r="BX839" s="151">
        <v>41842</v>
      </c>
      <c r="BY839" s="210">
        <v>7.26</v>
      </c>
      <c r="BZ839" s="151">
        <v>41842</v>
      </c>
      <c r="CA839" s="206">
        <v>31.6</v>
      </c>
      <c r="CB839" s="151">
        <v>41842</v>
      </c>
      <c r="CC839" s="208">
        <v>5.6</v>
      </c>
      <c r="CD839" s="151">
        <v>41838</v>
      </c>
      <c r="CL839" s="209">
        <v>5</v>
      </c>
      <c r="CM839" s="201">
        <v>41810</v>
      </c>
    </row>
    <row r="840" spans="1:91" ht="15">
      <c r="A840" s="152" t="s">
        <v>8079</v>
      </c>
      <c r="B840" s="110" t="s">
        <v>233</v>
      </c>
      <c r="C840" s="110" t="s">
        <v>381</v>
      </c>
      <c r="D840" s="110">
        <v>11009</v>
      </c>
      <c r="E840" s="111">
        <v>2</v>
      </c>
      <c r="F840" s="111">
        <v>513</v>
      </c>
      <c r="I840" s="373"/>
      <c r="K840" s="194">
        <v>5</v>
      </c>
      <c r="L840" s="151">
        <v>41701</v>
      </c>
      <c r="M840" s="169">
        <v>4.05</v>
      </c>
      <c r="N840" s="151">
        <v>41838</v>
      </c>
      <c r="Q840" s="497"/>
      <c r="S840" s="134">
        <v>14.64</v>
      </c>
      <c r="T840" s="151">
        <v>41842</v>
      </c>
      <c r="U840" s="194">
        <v>13.5</v>
      </c>
      <c r="V840" s="151">
        <v>41838</v>
      </c>
      <c r="W840" s="196">
        <v>9</v>
      </c>
      <c r="X840" s="151">
        <v>41829</v>
      </c>
      <c r="Y840" s="134">
        <f t="shared" si="13"/>
        <v>4.0906799999999999</v>
      </c>
      <c r="AA840" s="194"/>
      <c r="AC840" s="194">
        <v>30</v>
      </c>
      <c r="AD840" s="151">
        <v>41838</v>
      </c>
      <c r="AE840" s="137">
        <v>30.99</v>
      </c>
      <c r="AF840" s="151">
        <v>41838</v>
      </c>
      <c r="AG840" s="197">
        <v>4.7</v>
      </c>
      <c r="AH840" s="151">
        <v>41843</v>
      </c>
      <c r="AI840" s="198">
        <v>5</v>
      </c>
      <c r="AJ840" s="151">
        <v>41778</v>
      </c>
      <c r="AK840" s="199">
        <v>7</v>
      </c>
      <c r="AL840" s="151">
        <v>41709</v>
      </c>
      <c r="AM840" s="194"/>
      <c r="BE840" s="200">
        <v>7</v>
      </c>
      <c r="BF840" s="201">
        <v>41555</v>
      </c>
      <c r="BG840" s="203">
        <v>-1.3</v>
      </c>
      <c r="BH840" s="151">
        <v>41842</v>
      </c>
      <c r="BM840" s="204">
        <v>64.3</v>
      </c>
      <c r="BN840" s="151">
        <v>41842</v>
      </c>
      <c r="BQ840" s="205">
        <v>10.6</v>
      </c>
      <c r="BR840" s="151">
        <v>41842</v>
      </c>
      <c r="BS840" s="206">
        <v>47.2</v>
      </c>
      <c r="BT840" s="151">
        <v>41842</v>
      </c>
      <c r="BU840" s="207">
        <v>13.2</v>
      </c>
      <c r="BV840" s="151">
        <v>41842</v>
      </c>
      <c r="BW840" s="206">
        <v>19.2</v>
      </c>
      <c r="BX840" s="151">
        <v>41842</v>
      </c>
      <c r="BY840" s="210">
        <v>6.9</v>
      </c>
      <c r="BZ840" s="151">
        <v>41842</v>
      </c>
      <c r="CA840" s="206">
        <v>30.2</v>
      </c>
      <c r="CB840" s="151">
        <v>41842</v>
      </c>
      <c r="CC840" s="208">
        <v>6</v>
      </c>
      <c r="CD840" s="151">
        <v>41838</v>
      </c>
      <c r="CL840" s="209">
        <v>5</v>
      </c>
      <c r="CM840" s="201">
        <v>41810</v>
      </c>
    </row>
    <row r="841" spans="1:91" ht="15">
      <c r="A841" s="152" t="s">
        <v>8079</v>
      </c>
      <c r="B841" s="110" t="s">
        <v>233</v>
      </c>
      <c r="C841" s="110" t="s">
        <v>381</v>
      </c>
      <c r="D841" s="110">
        <v>11034</v>
      </c>
      <c r="E841" s="111">
        <v>2</v>
      </c>
      <c r="F841" s="111">
        <v>613</v>
      </c>
      <c r="K841" s="134">
        <v>5</v>
      </c>
      <c r="L841" s="151">
        <v>41701</v>
      </c>
      <c r="M841" s="169">
        <v>3.7</v>
      </c>
      <c r="N841" s="151">
        <v>41838</v>
      </c>
      <c r="Q841" s="497"/>
      <c r="S841" s="134">
        <v>13.36</v>
      </c>
      <c r="T841" s="151">
        <v>41842</v>
      </c>
      <c r="U841" s="134">
        <v>13.5</v>
      </c>
      <c r="V841" s="151">
        <v>41838</v>
      </c>
      <c r="W841" s="196">
        <v>9</v>
      </c>
      <c r="X841" s="151">
        <v>41829</v>
      </c>
      <c r="Y841" s="134">
        <f t="shared" si="13"/>
        <v>3.64425</v>
      </c>
      <c r="AC841" s="134">
        <v>27.41</v>
      </c>
      <c r="AD841" s="151">
        <v>41838</v>
      </c>
      <c r="AE841" s="134">
        <v>28.25</v>
      </c>
      <c r="AF841" s="151">
        <v>41838</v>
      </c>
      <c r="AG841" s="197">
        <v>4.7</v>
      </c>
      <c r="AH841" s="151">
        <v>41843</v>
      </c>
      <c r="AI841" s="198">
        <v>5</v>
      </c>
      <c r="AJ841" s="151">
        <v>41778</v>
      </c>
      <c r="AK841" s="199">
        <v>7</v>
      </c>
      <c r="AL841" s="151">
        <v>41709</v>
      </c>
      <c r="BE841" s="200">
        <v>7</v>
      </c>
      <c r="BF841" s="201">
        <v>41555</v>
      </c>
      <c r="BG841" s="203">
        <v>0.6</v>
      </c>
      <c r="BH841" s="151">
        <v>41842</v>
      </c>
      <c r="BM841" s="204">
        <v>64.900000000000006</v>
      </c>
      <c r="BN841" s="151">
        <v>41842</v>
      </c>
      <c r="BQ841" s="205">
        <v>10.7</v>
      </c>
      <c r="BR841" s="151">
        <v>41842</v>
      </c>
      <c r="BS841" s="206">
        <v>47.3</v>
      </c>
      <c r="BT841" s="151">
        <v>41842</v>
      </c>
      <c r="BU841" s="207">
        <v>12.9</v>
      </c>
      <c r="BV841" s="151">
        <v>41842</v>
      </c>
      <c r="BW841" s="206">
        <v>20.3</v>
      </c>
      <c r="BX841" s="151">
        <v>41842</v>
      </c>
      <c r="BY841" s="210">
        <v>6.52</v>
      </c>
      <c r="BZ841" s="151">
        <v>41842</v>
      </c>
      <c r="CA841" s="206">
        <v>29.6</v>
      </c>
      <c r="CB841" s="151">
        <v>41842</v>
      </c>
      <c r="CC841" s="208">
        <v>6.2</v>
      </c>
      <c r="CD841" s="151">
        <v>41838</v>
      </c>
      <c r="CL841" s="209">
        <v>3</v>
      </c>
      <c r="CM841" s="201">
        <v>41810</v>
      </c>
    </row>
    <row r="842" spans="1:91" ht="15">
      <c r="A842" s="152" t="s">
        <v>8079</v>
      </c>
      <c r="B842" s="110" t="s">
        <v>233</v>
      </c>
      <c r="C842" s="110" t="s">
        <v>381</v>
      </c>
      <c r="D842" s="110">
        <v>11036</v>
      </c>
      <c r="E842" s="111">
        <v>3</v>
      </c>
      <c r="F842" s="111">
        <v>477</v>
      </c>
      <c r="K842" s="134">
        <v>5</v>
      </c>
      <c r="L842" s="151">
        <v>41701</v>
      </c>
      <c r="M842" s="169">
        <v>4.45</v>
      </c>
      <c r="N842" s="151">
        <v>41838</v>
      </c>
      <c r="Q842" s="497"/>
      <c r="S842" s="134">
        <v>16.13</v>
      </c>
      <c r="T842" s="151">
        <v>41842</v>
      </c>
      <c r="U842" s="134">
        <v>13.5</v>
      </c>
      <c r="V842" s="151">
        <v>41838</v>
      </c>
      <c r="W842" s="196">
        <v>1</v>
      </c>
      <c r="X842" s="151">
        <v>41829</v>
      </c>
      <c r="Y842" s="134">
        <f t="shared" si="13"/>
        <v>4.3834200000000001</v>
      </c>
      <c r="AC842" s="134">
        <v>32.96</v>
      </c>
      <c r="AD842" s="151">
        <v>41838</v>
      </c>
      <c r="AE842" s="134">
        <v>33.979999999999997</v>
      </c>
      <c r="AF842" s="151">
        <v>41838</v>
      </c>
      <c r="AG842" s="197">
        <v>4.7</v>
      </c>
      <c r="AH842" s="151">
        <v>41843</v>
      </c>
      <c r="AI842" s="198">
        <v>5</v>
      </c>
      <c r="AJ842" s="151">
        <v>41778</v>
      </c>
      <c r="AK842" s="199">
        <v>7</v>
      </c>
      <c r="AL842" s="151">
        <v>41709</v>
      </c>
      <c r="BE842" s="200">
        <v>7</v>
      </c>
      <c r="BF842" s="201">
        <v>41555</v>
      </c>
      <c r="BG842" s="203">
        <v>-1.9</v>
      </c>
      <c r="BH842" s="151">
        <v>41842</v>
      </c>
      <c r="BM842" s="204">
        <v>64.3</v>
      </c>
      <c r="BN842" s="151">
        <v>41842</v>
      </c>
      <c r="BQ842" s="205">
        <v>11.1</v>
      </c>
      <c r="BR842" s="151">
        <v>41842</v>
      </c>
      <c r="BS842" s="206">
        <v>47.5</v>
      </c>
      <c r="BT842" s="151">
        <v>41842</v>
      </c>
      <c r="BU842" s="207">
        <v>12.9</v>
      </c>
      <c r="BV842" s="151">
        <v>41842</v>
      </c>
      <c r="BW842" s="206">
        <v>17.2</v>
      </c>
      <c r="BX842" s="151">
        <v>41842</v>
      </c>
      <c r="BY842" s="210">
        <v>6.98</v>
      </c>
      <c r="BZ842" s="151">
        <v>41842</v>
      </c>
      <c r="CA842" s="206">
        <v>29.7</v>
      </c>
      <c r="CB842" s="151">
        <v>41842</v>
      </c>
      <c r="CC842" s="208">
        <v>6.2</v>
      </c>
      <c r="CD842" s="151">
        <v>41838</v>
      </c>
      <c r="CL842" s="209">
        <v>5</v>
      </c>
      <c r="CM842" s="201">
        <v>41810</v>
      </c>
    </row>
    <row r="843" spans="1:91" ht="15">
      <c r="A843" s="152" t="s">
        <v>8079</v>
      </c>
      <c r="B843" s="110" t="s">
        <v>235</v>
      </c>
      <c r="C843" s="110" t="s">
        <v>8082</v>
      </c>
      <c r="D843" s="110">
        <v>11491</v>
      </c>
      <c r="E843" s="111">
        <v>3</v>
      </c>
      <c r="F843" s="111">
        <v>717</v>
      </c>
      <c r="K843" s="134">
        <v>5</v>
      </c>
      <c r="L843" s="151">
        <v>41701</v>
      </c>
      <c r="M843" s="169">
        <v>5.65</v>
      </c>
      <c r="N843" s="151">
        <v>41838</v>
      </c>
      <c r="Q843" s="497"/>
      <c r="S843" s="134">
        <v>20.420000000000002</v>
      </c>
      <c r="T843" s="151">
        <v>41842</v>
      </c>
      <c r="U843" s="134">
        <v>13.5</v>
      </c>
      <c r="V843" s="151">
        <v>41838</v>
      </c>
      <c r="W843" s="196">
        <v>9</v>
      </c>
      <c r="X843" s="151">
        <v>41829</v>
      </c>
      <c r="Y843" s="134">
        <f t="shared" si="13"/>
        <v>5.6578900000000001</v>
      </c>
      <c r="AC843" s="134">
        <v>41.85</v>
      </c>
      <c r="AD843" s="151">
        <v>41838</v>
      </c>
      <c r="AE843" s="134">
        <v>43.19</v>
      </c>
      <c r="AF843" s="151">
        <v>41838</v>
      </c>
      <c r="AG843" s="197">
        <v>4.5</v>
      </c>
      <c r="AH843" s="151">
        <v>41843</v>
      </c>
      <c r="AI843" s="198">
        <v>7</v>
      </c>
      <c r="AJ843" s="151">
        <v>41778</v>
      </c>
      <c r="AK843" s="199">
        <v>7</v>
      </c>
      <c r="AL843" s="151">
        <v>41709</v>
      </c>
      <c r="BE843" s="200">
        <v>7</v>
      </c>
      <c r="BF843" s="201">
        <v>41555</v>
      </c>
      <c r="BG843" s="203">
        <v>-2.9</v>
      </c>
      <c r="BH843" s="151">
        <v>41842</v>
      </c>
      <c r="BM843" s="204">
        <v>64</v>
      </c>
      <c r="BN843" s="151">
        <v>41842</v>
      </c>
      <c r="BQ843" s="205">
        <v>11</v>
      </c>
      <c r="BR843" s="151">
        <v>41842</v>
      </c>
      <c r="BS843" s="206">
        <v>47.3</v>
      </c>
      <c r="BT843" s="151">
        <v>41842</v>
      </c>
      <c r="BU843" s="207">
        <v>13.1</v>
      </c>
      <c r="BV843" s="151">
        <v>41842</v>
      </c>
      <c r="BW843" s="206">
        <v>15.8</v>
      </c>
      <c r="BX843" s="151">
        <v>41842</v>
      </c>
      <c r="BY843" s="210">
        <v>7.17</v>
      </c>
      <c r="BZ843" s="151">
        <v>41842</v>
      </c>
      <c r="CA843" s="206">
        <v>29.9</v>
      </c>
      <c r="CB843" s="151">
        <v>41842</v>
      </c>
      <c r="CC843" s="208">
        <v>6.1</v>
      </c>
      <c r="CD843" s="151">
        <v>41838</v>
      </c>
      <c r="CL843" s="209">
        <v>3</v>
      </c>
      <c r="CM843" s="201">
        <v>41810</v>
      </c>
    </row>
    <row r="844" spans="1:91" ht="15">
      <c r="A844" s="152" t="s">
        <v>8079</v>
      </c>
      <c r="B844" s="110" t="s">
        <v>235</v>
      </c>
      <c r="C844" s="110" t="s">
        <v>8082</v>
      </c>
      <c r="D844" s="110">
        <v>11495</v>
      </c>
      <c r="E844" s="111">
        <v>3</v>
      </c>
      <c r="F844" s="111">
        <v>733</v>
      </c>
      <c r="I844" s="110">
        <v>25</v>
      </c>
      <c r="J844" s="195">
        <v>41701</v>
      </c>
      <c r="K844" s="134">
        <v>5</v>
      </c>
      <c r="L844" s="151">
        <v>41701</v>
      </c>
      <c r="M844" s="169">
        <v>4.9000000000000004</v>
      </c>
      <c r="N844" s="151">
        <v>41838</v>
      </c>
      <c r="Q844" s="497"/>
      <c r="S844" s="134">
        <v>17.510000000000002</v>
      </c>
      <c r="T844" s="151">
        <v>41842</v>
      </c>
      <c r="U844" s="134">
        <v>13.5</v>
      </c>
      <c r="V844" s="151">
        <v>41838</v>
      </c>
      <c r="W844" s="196">
        <v>9</v>
      </c>
      <c r="X844" s="151">
        <v>41829</v>
      </c>
      <c r="Y844" s="134">
        <f t="shared" si="13"/>
        <v>4.9169999999999998</v>
      </c>
      <c r="AC844" s="134">
        <v>36.299999999999997</v>
      </c>
      <c r="AD844" s="151">
        <v>41838</v>
      </c>
      <c r="AE844" s="134">
        <v>37.25</v>
      </c>
      <c r="AF844" s="151">
        <v>41838</v>
      </c>
      <c r="AG844" s="197">
        <v>4.5999999999999996</v>
      </c>
      <c r="AH844" s="151">
        <v>41843</v>
      </c>
      <c r="AI844" s="198">
        <v>5</v>
      </c>
      <c r="AJ844" s="151">
        <v>41778</v>
      </c>
      <c r="AK844" s="199">
        <v>7</v>
      </c>
      <c r="AL844" s="151">
        <v>41709</v>
      </c>
      <c r="BE844" s="200">
        <v>7</v>
      </c>
      <c r="BF844" s="201">
        <v>41555</v>
      </c>
      <c r="BG844" s="203">
        <v>-5.3</v>
      </c>
      <c r="BH844" s="151">
        <v>41842</v>
      </c>
      <c r="BM844" s="204">
        <v>62.3</v>
      </c>
      <c r="BN844" s="151">
        <v>41842</v>
      </c>
      <c r="BQ844" s="205">
        <v>11.2</v>
      </c>
      <c r="BR844" s="151">
        <v>41842</v>
      </c>
      <c r="BS844" s="206">
        <v>47</v>
      </c>
      <c r="BT844" s="151">
        <v>41842</v>
      </c>
      <c r="BU844" s="207">
        <v>13.2</v>
      </c>
      <c r="BV844" s="151">
        <v>41842</v>
      </c>
      <c r="BW844" s="206">
        <v>16.8</v>
      </c>
      <c r="BX844" s="151">
        <v>41842</v>
      </c>
      <c r="BY844" s="210">
        <v>7.71</v>
      </c>
      <c r="BZ844" s="151">
        <v>41842</v>
      </c>
      <c r="CA844" s="206">
        <v>30.1</v>
      </c>
      <c r="CB844" s="151">
        <v>41842</v>
      </c>
      <c r="CC844" s="208">
        <v>6.6</v>
      </c>
      <c r="CD844" s="151">
        <v>41838</v>
      </c>
      <c r="CL844" s="209">
        <v>3</v>
      </c>
      <c r="CM844" s="201">
        <v>41810</v>
      </c>
    </row>
    <row r="845" spans="1:91" ht="15">
      <c r="A845" s="152" t="s">
        <v>8079</v>
      </c>
      <c r="B845" s="110" t="s">
        <v>235</v>
      </c>
      <c r="C845" s="110" t="s">
        <v>8082</v>
      </c>
      <c r="D845" s="110">
        <v>11514</v>
      </c>
      <c r="E845" s="111">
        <v>4</v>
      </c>
      <c r="F845" s="111">
        <v>665</v>
      </c>
      <c r="K845" s="134">
        <v>5</v>
      </c>
      <c r="L845" s="151">
        <v>41701</v>
      </c>
      <c r="M845" s="169">
        <v>5.7</v>
      </c>
      <c r="N845" s="151">
        <v>41838</v>
      </c>
      <c r="Q845" s="497"/>
      <c r="S845" s="134">
        <v>20.5</v>
      </c>
      <c r="T845" s="151">
        <v>41842</v>
      </c>
      <c r="U845" s="134">
        <v>13.5</v>
      </c>
      <c r="V845" s="151">
        <v>41838</v>
      </c>
      <c r="W845" s="196">
        <v>1</v>
      </c>
      <c r="X845" s="151">
        <v>41829</v>
      </c>
      <c r="Y845" s="134">
        <f t="shared" si="13"/>
        <v>5.7260099999999996</v>
      </c>
      <c r="AC845" s="134">
        <v>42.22</v>
      </c>
      <c r="AD845" s="151">
        <v>41838</v>
      </c>
      <c r="AE845" s="134">
        <v>43.71</v>
      </c>
      <c r="AF845" s="151">
        <v>41838</v>
      </c>
      <c r="AG845" s="197">
        <v>4.5999999999999996</v>
      </c>
      <c r="AH845" s="151">
        <v>41843</v>
      </c>
      <c r="AI845" s="198">
        <v>5</v>
      </c>
      <c r="AJ845" s="151">
        <v>41778</v>
      </c>
      <c r="AK845" s="199">
        <v>7</v>
      </c>
      <c r="AL845" s="151">
        <v>41709</v>
      </c>
      <c r="BE845" s="200">
        <v>7</v>
      </c>
      <c r="BF845" s="201">
        <v>41555</v>
      </c>
      <c r="BG845" s="203">
        <v>-4.8</v>
      </c>
      <c r="BH845" s="151">
        <v>41842</v>
      </c>
      <c r="BM845" s="204">
        <v>62.7</v>
      </c>
      <c r="BN845" s="151">
        <v>41842</v>
      </c>
      <c r="BQ845" s="205">
        <v>11.1</v>
      </c>
      <c r="BR845" s="151">
        <v>41842</v>
      </c>
      <c r="BS845" s="206">
        <v>46.9</v>
      </c>
      <c r="BT845" s="151">
        <v>41842</v>
      </c>
      <c r="BU845" s="207">
        <v>13.1</v>
      </c>
      <c r="BV845" s="151">
        <v>41842</v>
      </c>
      <c r="BW845" s="206">
        <v>16.7</v>
      </c>
      <c r="BX845" s="151">
        <v>41842</v>
      </c>
      <c r="BY845" s="210">
        <v>7.32</v>
      </c>
      <c r="BZ845" s="151">
        <v>41842</v>
      </c>
      <c r="CA845" s="206">
        <v>29.8</v>
      </c>
      <c r="CB845" s="151">
        <v>41842</v>
      </c>
      <c r="CC845" s="208">
        <v>5.8</v>
      </c>
      <c r="CD845" s="151">
        <v>41838</v>
      </c>
      <c r="CL845" s="209">
        <v>3</v>
      </c>
      <c r="CM845" s="201">
        <v>41810</v>
      </c>
    </row>
    <row r="846" spans="1:91" ht="15">
      <c r="A846" s="152" t="s">
        <v>8079</v>
      </c>
      <c r="B846" s="110" t="s">
        <v>233</v>
      </c>
      <c r="C846" s="110" t="s">
        <v>381</v>
      </c>
      <c r="D846" s="110">
        <v>11112</v>
      </c>
      <c r="E846" s="111">
        <v>5</v>
      </c>
      <c r="F846" s="111">
        <v>493</v>
      </c>
      <c r="K846" s="134">
        <v>5</v>
      </c>
      <c r="L846" s="151">
        <v>41701</v>
      </c>
      <c r="M846" s="169">
        <v>4.0999999999999996</v>
      </c>
      <c r="N846" s="151">
        <v>41838</v>
      </c>
      <c r="Q846" s="497"/>
      <c r="S846" s="134">
        <v>14.8</v>
      </c>
      <c r="T846" s="151">
        <v>41842</v>
      </c>
      <c r="U846" s="134">
        <v>13.5</v>
      </c>
      <c r="V846" s="151">
        <v>41838</v>
      </c>
      <c r="W846" s="196">
        <v>9</v>
      </c>
      <c r="X846" s="151">
        <v>41829</v>
      </c>
      <c r="Y846" s="134">
        <f t="shared" si="13"/>
        <v>4.19956</v>
      </c>
      <c r="AC846" s="134">
        <v>30.37</v>
      </c>
      <c r="AD846" s="151">
        <v>41838</v>
      </c>
      <c r="AE846" s="134">
        <v>31.34</v>
      </c>
      <c r="AF846" s="151">
        <v>41838</v>
      </c>
      <c r="AG846" s="197">
        <v>4.8</v>
      </c>
      <c r="AH846" s="151">
        <v>41843</v>
      </c>
      <c r="AI846" s="198">
        <v>5</v>
      </c>
      <c r="AJ846" s="151">
        <v>41778</v>
      </c>
      <c r="AK846" s="199">
        <v>7</v>
      </c>
      <c r="AL846" s="151">
        <v>41709</v>
      </c>
      <c r="BE846" s="200">
        <v>7</v>
      </c>
      <c r="BF846" s="201">
        <v>41555</v>
      </c>
      <c r="BG846" s="203">
        <v>-1.7</v>
      </c>
      <c r="BH846" s="151">
        <v>41842</v>
      </c>
      <c r="BM846" s="204">
        <v>65.599999999999994</v>
      </c>
      <c r="BN846" s="151">
        <v>41842</v>
      </c>
      <c r="BQ846" s="205">
        <v>10.3</v>
      </c>
      <c r="BR846" s="151">
        <v>41842</v>
      </c>
      <c r="BS846" s="206">
        <v>47.2</v>
      </c>
      <c r="BT846" s="151">
        <v>41842</v>
      </c>
      <c r="BU846" s="207">
        <v>13.4</v>
      </c>
      <c r="BV846" s="151">
        <v>41842</v>
      </c>
      <c r="BW846" s="206">
        <v>18.7</v>
      </c>
      <c r="BX846" s="151">
        <v>41842</v>
      </c>
      <c r="BY846" s="210">
        <v>6.86</v>
      </c>
      <c r="BZ846" s="151">
        <v>41842</v>
      </c>
      <c r="CA846" s="206">
        <v>30.7</v>
      </c>
      <c r="CB846" s="151">
        <v>41842</v>
      </c>
      <c r="CC846" s="208">
        <v>6.1</v>
      </c>
      <c r="CD846" s="151">
        <v>41838</v>
      </c>
      <c r="CL846" s="209">
        <v>3</v>
      </c>
      <c r="CM846" s="201">
        <v>41810</v>
      </c>
    </row>
    <row r="847" spans="1:91" ht="15">
      <c r="A847" s="152" t="s">
        <v>8079</v>
      </c>
      <c r="B847" s="110" t="s">
        <v>235</v>
      </c>
      <c r="C847" s="110" t="s">
        <v>8082</v>
      </c>
      <c r="D847" s="110">
        <v>11541</v>
      </c>
      <c r="E847" s="111">
        <v>5</v>
      </c>
      <c r="F847" s="111">
        <v>629</v>
      </c>
      <c r="K847" s="134">
        <v>5</v>
      </c>
      <c r="L847" s="151">
        <v>41701</v>
      </c>
      <c r="M847" s="169">
        <v>5.55</v>
      </c>
      <c r="N847" s="151">
        <v>41838</v>
      </c>
      <c r="Q847" s="497"/>
      <c r="S847" s="134">
        <v>19.88</v>
      </c>
      <c r="T847" s="151">
        <v>41842</v>
      </c>
      <c r="U847" s="134">
        <v>13.5</v>
      </c>
      <c r="V847" s="151">
        <v>41838</v>
      </c>
      <c r="W847" s="196">
        <v>1</v>
      </c>
      <c r="X847" s="151">
        <v>41829</v>
      </c>
      <c r="Y847" s="134">
        <f t="shared" si="13"/>
        <v>5.8485299999999993</v>
      </c>
      <c r="AC847" s="134">
        <v>41.11</v>
      </c>
      <c r="AD847" s="151">
        <v>41838</v>
      </c>
      <c r="AE847" s="134">
        <v>42.69</v>
      </c>
      <c r="AF847" s="151">
        <v>41838</v>
      </c>
      <c r="AG847" s="197">
        <v>4.5999999999999996</v>
      </c>
      <c r="AH847" s="151">
        <v>41843</v>
      </c>
      <c r="AI847" s="198">
        <v>5</v>
      </c>
      <c r="AJ847" s="151">
        <v>41778</v>
      </c>
      <c r="AK847" s="199">
        <v>7</v>
      </c>
      <c r="AL847" s="151">
        <v>41709</v>
      </c>
      <c r="BE847" s="200">
        <v>7</v>
      </c>
      <c r="BF847" s="201">
        <v>41555</v>
      </c>
      <c r="BG847" s="203">
        <v>-4.4000000000000004</v>
      </c>
      <c r="BH847" s="151">
        <v>41842</v>
      </c>
      <c r="BM847" s="204">
        <v>63.4</v>
      </c>
      <c r="BN847" s="151">
        <v>41842</v>
      </c>
      <c r="BQ847" s="205">
        <v>10.6</v>
      </c>
      <c r="BR847" s="151">
        <v>41842</v>
      </c>
      <c r="BS847" s="206">
        <v>46.6</v>
      </c>
      <c r="BT847" s="151">
        <v>41842</v>
      </c>
      <c r="BU847" s="207">
        <v>13.7</v>
      </c>
      <c r="BV847" s="151">
        <v>41842</v>
      </c>
      <c r="BW847" s="206">
        <v>18.100000000000001</v>
      </c>
      <c r="BX847" s="151">
        <v>41842</v>
      </c>
      <c r="BY847" s="210">
        <v>7.23</v>
      </c>
      <c r="BZ847" s="151">
        <v>41842</v>
      </c>
      <c r="CA847" s="206">
        <v>30.7</v>
      </c>
      <c r="CB847" s="151">
        <v>41842</v>
      </c>
      <c r="CC847" s="208">
        <v>5.5</v>
      </c>
      <c r="CD847" s="151">
        <v>41838</v>
      </c>
      <c r="CL847" s="209">
        <v>3</v>
      </c>
      <c r="CM847" s="201">
        <v>41810</v>
      </c>
    </row>
    <row r="848" spans="1:91" ht="15">
      <c r="A848" s="152" t="s">
        <v>8079</v>
      </c>
      <c r="B848" s="110" t="s">
        <v>235</v>
      </c>
      <c r="C848" s="110" t="s">
        <v>8081</v>
      </c>
      <c r="D848" s="110">
        <v>11207</v>
      </c>
      <c r="E848" s="111">
        <v>7</v>
      </c>
      <c r="F848" s="111">
        <v>585</v>
      </c>
      <c r="K848" s="134">
        <v>5</v>
      </c>
      <c r="L848" s="151">
        <v>41701</v>
      </c>
      <c r="M848" s="169">
        <v>5.5</v>
      </c>
      <c r="N848" s="151">
        <v>41838</v>
      </c>
      <c r="Q848" s="497"/>
      <c r="S848" s="134">
        <v>19.98</v>
      </c>
      <c r="T848" s="151">
        <v>41842</v>
      </c>
      <c r="U848" s="134">
        <v>13.5</v>
      </c>
      <c r="V848" s="151">
        <v>41838</v>
      </c>
      <c r="W848" s="196">
        <v>1</v>
      </c>
      <c r="X848" s="151">
        <v>41829</v>
      </c>
      <c r="Y848" s="134">
        <f t="shared" si="13"/>
        <v>5.5730399999999998</v>
      </c>
      <c r="AC848" s="134">
        <v>40.74</v>
      </c>
      <c r="AD848" s="151">
        <v>41838</v>
      </c>
      <c r="AE848" s="134">
        <v>42.22</v>
      </c>
      <c r="AF848" s="151">
        <v>41838</v>
      </c>
      <c r="AG848" s="197">
        <v>4.4000000000000004</v>
      </c>
      <c r="AH848" s="151">
        <v>41843</v>
      </c>
      <c r="AI848" s="198">
        <v>5</v>
      </c>
      <c r="AJ848" s="151">
        <v>41778</v>
      </c>
      <c r="AK848" s="199">
        <v>7</v>
      </c>
      <c r="AL848" s="151">
        <v>41709</v>
      </c>
      <c r="BE848" s="200">
        <v>7</v>
      </c>
      <c r="BF848" s="201">
        <v>41555</v>
      </c>
      <c r="BG848" s="203">
        <v>-1</v>
      </c>
      <c r="BH848" s="151">
        <v>41842</v>
      </c>
      <c r="BM848" s="204">
        <v>64</v>
      </c>
      <c r="BN848" s="151">
        <v>41842</v>
      </c>
      <c r="BQ848" s="205">
        <v>10.7</v>
      </c>
      <c r="BR848" s="151">
        <v>41842</v>
      </c>
      <c r="BS848" s="206">
        <v>47.3</v>
      </c>
      <c r="BT848" s="151">
        <v>41842</v>
      </c>
      <c r="BU848" s="207">
        <v>13.2</v>
      </c>
      <c r="BV848" s="151">
        <v>41842</v>
      </c>
      <c r="BW848" s="206">
        <v>18.3</v>
      </c>
      <c r="BX848" s="151">
        <v>41842</v>
      </c>
      <c r="BY848" s="210">
        <v>7.25</v>
      </c>
      <c r="BZ848" s="151">
        <v>41842</v>
      </c>
      <c r="CA848" s="206">
        <v>30.2</v>
      </c>
      <c r="CB848" s="151">
        <v>41842</v>
      </c>
      <c r="CC848" s="208">
        <v>5.7</v>
      </c>
      <c r="CD848" s="151">
        <v>41838</v>
      </c>
      <c r="CL848" s="209">
        <v>3</v>
      </c>
      <c r="CM848" s="201">
        <v>41810</v>
      </c>
    </row>
    <row r="849" spans="1:91" ht="15">
      <c r="A849" s="152" t="s">
        <v>8079</v>
      </c>
      <c r="B849" s="110" t="s">
        <v>235</v>
      </c>
      <c r="C849" s="110" t="s">
        <v>8081</v>
      </c>
      <c r="D849" s="110">
        <v>11211</v>
      </c>
      <c r="E849" s="111">
        <v>7</v>
      </c>
      <c r="F849" s="111">
        <v>601</v>
      </c>
      <c r="K849" s="134">
        <v>5</v>
      </c>
      <c r="L849" s="151">
        <v>41701</v>
      </c>
      <c r="M849" s="169">
        <v>6</v>
      </c>
      <c r="N849" s="151">
        <v>41838</v>
      </c>
      <c r="Q849" s="497"/>
      <c r="S849" s="134">
        <v>21.6</v>
      </c>
      <c r="T849" s="151">
        <v>41842</v>
      </c>
      <c r="U849" s="134">
        <v>13.5</v>
      </c>
      <c r="V849" s="151">
        <v>41838</v>
      </c>
      <c r="W849" s="196">
        <v>9</v>
      </c>
      <c r="X849" s="151">
        <v>41829</v>
      </c>
      <c r="Y849" s="134">
        <f t="shared" si="13"/>
        <v>6.2046000000000001</v>
      </c>
      <c r="AC849" s="134">
        <v>44.44</v>
      </c>
      <c r="AD849" s="151">
        <v>41838</v>
      </c>
      <c r="AE849" s="134">
        <v>45.96</v>
      </c>
      <c r="AF849" s="151">
        <v>41838</v>
      </c>
      <c r="AG849" s="197">
        <v>4.5999999999999996</v>
      </c>
      <c r="AH849" s="151">
        <v>41843</v>
      </c>
      <c r="AI849" s="198">
        <v>5</v>
      </c>
      <c r="AJ849" s="151">
        <v>41778</v>
      </c>
      <c r="AK849" s="199">
        <v>7</v>
      </c>
      <c r="AL849" s="151">
        <v>41709</v>
      </c>
      <c r="BE849" s="200">
        <v>7</v>
      </c>
      <c r="BF849" s="201">
        <v>41555</v>
      </c>
      <c r="BG849" s="203">
        <v>-2.8</v>
      </c>
      <c r="BH849" s="151">
        <v>41842</v>
      </c>
      <c r="BM849" s="204">
        <v>63.8</v>
      </c>
      <c r="BN849" s="151">
        <v>41842</v>
      </c>
      <c r="BQ849" s="205">
        <v>10.9</v>
      </c>
      <c r="BR849" s="151">
        <v>41842</v>
      </c>
      <c r="BS849" s="206">
        <v>47</v>
      </c>
      <c r="BT849" s="151">
        <v>41842</v>
      </c>
      <c r="BU849" s="207">
        <v>13.5</v>
      </c>
      <c r="BV849" s="151">
        <v>41842</v>
      </c>
      <c r="BW849" s="206">
        <v>17.399999999999999</v>
      </c>
      <c r="BX849" s="151">
        <v>41842</v>
      </c>
      <c r="BY849" s="210">
        <v>7.24</v>
      </c>
      <c r="BZ849" s="151">
        <v>41842</v>
      </c>
      <c r="CA849" s="206">
        <v>30.7</v>
      </c>
      <c r="CB849" s="151">
        <v>41842</v>
      </c>
      <c r="CC849" s="208">
        <v>5.9</v>
      </c>
      <c r="CD849" s="151">
        <v>41838</v>
      </c>
      <c r="CL849" s="209">
        <v>3</v>
      </c>
      <c r="CM849" s="201">
        <v>41810</v>
      </c>
    </row>
    <row r="850" spans="1:91" ht="15">
      <c r="A850" s="152" t="s">
        <v>8079</v>
      </c>
      <c r="B850" s="110" t="s">
        <v>235</v>
      </c>
      <c r="C850" s="110" t="s">
        <v>8081</v>
      </c>
      <c r="D850" s="110">
        <v>11229</v>
      </c>
      <c r="E850" s="111">
        <v>8</v>
      </c>
      <c r="F850" s="111">
        <v>529</v>
      </c>
      <c r="I850" s="110">
        <v>25</v>
      </c>
      <c r="J850" s="195">
        <v>41701</v>
      </c>
      <c r="K850" s="134">
        <v>5</v>
      </c>
      <c r="L850" s="151">
        <v>41701</v>
      </c>
      <c r="M850" s="169">
        <v>5.2</v>
      </c>
      <c r="N850" s="151">
        <v>41838</v>
      </c>
      <c r="Q850" s="497"/>
      <c r="S850" s="134">
        <v>18.420000000000002</v>
      </c>
      <c r="T850" s="151">
        <v>41842</v>
      </c>
      <c r="U850" s="134">
        <v>13.5</v>
      </c>
      <c r="V850" s="151">
        <v>41838</v>
      </c>
      <c r="W850" s="196">
        <v>9</v>
      </c>
      <c r="X850" s="151">
        <v>41829</v>
      </c>
      <c r="Y850" s="134">
        <f t="shared" si="13"/>
        <v>5.8283199999999997</v>
      </c>
      <c r="AC850" s="134">
        <v>38.520000000000003</v>
      </c>
      <c r="AD850" s="151">
        <v>41838</v>
      </c>
      <c r="AE850" s="134">
        <v>39.92</v>
      </c>
      <c r="AF850" s="151">
        <v>41838</v>
      </c>
      <c r="AG850" s="197">
        <v>4.5999999999999996</v>
      </c>
      <c r="AH850" s="151">
        <v>41843</v>
      </c>
      <c r="AI850" s="198">
        <v>5</v>
      </c>
      <c r="AJ850" s="151">
        <v>41778</v>
      </c>
      <c r="AK850" s="199">
        <v>7</v>
      </c>
      <c r="AL850" s="151">
        <v>41709</v>
      </c>
      <c r="BE850" s="200">
        <v>7</v>
      </c>
      <c r="BF850" s="201">
        <v>41555</v>
      </c>
      <c r="BG850" s="203">
        <v>-2.2999999999999998</v>
      </c>
      <c r="BH850" s="151">
        <v>41842</v>
      </c>
      <c r="BM850" s="204">
        <v>63.5</v>
      </c>
      <c r="BN850" s="151">
        <v>41842</v>
      </c>
      <c r="BQ850" s="205">
        <v>11.3</v>
      </c>
      <c r="BR850" s="151">
        <v>41842</v>
      </c>
      <c r="BS850" s="206">
        <v>46.2</v>
      </c>
      <c r="BT850" s="151">
        <v>41842</v>
      </c>
      <c r="BU850" s="207">
        <v>14.6</v>
      </c>
      <c r="BV850" s="151">
        <v>41842</v>
      </c>
      <c r="BW850" s="206">
        <v>20.5</v>
      </c>
      <c r="BX850" s="151">
        <v>41842</v>
      </c>
      <c r="BY850" s="210">
        <v>7.28</v>
      </c>
      <c r="BZ850" s="151">
        <v>41842</v>
      </c>
      <c r="CA850" s="206">
        <v>32.5</v>
      </c>
      <c r="CB850" s="151">
        <v>41842</v>
      </c>
      <c r="CC850" s="208">
        <v>5.7</v>
      </c>
      <c r="CD850" s="151">
        <v>41838</v>
      </c>
      <c r="CL850" s="209">
        <v>3</v>
      </c>
      <c r="CM850" s="201">
        <v>41810</v>
      </c>
    </row>
    <row r="851" spans="1:91" ht="15">
      <c r="A851" s="152" t="s">
        <v>8079</v>
      </c>
      <c r="B851" s="110" t="s">
        <v>235</v>
      </c>
      <c r="C851" s="110" t="s">
        <v>8081</v>
      </c>
      <c r="D851" s="110">
        <v>11233</v>
      </c>
      <c r="E851" s="111">
        <v>8</v>
      </c>
      <c r="F851" s="111">
        <v>545</v>
      </c>
      <c r="K851" s="134">
        <v>5</v>
      </c>
      <c r="L851" s="151">
        <v>41701</v>
      </c>
      <c r="M851" s="169">
        <v>5.8</v>
      </c>
      <c r="N851" s="151">
        <v>41838</v>
      </c>
      <c r="Q851" s="497"/>
      <c r="S851" s="134">
        <v>20.85</v>
      </c>
      <c r="T851" s="151">
        <v>41842</v>
      </c>
      <c r="U851" s="134">
        <v>13.5</v>
      </c>
      <c r="V851" s="151">
        <v>41838</v>
      </c>
      <c r="W851" s="196">
        <v>9</v>
      </c>
      <c r="X851" s="151">
        <v>41829</v>
      </c>
      <c r="Y851" s="134">
        <f t="shared" si="13"/>
        <v>6.1506600000000002</v>
      </c>
      <c r="AC851" s="134">
        <v>42.96</v>
      </c>
      <c r="AD851" s="151">
        <v>41838</v>
      </c>
      <c r="AE851" s="134">
        <v>44.57</v>
      </c>
      <c r="AF851" s="151">
        <v>41838</v>
      </c>
      <c r="AG851" s="197">
        <v>4.3</v>
      </c>
      <c r="AH851" s="151">
        <v>41843</v>
      </c>
      <c r="AI851" s="198">
        <v>5</v>
      </c>
      <c r="AJ851" s="151">
        <v>41778</v>
      </c>
      <c r="AK851" s="199">
        <v>5</v>
      </c>
      <c r="AL851" s="151">
        <v>41709</v>
      </c>
      <c r="BE851" s="200">
        <v>5</v>
      </c>
      <c r="BF851" s="201">
        <v>41555</v>
      </c>
      <c r="BG851" s="203">
        <v>-3</v>
      </c>
      <c r="BH851" s="151">
        <v>41842</v>
      </c>
      <c r="BM851" s="204">
        <v>63.4</v>
      </c>
      <c r="BN851" s="151">
        <v>41842</v>
      </c>
      <c r="BQ851" s="205">
        <v>10.8</v>
      </c>
      <c r="BR851" s="151">
        <v>41842</v>
      </c>
      <c r="BS851" s="206">
        <v>46.8</v>
      </c>
      <c r="BT851" s="151">
        <v>41842</v>
      </c>
      <c r="BU851" s="207">
        <v>13.8</v>
      </c>
      <c r="BV851" s="151">
        <v>41842</v>
      </c>
      <c r="BW851" s="206">
        <v>18.100000000000001</v>
      </c>
      <c r="BX851" s="151">
        <v>41842</v>
      </c>
      <c r="BY851" s="210">
        <v>7.18</v>
      </c>
      <c r="BZ851" s="151">
        <v>41842</v>
      </c>
      <c r="CA851" s="206">
        <v>31.2</v>
      </c>
      <c r="CB851" s="151">
        <v>41842</v>
      </c>
      <c r="CC851" s="208">
        <v>5.6</v>
      </c>
      <c r="CD851" s="151">
        <v>41838</v>
      </c>
      <c r="CL851" s="209">
        <v>3</v>
      </c>
      <c r="CM851" s="201">
        <v>41810</v>
      </c>
    </row>
    <row r="852" spans="1:91" ht="15">
      <c r="A852" s="152" t="s">
        <v>8079</v>
      </c>
      <c r="B852" s="110" t="s">
        <v>233</v>
      </c>
      <c r="C852" s="110" t="s">
        <v>8083</v>
      </c>
      <c r="D852" s="110">
        <v>11659</v>
      </c>
      <c r="E852" s="111">
        <v>8</v>
      </c>
      <c r="F852" s="111">
        <v>669</v>
      </c>
      <c r="K852" s="134">
        <v>5</v>
      </c>
      <c r="L852" s="151">
        <v>41701</v>
      </c>
      <c r="M852" s="169">
        <v>4.5</v>
      </c>
      <c r="N852" s="151">
        <v>41838</v>
      </c>
      <c r="Q852" s="497"/>
      <c r="S852" s="134">
        <v>16.38</v>
      </c>
      <c r="T852" s="151">
        <v>41842</v>
      </c>
      <c r="U852" s="134">
        <v>13.5</v>
      </c>
      <c r="V852" s="151">
        <v>41838</v>
      </c>
      <c r="W852" s="196">
        <v>9</v>
      </c>
      <c r="X852" s="151">
        <v>41829</v>
      </c>
      <c r="Y852" s="134">
        <f t="shared" si="13"/>
        <v>4.45566</v>
      </c>
      <c r="AC852" s="134">
        <v>33.33</v>
      </c>
      <c r="AD852" s="151">
        <v>41838</v>
      </c>
      <c r="AE852" s="134">
        <v>34.54</v>
      </c>
      <c r="AF852" s="151">
        <v>41838</v>
      </c>
      <c r="AG852" s="197">
        <v>4.5</v>
      </c>
      <c r="AH852" s="151">
        <v>41843</v>
      </c>
      <c r="AI852" s="198">
        <v>5</v>
      </c>
      <c r="AJ852" s="151">
        <v>41778</v>
      </c>
      <c r="AK852" s="199">
        <v>7</v>
      </c>
      <c r="AL852" s="151">
        <v>41709</v>
      </c>
      <c r="BE852" s="200">
        <v>7</v>
      </c>
      <c r="BF852" s="201">
        <v>41555</v>
      </c>
      <c r="BG852" s="203">
        <v>-2.7</v>
      </c>
      <c r="BH852" s="151">
        <v>41842</v>
      </c>
      <c r="BM852" s="204">
        <v>64</v>
      </c>
      <c r="BN852" s="151">
        <v>41842</v>
      </c>
      <c r="BQ852" s="205">
        <v>10.6</v>
      </c>
      <c r="BR852" s="151">
        <v>41842</v>
      </c>
      <c r="BS852" s="206">
        <v>47.4</v>
      </c>
      <c r="BT852" s="151">
        <v>41842</v>
      </c>
      <c r="BU852" s="207">
        <v>12.9</v>
      </c>
      <c r="BV852" s="151">
        <v>41842</v>
      </c>
      <c r="BW852" s="206">
        <v>22.3</v>
      </c>
      <c r="BX852" s="151">
        <v>41842</v>
      </c>
      <c r="BY852" s="210">
        <v>6.93</v>
      </c>
      <c r="BZ852" s="151">
        <v>41842</v>
      </c>
      <c r="CA852" s="206">
        <v>29.5</v>
      </c>
      <c r="CB852" s="151">
        <v>41842</v>
      </c>
      <c r="CC852" s="208">
        <v>5.7</v>
      </c>
      <c r="CD852" s="151">
        <v>41838</v>
      </c>
      <c r="CL852" s="209">
        <v>3</v>
      </c>
      <c r="CM852" s="201">
        <v>41810</v>
      </c>
    </row>
    <row r="853" spans="1:91" ht="15">
      <c r="A853" s="152" t="s">
        <v>8079</v>
      </c>
      <c r="B853" s="110" t="s">
        <v>235</v>
      </c>
      <c r="C853" s="110" t="s">
        <v>8081</v>
      </c>
      <c r="D853" s="110">
        <v>11257</v>
      </c>
      <c r="E853" s="111">
        <v>9</v>
      </c>
      <c r="F853" s="111">
        <v>497</v>
      </c>
      <c r="K853" s="134">
        <v>5</v>
      </c>
      <c r="L853" s="151">
        <v>41701</v>
      </c>
      <c r="M853" s="169">
        <v>5.65</v>
      </c>
      <c r="N853" s="151">
        <v>41838</v>
      </c>
      <c r="Q853" s="497"/>
      <c r="S853" s="134">
        <v>20.2</v>
      </c>
      <c r="T853" s="151">
        <v>41842</v>
      </c>
      <c r="U853" s="134">
        <v>13.5</v>
      </c>
      <c r="V853" s="151">
        <v>41838</v>
      </c>
      <c r="W853" s="196">
        <v>9</v>
      </c>
      <c r="X853" s="151">
        <v>41829</v>
      </c>
      <c r="Y853" s="134">
        <f t="shared" si="13"/>
        <v>5.8360499999999993</v>
      </c>
      <c r="AC853" s="134">
        <v>41.85</v>
      </c>
      <c r="AD853" s="151">
        <v>41838</v>
      </c>
      <c r="AE853" s="134">
        <v>43.23</v>
      </c>
      <c r="AF853" s="151">
        <v>41838</v>
      </c>
      <c r="AG853" s="197">
        <v>4.5</v>
      </c>
      <c r="AH853" s="151">
        <v>41843</v>
      </c>
      <c r="AI853" s="198">
        <v>5</v>
      </c>
      <c r="AJ853" s="151">
        <v>41778</v>
      </c>
      <c r="AK853" s="199">
        <v>7</v>
      </c>
      <c r="AL853" s="151">
        <v>41709</v>
      </c>
      <c r="BE853" s="200">
        <v>7</v>
      </c>
      <c r="BF853" s="201">
        <v>41555</v>
      </c>
      <c r="BG853" s="203">
        <v>-2.2999999999999998</v>
      </c>
      <c r="BH853" s="151">
        <v>41842</v>
      </c>
      <c r="BM853" s="204">
        <v>64.099999999999994</v>
      </c>
      <c r="BN853" s="151">
        <v>41842</v>
      </c>
      <c r="BQ853" s="205">
        <v>10.9</v>
      </c>
      <c r="BR853" s="151">
        <v>41842</v>
      </c>
      <c r="BS853" s="206">
        <v>46.7</v>
      </c>
      <c r="BT853" s="151">
        <v>41842</v>
      </c>
      <c r="BU853" s="207">
        <v>13.5</v>
      </c>
      <c r="BV853" s="151">
        <v>41842</v>
      </c>
      <c r="BW853" s="206">
        <v>18.3</v>
      </c>
      <c r="BX853" s="151">
        <v>41842</v>
      </c>
      <c r="BY853" s="210">
        <v>7.41</v>
      </c>
      <c r="BZ853" s="151">
        <v>41842</v>
      </c>
      <c r="CA853" s="206">
        <v>30.5</v>
      </c>
      <c r="CB853" s="151">
        <v>41842</v>
      </c>
      <c r="CC853" s="208">
        <v>6</v>
      </c>
      <c r="CD853" s="151">
        <v>41838</v>
      </c>
      <c r="CL853" s="209">
        <v>3</v>
      </c>
      <c r="CM853" s="201">
        <v>41810</v>
      </c>
    </row>
    <row r="854" spans="1:91" ht="15">
      <c r="A854" s="152" t="s">
        <v>8079</v>
      </c>
      <c r="B854" s="110" t="s">
        <v>233</v>
      </c>
      <c r="C854" s="110" t="s">
        <v>8083</v>
      </c>
      <c r="D854" s="110">
        <v>11685</v>
      </c>
      <c r="E854" s="111">
        <v>9</v>
      </c>
      <c r="F854" s="111">
        <v>629</v>
      </c>
      <c r="I854" s="110">
        <v>24</v>
      </c>
      <c r="J854" s="195">
        <v>41701</v>
      </c>
      <c r="K854" s="134">
        <v>5</v>
      </c>
      <c r="L854" s="151">
        <v>41701</v>
      </c>
      <c r="M854" s="169">
        <v>4.6500000000000004</v>
      </c>
      <c r="N854" s="151">
        <v>41838</v>
      </c>
      <c r="Q854" s="497"/>
      <c r="S854" s="134">
        <v>16.829999999999998</v>
      </c>
      <c r="T854" s="151">
        <v>41842</v>
      </c>
      <c r="U854" s="134">
        <v>13.5</v>
      </c>
      <c r="V854" s="151">
        <v>41838</v>
      </c>
      <c r="W854" s="196">
        <v>9</v>
      </c>
      <c r="X854" s="151">
        <v>41829</v>
      </c>
      <c r="Y854" s="134">
        <f t="shared" si="13"/>
        <v>4.716359999999999</v>
      </c>
      <c r="AC854" s="134">
        <v>34.44</v>
      </c>
      <c r="AD854" s="151">
        <v>41838</v>
      </c>
      <c r="AE854" s="134">
        <v>35.729999999999997</v>
      </c>
      <c r="AF854" s="151">
        <v>41838</v>
      </c>
      <c r="AG854" s="197">
        <v>4.8</v>
      </c>
      <c r="AH854" s="151">
        <v>41843</v>
      </c>
      <c r="AI854" s="198">
        <v>5</v>
      </c>
      <c r="AJ854" s="151">
        <v>41778</v>
      </c>
      <c r="AK854" s="199">
        <v>7</v>
      </c>
      <c r="AL854" s="151">
        <v>41709</v>
      </c>
      <c r="BE854" s="200">
        <v>7</v>
      </c>
      <c r="BF854" s="201">
        <v>41555</v>
      </c>
      <c r="BG854" s="203">
        <v>-3.1</v>
      </c>
      <c r="BH854" s="151">
        <v>41842</v>
      </c>
      <c r="BM854" s="204">
        <v>63.8</v>
      </c>
      <c r="BN854" s="151">
        <v>41842</v>
      </c>
      <c r="BQ854" s="205">
        <v>11</v>
      </c>
      <c r="BR854" s="151">
        <v>41842</v>
      </c>
      <c r="BS854" s="206">
        <v>47.1</v>
      </c>
      <c r="BT854" s="151">
        <v>41842</v>
      </c>
      <c r="BU854" s="207">
        <v>13.2</v>
      </c>
      <c r="BV854" s="151">
        <v>41842</v>
      </c>
      <c r="BW854" s="206">
        <v>19.2</v>
      </c>
      <c r="BX854" s="151">
        <v>41842</v>
      </c>
      <c r="BY854" s="210">
        <v>6.94</v>
      </c>
      <c r="BZ854" s="151">
        <v>41842</v>
      </c>
      <c r="CA854" s="206">
        <v>30.1</v>
      </c>
      <c r="CB854" s="151">
        <v>41842</v>
      </c>
      <c r="CC854" s="208">
        <v>5.6</v>
      </c>
      <c r="CD854" s="151">
        <v>41838</v>
      </c>
      <c r="CL854" s="209">
        <v>3</v>
      </c>
      <c r="CM854" s="201">
        <v>41810</v>
      </c>
    </row>
    <row r="855" spans="1:91" ht="15">
      <c r="A855" s="152" t="s">
        <v>8079</v>
      </c>
      <c r="B855" s="110" t="s">
        <v>233</v>
      </c>
      <c r="C855" s="110" t="s">
        <v>8083</v>
      </c>
      <c r="D855" s="110">
        <v>11728</v>
      </c>
      <c r="E855" s="111">
        <v>10</v>
      </c>
      <c r="F855" s="111">
        <v>657</v>
      </c>
      <c r="K855" s="134">
        <v>5</v>
      </c>
      <c r="L855" s="151">
        <v>41701</v>
      </c>
      <c r="M855" s="169">
        <v>4.2</v>
      </c>
      <c r="N855" s="151">
        <v>41838</v>
      </c>
      <c r="Q855" s="497"/>
      <c r="S855" s="134">
        <v>15.37</v>
      </c>
      <c r="T855" s="151">
        <v>41842</v>
      </c>
      <c r="U855" s="134">
        <v>13.5</v>
      </c>
      <c r="V855" s="151">
        <v>41838</v>
      </c>
      <c r="W855" s="196">
        <v>9</v>
      </c>
      <c r="X855" s="151">
        <v>41829</v>
      </c>
      <c r="Y855" s="134">
        <f t="shared" si="13"/>
        <v>4.324180000000001</v>
      </c>
      <c r="AC855" s="134">
        <v>31.11</v>
      </c>
      <c r="AD855" s="151">
        <v>41838</v>
      </c>
      <c r="AE855" s="134">
        <v>32.270000000000003</v>
      </c>
      <c r="AF855" s="151">
        <v>41838</v>
      </c>
      <c r="AG855" s="197">
        <v>4.8</v>
      </c>
      <c r="AH855" s="151">
        <v>41843</v>
      </c>
      <c r="AI855" s="198">
        <v>5</v>
      </c>
      <c r="AJ855" s="151">
        <v>41778</v>
      </c>
      <c r="AK855" s="199">
        <v>7</v>
      </c>
      <c r="AL855" s="151">
        <v>41709</v>
      </c>
      <c r="BE855" s="200">
        <v>7</v>
      </c>
      <c r="BF855" s="201">
        <v>41555</v>
      </c>
      <c r="BG855" s="203">
        <v>-3.8</v>
      </c>
      <c r="BH855" s="151">
        <v>41842</v>
      </c>
      <c r="BM855" s="204">
        <v>64.7</v>
      </c>
      <c r="BN855" s="151">
        <v>41842</v>
      </c>
      <c r="BQ855" s="205">
        <v>10.9</v>
      </c>
      <c r="BR855" s="151">
        <v>41842</v>
      </c>
      <c r="BS855" s="206">
        <v>47.6</v>
      </c>
      <c r="BT855" s="151">
        <v>41842</v>
      </c>
      <c r="BU855" s="207">
        <v>13.4</v>
      </c>
      <c r="BV855" s="151">
        <v>41842</v>
      </c>
      <c r="BW855" s="206">
        <v>19.899999999999999</v>
      </c>
      <c r="BX855" s="151">
        <v>41842</v>
      </c>
      <c r="BY855" s="210">
        <v>6.93</v>
      </c>
      <c r="BZ855" s="151">
        <v>41842</v>
      </c>
      <c r="CA855" s="206">
        <v>30.9</v>
      </c>
      <c r="CB855" s="151">
        <v>41842</v>
      </c>
      <c r="CC855" s="208">
        <v>5.6</v>
      </c>
      <c r="CD855" s="151">
        <v>41838</v>
      </c>
      <c r="CL855" s="209">
        <v>3</v>
      </c>
      <c r="CM855" s="201">
        <v>41810</v>
      </c>
    </row>
    <row r="856" spans="1:91" ht="15">
      <c r="A856" s="152" t="s">
        <v>8079</v>
      </c>
      <c r="B856" s="110" t="s">
        <v>233</v>
      </c>
      <c r="C856" s="110" t="s">
        <v>8083</v>
      </c>
      <c r="D856" s="110">
        <v>11792</v>
      </c>
      <c r="E856" s="111">
        <v>12</v>
      </c>
      <c r="F856" s="111">
        <v>625</v>
      </c>
      <c r="K856" s="134">
        <v>5</v>
      </c>
      <c r="L856" s="151">
        <v>41701</v>
      </c>
      <c r="M856" s="169">
        <v>4.4000000000000004</v>
      </c>
      <c r="N856" s="151">
        <v>41838</v>
      </c>
      <c r="Q856" s="497"/>
      <c r="S856" s="134">
        <v>15.98</v>
      </c>
      <c r="T856" s="151">
        <v>41842</v>
      </c>
      <c r="U856" s="134">
        <v>13.5</v>
      </c>
      <c r="V856" s="151">
        <v>41838</v>
      </c>
      <c r="W856" s="196">
        <v>9</v>
      </c>
      <c r="X856" s="151">
        <v>41829</v>
      </c>
      <c r="Y856" s="134">
        <f t="shared" si="13"/>
        <v>4.7334000000000005</v>
      </c>
      <c r="AC856" s="134">
        <v>32.590000000000003</v>
      </c>
      <c r="AD856" s="151">
        <v>41838</v>
      </c>
      <c r="AE856" s="134">
        <v>33.81</v>
      </c>
      <c r="AF856" s="151">
        <v>41838</v>
      </c>
      <c r="AG856" s="197">
        <v>4.8</v>
      </c>
      <c r="AH856" s="151">
        <v>41843</v>
      </c>
      <c r="AI856" s="198">
        <v>7</v>
      </c>
      <c r="AJ856" s="151">
        <v>41778</v>
      </c>
      <c r="AK856" s="199">
        <v>7</v>
      </c>
      <c r="AL856" s="151">
        <v>41709</v>
      </c>
      <c r="BE856" s="200">
        <v>7</v>
      </c>
      <c r="BF856" s="201">
        <v>41555</v>
      </c>
      <c r="BG856" s="203">
        <v>-2.9</v>
      </c>
      <c r="BH856" s="151">
        <v>41842</v>
      </c>
      <c r="BM856" s="204">
        <v>65.099999999999994</v>
      </c>
      <c r="BN856" s="151">
        <v>41842</v>
      </c>
      <c r="BQ856" s="205">
        <v>11</v>
      </c>
      <c r="BR856" s="151">
        <v>41842</v>
      </c>
      <c r="BS856" s="206">
        <v>47.3</v>
      </c>
      <c r="BT856" s="151">
        <v>41842</v>
      </c>
      <c r="BU856" s="207">
        <v>14</v>
      </c>
      <c r="BV856" s="151">
        <v>41842</v>
      </c>
      <c r="BW856" s="206">
        <v>21.4</v>
      </c>
      <c r="BX856" s="151">
        <v>41842</v>
      </c>
      <c r="BY856" s="210">
        <v>6.84</v>
      </c>
      <c r="BZ856" s="151">
        <v>41842</v>
      </c>
      <c r="CA856" s="206">
        <v>31.9</v>
      </c>
      <c r="CB856" s="151">
        <v>41842</v>
      </c>
      <c r="CC856" s="208">
        <v>5.6</v>
      </c>
      <c r="CD856" s="151">
        <v>41838</v>
      </c>
      <c r="CL856" s="209">
        <v>3</v>
      </c>
      <c r="CM856" s="201">
        <v>41810</v>
      </c>
    </row>
    <row r="857" spans="1:91" ht="15">
      <c r="A857" s="152" t="s">
        <v>8079</v>
      </c>
      <c r="B857" s="110" t="s">
        <v>233</v>
      </c>
      <c r="C857" s="110" t="s">
        <v>8083</v>
      </c>
      <c r="D857" s="110">
        <v>11801</v>
      </c>
      <c r="E857" s="111">
        <v>12</v>
      </c>
      <c r="F857" s="111">
        <v>661</v>
      </c>
      <c r="K857" s="191">
        <v>3</v>
      </c>
      <c r="L857" s="151">
        <v>41701</v>
      </c>
      <c r="M857" s="169">
        <v>3.6</v>
      </c>
      <c r="N857" s="151">
        <v>41838</v>
      </c>
      <c r="Q857" s="497"/>
      <c r="S857" s="134">
        <v>12.82</v>
      </c>
      <c r="T857" s="151">
        <v>41842</v>
      </c>
      <c r="U857" s="134">
        <v>13.5</v>
      </c>
      <c r="V857" s="151">
        <v>41838</v>
      </c>
      <c r="W857" s="196">
        <v>9</v>
      </c>
      <c r="X857" s="151">
        <v>41829</v>
      </c>
      <c r="Y857" s="134">
        <f t="shared" si="13"/>
        <v>3.7579099999999999</v>
      </c>
      <c r="AC857" s="134">
        <v>26.67</v>
      </c>
      <c r="AD857" s="151">
        <v>41838</v>
      </c>
      <c r="AE857" s="134">
        <v>27.43</v>
      </c>
      <c r="AF857" s="151">
        <v>41838</v>
      </c>
      <c r="AG857" s="197">
        <v>4.9000000000000004</v>
      </c>
      <c r="AH857" s="151">
        <v>41843</v>
      </c>
      <c r="AI857" s="198">
        <v>5</v>
      </c>
      <c r="AJ857" s="151">
        <v>41778</v>
      </c>
      <c r="AK857" s="199">
        <v>7</v>
      </c>
      <c r="AL857" s="151">
        <v>41709</v>
      </c>
      <c r="BE857" s="200">
        <v>7</v>
      </c>
      <c r="BF857" s="201">
        <v>41555</v>
      </c>
      <c r="BG857" s="203">
        <v>-2.8</v>
      </c>
      <c r="BH857" s="151">
        <v>41842</v>
      </c>
      <c r="BM857" s="204">
        <v>66.2</v>
      </c>
      <c r="BN857" s="151">
        <v>41842</v>
      </c>
      <c r="BQ857" s="205">
        <v>10.8</v>
      </c>
      <c r="BR857" s="151">
        <v>41842</v>
      </c>
      <c r="BS857" s="206">
        <v>46.7</v>
      </c>
      <c r="BT857" s="151">
        <v>41842</v>
      </c>
      <c r="BU857" s="207">
        <v>13.7</v>
      </c>
      <c r="BV857" s="151">
        <v>41842</v>
      </c>
      <c r="BW857" s="206">
        <v>22.9</v>
      </c>
      <c r="BX857" s="151">
        <v>41842</v>
      </c>
      <c r="BY857" s="210">
        <v>6.58</v>
      </c>
      <c r="BZ857" s="151">
        <v>41842</v>
      </c>
      <c r="CA857" s="206">
        <v>30.9</v>
      </c>
      <c r="CB857" s="151">
        <v>41842</v>
      </c>
      <c r="CC857" s="208">
        <v>6.4</v>
      </c>
      <c r="CD857" s="151">
        <v>41838</v>
      </c>
      <c r="CL857" s="209">
        <v>3</v>
      </c>
      <c r="CM857" s="201">
        <v>41810</v>
      </c>
    </row>
    <row r="858" spans="1:91" ht="15">
      <c r="A858" s="152" t="s">
        <v>8080</v>
      </c>
      <c r="B858" s="110" t="s">
        <v>235</v>
      </c>
      <c r="C858" s="110" t="s">
        <v>8082</v>
      </c>
      <c r="D858" s="110">
        <v>11416</v>
      </c>
      <c r="E858" s="111">
        <v>1</v>
      </c>
      <c r="F858" s="111">
        <v>705</v>
      </c>
      <c r="I858" s="373">
        <v>20</v>
      </c>
      <c r="J858" s="195">
        <v>41701</v>
      </c>
      <c r="K858" s="194">
        <v>5</v>
      </c>
      <c r="L858" s="151">
        <v>41701</v>
      </c>
      <c r="M858" s="169">
        <v>6.35</v>
      </c>
      <c r="N858" s="151">
        <v>41838</v>
      </c>
      <c r="Q858" s="497"/>
      <c r="S858" s="134">
        <v>23.5</v>
      </c>
      <c r="T858" s="151">
        <v>41842</v>
      </c>
      <c r="U858" s="194">
        <v>13.5</v>
      </c>
      <c r="V858" s="151">
        <v>41838</v>
      </c>
      <c r="W858" s="196">
        <v>9</v>
      </c>
      <c r="X858" s="151">
        <v>41829</v>
      </c>
      <c r="Y858" s="134">
        <f t="shared" si="13"/>
        <v>6.3361999999999998</v>
      </c>
      <c r="AA858" s="194"/>
      <c r="AC858" s="194">
        <v>47.04</v>
      </c>
      <c r="AD858" s="151">
        <v>41838</v>
      </c>
      <c r="AE858" s="137">
        <v>48.74</v>
      </c>
      <c r="AF858" s="151">
        <v>41838</v>
      </c>
      <c r="AG858" s="197">
        <v>4.9000000000000004</v>
      </c>
      <c r="AH858" s="151">
        <v>41843</v>
      </c>
      <c r="AI858" s="198">
        <v>7</v>
      </c>
      <c r="AJ858" s="151">
        <v>41778</v>
      </c>
      <c r="AK858" s="199">
        <v>5</v>
      </c>
      <c r="AL858" s="151">
        <v>41709</v>
      </c>
      <c r="AM858" s="194"/>
      <c r="BE858" s="200">
        <v>5</v>
      </c>
      <c r="BF858" s="201">
        <v>41555</v>
      </c>
      <c r="BG858" s="203">
        <v>-7.9</v>
      </c>
      <c r="BH858" s="151">
        <v>41842</v>
      </c>
      <c r="BM858" s="204">
        <v>63.9</v>
      </c>
      <c r="BN858" s="151">
        <v>41842</v>
      </c>
      <c r="BQ858" s="205">
        <v>11.2</v>
      </c>
      <c r="BR858" s="151">
        <v>41842</v>
      </c>
      <c r="BS858" s="206">
        <v>48.2</v>
      </c>
      <c r="BT858" s="151">
        <v>41842</v>
      </c>
      <c r="BU858" s="207">
        <v>13</v>
      </c>
      <c r="BV858" s="151">
        <v>41842</v>
      </c>
      <c r="BW858" s="206">
        <v>12.7</v>
      </c>
      <c r="BX858" s="151">
        <v>41842</v>
      </c>
      <c r="BY858" s="210">
        <v>7.23</v>
      </c>
      <c r="BZ858" s="151">
        <v>41842</v>
      </c>
      <c r="CA858" s="206">
        <v>30.3</v>
      </c>
      <c r="CB858" s="151">
        <v>41842</v>
      </c>
      <c r="CC858" s="208">
        <v>5.7</v>
      </c>
      <c r="CD858" s="151">
        <v>41838</v>
      </c>
      <c r="CL858" s="209">
        <v>3</v>
      </c>
      <c r="CM858" s="201">
        <v>41810</v>
      </c>
    </row>
    <row r="859" spans="1:91" ht="15">
      <c r="A859" s="152" t="s">
        <v>8080</v>
      </c>
      <c r="B859" s="110" t="s">
        <v>233</v>
      </c>
      <c r="C859" s="110" t="s">
        <v>381</v>
      </c>
      <c r="D859" s="110">
        <v>11107</v>
      </c>
      <c r="E859" s="111">
        <v>4</v>
      </c>
      <c r="F859" s="111">
        <v>617</v>
      </c>
      <c r="K859" s="134">
        <v>5</v>
      </c>
      <c r="L859" s="151">
        <v>41701</v>
      </c>
      <c r="M859" s="169">
        <v>5.0999999999999996</v>
      </c>
      <c r="N859" s="151">
        <v>41838</v>
      </c>
      <c r="Q859" s="497"/>
      <c r="S859" s="134">
        <v>19.079999999999998</v>
      </c>
      <c r="T859" s="151">
        <v>41842</v>
      </c>
      <c r="U859" s="134">
        <v>13.5</v>
      </c>
      <c r="V859" s="151">
        <v>41838</v>
      </c>
      <c r="W859" s="196">
        <v>9</v>
      </c>
      <c r="X859" s="151">
        <v>41829</v>
      </c>
      <c r="Y859" s="134">
        <f t="shared" si="13"/>
        <v>4.72994</v>
      </c>
      <c r="AC859" s="134">
        <v>37.78</v>
      </c>
      <c r="AD859" s="151">
        <v>41838</v>
      </c>
      <c r="AE859" s="134">
        <v>38.770000000000003</v>
      </c>
      <c r="AF859" s="151">
        <v>41838</v>
      </c>
      <c r="AG859" s="197">
        <v>4.8</v>
      </c>
      <c r="AH859" s="151">
        <v>41843</v>
      </c>
      <c r="AI859" s="198">
        <v>7</v>
      </c>
      <c r="AJ859" s="151">
        <v>41778</v>
      </c>
      <c r="AK859" s="199">
        <v>4</v>
      </c>
      <c r="AL859" s="151">
        <v>41709</v>
      </c>
      <c r="BE859" s="200">
        <v>4</v>
      </c>
      <c r="BF859" s="201">
        <v>41555</v>
      </c>
      <c r="BG859" s="203">
        <v>-6.8</v>
      </c>
      <c r="BH859" s="151">
        <v>41842</v>
      </c>
      <c r="BM859" s="204">
        <v>63.7</v>
      </c>
      <c r="BN859" s="151">
        <v>41842</v>
      </c>
      <c r="BQ859" s="205">
        <v>11</v>
      </c>
      <c r="BR859" s="151">
        <v>41842</v>
      </c>
      <c r="BS859" s="206">
        <v>49.2</v>
      </c>
      <c r="BT859" s="151">
        <v>41842</v>
      </c>
      <c r="BU859" s="207">
        <v>12.2</v>
      </c>
      <c r="BV859" s="151">
        <v>41842</v>
      </c>
      <c r="BW859" s="206">
        <v>11.1</v>
      </c>
      <c r="BX859" s="151">
        <v>41842</v>
      </c>
      <c r="BY859" s="210">
        <v>6.85</v>
      </c>
      <c r="BZ859" s="151">
        <v>41842</v>
      </c>
      <c r="CA859" s="206">
        <v>29.2</v>
      </c>
      <c r="CB859" s="151">
        <v>41842</v>
      </c>
      <c r="CC859" s="208">
        <v>6.6</v>
      </c>
      <c r="CD859" s="151">
        <v>41838</v>
      </c>
      <c r="CL859" s="209">
        <v>5</v>
      </c>
      <c r="CM859" s="201">
        <v>41810</v>
      </c>
    </row>
    <row r="860" spans="1:91" ht="15">
      <c r="A860" s="152" t="s">
        <v>8080</v>
      </c>
      <c r="B860" s="110" t="s">
        <v>233</v>
      </c>
      <c r="C860" s="110" t="s">
        <v>381</v>
      </c>
      <c r="D860" s="110">
        <v>11135</v>
      </c>
      <c r="E860" s="111">
        <v>5</v>
      </c>
      <c r="F860" s="111">
        <v>585</v>
      </c>
      <c r="I860" s="110">
        <v>28</v>
      </c>
      <c r="J860" s="195">
        <v>41701</v>
      </c>
      <c r="K860" s="134">
        <v>5</v>
      </c>
      <c r="L860" s="151">
        <v>41701</v>
      </c>
      <c r="M860" s="169">
        <v>4.3499999999999996</v>
      </c>
      <c r="N860" s="151">
        <v>41838</v>
      </c>
      <c r="Q860" s="497"/>
      <c r="S860" s="134">
        <v>16.329999999999998</v>
      </c>
      <c r="T860" s="151">
        <v>41842</v>
      </c>
      <c r="U860" s="134">
        <v>13.5</v>
      </c>
      <c r="V860" s="151">
        <v>41838</v>
      </c>
      <c r="W860" s="196">
        <v>9</v>
      </c>
      <c r="X860" s="151">
        <v>41829</v>
      </c>
      <c r="Y860" s="134">
        <f t="shared" si="13"/>
        <v>4.03172</v>
      </c>
      <c r="AC860" s="134">
        <v>32.22</v>
      </c>
      <c r="AD860" s="151">
        <v>41838</v>
      </c>
      <c r="AE860" s="134">
        <v>33.32</v>
      </c>
      <c r="AF860" s="151">
        <v>41838</v>
      </c>
      <c r="AG860" s="197">
        <v>4.8</v>
      </c>
      <c r="AH860" s="151">
        <v>41843</v>
      </c>
      <c r="AI860" s="198">
        <v>7</v>
      </c>
      <c r="AJ860" s="151">
        <v>41778</v>
      </c>
      <c r="AK860" s="199">
        <v>5</v>
      </c>
      <c r="AL860" s="151">
        <v>41709</v>
      </c>
      <c r="BE860" s="200">
        <v>5</v>
      </c>
      <c r="BF860" s="201">
        <v>41555</v>
      </c>
      <c r="BG860" s="203">
        <v>-7.6</v>
      </c>
      <c r="BH860" s="151">
        <v>41842</v>
      </c>
      <c r="BM860" s="204">
        <v>63.8</v>
      </c>
      <c r="BN860" s="151">
        <v>41842</v>
      </c>
      <c r="BQ860" s="205">
        <v>10.6</v>
      </c>
      <c r="BR860" s="151">
        <v>41842</v>
      </c>
      <c r="BS860" s="206">
        <v>49</v>
      </c>
      <c r="BT860" s="151">
        <v>41842</v>
      </c>
      <c r="BU860" s="207">
        <v>12.1</v>
      </c>
      <c r="BV860" s="151">
        <v>41842</v>
      </c>
      <c r="BW860" s="206">
        <v>12.6</v>
      </c>
      <c r="BX860" s="151">
        <v>41842</v>
      </c>
      <c r="BY860" s="210">
        <v>6.88</v>
      </c>
      <c r="BZ860" s="151">
        <v>41842</v>
      </c>
      <c r="CA860" s="206">
        <v>28.7</v>
      </c>
      <c r="CB860" s="151">
        <v>41842</v>
      </c>
      <c r="CC860" s="208">
        <v>5.9</v>
      </c>
      <c r="CD860" s="151">
        <v>41838</v>
      </c>
      <c r="CL860" s="209">
        <v>5</v>
      </c>
      <c r="CM860" s="201">
        <v>41810</v>
      </c>
    </row>
    <row r="861" spans="1:91" ht="15">
      <c r="A861" s="152" t="s">
        <v>8080</v>
      </c>
      <c r="B861" s="110" t="s">
        <v>235</v>
      </c>
      <c r="C861" s="110" t="s">
        <v>8082</v>
      </c>
      <c r="D861" s="110">
        <v>11600</v>
      </c>
      <c r="E861" s="111">
        <v>6</v>
      </c>
      <c r="F861" s="111">
        <v>721</v>
      </c>
      <c r="K861" s="134">
        <v>5</v>
      </c>
      <c r="L861" s="151">
        <v>41701</v>
      </c>
      <c r="M861" s="169">
        <v>6.3</v>
      </c>
      <c r="N861" s="151">
        <v>41838</v>
      </c>
      <c r="Q861" s="497"/>
      <c r="S861" s="134">
        <v>23.65</v>
      </c>
      <c r="T861" s="151">
        <v>41842</v>
      </c>
      <c r="U861" s="134">
        <v>13.5</v>
      </c>
      <c r="V861" s="151">
        <v>41838</v>
      </c>
      <c r="W861" s="196">
        <v>9</v>
      </c>
      <c r="X861" s="151">
        <v>41829</v>
      </c>
      <c r="Y861" s="134">
        <f t="shared" si="13"/>
        <v>5.9705999999999992</v>
      </c>
      <c r="AC861" s="134">
        <v>46.67</v>
      </c>
      <c r="AD861" s="151">
        <v>41838</v>
      </c>
      <c r="AE861" s="134">
        <v>48.15</v>
      </c>
      <c r="AF861" s="151">
        <v>41838</v>
      </c>
      <c r="AG861" s="197">
        <v>4.8</v>
      </c>
      <c r="AH861" s="151">
        <v>41843</v>
      </c>
      <c r="AI861" s="198">
        <v>7</v>
      </c>
      <c r="AJ861" s="151">
        <v>41778</v>
      </c>
      <c r="AK861" s="199">
        <v>5</v>
      </c>
      <c r="AL861" s="151">
        <v>41709</v>
      </c>
      <c r="BE861" s="200">
        <v>5</v>
      </c>
      <c r="BF861" s="201">
        <v>41555</v>
      </c>
      <c r="BG861" s="203">
        <v>-6.5</v>
      </c>
      <c r="BH861" s="151">
        <v>41842</v>
      </c>
      <c r="BM861" s="204">
        <v>64.099999999999994</v>
      </c>
      <c r="BN861" s="151">
        <v>41842</v>
      </c>
      <c r="BQ861" s="205">
        <v>11.2</v>
      </c>
      <c r="BR861" s="151">
        <v>41842</v>
      </c>
      <c r="BS861" s="206">
        <v>49.1</v>
      </c>
      <c r="BT861" s="151">
        <v>41842</v>
      </c>
      <c r="BU861" s="207">
        <v>12.4</v>
      </c>
      <c r="BV861" s="151">
        <v>41842</v>
      </c>
      <c r="BW861" s="206">
        <v>11.1</v>
      </c>
      <c r="BX861" s="151">
        <v>41842</v>
      </c>
      <c r="BY861" s="210">
        <v>7.05</v>
      </c>
      <c r="BZ861" s="151">
        <v>41842</v>
      </c>
      <c r="CA861" s="206">
        <v>29.5</v>
      </c>
      <c r="CB861" s="151">
        <v>41842</v>
      </c>
      <c r="CC861" s="208">
        <v>6.1</v>
      </c>
      <c r="CD861" s="151">
        <v>41838</v>
      </c>
      <c r="CL861" s="209">
        <v>3</v>
      </c>
      <c r="CM861" s="201">
        <v>41810</v>
      </c>
    </row>
    <row r="862" spans="1:91" ht="15">
      <c r="A862" s="152" t="s">
        <v>8080</v>
      </c>
      <c r="B862" s="110" t="s">
        <v>233</v>
      </c>
      <c r="C862" s="110" t="s">
        <v>8083</v>
      </c>
      <c r="D862" s="110">
        <v>11719</v>
      </c>
      <c r="E862" s="111">
        <v>9</v>
      </c>
      <c r="F862" s="111">
        <v>765</v>
      </c>
      <c r="I862" s="110">
        <v>19</v>
      </c>
      <c r="J862" s="195">
        <v>41701</v>
      </c>
      <c r="K862" s="134">
        <v>5</v>
      </c>
      <c r="L862" s="151">
        <v>41701</v>
      </c>
      <c r="M862" s="169">
        <v>4.8</v>
      </c>
      <c r="N862" s="151">
        <v>41838</v>
      </c>
      <c r="Q862" s="497"/>
      <c r="S862" s="134">
        <v>18.100000000000001</v>
      </c>
      <c r="T862" s="151">
        <v>41842</v>
      </c>
      <c r="U862" s="134">
        <v>13.5</v>
      </c>
      <c r="V862" s="151">
        <v>41838</v>
      </c>
      <c r="W862" s="196">
        <v>9</v>
      </c>
      <c r="X862" s="151">
        <v>41829</v>
      </c>
      <c r="Y862" s="134">
        <f t="shared" si="13"/>
        <v>4.444329999999999</v>
      </c>
      <c r="AC862" s="134">
        <v>35.56</v>
      </c>
      <c r="AD862" s="151">
        <v>41838</v>
      </c>
      <c r="AE862" s="134">
        <v>36.729999999999997</v>
      </c>
      <c r="AF862" s="151">
        <v>41838</v>
      </c>
      <c r="AG862" s="197">
        <v>4.5999999999999996</v>
      </c>
      <c r="AH862" s="151">
        <v>41843</v>
      </c>
      <c r="AI862" s="198">
        <v>7</v>
      </c>
      <c r="AJ862" s="151">
        <v>41778</v>
      </c>
      <c r="AK862" s="199">
        <v>5</v>
      </c>
      <c r="AL862" s="151">
        <v>41709</v>
      </c>
      <c r="BE862" s="200">
        <v>5</v>
      </c>
      <c r="BF862" s="201">
        <v>41555</v>
      </c>
      <c r="BG862" s="203">
        <v>-8.9</v>
      </c>
      <c r="BH862" s="151">
        <v>41842</v>
      </c>
      <c r="BM862" s="204">
        <v>63.7</v>
      </c>
      <c r="BN862" s="151">
        <v>41842</v>
      </c>
      <c r="BQ862" s="205">
        <v>10.7</v>
      </c>
      <c r="BR862" s="151">
        <v>41842</v>
      </c>
      <c r="BS862" s="206">
        <v>49.3</v>
      </c>
      <c r="BT862" s="151">
        <v>41842</v>
      </c>
      <c r="BU862" s="207">
        <v>12.1</v>
      </c>
      <c r="BV862" s="151">
        <v>41842</v>
      </c>
      <c r="BW862" s="206">
        <v>13.2</v>
      </c>
      <c r="BX862" s="151">
        <v>41842</v>
      </c>
      <c r="BY862" s="210">
        <v>6.9</v>
      </c>
      <c r="BZ862" s="151">
        <v>41842</v>
      </c>
      <c r="CA862" s="206">
        <v>29</v>
      </c>
      <c r="CB862" s="151">
        <v>41842</v>
      </c>
      <c r="CC862" s="208">
        <v>6</v>
      </c>
      <c r="CD862" s="151">
        <v>41838</v>
      </c>
      <c r="CL862" s="209">
        <v>3</v>
      </c>
      <c r="CM862" s="201">
        <v>41810</v>
      </c>
    </row>
    <row r="863" spans="1:91" ht="15">
      <c r="A863" s="152" t="s">
        <v>8080</v>
      </c>
      <c r="B863" s="110" t="s">
        <v>235</v>
      </c>
      <c r="C863" s="110" t="s">
        <v>8081</v>
      </c>
      <c r="D863" s="110">
        <v>11307</v>
      </c>
      <c r="E863" s="111">
        <v>10</v>
      </c>
      <c r="F863" s="111">
        <v>553</v>
      </c>
      <c r="I863" s="110">
        <v>24</v>
      </c>
      <c r="J863" s="195">
        <v>41701</v>
      </c>
      <c r="K863" s="134">
        <v>5</v>
      </c>
      <c r="L863" s="151">
        <v>41701</v>
      </c>
      <c r="M863" s="169">
        <v>6.45</v>
      </c>
      <c r="N863" s="151">
        <v>41838</v>
      </c>
      <c r="Q863" s="497"/>
      <c r="S863" s="134">
        <v>24.21</v>
      </c>
      <c r="T863" s="151">
        <v>41842</v>
      </c>
      <c r="U863" s="134">
        <v>13.5</v>
      </c>
      <c r="V863" s="151">
        <v>41838</v>
      </c>
      <c r="W863" s="196">
        <v>9</v>
      </c>
      <c r="X863" s="151">
        <v>41829</v>
      </c>
      <c r="Y863" s="134">
        <f t="shared" si="13"/>
        <v>5.7926699999999993</v>
      </c>
      <c r="AC863" s="134">
        <v>47.78</v>
      </c>
      <c r="AD863" s="151">
        <v>41838</v>
      </c>
      <c r="AE863" s="134">
        <v>49.51</v>
      </c>
      <c r="AF863" s="151">
        <v>41838</v>
      </c>
      <c r="AG863" s="197">
        <v>4.5999999999999996</v>
      </c>
      <c r="AH863" s="151">
        <v>41843</v>
      </c>
      <c r="AI863" s="198">
        <v>7</v>
      </c>
      <c r="AJ863" s="151">
        <v>41778</v>
      </c>
      <c r="AK863" s="199">
        <v>5</v>
      </c>
      <c r="AL863" s="151">
        <v>41709</v>
      </c>
      <c r="BE863" s="200">
        <v>5</v>
      </c>
      <c r="BF863" s="201">
        <v>41555</v>
      </c>
      <c r="BG863" s="203">
        <v>-10</v>
      </c>
      <c r="BH863" s="151">
        <v>41842</v>
      </c>
      <c r="BM863" s="204">
        <v>64.5</v>
      </c>
      <c r="BN863" s="151">
        <v>41842</v>
      </c>
      <c r="BQ863" s="205">
        <v>10.4</v>
      </c>
      <c r="BR863" s="151">
        <v>41842</v>
      </c>
      <c r="BS863" s="206">
        <v>48.9</v>
      </c>
      <c r="BT863" s="151">
        <v>41842</v>
      </c>
      <c r="BU863" s="207">
        <v>11.7</v>
      </c>
      <c r="BV863" s="151">
        <v>41842</v>
      </c>
      <c r="BW863" s="206">
        <v>8.9</v>
      </c>
      <c r="BX863" s="151">
        <v>41842</v>
      </c>
      <c r="BY863" s="210">
        <v>7.14</v>
      </c>
      <c r="BZ863" s="151">
        <v>41842</v>
      </c>
      <c r="CA863" s="206">
        <v>27.7</v>
      </c>
      <c r="CB863" s="151">
        <v>41842</v>
      </c>
      <c r="CC863" s="208">
        <v>5.7</v>
      </c>
      <c r="CD863" s="151">
        <v>41838</v>
      </c>
      <c r="CL863" s="209">
        <v>3</v>
      </c>
      <c r="CM863" s="201">
        <v>41810</v>
      </c>
    </row>
    <row r="864" spans="1:91" ht="15">
      <c r="A864" s="152" t="s">
        <v>8080</v>
      </c>
      <c r="B864" s="110" t="s">
        <v>235</v>
      </c>
      <c r="C864" s="110" t="s">
        <v>8081</v>
      </c>
      <c r="D864" s="110">
        <v>11332</v>
      </c>
      <c r="E864" s="111">
        <v>11</v>
      </c>
      <c r="F864" s="111">
        <v>509</v>
      </c>
      <c r="K864" s="134">
        <v>5</v>
      </c>
      <c r="L864" s="151">
        <v>41701</v>
      </c>
      <c r="M864" s="169">
        <v>6.45</v>
      </c>
      <c r="N864" s="151">
        <v>41838</v>
      </c>
      <c r="Q864" s="497"/>
      <c r="S864" s="134">
        <v>23.08</v>
      </c>
      <c r="T864" s="151">
        <v>41842</v>
      </c>
      <c r="U864" s="134">
        <v>13.5</v>
      </c>
      <c r="V864" s="151">
        <v>41838</v>
      </c>
      <c r="W864" s="196">
        <v>9</v>
      </c>
      <c r="X864" s="151">
        <v>41829</v>
      </c>
      <c r="Y864" s="134">
        <f t="shared" si="13"/>
        <v>6.7047999999999988</v>
      </c>
      <c r="AC864" s="134">
        <v>47.78</v>
      </c>
      <c r="AD864" s="151">
        <v>41838</v>
      </c>
      <c r="AE864" s="134">
        <v>49.3</v>
      </c>
      <c r="AF864" s="151">
        <v>41838</v>
      </c>
      <c r="AG864" s="197">
        <v>4.5</v>
      </c>
      <c r="AH864" s="151">
        <v>41843</v>
      </c>
      <c r="AI864" s="198">
        <v>7</v>
      </c>
      <c r="AJ864" s="151">
        <v>41778</v>
      </c>
      <c r="AK864" s="199">
        <v>5</v>
      </c>
      <c r="AL864" s="151">
        <v>41709</v>
      </c>
      <c r="BE864" s="200">
        <v>5</v>
      </c>
      <c r="BF864" s="201">
        <v>41555</v>
      </c>
      <c r="BG864" s="203">
        <v>-8</v>
      </c>
      <c r="BH864" s="151">
        <v>41842</v>
      </c>
      <c r="BM864" s="204">
        <v>62.3</v>
      </c>
      <c r="BN864" s="151">
        <v>41842</v>
      </c>
      <c r="BQ864" s="205">
        <v>11</v>
      </c>
      <c r="BR864" s="151">
        <v>41842</v>
      </c>
      <c r="BS864" s="206">
        <v>46.8</v>
      </c>
      <c r="BT864" s="151">
        <v>41842</v>
      </c>
      <c r="BU864" s="207">
        <v>13.6</v>
      </c>
      <c r="BV864" s="151">
        <v>41842</v>
      </c>
      <c r="BW864" s="206">
        <v>14.6</v>
      </c>
      <c r="BX864" s="151">
        <v>41842</v>
      </c>
      <c r="BY864" s="210">
        <v>7.48</v>
      </c>
      <c r="BZ864" s="151">
        <v>41842</v>
      </c>
      <c r="CA864" s="206">
        <v>30.7</v>
      </c>
      <c r="CB864" s="151">
        <v>41842</v>
      </c>
      <c r="CC864" s="208">
        <v>6.1</v>
      </c>
      <c r="CD864" s="151">
        <v>41838</v>
      </c>
      <c r="CL864" s="209">
        <v>3</v>
      </c>
      <c r="CM864" s="201">
        <v>41810</v>
      </c>
    </row>
    <row r="865" spans="1:91" ht="15">
      <c r="A865" s="152" t="s">
        <v>8080</v>
      </c>
      <c r="B865" s="110" t="s">
        <v>233</v>
      </c>
      <c r="C865" s="110" t="s">
        <v>8083</v>
      </c>
      <c r="D865" s="110">
        <v>11764</v>
      </c>
      <c r="E865" s="111">
        <v>11</v>
      </c>
      <c r="F865" s="111">
        <v>657</v>
      </c>
      <c r="K865" s="134">
        <v>5</v>
      </c>
      <c r="L865" s="151">
        <v>41701</v>
      </c>
      <c r="M865" s="169">
        <v>5.55</v>
      </c>
      <c r="N865" s="151">
        <v>41838</v>
      </c>
      <c r="Q865" s="497"/>
      <c r="S865" s="134">
        <v>21.25</v>
      </c>
      <c r="T865" s="151">
        <v>41842</v>
      </c>
      <c r="U865" s="134">
        <v>13.5</v>
      </c>
      <c r="V865" s="151">
        <v>41838</v>
      </c>
      <c r="W865" s="196">
        <v>9</v>
      </c>
      <c r="X865" s="151">
        <v>41829</v>
      </c>
      <c r="Y865" s="134">
        <f t="shared" si="13"/>
        <v>4.9473999999999991</v>
      </c>
      <c r="AC865" s="134">
        <v>41.11</v>
      </c>
      <c r="AD865" s="151">
        <v>41838</v>
      </c>
      <c r="AE865" s="134">
        <v>42.65</v>
      </c>
      <c r="AF865" s="151">
        <v>41838</v>
      </c>
      <c r="AG865" s="197">
        <v>4.5</v>
      </c>
      <c r="AH865" s="151">
        <v>41843</v>
      </c>
      <c r="AI865" s="198">
        <v>7</v>
      </c>
      <c r="AJ865" s="151">
        <v>41778</v>
      </c>
      <c r="AK865" s="199">
        <v>5</v>
      </c>
      <c r="AL865" s="151">
        <v>41709</v>
      </c>
      <c r="BE865" s="200">
        <v>5</v>
      </c>
      <c r="BF865" s="201">
        <v>41555</v>
      </c>
      <c r="BG865" s="203">
        <v>-8.9</v>
      </c>
      <c r="BH865" s="151">
        <v>41842</v>
      </c>
      <c r="BM865" s="204">
        <v>64.3</v>
      </c>
      <c r="BN865" s="151">
        <v>41842</v>
      </c>
      <c r="BQ865" s="205">
        <v>10.7</v>
      </c>
      <c r="BR865" s="151">
        <v>41842</v>
      </c>
      <c r="BS865" s="206">
        <v>49.8</v>
      </c>
      <c r="BT865" s="151">
        <v>41842</v>
      </c>
      <c r="BU865" s="207">
        <v>11.6</v>
      </c>
      <c r="BV865" s="151">
        <v>41842</v>
      </c>
      <c r="BW865" s="206">
        <v>11</v>
      </c>
      <c r="BX865" s="151">
        <v>41842</v>
      </c>
      <c r="BY865" s="210">
        <v>6.83</v>
      </c>
      <c r="BZ865" s="151">
        <v>41842</v>
      </c>
      <c r="CA865" s="206">
        <v>28.1</v>
      </c>
      <c r="CB865" s="151">
        <v>41842</v>
      </c>
      <c r="CC865" s="208">
        <v>5.6</v>
      </c>
      <c r="CD865" s="151">
        <v>41838</v>
      </c>
      <c r="CL865" s="209">
        <v>3</v>
      </c>
      <c r="CM865" s="201">
        <v>41810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D13" sqref="D13"/>
    </sheetView>
  </sheetViews>
  <sheetFormatPr baseColWidth="10" defaultColWidth="11.5703125" defaultRowHeight="12.75"/>
  <cols>
    <col min="1" max="1" width="10.28515625" style="139" customWidth="1"/>
    <col min="2" max="2" width="5.28515625" style="140" customWidth="1"/>
    <col min="3" max="3" width="9.42578125" style="139" customWidth="1"/>
    <col min="4" max="4" width="9" style="141" customWidth="1"/>
    <col min="5" max="5" width="14.140625" style="141" customWidth="1"/>
    <col min="6" max="6" width="12.42578125" style="141" customWidth="1"/>
    <col min="7" max="16384" width="11.5703125" style="142"/>
  </cols>
  <sheetData>
    <row r="1" spans="1:6">
      <c r="A1" s="143" t="s">
        <v>179</v>
      </c>
      <c r="B1" s="144" t="s">
        <v>180</v>
      </c>
      <c r="C1" s="143" t="s">
        <v>181</v>
      </c>
      <c r="D1" s="145" t="s">
        <v>182</v>
      </c>
      <c r="E1" s="145" t="s">
        <v>183</v>
      </c>
      <c r="F1" s="145" t="s">
        <v>29</v>
      </c>
    </row>
    <row r="2" spans="1:6">
      <c r="A2" s="139" t="s">
        <v>8084</v>
      </c>
      <c r="B2" s="140" t="s">
        <v>8085</v>
      </c>
      <c r="C2" s="139" t="s">
        <v>8086</v>
      </c>
    </row>
    <row r="3" spans="1:6">
      <c r="A3" s="139" t="s">
        <v>8087</v>
      </c>
      <c r="B3" s="140" t="s">
        <v>8085</v>
      </c>
      <c r="C3" s="139" t="s">
        <v>8086</v>
      </c>
    </row>
    <row r="4" spans="1:6">
      <c r="A4" s="139" t="s">
        <v>8088</v>
      </c>
      <c r="B4" s="140" t="s">
        <v>8085</v>
      </c>
      <c r="C4" s="139" t="s">
        <v>8086</v>
      </c>
    </row>
    <row r="5" spans="1:6">
      <c r="A5" s="139" t="s">
        <v>8089</v>
      </c>
      <c r="B5" s="140" t="s">
        <v>8085</v>
      </c>
      <c r="C5" s="139" t="s">
        <v>8086</v>
      </c>
    </row>
    <row r="6" spans="1:6">
      <c r="A6" s="139" t="s">
        <v>8090</v>
      </c>
      <c r="B6" s="140" t="s">
        <v>8085</v>
      </c>
      <c r="C6" s="139" t="s">
        <v>8086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Id="1" sqref="A2:B2 A1"/>
    </sheetView>
  </sheetViews>
  <sheetFormatPr baseColWidth="10" defaultColWidth="10.7109375" defaultRowHeight="12"/>
  <cols>
    <col min="1" max="1" width="9.28515625" style="146" customWidth="1"/>
    <col min="2" max="2" width="10.42578125" style="146" customWidth="1"/>
    <col min="3" max="3" width="11" style="146" customWidth="1"/>
  </cols>
  <sheetData>
    <row r="1" spans="1:3" s="148" customFormat="1">
      <c r="A1" s="147" t="s">
        <v>197</v>
      </c>
      <c r="B1" s="147" t="s">
        <v>198</v>
      </c>
      <c r="C1" s="147" t="s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topLeftCell="A154" zoomScale="89" zoomScaleNormal="89" workbookViewId="0">
      <selection activeCellId="1" sqref="A2:B2 A1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49" t="s">
        <v>110</v>
      </c>
      <c r="B1" s="149" t="s">
        <v>252</v>
      </c>
      <c r="C1" s="149" t="s">
        <v>113</v>
      </c>
      <c r="D1" s="149" t="s">
        <v>26</v>
      </c>
      <c r="E1" s="149" t="s">
        <v>49</v>
      </c>
    </row>
    <row r="2" spans="1:5">
      <c r="A2" s="149" t="s">
        <v>253</v>
      </c>
      <c r="B2" s="149" t="s">
        <v>254</v>
      </c>
      <c r="C2" s="149" t="s">
        <v>255</v>
      </c>
      <c r="D2" s="149" t="s">
        <v>256</v>
      </c>
      <c r="E2" s="149" t="s">
        <v>257</v>
      </c>
    </row>
    <row r="3" spans="1:5">
      <c r="A3" s="149" t="s">
        <v>258</v>
      </c>
      <c r="B3" s="149" t="s">
        <v>259</v>
      </c>
      <c r="C3" s="149" t="s">
        <v>260</v>
      </c>
      <c r="D3" s="149" t="s">
        <v>261</v>
      </c>
      <c r="E3" s="149" t="s">
        <v>262</v>
      </c>
    </row>
    <row r="4" spans="1:5">
      <c r="A4" s="149" t="s">
        <v>263</v>
      </c>
      <c r="B4" s="149" t="s">
        <v>264</v>
      </c>
      <c r="C4" s="149" t="s">
        <v>265</v>
      </c>
      <c r="D4" s="149" t="s">
        <v>266</v>
      </c>
      <c r="E4" s="149" t="s">
        <v>267</v>
      </c>
    </row>
    <row r="5" spans="1:5">
      <c r="A5" s="149" t="s">
        <v>268</v>
      </c>
      <c r="B5" s="149" t="s">
        <v>269</v>
      </c>
      <c r="C5" s="149" t="s">
        <v>270</v>
      </c>
      <c r="D5" s="149" t="s">
        <v>271</v>
      </c>
      <c r="E5" s="149" t="s">
        <v>272</v>
      </c>
    </row>
    <row r="6" spans="1:5">
      <c r="A6" s="149" t="s">
        <v>273</v>
      </c>
      <c r="B6" s="149" t="s">
        <v>274</v>
      </c>
      <c r="C6" s="149" t="s">
        <v>275</v>
      </c>
      <c r="D6" s="149" t="s">
        <v>276</v>
      </c>
      <c r="E6" s="149" t="s">
        <v>62</v>
      </c>
    </row>
    <row r="7" spans="1:5">
      <c r="A7" s="149" t="s">
        <v>277</v>
      </c>
      <c r="B7" s="149" t="s">
        <v>278</v>
      </c>
      <c r="C7" s="149" t="s">
        <v>279</v>
      </c>
      <c r="D7" s="149" t="s">
        <v>280</v>
      </c>
      <c r="E7" s="149" t="s">
        <v>281</v>
      </c>
    </row>
    <row r="8" spans="1:5">
      <c r="A8" s="149" t="s">
        <v>282</v>
      </c>
      <c r="B8" s="149" t="s">
        <v>283</v>
      </c>
      <c r="C8" s="149" t="s">
        <v>284</v>
      </c>
      <c r="D8" s="149" t="s">
        <v>285</v>
      </c>
      <c r="E8" s="149" t="s">
        <v>286</v>
      </c>
    </row>
    <row r="9" spans="1:5">
      <c r="A9" s="149" t="s">
        <v>287</v>
      </c>
      <c r="B9" s="149" t="s">
        <v>288</v>
      </c>
      <c r="C9" s="149" t="s">
        <v>289</v>
      </c>
      <c r="D9" s="149" t="s">
        <v>290</v>
      </c>
      <c r="E9" s="149" t="s">
        <v>291</v>
      </c>
    </row>
    <row r="10" spans="1:5">
      <c r="A10" s="149" t="s">
        <v>292</v>
      </c>
      <c r="B10" s="149" t="s">
        <v>293</v>
      </c>
      <c r="C10" s="149" t="s">
        <v>294</v>
      </c>
      <c r="D10" s="149" t="s">
        <v>295</v>
      </c>
      <c r="E10" s="149" t="s">
        <v>296</v>
      </c>
    </row>
    <row r="11" spans="1:5">
      <c r="A11" s="149" t="s">
        <v>297</v>
      </c>
      <c r="B11" s="149" t="s">
        <v>298</v>
      </c>
      <c r="C11" s="149" t="s">
        <v>299</v>
      </c>
      <c r="D11" s="149" t="s">
        <v>300</v>
      </c>
      <c r="E11" s="149" t="s">
        <v>301</v>
      </c>
    </row>
    <row r="12" spans="1:5">
      <c r="A12" s="149" t="s">
        <v>302</v>
      </c>
      <c r="B12" s="149" t="s">
        <v>303</v>
      </c>
      <c r="C12" s="149" t="s">
        <v>304</v>
      </c>
      <c r="D12" s="149" t="s">
        <v>305</v>
      </c>
      <c r="E12" s="149" t="s">
        <v>306</v>
      </c>
    </row>
    <row r="13" spans="1:5">
      <c r="A13" s="149" t="s">
        <v>307</v>
      </c>
      <c r="B13" s="149" t="s">
        <v>308</v>
      </c>
      <c r="C13" s="149" t="s">
        <v>309</v>
      </c>
      <c r="D13" s="149" t="s">
        <v>310</v>
      </c>
      <c r="E13" s="149" t="s">
        <v>311</v>
      </c>
    </row>
    <row r="14" spans="1:5">
      <c r="A14" s="149" t="s">
        <v>312</v>
      </c>
      <c r="B14" s="149" t="s">
        <v>313</v>
      </c>
      <c r="C14" s="149" t="s">
        <v>314</v>
      </c>
      <c r="D14" s="149" t="s">
        <v>315</v>
      </c>
      <c r="E14" s="149" t="s">
        <v>316</v>
      </c>
    </row>
    <row r="15" spans="1:5">
      <c r="A15" s="149" t="s">
        <v>317</v>
      </c>
      <c r="B15" s="149" t="s">
        <v>318</v>
      </c>
      <c r="C15" s="149" t="s">
        <v>319</v>
      </c>
      <c r="D15" s="149" t="s">
        <v>320</v>
      </c>
      <c r="E15" s="149" t="s">
        <v>321</v>
      </c>
    </row>
    <row r="16" spans="1:5">
      <c r="A16" s="149" t="s">
        <v>322</v>
      </c>
      <c r="B16" s="149" t="s">
        <v>323</v>
      </c>
      <c r="C16" s="149" t="s">
        <v>324</v>
      </c>
      <c r="D16" s="149" t="s">
        <v>325</v>
      </c>
      <c r="E16" s="149" t="s">
        <v>326</v>
      </c>
    </row>
    <row r="17" spans="1:5">
      <c r="A17" s="149" t="s">
        <v>327</v>
      </c>
      <c r="B17" s="149" t="s">
        <v>328</v>
      </c>
      <c r="C17" s="149" t="s">
        <v>329</v>
      </c>
      <c r="D17" s="149" t="s">
        <v>330</v>
      </c>
      <c r="E17" s="149" t="s">
        <v>331</v>
      </c>
    </row>
    <row r="18" spans="1:5">
      <c r="A18" s="149" t="s">
        <v>332</v>
      </c>
      <c r="B18" s="149" t="s">
        <v>333</v>
      </c>
      <c r="C18" s="149" t="s">
        <v>334</v>
      </c>
      <c r="D18" s="149" t="s">
        <v>335</v>
      </c>
      <c r="E18" s="149" t="s">
        <v>336</v>
      </c>
    </row>
    <row r="19" spans="1:5">
      <c r="A19" s="149" t="s">
        <v>337</v>
      </c>
      <c r="B19" s="149" t="s">
        <v>338</v>
      </c>
      <c r="C19" s="149" t="s">
        <v>339</v>
      </c>
      <c r="D19" s="149" t="s">
        <v>340</v>
      </c>
      <c r="E19" s="149" t="s">
        <v>341</v>
      </c>
    </row>
    <row r="20" spans="1:5">
      <c r="A20" s="149" t="s">
        <v>342</v>
      </c>
      <c r="B20" s="149" t="s">
        <v>343</v>
      </c>
      <c r="C20" s="149" t="s">
        <v>344</v>
      </c>
      <c r="D20" s="149" t="s">
        <v>345</v>
      </c>
      <c r="E20" s="149" t="s">
        <v>346</v>
      </c>
    </row>
    <row r="21" spans="1:5">
      <c r="A21" s="149" t="s">
        <v>347</v>
      </c>
      <c r="B21" s="149" t="s">
        <v>348</v>
      </c>
      <c r="C21" s="149" t="s">
        <v>349</v>
      </c>
      <c r="D21" s="149" t="s">
        <v>350</v>
      </c>
      <c r="E21" s="149" t="s">
        <v>351</v>
      </c>
    </row>
    <row r="22" spans="1:5">
      <c r="A22" s="149" t="s">
        <v>352</v>
      </c>
      <c r="B22" s="149" t="s">
        <v>353</v>
      </c>
      <c r="D22" s="149" t="s">
        <v>354</v>
      </c>
      <c r="E22" s="149" t="s">
        <v>355</v>
      </c>
    </row>
    <row r="23" spans="1:5">
      <c r="A23" s="149" t="s">
        <v>356</v>
      </c>
      <c r="B23" s="149" t="s">
        <v>357</v>
      </c>
      <c r="D23" s="149" t="s">
        <v>358</v>
      </c>
      <c r="E23" s="149" t="s">
        <v>359</v>
      </c>
    </row>
    <row r="24" spans="1:5">
      <c r="A24" s="149" t="s">
        <v>360</v>
      </c>
      <c r="B24" s="149" t="s">
        <v>361</v>
      </c>
      <c r="D24" s="149" t="s">
        <v>362</v>
      </c>
      <c r="E24" s="149" t="s">
        <v>363</v>
      </c>
    </row>
    <row r="25" spans="1:5">
      <c r="A25" s="149" t="s">
        <v>364</v>
      </c>
      <c r="B25" s="149" t="s">
        <v>365</v>
      </c>
      <c r="D25" s="149" t="s">
        <v>366</v>
      </c>
    </row>
    <row r="26" spans="1:5">
      <c r="A26" s="149" t="s">
        <v>367</v>
      </c>
      <c r="B26" s="149" t="s">
        <v>368</v>
      </c>
      <c r="D26" s="149" t="s">
        <v>369</v>
      </c>
    </row>
    <row r="27" spans="1:5">
      <c r="A27" s="149" t="s">
        <v>370</v>
      </c>
      <c r="B27" s="149" t="s">
        <v>371</v>
      </c>
      <c r="D27" s="149" t="s">
        <v>372</v>
      </c>
    </row>
    <row r="28" spans="1:5">
      <c r="A28" s="149" t="s">
        <v>373</v>
      </c>
      <c r="B28" s="149" t="s">
        <v>374</v>
      </c>
      <c r="D28" s="149" t="s">
        <v>375</v>
      </c>
    </row>
    <row r="29" spans="1:5">
      <c r="A29" s="149" t="s">
        <v>376</v>
      </c>
      <c r="B29" s="149" t="s">
        <v>377</v>
      </c>
      <c r="D29" s="149" t="s">
        <v>378</v>
      </c>
    </row>
    <row r="30" spans="1:5">
      <c r="A30" s="149" t="s">
        <v>379</v>
      </c>
      <c r="B30" s="149" t="s">
        <v>380</v>
      </c>
      <c r="D30" s="149" t="s">
        <v>381</v>
      </c>
    </row>
    <row r="31" spans="1:5">
      <c r="A31" s="149" t="s">
        <v>382</v>
      </c>
      <c r="B31" s="149" t="s">
        <v>383</v>
      </c>
      <c r="D31" s="149" t="s">
        <v>384</v>
      </c>
    </row>
    <row r="32" spans="1:5">
      <c r="A32" s="149" t="s">
        <v>385</v>
      </c>
      <c r="B32" s="149" t="s">
        <v>386</v>
      </c>
      <c r="D32" s="149" t="s">
        <v>387</v>
      </c>
    </row>
    <row r="33" spans="1:4">
      <c r="A33" s="149" t="s">
        <v>388</v>
      </c>
      <c r="B33" s="149" t="s">
        <v>389</v>
      </c>
      <c r="D33" s="149" t="s">
        <v>390</v>
      </c>
    </row>
    <row r="34" spans="1:4">
      <c r="A34" s="149" t="s">
        <v>391</v>
      </c>
      <c r="B34" s="149" t="s">
        <v>392</v>
      </c>
      <c r="D34" s="149" t="s">
        <v>393</v>
      </c>
    </row>
    <row r="35" spans="1:4">
      <c r="A35" s="149" t="s">
        <v>394</v>
      </c>
      <c r="B35" s="149" t="s">
        <v>395</v>
      </c>
      <c r="D35" s="149" t="s">
        <v>396</v>
      </c>
    </row>
    <row r="36" spans="1:4">
      <c r="A36" s="149" t="s">
        <v>397</v>
      </c>
      <c r="B36" s="149" t="s">
        <v>398</v>
      </c>
      <c r="D36" s="149" t="s">
        <v>399</v>
      </c>
    </row>
    <row r="37" spans="1:4">
      <c r="A37" s="149" t="s">
        <v>400</v>
      </c>
      <c r="B37" s="149" t="s">
        <v>401</v>
      </c>
      <c r="D37" s="149" t="s">
        <v>402</v>
      </c>
    </row>
    <row r="38" spans="1:4">
      <c r="A38" s="149" t="s">
        <v>403</v>
      </c>
      <c r="B38" s="149" t="s">
        <v>404</v>
      </c>
      <c r="D38" s="149" t="s">
        <v>405</v>
      </c>
    </row>
    <row r="39" spans="1:4">
      <c r="A39" s="149" t="s">
        <v>406</v>
      </c>
      <c r="B39" s="149" t="s">
        <v>407</v>
      </c>
      <c r="D39" s="149" t="s">
        <v>408</v>
      </c>
    </row>
    <row r="40" spans="1:4">
      <c r="A40" s="149" t="s">
        <v>409</v>
      </c>
      <c r="B40" s="149" t="s">
        <v>410</v>
      </c>
      <c r="D40" s="149" t="s">
        <v>411</v>
      </c>
    </row>
    <row r="41" spans="1:4">
      <c r="A41" s="149" t="s">
        <v>412</v>
      </c>
      <c r="B41" s="149" t="s">
        <v>413</v>
      </c>
      <c r="D41" s="149" t="s">
        <v>414</v>
      </c>
    </row>
    <row r="42" spans="1:4">
      <c r="A42" s="149" t="s">
        <v>415</v>
      </c>
      <c r="B42" s="149" t="s">
        <v>416</v>
      </c>
      <c r="D42" s="149" t="s">
        <v>417</v>
      </c>
    </row>
    <row r="43" spans="1:4">
      <c r="A43" s="149" t="s">
        <v>418</v>
      </c>
      <c r="B43" s="149" t="s">
        <v>419</v>
      </c>
      <c r="D43" s="149" t="s">
        <v>420</v>
      </c>
    </row>
    <row r="44" spans="1:4">
      <c r="A44" s="149" t="s">
        <v>421</v>
      </c>
      <c r="B44" s="149" t="s">
        <v>422</v>
      </c>
      <c r="D44" s="149" t="s">
        <v>423</v>
      </c>
    </row>
    <row r="45" spans="1:4">
      <c r="A45" s="149" t="s">
        <v>424</v>
      </c>
      <c r="B45" s="149" t="s">
        <v>425</v>
      </c>
      <c r="D45" s="149" t="s">
        <v>426</v>
      </c>
    </row>
    <row r="46" spans="1:4">
      <c r="A46" s="149" t="s">
        <v>427</v>
      </c>
      <c r="B46" s="149" t="s">
        <v>428</v>
      </c>
      <c r="D46" s="149" t="s">
        <v>429</v>
      </c>
    </row>
    <row r="47" spans="1:4">
      <c r="A47" s="149" t="s">
        <v>430</v>
      </c>
      <c r="B47" s="149" t="s">
        <v>431</v>
      </c>
      <c r="D47" s="149" t="s">
        <v>432</v>
      </c>
    </row>
    <row r="48" spans="1:4">
      <c r="A48" s="149" t="s">
        <v>433</v>
      </c>
      <c r="B48" s="149" t="s">
        <v>434</v>
      </c>
      <c r="D48" s="149" t="s">
        <v>435</v>
      </c>
    </row>
    <row r="49" spans="1:4">
      <c r="A49" s="149" t="s">
        <v>436</v>
      </c>
      <c r="B49" s="149" t="s">
        <v>437</v>
      </c>
      <c r="D49" s="149" t="s">
        <v>438</v>
      </c>
    </row>
    <row r="50" spans="1:4">
      <c r="A50" s="149" t="s">
        <v>439</v>
      </c>
      <c r="B50" s="149" t="s">
        <v>440</v>
      </c>
      <c r="D50" s="149" t="s">
        <v>441</v>
      </c>
    </row>
    <row r="51" spans="1:4">
      <c r="A51" s="149" t="s">
        <v>442</v>
      </c>
      <c r="B51" s="149" t="s">
        <v>443</v>
      </c>
      <c r="D51" s="149" t="s">
        <v>444</v>
      </c>
    </row>
    <row r="52" spans="1:4">
      <c r="A52" s="149" t="s">
        <v>445</v>
      </c>
      <c r="B52" s="149" t="s">
        <v>446</v>
      </c>
      <c r="D52" s="149" t="s">
        <v>447</v>
      </c>
    </row>
    <row r="53" spans="1:4">
      <c r="A53" s="149" t="s">
        <v>448</v>
      </c>
      <c r="B53" s="149" t="s">
        <v>449</v>
      </c>
      <c r="D53" s="149" t="s">
        <v>450</v>
      </c>
    </row>
    <row r="54" spans="1:4">
      <c r="A54" s="149" t="s">
        <v>451</v>
      </c>
      <c r="B54" s="149" t="s">
        <v>452</v>
      </c>
      <c r="D54" s="149" t="s">
        <v>453</v>
      </c>
    </row>
    <row r="55" spans="1:4">
      <c r="A55" s="149" t="s">
        <v>454</v>
      </c>
      <c r="B55" s="149" t="s">
        <v>455</v>
      </c>
      <c r="D55" s="149" t="s">
        <v>456</v>
      </c>
    </row>
    <row r="56" spans="1:4">
      <c r="A56" s="149" t="s">
        <v>457</v>
      </c>
      <c r="B56" s="149" t="s">
        <v>458</v>
      </c>
      <c r="D56" s="149" t="s">
        <v>459</v>
      </c>
    </row>
    <row r="57" spans="1:4">
      <c r="A57" s="149" t="s">
        <v>460</v>
      </c>
      <c r="B57" s="149" t="s">
        <v>461</v>
      </c>
      <c r="D57" s="149" t="s">
        <v>462</v>
      </c>
    </row>
    <row r="58" spans="1:4">
      <c r="A58" s="149" t="s">
        <v>463</v>
      </c>
      <c r="B58" s="149" t="s">
        <v>464</v>
      </c>
      <c r="D58" s="149" t="s">
        <v>465</v>
      </c>
    </row>
    <row r="59" spans="1:4">
      <c r="A59" s="149" t="s">
        <v>466</v>
      </c>
      <c r="B59" s="149" t="s">
        <v>467</v>
      </c>
      <c r="D59" s="149" t="s">
        <v>468</v>
      </c>
    </row>
    <row r="60" spans="1:4">
      <c r="A60" s="149" t="s">
        <v>469</v>
      </c>
      <c r="B60" s="149" t="s">
        <v>470</v>
      </c>
      <c r="D60" s="149" t="s">
        <v>471</v>
      </c>
    </row>
    <row r="61" spans="1:4">
      <c r="A61" s="149" t="s">
        <v>472</v>
      </c>
      <c r="B61" s="149" t="s">
        <v>473</v>
      </c>
      <c r="D61" s="149" t="s">
        <v>474</v>
      </c>
    </row>
    <row r="62" spans="1:4">
      <c r="A62" s="149" t="s">
        <v>475</v>
      </c>
      <c r="B62" s="149" t="s">
        <v>476</v>
      </c>
      <c r="D62" s="149" t="s">
        <v>477</v>
      </c>
    </row>
    <row r="63" spans="1:4">
      <c r="A63" s="149" t="s">
        <v>478</v>
      </c>
      <c r="B63" s="149" t="s">
        <v>479</v>
      </c>
      <c r="D63" s="149" t="s">
        <v>480</v>
      </c>
    </row>
    <row r="64" spans="1:4">
      <c r="A64" s="149" t="s">
        <v>481</v>
      </c>
      <c r="B64" s="149" t="s">
        <v>482</v>
      </c>
      <c r="D64" s="149" t="s">
        <v>483</v>
      </c>
    </row>
    <row r="65" spans="1:4">
      <c r="A65" s="149" t="s">
        <v>484</v>
      </c>
      <c r="B65" s="149" t="s">
        <v>485</v>
      </c>
      <c r="D65" s="149" t="s">
        <v>486</v>
      </c>
    </row>
    <row r="66" spans="1:4">
      <c r="A66" s="149" t="s">
        <v>487</v>
      </c>
      <c r="B66" s="149" t="s">
        <v>488</v>
      </c>
      <c r="D66" s="149" t="s">
        <v>489</v>
      </c>
    </row>
    <row r="67" spans="1:4">
      <c r="A67" s="149" t="s">
        <v>490</v>
      </c>
      <c r="B67" s="149" t="s">
        <v>491</v>
      </c>
      <c r="D67" s="149" t="s">
        <v>492</v>
      </c>
    </row>
    <row r="68" spans="1:4">
      <c r="A68" s="149" t="s">
        <v>493</v>
      </c>
      <c r="B68" s="149" t="s">
        <v>494</v>
      </c>
      <c r="D68" s="149" t="s">
        <v>495</v>
      </c>
    </row>
    <row r="69" spans="1:4">
      <c r="A69" s="149" t="s">
        <v>496</v>
      </c>
      <c r="B69" s="149" t="s">
        <v>497</v>
      </c>
      <c r="D69" s="149" t="s">
        <v>498</v>
      </c>
    </row>
    <row r="70" spans="1:4">
      <c r="A70" s="149" t="s">
        <v>499</v>
      </c>
      <c r="B70" s="149" t="s">
        <v>500</v>
      </c>
      <c r="D70" s="149" t="s">
        <v>501</v>
      </c>
    </row>
    <row r="71" spans="1:4">
      <c r="A71" s="149" t="s">
        <v>502</v>
      </c>
      <c r="B71" s="149" t="s">
        <v>503</v>
      </c>
      <c r="D71" s="149" t="s">
        <v>504</v>
      </c>
    </row>
    <row r="72" spans="1:4">
      <c r="A72" s="149" t="s">
        <v>505</v>
      </c>
      <c r="B72" s="149" t="s">
        <v>506</v>
      </c>
      <c r="D72" s="149" t="s">
        <v>507</v>
      </c>
    </row>
    <row r="73" spans="1:4">
      <c r="A73" s="149" t="s">
        <v>508</v>
      </c>
      <c r="B73" s="149" t="s">
        <v>509</v>
      </c>
      <c r="D73" s="149" t="s">
        <v>510</v>
      </c>
    </row>
    <row r="74" spans="1:4">
      <c r="A74" s="149" t="s">
        <v>511</v>
      </c>
      <c r="B74" s="149" t="s">
        <v>512</v>
      </c>
      <c r="D74" s="149" t="s">
        <v>513</v>
      </c>
    </row>
    <row r="75" spans="1:4">
      <c r="A75" s="149" t="s">
        <v>514</v>
      </c>
      <c r="B75" s="149" t="s">
        <v>515</v>
      </c>
      <c r="D75" s="149" t="s">
        <v>516</v>
      </c>
    </row>
    <row r="76" spans="1:4">
      <c r="A76" s="149" t="s">
        <v>223</v>
      </c>
      <c r="B76" s="149" t="s">
        <v>517</v>
      </c>
      <c r="D76" s="149" t="s">
        <v>518</v>
      </c>
    </row>
    <row r="77" spans="1:4">
      <c r="A77" s="149" t="s">
        <v>519</v>
      </c>
      <c r="B77" s="149" t="s">
        <v>520</v>
      </c>
      <c r="D77" s="149" t="s">
        <v>521</v>
      </c>
    </row>
    <row r="78" spans="1:4">
      <c r="A78" s="149" t="s">
        <v>522</v>
      </c>
      <c r="B78" s="149" t="s">
        <v>523</v>
      </c>
      <c r="D78" s="149" t="s">
        <v>524</v>
      </c>
    </row>
    <row r="79" spans="1:4">
      <c r="A79" s="149" t="s">
        <v>525</v>
      </c>
      <c r="B79" s="149" t="s">
        <v>526</v>
      </c>
      <c r="D79" s="149" t="s">
        <v>527</v>
      </c>
    </row>
    <row r="80" spans="1:4">
      <c r="A80" s="149" t="s">
        <v>528</v>
      </c>
      <c r="B80" s="149" t="s">
        <v>529</v>
      </c>
      <c r="D80" s="149" t="s">
        <v>530</v>
      </c>
    </row>
    <row r="81" spans="1:4">
      <c r="A81" s="149" t="s">
        <v>531</v>
      </c>
      <c r="B81" s="149" t="s">
        <v>532</v>
      </c>
      <c r="D81" s="149" t="s">
        <v>533</v>
      </c>
    </row>
    <row r="82" spans="1:4">
      <c r="A82" s="149" t="s">
        <v>534</v>
      </c>
      <c r="B82" s="149" t="s">
        <v>535</v>
      </c>
      <c r="D82" s="149" t="s">
        <v>536</v>
      </c>
    </row>
    <row r="83" spans="1:4">
      <c r="A83" s="149" t="s">
        <v>537</v>
      </c>
      <c r="B83" s="149" t="s">
        <v>538</v>
      </c>
      <c r="D83" s="149" t="s">
        <v>539</v>
      </c>
    </row>
    <row r="84" spans="1:4">
      <c r="A84" s="149" t="s">
        <v>540</v>
      </c>
      <c r="B84" s="149" t="s">
        <v>541</v>
      </c>
      <c r="D84" s="149" t="s">
        <v>542</v>
      </c>
    </row>
    <row r="85" spans="1:4">
      <c r="A85" s="149" t="s">
        <v>543</v>
      </c>
      <c r="B85" s="149" t="s">
        <v>544</v>
      </c>
      <c r="D85" s="149" t="s">
        <v>545</v>
      </c>
    </row>
    <row r="86" spans="1:4">
      <c r="A86" s="149" t="s">
        <v>546</v>
      </c>
      <c r="B86" s="149" t="s">
        <v>547</v>
      </c>
      <c r="D86" s="149" t="s">
        <v>548</v>
      </c>
    </row>
    <row r="87" spans="1:4">
      <c r="A87" s="149" t="s">
        <v>549</v>
      </c>
      <c r="B87" s="149" t="s">
        <v>550</v>
      </c>
      <c r="D87" s="149" t="s">
        <v>551</v>
      </c>
    </row>
    <row r="88" spans="1:4">
      <c r="A88" s="149" t="s">
        <v>552</v>
      </c>
      <c r="B88" s="149" t="s">
        <v>553</v>
      </c>
      <c r="D88" s="149" t="s">
        <v>554</v>
      </c>
    </row>
    <row r="89" spans="1:4">
      <c r="A89" s="149" t="s">
        <v>555</v>
      </c>
      <c r="B89" s="149" t="s">
        <v>556</v>
      </c>
      <c r="D89" s="149" t="s">
        <v>557</v>
      </c>
    </row>
    <row r="90" spans="1:4">
      <c r="A90" s="149" t="s">
        <v>558</v>
      </c>
      <c r="B90" s="149" t="s">
        <v>559</v>
      </c>
      <c r="D90" s="149" t="s">
        <v>560</v>
      </c>
    </row>
    <row r="91" spans="1:4">
      <c r="A91" s="149" t="s">
        <v>561</v>
      </c>
      <c r="B91" s="149" t="s">
        <v>562</v>
      </c>
      <c r="D91" s="149" t="s">
        <v>563</v>
      </c>
    </row>
    <row r="92" spans="1:4">
      <c r="A92" s="149" t="s">
        <v>564</v>
      </c>
      <c r="B92" s="149" t="s">
        <v>565</v>
      </c>
      <c r="D92" s="149" t="s">
        <v>566</v>
      </c>
    </row>
    <row r="93" spans="1:4">
      <c r="A93" s="149" t="s">
        <v>567</v>
      </c>
      <c r="B93" s="149" t="s">
        <v>568</v>
      </c>
      <c r="D93" s="149" t="s">
        <v>569</v>
      </c>
    </row>
    <row r="94" spans="1:4">
      <c r="A94" s="149" t="s">
        <v>570</v>
      </c>
      <c r="B94" s="149" t="s">
        <v>571</v>
      </c>
      <c r="D94" s="149" t="s">
        <v>572</v>
      </c>
    </row>
    <row r="95" spans="1:4">
      <c r="A95" s="149" t="s">
        <v>573</v>
      </c>
      <c r="B95" s="149" t="s">
        <v>574</v>
      </c>
      <c r="D95" s="149" t="s">
        <v>83</v>
      </c>
    </row>
    <row r="96" spans="1:4">
      <c r="A96" s="149" t="s">
        <v>575</v>
      </c>
      <c r="B96" s="149" t="s">
        <v>576</v>
      </c>
      <c r="D96" s="149" t="s">
        <v>577</v>
      </c>
    </row>
    <row r="97" spans="1:4">
      <c r="A97" s="149" t="s">
        <v>578</v>
      </c>
      <c r="B97" s="149" t="s">
        <v>579</v>
      </c>
      <c r="D97" s="149" t="s">
        <v>580</v>
      </c>
    </row>
    <row r="98" spans="1:4">
      <c r="A98" s="149" t="s">
        <v>581</v>
      </c>
      <c r="B98" s="149" t="s">
        <v>582</v>
      </c>
      <c r="D98" s="149" t="s">
        <v>583</v>
      </c>
    </row>
    <row r="99" spans="1:4">
      <c r="A99" s="149" t="s">
        <v>584</v>
      </c>
      <c r="B99" s="149" t="s">
        <v>585</v>
      </c>
      <c r="D99" s="149" t="s">
        <v>586</v>
      </c>
    </row>
    <row r="100" spans="1:4">
      <c r="A100" s="149" t="s">
        <v>587</v>
      </c>
      <c r="B100" s="149" t="s">
        <v>588</v>
      </c>
      <c r="D100" s="149" t="s">
        <v>589</v>
      </c>
    </row>
    <row r="101" spans="1:4">
      <c r="A101" s="149" t="s">
        <v>590</v>
      </c>
      <c r="B101" s="149" t="s">
        <v>591</v>
      </c>
      <c r="D101" s="149" t="s">
        <v>592</v>
      </c>
    </row>
    <row r="102" spans="1:4">
      <c r="A102" s="149" t="s">
        <v>593</v>
      </c>
      <c r="B102" s="149" t="s">
        <v>594</v>
      </c>
      <c r="D102" s="149" t="s">
        <v>595</v>
      </c>
    </row>
    <row r="103" spans="1:4">
      <c r="A103" s="149" t="s">
        <v>596</v>
      </c>
      <c r="B103" s="149" t="s">
        <v>597</v>
      </c>
      <c r="D103" s="149" t="s">
        <v>598</v>
      </c>
    </row>
    <row r="104" spans="1:4">
      <c r="A104" s="149" t="s">
        <v>599</v>
      </c>
      <c r="B104" s="149" t="s">
        <v>600</v>
      </c>
      <c r="D104" s="149" t="s">
        <v>601</v>
      </c>
    </row>
    <row r="105" spans="1:4">
      <c r="A105" s="149" t="s">
        <v>602</v>
      </c>
      <c r="B105" s="149" t="s">
        <v>603</v>
      </c>
      <c r="D105" s="149" t="s">
        <v>604</v>
      </c>
    </row>
    <row r="106" spans="1:4">
      <c r="A106" s="149" t="s">
        <v>605</v>
      </c>
      <c r="B106" s="149" t="s">
        <v>606</v>
      </c>
      <c r="D106" s="149" t="s">
        <v>607</v>
      </c>
    </row>
    <row r="107" spans="1:4">
      <c r="A107" s="149" t="s">
        <v>608</v>
      </c>
      <c r="B107" s="149" t="s">
        <v>609</v>
      </c>
      <c r="D107" s="149" t="s">
        <v>610</v>
      </c>
    </row>
    <row r="108" spans="1:4">
      <c r="A108" s="149" t="s">
        <v>611</v>
      </c>
      <c r="B108" s="149" t="s">
        <v>612</v>
      </c>
      <c r="D108" s="149" t="s">
        <v>613</v>
      </c>
    </row>
    <row r="109" spans="1:4">
      <c r="A109" s="149" t="s">
        <v>614</v>
      </c>
      <c r="B109" s="149" t="s">
        <v>615</v>
      </c>
      <c r="D109" s="149" t="s">
        <v>616</v>
      </c>
    </row>
    <row r="110" spans="1:4">
      <c r="A110" s="149" t="s">
        <v>617</v>
      </c>
      <c r="B110" s="149" t="s">
        <v>618</v>
      </c>
      <c r="D110" s="149" t="s">
        <v>619</v>
      </c>
    </row>
    <row r="111" spans="1:4">
      <c r="A111" s="149" t="s">
        <v>620</v>
      </c>
      <c r="B111" s="149" t="s">
        <v>621</v>
      </c>
      <c r="D111" s="149" t="s">
        <v>622</v>
      </c>
    </row>
    <row r="112" spans="1:4">
      <c r="A112" s="149" t="s">
        <v>623</v>
      </c>
      <c r="B112" s="149" t="s">
        <v>624</v>
      </c>
      <c r="D112" s="149" t="s">
        <v>625</v>
      </c>
    </row>
    <row r="113" spans="1:4">
      <c r="A113" s="149" t="s">
        <v>626</v>
      </c>
      <c r="B113" s="149" t="s">
        <v>627</v>
      </c>
      <c r="D113" s="149" t="s">
        <v>628</v>
      </c>
    </row>
    <row r="114" spans="1:4">
      <c r="A114" s="149" t="s">
        <v>629</v>
      </c>
      <c r="B114" s="149" t="s">
        <v>630</v>
      </c>
      <c r="D114" s="149" t="s">
        <v>631</v>
      </c>
    </row>
    <row r="115" spans="1:4">
      <c r="A115" s="149" t="s">
        <v>632</v>
      </c>
      <c r="B115" s="149" t="s">
        <v>633</v>
      </c>
      <c r="D115" s="149" t="s">
        <v>634</v>
      </c>
    </row>
    <row r="116" spans="1:4">
      <c r="A116" s="149" t="s">
        <v>635</v>
      </c>
      <c r="B116" s="149" t="s">
        <v>636</v>
      </c>
      <c r="D116" s="149" t="s">
        <v>637</v>
      </c>
    </row>
    <row r="117" spans="1:4">
      <c r="A117" s="149" t="s">
        <v>638</v>
      </c>
      <c r="B117" s="149" t="s">
        <v>639</v>
      </c>
      <c r="D117" s="149" t="s">
        <v>640</v>
      </c>
    </row>
    <row r="118" spans="1:4">
      <c r="A118" s="149" t="s">
        <v>641</v>
      </c>
      <c r="B118" s="149" t="s">
        <v>642</v>
      </c>
      <c r="D118" s="149" t="s">
        <v>643</v>
      </c>
    </row>
    <row r="119" spans="1:4">
      <c r="A119" s="149" t="s">
        <v>644</v>
      </c>
      <c r="B119" s="149" t="s">
        <v>645</v>
      </c>
      <c r="D119" s="149" t="s">
        <v>646</v>
      </c>
    </row>
    <row r="120" spans="1:4">
      <c r="A120" s="149" t="s">
        <v>647</v>
      </c>
      <c r="B120" s="149" t="s">
        <v>648</v>
      </c>
      <c r="D120" s="149" t="s">
        <v>649</v>
      </c>
    </row>
    <row r="121" spans="1:4">
      <c r="A121" s="149" t="s">
        <v>650</v>
      </c>
      <c r="B121" s="149" t="s">
        <v>651</v>
      </c>
      <c r="D121" s="149" t="s">
        <v>652</v>
      </c>
    </row>
    <row r="122" spans="1:4">
      <c r="A122" s="149" t="s">
        <v>653</v>
      </c>
      <c r="B122" s="149" t="s">
        <v>654</v>
      </c>
      <c r="D122" s="149" t="s">
        <v>655</v>
      </c>
    </row>
    <row r="123" spans="1:4">
      <c r="A123" s="149" t="s">
        <v>656</v>
      </c>
      <c r="B123" s="149" t="s">
        <v>657</v>
      </c>
      <c r="D123" s="149" t="s">
        <v>658</v>
      </c>
    </row>
    <row r="124" spans="1:4">
      <c r="A124" s="149" t="s">
        <v>659</v>
      </c>
      <c r="B124" s="149" t="s">
        <v>660</v>
      </c>
      <c r="D124" s="149" t="s">
        <v>661</v>
      </c>
    </row>
    <row r="125" spans="1:4">
      <c r="A125" s="149" t="s">
        <v>662</v>
      </c>
      <c r="B125" s="149" t="s">
        <v>663</v>
      </c>
      <c r="D125" s="149" t="s">
        <v>664</v>
      </c>
    </row>
    <row r="126" spans="1:4">
      <c r="A126" s="149" t="s">
        <v>665</v>
      </c>
      <c r="B126" s="149" t="s">
        <v>666</v>
      </c>
      <c r="D126" s="149" t="s">
        <v>667</v>
      </c>
    </row>
    <row r="127" spans="1:4">
      <c r="A127" s="149" t="s">
        <v>668</v>
      </c>
      <c r="B127" s="149" t="s">
        <v>669</v>
      </c>
      <c r="D127" s="149" t="s">
        <v>670</v>
      </c>
    </row>
    <row r="128" spans="1:4">
      <c r="A128" s="149" t="s">
        <v>671</v>
      </c>
      <c r="B128" s="149" t="s">
        <v>672</v>
      </c>
      <c r="D128" s="149" t="s">
        <v>673</v>
      </c>
    </row>
    <row r="129" spans="1:4">
      <c r="A129" s="149" t="s">
        <v>674</v>
      </c>
      <c r="B129" s="149" t="s">
        <v>675</v>
      </c>
      <c r="D129" s="149" t="s">
        <v>676</v>
      </c>
    </row>
    <row r="130" spans="1:4">
      <c r="A130" s="149" t="s">
        <v>677</v>
      </c>
      <c r="B130" s="149" t="s">
        <v>678</v>
      </c>
      <c r="D130" s="149" t="s">
        <v>679</v>
      </c>
    </row>
    <row r="131" spans="1:4">
      <c r="A131" s="149" t="s">
        <v>680</v>
      </c>
      <c r="B131" s="149" t="s">
        <v>681</v>
      </c>
      <c r="D131" s="149" t="s">
        <v>682</v>
      </c>
    </row>
    <row r="132" spans="1:4">
      <c r="A132" s="149" t="s">
        <v>683</v>
      </c>
      <c r="B132" s="149" t="s">
        <v>684</v>
      </c>
      <c r="D132" s="149" t="s">
        <v>685</v>
      </c>
    </row>
    <row r="133" spans="1:4">
      <c r="A133" s="149" t="s">
        <v>686</v>
      </c>
      <c r="B133" s="149" t="s">
        <v>687</v>
      </c>
      <c r="D133" s="149" t="s">
        <v>688</v>
      </c>
    </row>
    <row r="134" spans="1:4">
      <c r="A134" s="149" t="s">
        <v>689</v>
      </c>
      <c r="B134" s="149" t="s">
        <v>690</v>
      </c>
      <c r="D134" s="149" t="s">
        <v>691</v>
      </c>
    </row>
    <row r="135" spans="1:4">
      <c r="A135" s="149" t="s">
        <v>692</v>
      </c>
      <c r="B135" s="149" t="s">
        <v>693</v>
      </c>
      <c r="D135" s="149" t="s">
        <v>694</v>
      </c>
    </row>
    <row r="136" spans="1:4">
      <c r="A136" s="149" t="s">
        <v>695</v>
      </c>
      <c r="B136" s="149" t="s">
        <v>696</v>
      </c>
      <c r="D136" s="149" t="s">
        <v>697</v>
      </c>
    </row>
    <row r="137" spans="1:4">
      <c r="A137" s="149" t="s">
        <v>698</v>
      </c>
      <c r="B137" s="149" t="s">
        <v>699</v>
      </c>
      <c r="D137" s="149" t="s">
        <v>700</v>
      </c>
    </row>
    <row r="138" spans="1:4">
      <c r="A138" s="149" t="s">
        <v>701</v>
      </c>
      <c r="B138" s="149" t="s">
        <v>702</v>
      </c>
      <c r="D138" s="149" t="s">
        <v>703</v>
      </c>
    </row>
    <row r="139" spans="1:4">
      <c r="A139" s="149" t="s">
        <v>704</v>
      </c>
      <c r="B139" s="149" t="s">
        <v>705</v>
      </c>
      <c r="D139" s="149" t="s">
        <v>706</v>
      </c>
    </row>
    <row r="140" spans="1:4">
      <c r="A140" s="149" t="s">
        <v>707</v>
      </c>
      <c r="B140" s="149" t="s">
        <v>708</v>
      </c>
      <c r="D140" s="149" t="s">
        <v>709</v>
      </c>
    </row>
    <row r="141" spans="1:4">
      <c r="A141" s="149" t="s">
        <v>710</v>
      </c>
      <c r="B141" s="149" t="s">
        <v>711</v>
      </c>
      <c r="D141" s="149" t="s">
        <v>712</v>
      </c>
    </row>
    <row r="142" spans="1:4">
      <c r="A142" s="149" t="s">
        <v>713</v>
      </c>
      <c r="B142" s="149" t="s">
        <v>714</v>
      </c>
      <c r="D142" s="149" t="s">
        <v>715</v>
      </c>
    </row>
    <row r="143" spans="1:4">
      <c r="A143" s="149" t="s">
        <v>716</v>
      </c>
      <c r="B143" s="149" t="s">
        <v>717</v>
      </c>
      <c r="D143" s="149" t="s">
        <v>718</v>
      </c>
    </row>
    <row r="144" spans="1:4">
      <c r="A144" s="149" t="s">
        <v>719</v>
      </c>
      <c r="B144" s="149" t="s">
        <v>720</v>
      </c>
      <c r="D144" s="149" t="s">
        <v>721</v>
      </c>
    </row>
    <row r="145" spans="1:4">
      <c r="A145" s="149" t="s">
        <v>722</v>
      </c>
      <c r="B145" s="149" t="s">
        <v>723</v>
      </c>
      <c r="D145" s="149" t="s">
        <v>724</v>
      </c>
    </row>
    <row r="146" spans="1:4">
      <c r="A146" s="149" t="s">
        <v>725</v>
      </c>
      <c r="B146" s="149" t="s">
        <v>726</v>
      </c>
      <c r="D146" s="149" t="s">
        <v>727</v>
      </c>
    </row>
    <row r="147" spans="1:4">
      <c r="A147" s="149" t="s">
        <v>728</v>
      </c>
      <c r="B147" s="149" t="s">
        <v>729</v>
      </c>
      <c r="D147" s="149" t="s">
        <v>730</v>
      </c>
    </row>
    <row r="148" spans="1:4">
      <c r="A148" s="149" t="s">
        <v>731</v>
      </c>
      <c r="B148" s="149" t="s">
        <v>732</v>
      </c>
      <c r="D148" s="149" t="s">
        <v>733</v>
      </c>
    </row>
    <row r="149" spans="1:4">
      <c r="A149" s="149" t="s">
        <v>734</v>
      </c>
      <c r="B149" s="149" t="s">
        <v>735</v>
      </c>
      <c r="D149" s="149" t="s">
        <v>736</v>
      </c>
    </row>
    <row r="150" spans="1:4">
      <c r="A150" s="149" t="s">
        <v>737</v>
      </c>
      <c r="B150" s="149" t="s">
        <v>738</v>
      </c>
      <c r="D150" s="149" t="s">
        <v>739</v>
      </c>
    </row>
    <row r="151" spans="1:4">
      <c r="A151" s="149" t="s">
        <v>740</v>
      </c>
      <c r="B151" s="149" t="s">
        <v>741</v>
      </c>
      <c r="D151" s="149" t="s">
        <v>742</v>
      </c>
    </row>
    <row r="152" spans="1:4">
      <c r="A152" s="149" t="s">
        <v>743</v>
      </c>
      <c r="B152" s="149" t="s">
        <v>744</v>
      </c>
      <c r="D152" s="149" t="s">
        <v>745</v>
      </c>
    </row>
    <row r="153" spans="1:4">
      <c r="A153" s="149" t="s">
        <v>746</v>
      </c>
      <c r="B153" s="149" t="s">
        <v>747</v>
      </c>
      <c r="D153" s="149" t="s">
        <v>748</v>
      </c>
    </row>
    <row r="154" spans="1:4">
      <c r="A154" s="149" t="s">
        <v>749</v>
      </c>
      <c r="B154" s="149" t="s">
        <v>750</v>
      </c>
      <c r="D154" s="149" t="s">
        <v>751</v>
      </c>
    </row>
    <row r="155" spans="1:4">
      <c r="A155" s="149" t="s">
        <v>752</v>
      </c>
      <c r="B155" s="149" t="s">
        <v>753</v>
      </c>
      <c r="D155" s="149" t="s">
        <v>754</v>
      </c>
    </row>
    <row r="156" spans="1:4">
      <c r="A156" s="149" t="s">
        <v>755</v>
      </c>
      <c r="B156" s="149" t="s">
        <v>756</v>
      </c>
      <c r="D156" s="149" t="s">
        <v>757</v>
      </c>
    </row>
    <row r="157" spans="1:4">
      <c r="A157" s="149" t="s">
        <v>758</v>
      </c>
      <c r="B157" s="149" t="s">
        <v>759</v>
      </c>
      <c r="D157" s="149" t="s">
        <v>760</v>
      </c>
    </row>
    <row r="158" spans="1:4">
      <c r="A158" s="149" t="s">
        <v>761</v>
      </c>
      <c r="B158" s="149" t="s">
        <v>762</v>
      </c>
      <c r="D158" s="149" t="s">
        <v>763</v>
      </c>
    </row>
    <row r="159" spans="1:4">
      <c r="A159" s="149" t="s">
        <v>764</v>
      </c>
      <c r="B159" s="149" t="s">
        <v>765</v>
      </c>
      <c r="D159" s="149" t="s">
        <v>766</v>
      </c>
    </row>
    <row r="160" spans="1:4">
      <c r="A160" s="149" t="s">
        <v>767</v>
      </c>
      <c r="B160" s="149" t="s">
        <v>768</v>
      </c>
      <c r="D160" s="149" t="s">
        <v>769</v>
      </c>
    </row>
    <row r="161" spans="1:4">
      <c r="A161" s="149" t="s">
        <v>770</v>
      </c>
      <c r="B161" s="149" t="s">
        <v>771</v>
      </c>
      <c r="D161" s="149" t="s">
        <v>772</v>
      </c>
    </row>
    <row r="162" spans="1:4">
      <c r="A162" s="149" t="s">
        <v>773</v>
      </c>
      <c r="B162" s="149" t="s">
        <v>774</v>
      </c>
      <c r="D162" s="149" t="s">
        <v>775</v>
      </c>
    </row>
    <row r="163" spans="1:4">
      <c r="A163" s="149" t="s">
        <v>776</v>
      </c>
      <c r="B163" s="149" t="s">
        <v>777</v>
      </c>
      <c r="D163" s="149" t="s">
        <v>778</v>
      </c>
    </row>
    <row r="164" spans="1:4">
      <c r="A164" s="149" t="s">
        <v>779</v>
      </c>
      <c r="B164" s="149" t="s">
        <v>780</v>
      </c>
      <c r="D164" s="149" t="s">
        <v>781</v>
      </c>
    </row>
    <row r="165" spans="1:4">
      <c r="A165" s="149" t="s">
        <v>782</v>
      </c>
      <c r="B165" s="149" t="s">
        <v>783</v>
      </c>
      <c r="D165" s="149" t="s">
        <v>784</v>
      </c>
    </row>
    <row r="166" spans="1:4">
      <c r="A166" s="149" t="s">
        <v>785</v>
      </c>
      <c r="B166" s="149" t="s">
        <v>786</v>
      </c>
      <c r="D166" s="149" t="s">
        <v>787</v>
      </c>
    </row>
    <row r="167" spans="1:4">
      <c r="A167" s="149" t="s">
        <v>788</v>
      </c>
      <c r="B167" s="149" t="s">
        <v>789</v>
      </c>
      <c r="D167" s="149" t="s">
        <v>790</v>
      </c>
    </row>
    <row r="168" spans="1:4">
      <c r="A168" s="149" t="s">
        <v>791</v>
      </c>
      <c r="B168" s="149" t="s">
        <v>792</v>
      </c>
      <c r="D168" s="149" t="s">
        <v>793</v>
      </c>
    </row>
    <row r="169" spans="1:4">
      <c r="A169" s="149" t="s">
        <v>794</v>
      </c>
      <c r="B169" s="149" t="s">
        <v>795</v>
      </c>
      <c r="D169" s="149" t="s">
        <v>796</v>
      </c>
    </row>
    <row r="170" spans="1:4">
      <c r="A170" s="149" t="s">
        <v>797</v>
      </c>
      <c r="B170" s="149" t="s">
        <v>798</v>
      </c>
      <c r="D170" s="149" t="s">
        <v>799</v>
      </c>
    </row>
    <row r="171" spans="1:4">
      <c r="A171" s="149" t="s">
        <v>800</v>
      </c>
      <c r="B171" s="149" t="s">
        <v>801</v>
      </c>
      <c r="D171" s="149" t="s">
        <v>802</v>
      </c>
    </row>
    <row r="172" spans="1:4">
      <c r="A172" s="149" t="s">
        <v>803</v>
      </c>
      <c r="B172" s="149" t="s">
        <v>804</v>
      </c>
      <c r="D172" s="149" t="s">
        <v>805</v>
      </c>
    </row>
    <row r="173" spans="1:4">
      <c r="A173" s="149" t="s">
        <v>806</v>
      </c>
      <c r="B173" s="149" t="s">
        <v>807</v>
      </c>
      <c r="D173" s="149" t="s">
        <v>808</v>
      </c>
    </row>
    <row r="174" spans="1:4">
      <c r="A174" s="149" t="s">
        <v>809</v>
      </c>
      <c r="B174" s="149" t="s">
        <v>810</v>
      </c>
      <c r="D174" s="149" t="s">
        <v>811</v>
      </c>
    </row>
    <row r="175" spans="1:4">
      <c r="A175" s="149" t="s">
        <v>812</v>
      </c>
      <c r="B175" s="149" t="s">
        <v>813</v>
      </c>
      <c r="D175" s="149" t="s">
        <v>814</v>
      </c>
    </row>
    <row r="176" spans="1:4">
      <c r="A176" s="149" t="s">
        <v>815</v>
      </c>
      <c r="B176" s="149" t="s">
        <v>816</v>
      </c>
      <c r="D176" s="149" t="s">
        <v>817</v>
      </c>
    </row>
    <row r="177" spans="1:4">
      <c r="A177" s="149" t="s">
        <v>818</v>
      </c>
      <c r="B177" s="149" t="s">
        <v>819</v>
      </c>
      <c r="D177" s="149" t="s">
        <v>820</v>
      </c>
    </row>
    <row r="178" spans="1:4">
      <c r="A178" s="149" t="s">
        <v>821</v>
      </c>
      <c r="B178" s="149" t="s">
        <v>822</v>
      </c>
      <c r="D178" s="149" t="s">
        <v>823</v>
      </c>
    </row>
    <row r="179" spans="1:4">
      <c r="A179" s="149" t="s">
        <v>824</v>
      </c>
      <c r="B179" s="149" t="s">
        <v>825</v>
      </c>
      <c r="D179" s="149" t="s">
        <v>826</v>
      </c>
    </row>
    <row r="180" spans="1:4">
      <c r="A180" s="149" t="s">
        <v>827</v>
      </c>
      <c r="B180" s="149" t="s">
        <v>828</v>
      </c>
      <c r="D180" s="149" t="s">
        <v>829</v>
      </c>
    </row>
    <row r="181" spans="1:4">
      <c r="A181" s="149" t="s">
        <v>830</v>
      </c>
      <c r="B181" s="149" t="s">
        <v>831</v>
      </c>
      <c r="D181" s="149" t="s">
        <v>832</v>
      </c>
    </row>
    <row r="182" spans="1:4">
      <c r="A182" s="149" t="s">
        <v>833</v>
      </c>
      <c r="B182" s="149" t="s">
        <v>834</v>
      </c>
      <c r="D182" s="149" t="s">
        <v>835</v>
      </c>
    </row>
    <row r="183" spans="1:4">
      <c r="A183" s="149" t="s">
        <v>836</v>
      </c>
      <c r="B183" s="149" t="s">
        <v>837</v>
      </c>
      <c r="D183" s="149" t="s">
        <v>838</v>
      </c>
    </row>
    <row r="184" spans="1:4">
      <c r="A184" s="149" t="s">
        <v>839</v>
      </c>
      <c r="B184" s="149" t="s">
        <v>840</v>
      </c>
      <c r="D184" s="149" t="s">
        <v>841</v>
      </c>
    </row>
    <row r="185" spans="1:4">
      <c r="A185" s="149" t="s">
        <v>842</v>
      </c>
      <c r="B185" s="149" t="s">
        <v>843</v>
      </c>
      <c r="D185" s="149" t="s">
        <v>844</v>
      </c>
    </row>
    <row r="186" spans="1:4">
      <c r="A186" s="149" t="s">
        <v>845</v>
      </c>
      <c r="B186" s="149" t="s">
        <v>846</v>
      </c>
      <c r="D186" s="149" t="s">
        <v>847</v>
      </c>
    </row>
    <row r="187" spans="1:4">
      <c r="A187" s="149" t="s">
        <v>848</v>
      </c>
      <c r="B187" s="149" t="s">
        <v>849</v>
      </c>
      <c r="D187" s="149" t="s">
        <v>850</v>
      </c>
    </row>
    <row r="188" spans="1:4">
      <c r="A188" s="149" t="s">
        <v>851</v>
      </c>
      <c r="B188" s="149" t="s">
        <v>852</v>
      </c>
      <c r="D188" s="149" t="s">
        <v>853</v>
      </c>
    </row>
    <row r="189" spans="1:4">
      <c r="A189" s="149" t="s">
        <v>854</v>
      </c>
      <c r="B189" s="149" t="s">
        <v>855</v>
      </c>
      <c r="D189" s="149" t="s">
        <v>856</v>
      </c>
    </row>
    <row r="190" spans="1:4">
      <c r="A190" s="149" t="s">
        <v>857</v>
      </c>
      <c r="B190" s="149" t="s">
        <v>858</v>
      </c>
      <c r="D190" s="149" t="s">
        <v>859</v>
      </c>
    </row>
    <row r="191" spans="1:4">
      <c r="A191" s="149" t="s">
        <v>860</v>
      </c>
      <c r="B191" s="149" t="s">
        <v>861</v>
      </c>
      <c r="D191" s="149" t="s">
        <v>862</v>
      </c>
    </row>
    <row r="192" spans="1:4">
      <c r="A192" s="149" t="s">
        <v>863</v>
      </c>
      <c r="B192" s="149" t="s">
        <v>864</v>
      </c>
      <c r="D192" s="149" t="s">
        <v>865</v>
      </c>
    </row>
    <row r="193" spans="1:4">
      <c r="A193" s="149" t="s">
        <v>866</v>
      </c>
      <c r="B193" s="149" t="s">
        <v>867</v>
      </c>
      <c r="D193" s="149" t="s">
        <v>868</v>
      </c>
    </row>
    <row r="194" spans="1:4">
      <c r="A194" s="149" t="s">
        <v>869</v>
      </c>
      <c r="B194" s="149" t="s">
        <v>870</v>
      </c>
      <c r="D194" s="149" t="s">
        <v>871</v>
      </c>
    </row>
    <row r="195" spans="1:4">
      <c r="A195" s="149" t="s">
        <v>872</v>
      </c>
      <c r="B195" s="149" t="s">
        <v>873</v>
      </c>
      <c r="D195" s="149" t="s">
        <v>874</v>
      </c>
    </row>
    <row r="196" spans="1:4">
      <c r="A196" s="149" t="s">
        <v>875</v>
      </c>
      <c r="B196" s="149" t="s">
        <v>876</v>
      </c>
      <c r="D196" s="149" t="s">
        <v>877</v>
      </c>
    </row>
    <row r="197" spans="1:4">
      <c r="A197" s="149" t="s">
        <v>878</v>
      </c>
      <c r="B197" s="149" t="s">
        <v>879</v>
      </c>
      <c r="D197" s="149" t="s">
        <v>880</v>
      </c>
    </row>
    <row r="198" spans="1:4">
      <c r="A198" s="149" t="s">
        <v>881</v>
      </c>
      <c r="B198" s="149" t="s">
        <v>882</v>
      </c>
      <c r="D198" s="149" t="s">
        <v>883</v>
      </c>
    </row>
    <row r="199" spans="1:4">
      <c r="A199" s="149" t="s">
        <v>884</v>
      </c>
      <c r="B199" s="149" t="s">
        <v>885</v>
      </c>
      <c r="D199" s="149" t="s">
        <v>886</v>
      </c>
    </row>
    <row r="200" spans="1:4">
      <c r="A200" s="149" t="s">
        <v>887</v>
      </c>
      <c r="B200" s="149" t="s">
        <v>888</v>
      </c>
      <c r="D200" s="149" t="s">
        <v>889</v>
      </c>
    </row>
    <row r="201" spans="1:4">
      <c r="A201" s="149" t="s">
        <v>890</v>
      </c>
      <c r="B201" s="149" t="s">
        <v>891</v>
      </c>
      <c r="D201" s="149" t="s">
        <v>892</v>
      </c>
    </row>
    <row r="202" spans="1:4">
      <c r="A202" s="149" t="s">
        <v>893</v>
      </c>
      <c r="B202" s="149" t="s">
        <v>894</v>
      </c>
      <c r="D202" s="149" t="s">
        <v>895</v>
      </c>
    </row>
    <row r="203" spans="1:4">
      <c r="A203" s="149" t="s">
        <v>896</v>
      </c>
      <c r="B203" s="149" t="s">
        <v>897</v>
      </c>
      <c r="D203" s="149" t="s">
        <v>898</v>
      </c>
    </row>
    <row r="204" spans="1:4">
      <c r="A204" s="149" t="s">
        <v>899</v>
      </c>
      <c r="B204" s="149" t="s">
        <v>900</v>
      </c>
      <c r="D204" s="149" t="s">
        <v>901</v>
      </c>
    </row>
    <row r="205" spans="1:4">
      <c r="A205" s="149" t="s">
        <v>902</v>
      </c>
      <c r="B205" s="149" t="s">
        <v>903</v>
      </c>
      <c r="D205" s="149" t="s">
        <v>904</v>
      </c>
    </row>
    <row r="206" spans="1:4">
      <c r="A206" s="149" t="s">
        <v>905</v>
      </c>
      <c r="B206" s="149" t="s">
        <v>906</v>
      </c>
      <c r="D206" s="149" t="s">
        <v>907</v>
      </c>
    </row>
    <row r="207" spans="1:4">
      <c r="A207" s="149" t="s">
        <v>908</v>
      </c>
      <c r="B207" s="149" t="s">
        <v>909</v>
      </c>
      <c r="D207" s="149" t="s">
        <v>910</v>
      </c>
    </row>
    <row r="208" spans="1:4">
      <c r="A208" s="149" t="s">
        <v>911</v>
      </c>
      <c r="B208" s="149" t="s">
        <v>912</v>
      </c>
      <c r="D208" s="149" t="s">
        <v>913</v>
      </c>
    </row>
    <row r="209" spans="1:4">
      <c r="A209" s="149" t="s">
        <v>914</v>
      </c>
      <c r="B209" s="149" t="s">
        <v>915</v>
      </c>
      <c r="D209" s="149" t="s">
        <v>916</v>
      </c>
    </row>
    <row r="210" spans="1:4">
      <c r="A210" s="149" t="s">
        <v>917</v>
      </c>
      <c r="B210" s="149" t="s">
        <v>918</v>
      </c>
      <c r="D210" s="149" t="s">
        <v>919</v>
      </c>
    </row>
    <row r="211" spans="1:4">
      <c r="A211" s="149" t="s">
        <v>920</v>
      </c>
      <c r="B211" s="149" t="s">
        <v>921</v>
      </c>
      <c r="D211" s="149" t="s">
        <v>922</v>
      </c>
    </row>
    <row r="212" spans="1:4">
      <c r="A212" s="149" t="s">
        <v>923</v>
      </c>
      <c r="B212" s="149" t="s">
        <v>924</v>
      </c>
      <c r="D212" s="149" t="s">
        <v>925</v>
      </c>
    </row>
    <row r="213" spans="1:4">
      <c r="A213" s="149" t="s">
        <v>926</v>
      </c>
      <c r="B213" s="149" t="s">
        <v>927</v>
      </c>
      <c r="D213" s="149" t="s">
        <v>928</v>
      </c>
    </row>
    <row r="214" spans="1:4">
      <c r="A214" s="149" t="s">
        <v>929</v>
      </c>
      <c r="B214" s="149" t="s">
        <v>930</v>
      </c>
      <c r="D214" s="149" t="s">
        <v>931</v>
      </c>
    </row>
    <row r="215" spans="1:4">
      <c r="A215" s="149" t="s">
        <v>932</v>
      </c>
      <c r="B215" s="149" t="s">
        <v>933</v>
      </c>
      <c r="D215" s="149" t="s">
        <v>934</v>
      </c>
    </row>
    <row r="216" spans="1:4">
      <c r="A216" s="149" t="s">
        <v>935</v>
      </c>
      <c r="B216" s="149" t="s">
        <v>936</v>
      </c>
      <c r="D216" s="149" t="s">
        <v>937</v>
      </c>
    </row>
    <row r="217" spans="1:4">
      <c r="A217" s="149" t="s">
        <v>938</v>
      </c>
      <c r="B217" s="149" t="s">
        <v>939</v>
      </c>
      <c r="D217" s="149" t="s">
        <v>940</v>
      </c>
    </row>
    <row r="218" spans="1:4">
      <c r="A218" s="149" t="s">
        <v>941</v>
      </c>
      <c r="B218" s="149" t="s">
        <v>942</v>
      </c>
      <c r="D218" s="149" t="s">
        <v>943</v>
      </c>
    </row>
    <row r="219" spans="1:4">
      <c r="A219" s="149" t="s">
        <v>944</v>
      </c>
      <c r="B219" s="149" t="s">
        <v>945</v>
      </c>
      <c r="D219" s="149" t="s">
        <v>946</v>
      </c>
    </row>
    <row r="220" spans="1:4">
      <c r="A220" s="149" t="s">
        <v>947</v>
      </c>
      <c r="B220" s="149" t="s">
        <v>948</v>
      </c>
      <c r="D220" s="149" t="s">
        <v>949</v>
      </c>
    </row>
    <row r="221" spans="1:4">
      <c r="A221" s="149" t="s">
        <v>950</v>
      </c>
      <c r="B221" s="149" t="s">
        <v>951</v>
      </c>
      <c r="D221" s="149" t="s">
        <v>952</v>
      </c>
    </row>
    <row r="222" spans="1:4">
      <c r="A222" s="149" t="s">
        <v>953</v>
      </c>
      <c r="B222" s="149" t="s">
        <v>954</v>
      </c>
      <c r="D222" s="149" t="s">
        <v>955</v>
      </c>
    </row>
    <row r="223" spans="1:4">
      <c r="A223" s="149" t="s">
        <v>956</v>
      </c>
      <c r="B223" s="149" t="s">
        <v>957</v>
      </c>
      <c r="D223" s="149" t="s">
        <v>958</v>
      </c>
    </row>
    <row r="224" spans="1:4">
      <c r="A224" s="149" t="s">
        <v>959</v>
      </c>
      <c r="B224" s="149" t="s">
        <v>960</v>
      </c>
      <c r="D224" s="149" t="s">
        <v>961</v>
      </c>
    </row>
    <row r="225" spans="1:4">
      <c r="A225" s="149" t="s">
        <v>962</v>
      </c>
      <c r="B225" s="149" t="s">
        <v>963</v>
      </c>
      <c r="D225" s="150" t="s">
        <v>207</v>
      </c>
    </row>
    <row r="226" spans="1:4">
      <c r="A226" s="149" t="s">
        <v>964</v>
      </c>
      <c r="B226" s="149" t="s">
        <v>965</v>
      </c>
      <c r="D226" t="s">
        <v>207</v>
      </c>
    </row>
    <row r="227" spans="1:4">
      <c r="A227" s="149" t="s">
        <v>966</v>
      </c>
      <c r="B227" s="149" t="s">
        <v>967</v>
      </c>
    </row>
    <row r="228" spans="1:4">
      <c r="A228" s="149" t="s">
        <v>968</v>
      </c>
      <c r="B228" s="149" t="s">
        <v>969</v>
      </c>
    </row>
    <row r="229" spans="1:4">
      <c r="A229" s="149" t="s">
        <v>970</v>
      </c>
      <c r="B229" s="149" t="s">
        <v>971</v>
      </c>
    </row>
    <row r="230" spans="1:4">
      <c r="A230" s="149" t="s">
        <v>972</v>
      </c>
      <c r="B230" s="149" t="s">
        <v>973</v>
      </c>
    </row>
    <row r="231" spans="1:4">
      <c r="A231" s="149" t="s">
        <v>974</v>
      </c>
      <c r="B231" s="149" t="s">
        <v>975</v>
      </c>
    </row>
    <row r="232" spans="1:4">
      <c r="A232" s="149" t="s">
        <v>976</v>
      </c>
      <c r="B232" s="149" t="s">
        <v>977</v>
      </c>
    </row>
    <row r="233" spans="1:4">
      <c r="A233" s="149" t="s">
        <v>978</v>
      </c>
      <c r="B233" s="149" t="s">
        <v>979</v>
      </c>
    </row>
    <row r="234" spans="1:4">
      <c r="A234" s="149" t="s">
        <v>980</v>
      </c>
      <c r="B234" s="149" t="s">
        <v>981</v>
      </c>
    </row>
    <row r="235" spans="1:4">
      <c r="A235" s="149" t="s">
        <v>982</v>
      </c>
      <c r="B235" s="149" t="s">
        <v>983</v>
      </c>
    </row>
    <row r="236" spans="1:4">
      <c r="A236" s="149" t="s">
        <v>984</v>
      </c>
      <c r="B236" s="149" t="s">
        <v>985</v>
      </c>
    </row>
    <row r="237" spans="1:4">
      <c r="A237" s="149" t="s">
        <v>986</v>
      </c>
      <c r="B237" s="149" t="s">
        <v>987</v>
      </c>
    </row>
    <row r="238" spans="1:4">
      <c r="A238" s="149" t="s">
        <v>988</v>
      </c>
      <c r="B238" s="149" t="s">
        <v>989</v>
      </c>
    </row>
    <row r="239" spans="1:4">
      <c r="A239" s="149" t="s">
        <v>990</v>
      </c>
      <c r="B239" s="149" t="s">
        <v>991</v>
      </c>
    </row>
    <row r="240" spans="1:4">
      <c r="A240" s="149" t="s">
        <v>992</v>
      </c>
      <c r="B240" s="149" t="s">
        <v>993</v>
      </c>
    </row>
    <row r="241" spans="1:2">
      <c r="A241" s="149" t="s">
        <v>994</v>
      </c>
      <c r="B241" s="149" t="s">
        <v>995</v>
      </c>
    </row>
    <row r="242" spans="1:2">
      <c r="A242" s="149" t="s">
        <v>996</v>
      </c>
      <c r="B242" s="149" t="s">
        <v>997</v>
      </c>
    </row>
    <row r="243" spans="1:2">
      <c r="A243" s="149" t="s">
        <v>998</v>
      </c>
      <c r="B243" s="149" t="s">
        <v>999</v>
      </c>
    </row>
    <row r="244" spans="1:2">
      <c r="A244" s="149" t="s">
        <v>1000</v>
      </c>
      <c r="B244" s="149" t="s">
        <v>1001</v>
      </c>
    </row>
    <row r="245" spans="1:2">
      <c r="A245" s="149" t="s">
        <v>1002</v>
      </c>
      <c r="B245" s="149" t="s">
        <v>1003</v>
      </c>
    </row>
    <row r="246" spans="1:2">
      <c r="A246" s="149" t="s">
        <v>1004</v>
      </c>
      <c r="B246" s="149" t="s">
        <v>1005</v>
      </c>
    </row>
    <row r="247" spans="1:2">
      <c r="A247" s="149" t="s">
        <v>1006</v>
      </c>
      <c r="B247" s="149" t="s">
        <v>1007</v>
      </c>
    </row>
    <row r="248" spans="1:2">
      <c r="A248" s="149" t="s">
        <v>1008</v>
      </c>
      <c r="B248" s="149" t="s">
        <v>1009</v>
      </c>
    </row>
    <row r="249" spans="1:2">
      <c r="A249" s="149" t="s">
        <v>1010</v>
      </c>
      <c r="B249" s="149" t="s">
        <v>1011</v>
      </c>
    </row>
    <row r="250" spans="1:2">
      <c r="A250" s="149" t="s">
        <v>1012</v>
      </c>
      <c r="B250" s="149" t="s">
        <v>1013</v>
      </c>
    </row>
    <row r="251" spans="1:2">
      <c r="A251" s="149" t="s">
        <v>1014</v>
      </c>
      <c r="B251" s="149" t="s">
        <v>1015</v>
      </c>
    </row>
    <row r="252" spans="1:2">
      <c r="A252" s="149" t="s">
        <v>1016</v>
      </c>
      <c r="B252" s="149" t="s">
        <v>1017</v>
      </c>
    </row>
    <row r="253" spans="1:2">
      <c r="A253" s="149" t="s">
        <v>1018</v>
      </c>
      <c r="B253" s="149" t="s">
        <v>1019</v>
      </c>
    </row>
    <row r="254" spans="1:2">
      <c r="A254" s="149" t="s">
        <v>1020</v>
      </c>
      <c r="B254" s="149" t="s">
        <v>1021</v>
      </c>
    </row>
    <row r="255" spans="1:2">
      <c r="A255" s="149" t="s">
        <v>1022</v>
      </c>
      <c r="B255" s="149" t="s">
        <v>1023</v>
      </c>
    </row>
    <row r="256" spans="1:2">
      <c r="A256" s="149" t="s">
        <v>1024</v>
      </c>
      <c r="B256" s="149" t="s">
        <v>1025</v>
      </c>
    </row>
    <row r="257" spans="1:2">
      <c r="A257" s="149" t="s">
        <v>1026</v>
      </c>
      <c r="B257" s="149" t="s">
        <v>1027</v>
      </c>
    </row>
    <row r="258" spans="1:2">
      <c r="A258" s="149" t="s">
        <v>1028</v>
      </c>
      <c r="B258" s="149" t="s">
        <v>1029</v>
      </c>
    </row>
    <row r="259" spans="1:2">
      <c r="A259" s="149" t="s">
        <v>1030</v>
      </c>
      <c r="B259" s="149" t="s">
        <v>1031</v>
      </c>
    </row>
    <row r="260" spans="1:2">
      <c r="A260" s="149" t="s">
        <v>1032</v>
      </c>
      <c r="B260" s="149" t="s">
        <v>1033</v>
      </c>
    </row>
    <row r="261" spans="1:2">
      <c r="A261" s="149" t="s">
        <v>1034</v>
      </c>
      <c r="B261" s="149" t="s">
        <v>1035</v>
      </c>
    </row>
    <row r="262" spans="1:2">
      <c r="A262" s="149" t="s">
        <v>1036</v>
      </c>
      <c r="B262" s="149" t="s">
        <v>1037</v>
      </c>
    </row>
    <row r="263" spans="1:2">
      <c r="A263" s="149" t="s">
        <v>1038</v>
      </c>
      <c r="B263" s="149" t="s">
        <v>1039</v>
      </c>
    </row>
    <row r="264" spans="1:2">
      <c r="A264" s="149" t="s">
        <v>1040</v>
      </c>
      <c r="B264" s="149" t="s">
        <v>1041</v>
      </c>
    </row>
    <row r="265" spans="1:2">
      <c r="A265" s="149" t="s">
        <v>1042</v>
      </c>
      <c r="B265" s="149" t="s">
        <v>1043</v>
      </c>
    </row>
    <row r="266" spans="1:2">
      <c r="A266" s="149" t="s">
        <v>1044</v>
      </c>
      <c r="B266" s="149" t="s">
        <v>1045</v>
      </c>
    </row>
    <row r="267" spans="1:2">
      <c r="A267" s="149" t="s">
        <v>1046</v>
      </c>
      <c r="B267" s="149" t="s">
        <v>1047</v>
      </c>
    </row>
    <row r="268" spans="1:2">
      <c r="A268" s="149" t="s">
        <v>1048</v>
      </c>
      <c r="B268" s="149" t="s">
        <v>1049</v>
      </c>
    </row>
    <row r="269" spans="1:2">
      <c r="A269" s="149" t="s">
        <v>1050</v>
      </c>
      <c r="B269" s="149" t="s">
        <v>1051</v>
      </c>
    </row>
    <row r="270" spans="1:2">
      <c r="A270" s="149" t="s">
        <v>1052</v>
      </c>
      <c r="B270" s="149" t="s">
        <v>1053</v>
      </c>
    </row>
    <row r="271" spans="1:2">
      <c r="A271" s="149" t="s">
        <v>1054</v>
      </c>
      <c r="B271" s="149" t="s">
        <v>1055</v>
      </c>
    </row>
    <row r="272" spans="1:2">
      <c r="A272" s="149" t="s">
        <v>1056</v>
      </c>
      <c r="B272" s="149" t="s">
        <v>1057</v>
      </c>
    </row>
    <row r="273" spans="1:2">
      <c r="A273" s="149" t="s">
        <v>1058</v>
      </c>
      <c r="B273" s="149" t="s">
        <v>1059</v>
      </c>
    </row>
    <row r="274" spans="1:2">
      <c r="A274" s="149" t="s">
        <v>1060</v>
      </c>
      <c r="B274" s="149" t="s">
        <v>1061</v>
      </c>
    </row>
    <row r="275" spans="1:2">
      <c r="A275" s="149" t="s">
        <v>1062</v>
      </c>
      <c r="B275" s="149" t="s">
        <v>1063</v>
      </c>
    </row>
    <row r="276" spans="1:2">
      <c r="A276" s="149" t="s">
        <v>1064</v>
      </c>
      <c r="B276" s="149" t="s">
        <v>1065</v>
      </c>
    </row>
    <row r="277" spans="1:2">
      <c r="A277" s="149" t="s">
        <v>1066</v>
      </c>
      <c r="B277" s="149" t="s">
        <v>1067</v>
      </c>
    </row>
    <row r="278" spans="1:2">
      <c r="A278" s="149" t="s">
        <v>1068</v>
      </c>
      <c r="B278" s="149" t="s">
        <v>1069</v>
      </c>
    </row>
    <row r="279" spans="1:2">
      <c r="A279" s="149" t="s">
        <v>1070</v>
      </c>
      <c r="B279" s="149" t="s">
        <v>1071</v>
      </c>
    </row>
    <row r="280" spans="1:2">
      <c r="A280" s="149" t="s">
        <v>1072</v>
      </c>
      <c r="B280" s="149" t="s">
        <v>255</v>
      </c>
    </row>
    <row r="281" spans="1:2">
      <c r="A281" s="149" t="s">
        <v>1073</v>
      </c>
      <c r="B281" s="149" t="s">
        <v>1074</v>
      </c>
    </row>
    <row r="282" spans="1:2">
      <c r="A282" s="149" t="s">
        <v>1075</v>
      </c>
      <c r="B282" s="149" t="s">
        <v>1076</v>
      </c>
    </row>
    <row r="283" spans="1:2">
      <c r="A283" s="149" t="s">
        <v>1077</v>
      </c>
      <c r="B283" s="149" t="s">
        <v>1078</v>
      </c>
    </row>
    <row r="284" spans="1:2">
      <c r="A284" s="149" t="s">
        <v>1079</v>
      </c>
      <c r="B284" s="149" t="s">
        <v>1080</v>
      </c>
    </row>
    <row r="285" spans="1:2">
      <c r="A285" s="149" t="s">
        <v>1081</v>
      </c>
      <c r="B285" s="149" t="s">
        <v>1082</v>
      </c>
    </row>
    <row r="286" spans="1:2">
      <c r="A286" s="149" t="s">
        <v>1083</v>
      </c>
      <c r="B286" s="149" t="s">
        <v>1084</v>
      </c>
    </row>
    <row r="287" spans="1:2">
      <c r="A287" s="149" t="s">
        <v>1085</v>
      </c>
      <c r="B287" s="149" t="s">
        <v>1086</v>
      </c>
    </row>
    <row r="288" spans="1:2">
      <c r="A288" s="149" t="s">
        <v>1087</v>
      </c>
      <c r="B288" s="149" t="s">
        <v>1088</v>
      </c>
    </row>
    <row r="289" spans="1:2">
      <c r="A289" s="149" t="s">
        <v>1089</v>
      </c>
      <c r="B289" s="149" t="s">
        <v>1090</v>
      </c>
    </row>
    <row r="290" spans="1:2">
      <c r="A290" s="149" t="s">
        <v>1091</v>
      </c>
      <c r="B290" s="149" t="s">
        <v>1092</v>
      </c>
    </row>
    <row r="291" spans="1:2">
      <c r="A291" s="149" t="s">
        <v>1093</v>
      </c>
      <c r="B291" s="149" t="s">
        <v>1094</v>
      </c>
    </row>
    <row r="292" spans="1:2">
      <c r="A292" s="149" t="s">
        <v>1095</v>
      </c>
      <c r="B292" s="149" t="s">
        <v>1096</v>
      </c>
    </row>
    <row r="293" spans="1:2">
      <c r="A293" s="149" t="s">
        <v>1097</v>
      </c>
      <c r="B293" s="149" t="s">
        <v>1098</v>
      </c>
    </row>
    <row r="294" spans="1:2">
      <c r="A294" s="149" t="s">
        <v>1099</v>
      </c>
      <c r="B294" s="149" t="s">
        <v>1100</v>
      </c>
    </row>
    <row r="295" spans="1:2">
      <c r="A295" s="149" t="s">
        <v>1101</v>
      </c>
      <c r="B295" s="149" t="s">
        <v>1102</v>
      </c>
    </row>
    <row r="296" spans="1:2">
      <c r="A296" s="149" t="s">
        <v>1103</v>
      </c>
      <c r="B296" s="149" t="s">
        <v>1104</v>
      </c>
    </row>
    <row r="297" spans="1:2">
      <c r="A297" s="149" t="s">
        <v>1105</v>
      </c>
      <c r="B297" s="149" t="s">
        <v>1106</v>
      </c>
    </row>
    <row r="298" spans="1:2">
      <c r="A298" s="149" t="s">
        <v>1107</v>
      </c>
      <c r="B298" s="149" t="s">
        <v>1108</v>
      </c>
    </row>
    <row r="299" spans="1:2">
      <c r="A299" s="149" t="s">
        <v>1109</v>
      </c>
      <c r="B299" s="149" t="s">
        <v>1110</v>
      </c>
    </row>
    <row r="300" spans="1:2">
      <c r="A300" s="149" t="s">
        <v>1111</v>
      </c>
      <c r="B300" s="149" t="s">
        <v>1112</v>
      </c>
    </row>
    <row r="301" spans="1:2">
      <c r="A301" s="149" t="s">
        <v>1113</v>
      </c>
      <c r="B301" s="149" t="s">
        <v>1114</v>
      </c>
    </row>
    <row r="302" spans="1:2">
      <c r="A302" s="149" t="s">
        <v>1115</v>
      </c>
      <c r="B302" s="149" t="s">
        <v>1116</v>
      </c>
    </row>
    <row r="303" spans="1:2">
      <c r="A303" s="149" t="s">
        <v>1117</v>
      </c>
      <c r="B303" s="149" t="s">
        <v>1118</v>
      </c>
    </row>
    <row r="304" spans="1:2">
      <c r="A304" s="149" t="s">
        <v>1119</v>
      </c>
      <c r="B304" s="149" t="s">
        <v>1120</v>
      </c>
    </row>
    <row r="305" spans="1:2">
      <c r="A305" s="149" t="s">
        <v>1121</v>
      </c>
      <c r="B305" s="149" t="s">
        <v>1122</v>
      </c>
    </row>
    <row r="306" spans="1:2">
      <c r="A306" s="149" t="s">
        <v>1123</v>
      </c>
      <c r="B306" s="149" t="s">
        <v>1124</v>
      </c>
    </row>
    <row r="307" spans="1:2">
      <c r="A307" s="149" t="s">
        <v>1125</v>
      </c>
      <c r="B307" s="149" t="s">
        <v>444</v>
      </c>
    </row>
    <row r="308" spans="1:2">
      <c r="A308" s="149" t="s">
        <v>1126</v>
      </c>
      <c r="B308" s="149" t="s">
        <v>1127</v>
      </c>
    </row>
    <row r="309" spans="1:2">
      <c r="A309" s="149" t="s">
        <v>1128</v>
      </c>
      <c r="B309" s="149" t="s">
        <v>1129</v>
      </c>
    </row>
    <row r="310" spans="1:2">
      <c r="A310" s="149" t="s">
        <v>1130</v>
      </c>
      <c r="B310" s="149" t="s">
        <v>1131</v>
      </c>
    </row>
    <row r="311" spans="1:2">
      <c r="A311" s="149" t="s">
        <v>1132</v>
      </c>
      <c r="B311" s="149" t="s">
        <v>1133</v>
      </c>
    </row>
    <row r="312" spans="1:2">
      <c r="A312" s="149" t="s">
        <v>1134</v>
      </c>
      <c r="B312" s="149" t="s">
        <v>1135</v>
      </c>
    </row>
    <row r="313" spans="1:2">
      <c r="A313" s="149" t="s">
        <v>1136</v>
      </c>
      <c r="B313" s="149" t="s">
        <v>1137</v>
      </c>
    </row>
    <row r="314" spans="1:2">
      <c r="A314" s="149" t="s">
        <v>1138</v>
      </c>
      <c r="B314" s="149" t="s">
        <v>1139</v>
      </c>
    </row>
    <row r="315" spans="1:2">
      <c r="A315" s="149" t="s">
        <v>1140</v>
      </c>
      <c r="B315" s="149" t="s">
        <v>1141</v>
      </c>
    </row>
    <row r="316" spans="1:2">
      <c r="A316" s="149" t="s">
        <v>1142</v>
      </c>
      <c r="B316" s="149" t="s">
        <v>1143</v>
      </c>
    </row>
    <row r="317" spans="1:2">
      <c r="A317" s="149" t="s">
        <v>1144</v>
      </c>
      <c r="B317" s="149" t="s">
        <v>1145</v>
      </c>
    </row>
    <row r="318" spans="1:2">
      <c r="A318" s="149" t="s">
        <v>1146</v>
      </c>
      <c r="B318" s="149" t="s">
        <v>1147</v>
      </c>
    </row>
    <row r="319" spans="1:2">
      <c r="A319" s="149" t="s">
        <v>1148</v>
      </c>
      <c r="B319" s="149" t="s">
        <v>1149</v>
      </c>
    </row>
    <row r="320" spans="1:2">
      <c r="A320" s="149" t="s">
        <v>1150</v>
      </c>
      <c r="B320" s="149" t="s">
        <v>1151</v>
      </c>
    </row>
    <row r="321" spans="1:2">
      <c r="A321" s="149" t="s">
        <v>1152</v>
      </c>
      <c r="B321" s="149" t="s">
        <v>1153</v>
      </c>
    </row>
    <row r="322" spans="1:2">
      <c r="A322" s="149" t="s">
        <v>1154</v>
      </c>
      <c r="B322" s="149" t="s">
        <v>1155</v>
      </c>
    </row>
    <row r="323" spans="1:2">
      <c r="A323" s="149" t="s">
        <v>1156</v>
      </c>
      <c r="B323" s="149" t="s">
        <v>1157</v>
      </c>
    </row>
    <row r="324" spans="1:2">
      <c r="A324" s="149" t="s">
        <v>1158</v>
      </c>
      <c r="B324" s="149" t="s">
        <v>1159</v>
      </c>
    </row>
    <row r="325" spans="1:2">
      <c r="A325" s="149" t="s">
        <v>1160</v>
      </c>
      <c r="B325" s="149" t="s">
        <v>1161</v>
      </c>
    </row>
    <row r="326" spans="1:2">
      <c r="A326" s="149" t="s">
        <v>1162</v>
      </c>
      <c r="B326" s="149" t="s">
        <v>1163</v>
      </c>
    </row>
    <row r="327" spans="1:2">
      <c r="A327" s="149" t="s">
        <v>1164</v>
      </c>
      <c r="B327" s="149" t="s">
        <v>1165</v>
      </c>
    </row>
    <row r="328" spans="1:2">
      <c r="A328" s="149" t="s">
        <v>1166</v>
      </c>
      <c r="B328" s="149" t="s">
        <v>1167</v>
      </c>
    </row>
    <row r="329" spans="1:2">
      <c r="A329" s="149" t="s">
        <v>1168</v>
      </c>
      <c r="B329" s="149" t="s">
        <v>1169</v>
      </c>
    </row>
    <row r="330" spans="1:2">
      <c r="A330" s="149" t="s">
        <v>1170</v>
      </c>
      <c r="B330" s="149" t="s">
        <v>1171</v>
      </c>
    </row>
    <row r="331" spans="1:2">
      <c r="A331" s="149" t="s">
        <v>1172</v>
      </c>
      <c r="B331" s="149" t="s">
        <v>1173</v>
      </c>
    </row>
    <row r="332" spans="1:2">
      <c r="A332" s="149" t="s">
        <v>1174</v>
      </c>
      <c r="B332" s="149" t="s">
        <v>1175</v>
      </c>
    </row>
    <row r="333" spans="1:2">
      <c r="A333" s="149" t="s">
        <v>1176</v>
      </c>
      <c r="B333" s="149" t="s">
        <v>1177</v>
      </c>
    </row>
    <row r="334" spans="1:2">
      <c r="A334" s="149" t="s">
        <v>1178</v>
      </c>
      <c r="B334" s="149" t="s">
        <v>1179</v>
      </c>
    </row>
    <row r="335" spans="1:2">
      <c r="A335" s="149" t="s">
        <v>1180</v>
      </c>
      <c r="B335" s="149" t="s">
        <v>1181</v>
      </c>
    </row>
    <row r="336" spans="1:2">
      <c r="A336" s="149" t="s">
        <v>1182</v>
      </c>
      <c r="B336" s="149" t="s">
        <v>1183</v>
      </c>
    </row>
    <row r="337" spans="1:2">
      <c r="A337" s="149" t="s">
        <v>1184</v>
      </c>
      <c r="B337" s="149" t="s">
        <v>1185</v>
      </c>
    </row>
    <row r="338" spans="1:2">
      <c r="A338" s="149" t="s">
        <v>1186</v>
      </c>
      <c r="B338" s="149" t="s">
        <v>1187</v>
      </c>
    </row>
    <row r="339" spans="1:2">
      <c r="A339" s="149" t="s">
        <v>1188</v>
      </c>
      <c r="B339" s="149" t="s">
        <v>1189</v>
      </c>
    </row>
    <row r="340" spans="1:2">
      <c r="A340" s="149" t="s">
        <v>1190</v>
      </c>
      <c r="B340" s="149" t="s">
        <v>1191</v>
      </c>
    </row>
    <row r="341" spans="1:2">
      <c r="A341" s="149" t="s">
        <v>1192</v>
      </c>
      <c r="B341" s="149" t="s">
        <v>1193</v>
      </c>
    </row>
    <row r="342" spans="1:2">
      <c r="A342" s="149" t="s">
        <v>1194</v>
      </c>
      <c r="B342" s="149" t="s">
        <v>1195</v>
      </c>
    </row>
    <row r="343" spans="1:2">
      <c r="A343" s="149" t="s">
        <v>1196</v>
      </c>
      <c r="B343" s="149" t="s">
        <v>1197</v>
      </c>
    </row>
    <row r="344" spans="1:2">
      <c r="A344" s="149" t="s">
        <v>1198</v>
      </c>
      <c r="B344" s="149" t="s">
        <v>1199</v>
      </c>
    </row>
    <row r="345" spans="1:2">
      <c r="A345" s="149" t="s">
        <v>1200</v>
      </c>
      <c r="B345" s="149" t="s">
        <v>1201</v>
      </c>
    </row>
    <row r="346" spans="1:2">
      <c r="A346" s="149" t="s">
        <v>1202</v>
      </c>
      <c r="B346" s="149" t="s">
        <v>1203</v>
      </c>
    </row>
    <row r="347" spans="1:2">
      <c r="A347" s="149" t="s">
        <v>1204</v>
      </c>
      <c r="B347" s="149" t="s">
        <v>1205</v>
      </c>
    </row>
    <row r="348" spans="1:2">
      <c r="A348" s="149" t="s">
        <v>1206</v>
      </c>
      <c r="B348" s="149" t="s">
        <v>1207</v>
      </c>
    </row>
    <row r="349" spans="1:2">
      <c r="A349" s="149" t="s">
        <v>1208</v>
      </c>
      <c r="B349" s="149" t="s">
        <v>1209</v>
      </c>
    </row>
    <row r="350" spans="1:2">
      <c r="A350" s="149" t="s">
        <v>1210</v>
      </c>
      <c r="B350" s="149" t="s">
        <v>1211</v>
      </c>
    </row>
    <row r="351" spans="1:2">
      <c r="A351" s="149" t="s">
        <v>1212</v>
      </c>
      <c r="B351" s="149" t="s">
        <v>1213</v>
      </c>
    </row>
    <row r="352" spans="1:2">
      <c r="A352" s="149" t="s">
        <v>1214</v>
      </c>
      <c r="B352" s="149" t="s">
        <v>1215</v>
      </c>
    </row>
    <row r="353" spans="1:2">
      <c r="A353" s="149" t="s">
        <v>1216</v>
      </c>
      <c r="B353" s="149" t="s">
        <v>1217</v>
      </c>
    </row>
    <row r="354" spans="1:2">
      <c r="A354" s="149" t="s">
        <v>1218</v>
      </c>
      <c r="B354" s="149" t="s">
        <v>1219</v>
      </c>
    </row>
    <row r="355" spans="1:2">
      <c r="A355" s="149" t="s">
        <v>1220</v>
      </c>
      <c r="B355" s="149" t="s">
        <v>1221</v>
      </c>
    </row>
    <row r="356" spans="1:2">
      <c r="A356" s="149" t="s">
        <v>1222</v>
      </c>
      <c r="B356" s="149" t="s">
        <v>1223</v>
      </c>
    </row>
    <row r="357" spans="1:2">
      <c r="A357" s="149" t="s">
        <v>1224</v>
      </c>
      <c r="B357" s="149" t="s">
        <v>1225</v>
      </c>
    </row>
    <row r="358" spans="1:2">
      <c r="A358" s="149" t="s">
        <v>1226</v>
      </c>
      <c r="B358" s="149" t="s">
        <v>1227</v>
      </c>
    </row>
    <row r="359" spans="1:2">
      <c r="A359" s="149" t="s">
        <v>1228</v>
      </c>
      <c r="B359" s="149" t="s">
        <v>1229</v>
      </c>
    </row>
    <row r="360" spans="1:2">
      <c r="A360" s="149" t="s">
        <v>1230</v>
      </c>
      <c r="B360" s="149" t="s">
        <v>1231</v>
      </c>
    </row>
    <row r="361" spans="1:2">
      <c r="A361" s="149" t="s">
        <v>1232</v>
      </c>
      <c r="B361" s="149" t="s">
        <v>1233</v>
      </c>
    </row>
    <row r="362" spans="1:2">
      <c r="A362" s="149" t="s">
        <v>1234</v>
      </c>
      <c r="B362" s="149" t="s">
        <v>1235</v>
      </c>
    </row>
    <row r="363" spans="1:2">
      <c r="A363" s="149" t="s">
        <v>1236</v>
      </c>
      <c r="B363" s="149" t="s">
        <v>1237</v>
      </c>
    </row>
    <row r="364" spans="1:2">
      <c r="A364" s="149" t="s">
        <v>1238</v>
      </c>
      <c r="B364" s="149" t="s">
        <v>1239</v>
      </c>
    </row>
    <row r="365" spans="1:2">
      <c r="A365" s="149" t="s">
        <v>1240</v>
      </c>
      <c r="B365" s="149" t="s">
        <v>1241</v>
      </c>
    </row>
    <row r="366" spans="1:2">
      <c r="A366" s="149" t="s">
        <v>1242</v>
      </c>
      <c r="B366" s="149" t="s">
        <v>1243</v>
      </c>
    </row>
    <row r="367" spans="1:2">
      <c r="A367" s="149" t="s">
        <v>1244</v>
      </c>
      <c r="B367" s="149" t="s">
        <v>1245</v>
      </c>
    </row>
    <row r="368" spans="1:2">
      <c r="A368" s="149" t="s">
        <v>1246</v>
      </c>
      <c r="B368" s="149" t="s">
        <v>1247</v>
      </c>
    </row>
    <row r="369" spans="1:2">
      <c r="A369" s="149" t="s">
        <v>1248</v>
      </c>
      <c r="B369" s="149" t="s">
        <v>1249</v>
      </c>
    </row>
    <row r="370" spans="1:2">
      <c r="A370" s="149" t="s">
        <v>1250</v>
      </c>
      <c r="B370" s="149" t="s">
        <v>1251</v>
      </c>
    </row>
    <row r="371" spans="1:2">
      <c r="A371" s="149" t="s">
        <v>1252</v>
      </c>
      <c r="B371" s="149" t="s">
        <v>1253</v>
      </c>
    </row>
    <row r="372" spans="1:2">
      <c r="A372" s="149" t="s">
        <v>1254</v>
      </c>
      <c r="B372" s="149" t="s">
        <v>1255</v>
      </c>
    </row>
    <row r="373" spans="1:2">
      <c r="A373" s="149" t="s">
        <v>1256</v>
      </c>
      <c r="B373" s="149" t="s">
        <v>1257</v>
      </c>
    </row>
    <row r="374" spans="1:2">
      <c r="A374" s="149" t="s">
        <v>1258</v>
      </c>
      <c r="B374" s="149" t="s">
        <v>1259</v>
      </c>
    </row>
    <row r="375" spans="1:2">
      <c r="A375" s="149" t="s">
        <v>1260</v>
      </c>
      <c r="B375" s="149" t="s">
        <v>1261</v>
      </c>
    </row>
    <row r="376" spans="1:2">
      <c r="A376" s="149" t="s">
        <v>1262</v>
      </c>
      <c r="B376" s="149" t="s">
        <v>1263</v>
      </c>
    </row>
    <row r="377" spans="1:2">
      <c r="A377" s="149" t="s">
        <v>1264</v>
      </c>
      <c r="B377" s="149" t="s">
        <v>1265</v>
      </c>
    </row>
    <row r="378" spans="1:2">
      <c r="A378" s="149" t="s">
        <v>1266</v>
      </c>
      <c r="B378" s="149" t="s">
        <v>1267</v>
      </c>
    </row>
    <row r="379" spans="1:2">
      <c r="A379" s="149" t="s">
        <v>1268</v>
      </c>
      <c r="B379" s="149" t="s">
        <v>1269</v>
      </c>
    </row>
    <row r="380" spans="1:2">
      <c r="A380" s="149" t="s">
        <v>1270</v>
      </c>
      <c r="B380" s="149" t="s">
        <v>1271</v>
      </c>
    </row>
    <row r="381" spans="1:2">
      <c r="A381" s="149" t="s">
        <v>1272</v>
      </c>
      <c r="B381" s="149" t="s">
        <v>1273</v>
      </c>
    </row>
    <row r="382" spans="1:2">
      <c r="A382" s="149" t="s">
        <v>1274</v>
      </c>
      <c r="B382" s="149" t="s">
        <v>1275</v>
      </c>
    </row>
    <row r="383" spans="1:2">
      <c r="A383" s="149" t="s">
        <v>1276</v>
      </c>
      <c r="B383" s="149" t="s">
        <v>1277</v>
      </c>
    </row>
    <row r="384" spans="1:2">
      <c r="A384" s="149" t="s">
        <v>1278</v>
      </c>
      <c r="B384" s="149" t="s">
        <v>1279</v>
      </c>
    </row>
    <row r="385" spans="1:2">
      <c r="A385" s="149" t="s">
        <v>1280</v>
      </c>
      <c r="B385" s="149" t="s">
        <v>1281</v>
      </c>
    </row>
    <row r="386" spans="1:2">
      <c r="A386" s="149" t="s">
        <v>1282</v>
      </c>
      <c r="B386" s="149" t="s">
        <v>1283</v>
      </c>
    </row>
    <row r="387" spans="1:2">
      <c r="A387" s="149" t="s">
        <v>1284</v>
      </c>
      <c r="B387" s="149" t="s">
        <v>1285</v>
      </c>
    </row>
    <row r="388" spans="1:2">
      <c r="A388" s="149" t="s">
        <v>1286</v>
      </c>
      <c r="B388" s="149" t="s">
        <v>1287</v>
      </c>
    </row>
    <row r="389" spans="1:2">
      <c r="A389" s="149" t="s">
        <v>1288</v>
      </c>
      <c r="B389" s="149" t="s">
        <v>1289</v>
      </c>
    </row>
    <row r="390" spans="1:2">
      <c r="A390" s="149" t="s">
        <v>1290</v>
      </c>
      <c r="B390" s="149" t="s">
        <v>1291</v>
      </c>
    </row>
    <row r="391" spans="1:2">
      <c r="A391" s="149" t="s">
        <v>1292</v>
      </c>
      <c r="B391" s="149" t="s">
        <v>1293</v>
      </c>
    </row>
    <row r="392" spans="1:2">
      <c r="A392" s="149" t="s">
        <v>1294</v>
      </c>
      <c r="B392" s="149" t="s">
        <v>1295</v>
      </c>
    </row>
    <row r="393" spans="1:2">
      <c r="A393" s="149" t="s">
        <v>1296</v>
      </c>
      <c r="B393" s="149" t="s">
        <v>1297</v>
      </c>
    </row>
    <row r="394" spans="1:2">
      <c r="A394" s="149" t="s">
        <v>1298</v>
      </c>
      <c r="B394" s="149" t="s">
        <v>1299</v>
      </c>
    </row>
    <row r="395" spans="1:2">
      <c r="A395" s="149" t="s">
        <v>1300</v>
      </c>
      <c r="B395" s="149" t="s">
        <v>1301</v>
      </c>
    </row>
    <row r="396" spans="1:2">
      <c r="A396" s="149" t="s">
        <v>1302</v>
      </c>
      <c r="B396" s="149" t="s">
        <v>1303</v>
      </c>
    </row>
    <row r="397" spans="1:2">
      <c r="A397" s="149" t="s">
        <v>1304</v>
      </c>
      <c r="B397" s="149" t="s">
        <v>1305</v>
      </c>
    </row>
    <row r="398" spans="1:2">
      <c r="A398" s="149" t="s">
        <v>1306</v>
      </c>
      <c r="B398" s="149" t="s">
        <v>1307</v>
      </c>
    </row>
    <row r="399" spans="1:2">
      <c r="A399" s="149" t="s">
        <v>1308</v>
      </c>
      <c r="B399" s="149" t="s">
        <v>1309</v>
      </c>
    </row>
    <row r="400" spans="1:2">
      <c r="A400" s="149" t="s">
        <v>1310</v>
      </c>
      <c r="B400" s="149" t="s">
        <v>1311</v>
      </c>
    </row>
    <row r="401" spans="1:2">
      <c r="A401" s="149" t="s">
        <v>1312</v>
      </c>
      <c r="B401" s="149" t="s">
        <v>1313</v>
      </c>
    </row>
    <row r="402" spans="1:2">
      <c r="A402" s="149" t="s">
        <v>1314</v>
      </c>
      <c r="B402" s="149" t="s">
        <v>1315</v>
      </c>
    </row>
    <row r="403" spans="1:2">
      <c r="A403" s="149" t="s">
        <v>1316</v>
      </c>
      <c r="B403" s="149" t="s">
        <v>1317</v>
      </c>
    </row>
    <row r="404" spans="1:2">
      <c r="A404" s="149" t="s">
        <v>1318</v>
      </c>
      <c r="B404" s="149" t="s">
        <v>1319</v>
      </c>
    </row>
    <row r="405" spans="1:2">
      <c r="A405" s="149" t="s">
        <v>1320</v>
      </c>
      <c r="B405" s="149" t="s">
        <v>1321</v>
      </c>
    </row>
    <row r="406" spans="1:2">
      <c r="A406" s="149" t="s">
        <v>1322</v>
      </c>
      <c r="B406" s="149" t="s">
        <v>1323</v>
      </c>
    </row>
    <row r="407" spans="1:2">
      <c r="A407" s="149" t="s">
        <v>1324</v>
      </c>
      <c r="B407" s="149" t="s">
        <v>1325</v>
      </c>
    </row>
    <row r="408" spans="1:2">
      <c r="A408" s="149" t="s">
        <v>1326</v>
      </c>
      <c r="B408" s="149" t="s">
        <v>1327</v>
      </c>
    </row>
    <row r="409" spans="1:2">
      <c r="A409" s="149" t="s">
        <v>1328</v>
      </c>
      <c r="B409" s="149" t="s">
        <v>1329</v>
      </c>
    </row>
    <row r="410" spans="1:2">
      <c r="A410" s="149" t="s">
        <v>1330</v>
      </c>
      <c r="B410" s="149" t="s">
        <v>1331</v>
      </c>
    </row>
    <row r="411" spans="1:2">
      <c r="A411" s="149" t="s">
        <v>1332</v>
      </c>
      <c r="B411" s="149" t="s">
        <v>1333</v>
      </c>
    </row>
    <row r="412" spans="1:2">
      <c r="A412" s="149" t="s">
        <v>1334</v>
      </c>
      <c r="B412" s="149" t="s">
        <v>1335</v>
      </c>
    </row>
    <row r="413" spans="1:2">
      <c r="A413" s="149" t="s">
        <v>1336</v>
      </c>
      <c r="B413" s="149" t="s">
        <v>1337</v>
      </c>
    </row>
    <row r="414" spans="1:2">
      <c r="A414" s="149" t="s">
        <v>1338</v>
      </c>
      <c r="B414" s="149" t="s">
        <v>1339</v>
      </c>
    </row>
    <row r="415" spans="1:2">
      <c r="A415" s="149" t="s">
        <v>1340</v>
      </c>
      <c r="B415" s="149" t="s">
        <v>1341</v>
      </c>
    </row>
    <row r="416" spans="1:2">
      <c r="A416" s="149" t="s">
        <v>1342</v>
      </c>
      <c r="B416" s="149" t="s">
        <v>1343</v>
      </c>
    </row>
    <row r="417" spans="1:2">
      <c r="A417" s="149" t="s">
        <v>1344</v>
      </c>
      <c r="B417" s="149" t="s">
        <v>1345</v>
      </c>
    </row>
    <row r="418" spans="1:2">
      <c r="A418" s="149" t="s">
        <v>1346</v>
      </c>
      <c r="B418" s="149" t="s">
        <v>1347</v>
      </c>
    </row>
    <row r="419" spans="1:2">
      <c r="A419" s="149" t="s">
        <v>1348</v>
      </c>
      <c r="B419" s="149" t="s">
        <v>1349</v>
      </c>
    </row>
    <row r="420" spans="1:2">
      <c r="A420" s="149" t="s">
        <v>1350</v>
      </c>
      <c r="B420" s="149" t="s">
        <v>1351</v>
      </c>
    </row>
    <row r="421" spans="1:2">
      <c r="A421" s="149" t="s">
        <v>1352</v>
      </c>
      <c r="B421" s="149" t="s">
        <v>1353</v>
      </c>
    </row>
    <row r="422" spans="1:2">
      <c r="A422" s="149" t="s">
        <v>1354</v>
      </c>
      <c r="B422" s="149" t="s">
        <v>1355</v>
      </c>
    </row>
    <row r="423" spans="1:2">
      <c r="A423" s="149" t="s">
        <v>1356</v>
      </c>
      <c r="B423" s="149" t="s">
        <v>1357</v>
      </c>
    </row>
    <row r="424" spans="1:2">
      <c r="A424" s="149" t="s">
        <v>1358</v>
      </c>
      <c r="B424" s="149" t="s">
        <v>1359</v>
      </c>
    </row>
    <row r="425" spans="1:2">
      <c r="A425" s="149" t="s">
        <v>1360</v>
      </c>
      <c r="B425" s="149" t="s">
        <v>1361</v>
      </c>
    </row>
    <row r="426" spans="1:2">
      <c r="A426" s="149" t="s">
        <v>1362</v>
      </c>
      <c r="B426" s="149" t="s">
        <v>1363</v>
      </c>
    </row>
    <row r="427" spans="1:2">
      <c r="A427" s="149" t="s">
        <v>1364</v>
      </c>
      <c r="B427" s="149" t="s">
        <v>1365</v>
      </c>
    </row>
    <row r="428" spans="1:2">
      <c r="A428" s="149" t="s">
        <v>1366</v>
      </c>
      <c r="B428" s="149" t="s">
        <v>1367</v>
      </c>
    </row>
    <row r="429" spans="1:2">
      <c r="A429" s="149" t="s">
        <v>1368</v>
      </c>
      <c r="B429" s="149" t="s">
        <v>1369</v>
      </c>
    </row>
    <row r="430" spans="1:2">
      <c r="A430" s="149" t="s">
        <v>1370</v>
      </c>
      <c r="B430" s="149" t="s">
        <v>1371</v>
      </c>
    </row>
    <row r="431" spans="1:2">
      <c r="A431" s="149" t="s">
        <v>1372</v>
      </c>
      <c r="B431" s="149" t="s">
        <v>1373</v>
      </c>
    </row>
    <row r="432" spans="1:2">
      <c r="A432" s="149" t="s">
        <v>1374</v>
      </c>
      <c r="B432" s="149" t="s">
        <v>1375</v>
      </c>
    </row>
    <row r="433" spans="1:2">
      <c r="A433" s="149" t="s">
        <v>1376</v>
      </c>
      <c r="B433" s="149" t="s">
        <v>1377</v>
      </c>
    </row>
    <row r="434" spans="1:2">
      <c r="A434" s="149" t="s">
        <v>1378</v>
      </c>
      <c r="B434" s="149" t="s">
        <v>1379</v>
      </c>
    </row>
    <row r="435" spans="1:2">
      <c r="A435" s="149" t="s">
        <v>1380</v>
      </c>
      <c r="B435" s="149" t="s">
        <v>1381</v>
      </c>
    </row>
    <row r="436" spans="1:2">
      <c r="A436" s="149" t="s">
        <v>1382</v>
      </c>
      <c r="B436" s="149" t="s">
        <v>1383</v>
      </c>
    </row>
    <row r="437" spans="1:2">
      <c r="A437" s="149" t="s">
        <v>1384</v>
      </c>
      <c r="B437" s="149" t="s">
        <v>1385</v>
      </c>
    </row>
    <row r="438" spans="1:2">
      <c r="A438" s="149" t="s">
        <v>1386</v>
      </c>
      <c r="B438" s="149" t="s">
        <v>1387</v>
      </c>
    </row>
    <row r="439" spans="1:2">
      <c r="A439" s="149" t="s">
        <v>1388</v>
      </c>
      <c r="B439" s="149" t="s">
        <v>1389</v>
      </c>
    </row>
    <row r="440" spans="1:2">
      <c r="A440" s="149" t="s">
        <v>1390</v>
      </c>
      <c r="B440" s="149" t="s">
        <v>1391</v>
      </c>
    </row>
    <row r="441" spans="1:2">
      <c r="A441" s="149" t="s">
        <v>1392</v>
      </c>
      <c r="B441" s="149" t="s">
        <v>1393</v>
      </c>
    </row>
    <row r="442" spans="1:2">
      <c r="A442" s="149" t="s">
        <v>1394</v>
      </c>
      <c r="B442" s="149" t="s">
        <v>1395</v>
      </c>
    </row>
    <row r="443" spans="1:2">
      <c r="A443" s="149" t="s">
        <v>1396</v>
      </c>
      <c r="B443" s="149" t="s">
        <v>1397</v>
      </c>
    </row>
    <row r="444" spans="1:2">
      <c r="A444" s="149" t="s">
        <v>1398</v>
      </c>
      <c r="B444" s="149" t="s">
        <v>1399</v>
      </c>
    </row>
    <row r="445" spans="1:2">
      <c r="A445" s="149" t="s">
        <v>1400</v>
      </c>
      <c r="B445" s="149" t="s">
        <v>1401</v>
      </c>
    </row>
    <row r="446" spans="1:2">
      <c r="A446" s="149" t="s">
        <v>1402</v>
      </c>
      <c r="B446" s="149" t="s">
        <v>1403</v>
      </c>
    </row>
    <row r="447" spans="1:2">
      <c r="A447" s="149" t="s">
        <v>1404</v>
      </c>
      <c r="B447" s="149" t="s">
        <v>1405</v>
      </c>
    </row>
    <row r="448" spans="1:2">
      <c r="A448" s="149" t="s">
        <v>1406</v>
      </c>
      <c r="B448" s="149" t="s">
        <v>1407</v>
      </c>
    </row>
    <row r="449" spans="1:2">
      <c r="A449" s="149" t="s">
        <v>1408</v>
      </c>
      <c r="B449" s="149" t="s">
        <v>1409</v>
      </c>
    </row>
    <row r="450" spans="1:2">
      <c r="A450" s="149" t="s">
        <v>1410</v>
      </c>
      <c r="B450" s="149" t="s">
        <v>1411</v>
      </c>
    </row>
    <row r="451" spans="1:2">
      <c r="A451" s="149" t="s">
        <v>1412</v>
      </c>
      <c r="B451" s="149" t="s">
        <v>1413</v>
      </c>
    </row>
    <row r="452" spans="1:2">
      <c r="A452" s="149" t="s">
        <v>1414</v>
      </c>
      <c r="B452" s="149" t="s">
        <v>1415</v>
      </c>
    </row>
    <row r="453" spans="1:2">
      <c r="A453" s="149" t="s">
        <v>1416</v>
      </c>
      <c r="B453" s="149" t="s">
        <v>1417</v>
      </c>
    </row>
    <row r="454" spans="1:2">
      <c r="A454" s="149" t="s">
        <v>1418</v>
      </c>
      <c r="B454" s="149" t="s">
        <v>1419</v>
      </c>
    </row>
    <row r="455" spans="1:2">
      <c r="A455" s="149" t="s">
        <v>1420</v>
      </c>
      <c r="B455" s="149" t="s">
        <v>1421</v>
      </c>
    </row>
    <row r="456" spans="1:2">
      <c r="A456" s="149" t="s">
        <v>1422</v>
      </c>
      <c r="B456" s="149" t="s">
        <v>1423</v>
      </c>
    </row>
    <row r="457" spans="1:2">
      <c r="A457" s="149" t="s">
        <v>1424</v>
      </c>
      <c r="B457" s="149" t="s">
        <v>1425</v>
      </c>
    </row>
    <row r="458" spans="1:2">
      <c r="A458" s="149" t="s">
        <v>1426</v>
      </c>
      <c r="B458" s="149" t="s">
        <v>1427</v>
      </c>
    </row>
    <row r="459" spans="1:2">
      <c r="A459" s="149" t="s">
        <v>1428</v>
      </c>
      <c r="B459" s="149" t="s">
        <v>1429</v>
      </c>
    </row>
    <row r="460" spans="1:2">
      <c r="A460" s="149" t="s">
        <v>1430</v>
      </c>
      <c r="B460" s="149" t="s">
        <v>1431</v>
      </c>
    </row>
    <row r="461" spans="1:2">
      <c r="A461" s="149" t="s">
        <v>1432</v>
      </c>
      <c r="B461" s="149" t="s">
        <v>1433</v>
      </c>
    </row>
    <row r="462" spans="1:2">
      <c r="A462" s="149" t="s">
        <v>1434</v>
      </c>
      <c r="B462" s="149" t="s">
        <v>1435</v>
      </c>
    </row>
    <row r="463" spans="1:2">
      <c r="A463" s="149" t="s">
        <v>1436</v>
      </c>
      <c r="B463" s="149" t="s">
        <v>1437</v>
      </c>
    </row>
    <row r="464" spans="1:2">
      <c r="A464" s="149" t="s">
        <v>1438</v>
      </c>
      <c r="B464" s="149" t="s">
        <v>1439</v>
      </c>
    </row>
    <row r="465" spans="1:2">
      <c r="A465" s="149" t="s">
        <v>1440</v>
      </c>
      <c r="B465" s="149" t="s">
        <v>1441</v>
      </c>
    </row>
    <row r="466" spans="1:2">
      <c r="A466" s="149" t="s">
        <v>1442</v>
      </c>
      <c r="B466" s="149" t="s">
        <v>1443</v>
      </c>
    </row>
    <row r="467" spans="1:2">
      <c r="A467" s="149" t="s">
        <v>1444</v>
      </c>
      <c r="B467" s="149" t="s">
        <v>1445</v>
      </c>
    </row>
    <row r="468" spans="1:2">
      <c r="A468" s="149" t="s">
        <v>1446</v>
      </c>
      <c r="B468" s="149" t="s">
        <v>1447</v>
      </c>
    </row>
    <row r="469" spans="1:2">
      <c r="A469" s="149" t="s">
        <v>1448</v>
      </c>
      <c r="B469" s="149" t="s">
        <v>1449</v>
      </c>
    </row>
    <row r="470" spans="1:2">
      <c r="A470" s="149" t="s">
        <v>1450</v>
      </c>
      <c r="B470" s="149" t="s">
        <v>1451</v>
      </c>
    </row>
    <row r="471" spans="1:2">
      <c r="A471" s="149" t="s">
        <v>1452</v>
      </c>
      <c r="B471" s="149" t="s">
        <v>1453</v>
      </c>
    </row>
    <row r="472" spans="1:2">
      <c r="A472" s="149" t="s">
        <v>1454</v>
      </c>
      <c r="B472" s="149" t="s">
        <v>1455</v>
      </c>
    </row>
    <row r="473" spans="1:2">
      <c r="A473" s="149" t="s">
        <v>1456</v>
      </c>
      <c r="B473" s="149" t="s">
        <v>1457</v>
      </c>
    </row>
    <row r="474" spans="1:2">
      <c r="A474" s="149" t="s">
        <v>1458</v>
      </c>
      <c r="B474" s="149" t="s">
        <v>1459</v>
      </c>
    </row>
    <row r="475" spans="1:2">
      <c r="A475" s="149" t="s">
        <v>1460</v>
      </c>
      <c r="B475" s="149" t="s">
        <v>1461</v>
      </c>
    </row>
    <row r="476" spans="1:2">
      <c r="A476" s="149" t="s">
        <v>1462</v>
      </c>
      <c r="B476" s="149" t="s">
        <v>1463</v>
      </c>
    </row>
    <row r="477" spans="1:2">
      <c r="A477" s="149" t="s">
        <v>1464</v>
      </c>
      <c r="B477" s="149" t="s">
        <v>1465</v>
      </c>
    </row>
    <row r="478" spans="1:2">
      <c r="A478" s="149" t="s">
        <v>1466</v>
      </c>
      <c r="B478" s="149" t="s">
        <v>1467</v>
      </c>
    </row>
    <row r="479" spans="1:2">
      <c r="A479" s="149" t="s">
        <v>1468</v>
      </c>
      <c r="B479" s="149" t="s">
        <v>1469</v>
      </c>
    </row>
    <row r="480" spans="1:2">
      <c r="A480" s="149" t="s">
        <v>1470</v>
      </c>
      <c r="B480" s="149" t="s">
        <v>1471</v>
      </c>
    </row>
    <row r="481" spans="1:2">
      <c r="A481" s="149" t="s">
        <v>1472</v>
      </c>
      <c r="B481" s="149" t="s">
        <v>1473</v>
      </c>
    </row>
    <row r="482" spans="1:2">
      <c r="A482" s="149" t="s">
        <v>1474</v>
      </c>
      <c r="B482" s="149" t="s">
        <v>1475</v>
      </c>
    </row>
    <row r="483" spans="1:2">
      <c r="A483" s="149" t="s">
        <v>1476</v>
      </c>
      <c r="B483" s="149" t="s">
        <v>1477</v>
      </c>
    </row>
    <row r="484" spans="1:2">
      <c r="A484" s="149" t="s">
        <v>1478</v>
      </c>
      <c r="B484" s="149" t="s">
        <v>1479</v>
      </c>
    </row>
    <row r="485" spans="1:2">
      <c r="A485" s="149" t="s">
        <v>1480</v>
      </c>
      <c r="B485" s="149" t="s">
        <v>1481</v>
      </c>
    </row>
    <row r="486" spans="1:2">
      <c r="A486" s="149" t="s">
        <v>1482</v>
      </c>
      <c r="B486" s="149" t="s">
        <v>1483</v>
      </c>
    </row>
    <row r="487" spans="1:2">
      <c r="A487" s="149" t="s">
        <v>1484</v>
      </c>
      <c r="B487" s="149" t="s">
        <v>1485</v>
      </c>
    </row>
    <row r="488" spans="1:2">
      <c r="A488" s="149" t="s">
        <v>1486</v>
      </c>
      <c r="B488" s="149" t="s">
        <v>1487</v>
      </c>
    </row>
    <row r="489" spans="1:2">
      <c r="A489" s="149" t="s">
        <v>1488</v>
      </c>
      <c r="B489" s="149" t="s">
        <v>1489</v>
      </c>
    </row>
    <row r="490" spans="1:2">
      <c r="A490" s="149" t="s">
        <v>1490</v>
      </c>
      <c r="B490" s="149" t="s">
        <v>1491</v>
      </c>
    </row>
    <row r="491" spans="1:2">
      <c r="A491" s="149" t="s">
        <v>1492</v>
      </c>
      <c r="B491" s="149" t="s">
        <v>1493</v>
      </c>
    </row>
    <row r="492" spans="1:2">
      <c r="A492" s="149" t="s">
        <v>1494</v>
      </c>
      <c r="B492" s="149" t="s">
        <v>1495</v>
      </c>
    </row>
    <row r="493" spans="1:2">
      <c r="A493" s="149" t="s">
        <v>1496</v>
      </c>
      <c r="B493" s="149" t="s">
        <v>1497</v>
      </c>
    </row>
    <row r="494" spans="1:2">
      <c r="A494" s="149" t="s">
        <v>1498</v>
      </c>
      <c r="B494" s="149" t="s">
        <v>1499</v>
      </c>
    </row>
    <row r="495" spans="1:2">
      <c r="A495" s="149" t="s">
        <v>1500</v>
      </c>
      <c r="B495" s="149" t="s">
        <v>1501</v>
      </c>
    </row>
    <row r="496" spans="1:2">
      <c r="A496" s="149" t="s">
        <v>1502</v>
      </c>
      <c r="B496" s="149" t="s">
        <v>1503</v>
      </c>
    </row>
    <row r="497" spans="1:2">
      <c r="A497" s="149" t="s">
        <v>1504</v>
      </c>
      <c r="B497" s="149" t="s">
        <v>1505</v>
      </c>
    </row>
    <row r="498" spans="1:2">
      <c r="A498" s="149" t="s">
        <v>1506</v>
      </c>
      <c r="B498" s="149" t="s">
        <v>1507</v>
      </c>
    </row>
    <row r="499" spans="1:2">
      <c r="A499" s="149" t="s">
        <v>1508</v>
      </c>
      <c r="B499" s="149" t="s">
        <v>1509</v>
      </c>
    </row>
    <row r="500" spans="1:2">
      <c r="A500" s="149" t="s">
        <v>1510</v>
      </c>
      <c r="B500" s="149" t="s">
        <v>1511</v>
      </c>
    </row>
    <row r="501" spans="1:2">
      <c r="A501" s="149" t="s">
        <v>1512</v>
      </c>
      <c r="B501" s="149" t="s">
        <v>260</v>
      </c>
    </row>
    <row r="502" spans="1:2">
      <c r="A502" s="149" t="s">
        <v>1513</v>
      </c>
      <c r="B502" s="149" t="s">
        <v>1514</v>
      </c>
    </row>
    <row r="503" spans="1:2">
      <c r="A503" s="149" t="s">
        <v>1515</v>
      </c>
      <c r="B503" s="149" t="s">
        <v>1516</v>
      </c>
    </row>
    <row r="504" spans="1:2">
      <c r="A504" s="149" t="s">
        <v>1517</v>
      </c>
      <c r="B504" s="149" t="s">
        <v>1518</v>
      </c>
    </row>
    <row r="505" spans="1:2">
      <c r="A505" s="149" t="s">
        <v>1519</v>
      </c>
      <c r="B505" s="149" t="s">
        <v>1520</v>
      </c>
    </row>
    <row r="506" spans="1:2">
      <c r="A506" s="149" t="s">
        <v>1521</v>
      </c>
      <c r="B506" s="149" t="s">
        <v>1522</v>
      </c>
    </row>
    <row r="507" spans="1:2">
      <c r="A507" s="149" t="s">
        <v>1523</v>
      </c>
      <c r="B507" s="149" t="s">
        <v>1524</v>
      </c>
    </row>
    <row r="508" spans="1:2">
      <c r="A508" s="149" t="s">
        <v>1525</v>
      </c>
      <c r="B508" s="149" t="s">
        <v>1526</v>
      </c>
    </row>
    <row r="509" spans="1:2">
      <c r="A509" s="149" t="s">
        <v>1527</v>
      </c>
      <c r="B509" s="149" t="s">
        <v>1528</v>
      </c>
    </row>
    <row r="510" spans="1:2">
      <c r="A510" s="149" t="s">
        <v>1529</v>
      </c>
      <c r="B510" s="149" t="s">
        <v>1530</v>
      </c>
    </row>
    <row r="511" spans="1:2">
      <c r="A511" s="149" t="s">
        <v>1531</v>
      </c>
      <c r="B511" s="149" t="s">
        <v>1532</v>
      </c>
    </row>
    <row r="512" spans="1:2">
      <c r="A512" s="149" t="s">
        <v>1533</v>
      </c>
      <c r="B512" s="149" t="s">
        <v>1534</v>
      </c>
    </row>
    <row r="513" spans="1:2">
      <c r="A513" s="149" t="s">
        <v>1535</v>
      </c>
      <c r="B513" s="149" t="s">
        <v>1536</v>
      </c>
    </row>
    <row r="514" spans="1:2">
      <c r="A514" s="149" t="s">
        <v>1537</v>
      </c>
      <c r="B514" s="149" t="s">
        <v>1538</v>
      </c>
    </row>
    <row r="515" spans="1:2">
      <c r="A515" s="149" t="s">
        <v>1539</v>
      </c>
      <c r="B515" s="149" t="s">
        <v>1540</v>
      </c>
    </row>
    <row r="516" spans="1:2">
      <c r="A516" s="149" t="s">
        <v>1541</v>
      </c>
      <c r="B516" s="149" t="s">
        <v>1542</v>
      </c>
    </row>
    <row r="517" spans="1:2">
      <c r="A517" s="149" t="s">
        <v>1543</v>
      </c>
      <c r="B517" s="149" t="s">
        <v>1544</v>
      </c>
    </row>
    <row r="518" spans="1:2">
      <c r="A518" s="149" t="s">
        <v>1545</v>
      </c>
      <c r="B518" s="149" t="s">
        <v>1546</v>
      </c>
    </row>
    <row r="519" spans="1:2">
      <c r="A519" s="149" t="s">
        <v>1547</v>
      </c>
      <c r="B519" s="149" t="s">
        <v>1548</v>
      </c>
    </row>
    <row r="520" spans="1:2">
      <c r="A520" s="149" t="s">
        <v>1549</v>
      </c>
      <c r="B520" s="149" t="s">
        <v>1550</v>
      </c>
    </row>
    <row r="521" spans="1:2">
      <c r="A521" s="149" t="s">
        <v>1551</v>
      </c>
      <c r="B521" s="149" t="s">
        <v>1552</v>
      </c>
    </row>
    <row r="522" spans="1:2">
      <c r="A522" s="149" t="s">
        <v>1553</v>
      </c>
      <c r="B522" s="149" t="s">
        <v>1554</v>
      </c>
    </row>
    <row r="523" spans="1:2">
      <c r="A523" s="149" t="s">
        <v>1555</v>
      </c>
      <c r="B523" s="149" t="s">
        <v>1556</v>
      </c>
    </row>
    <row r="524" spans="1:2">
      <c r="A524" s="149" t="s">
        <v>1557</v>
      </c>
      <c r="B524" s="149" t="s">
        <v>1558</v>
      </c>
    </row>
    <row r="525" spans="1:2">
      <c r="A525" s="149" t="s">
        <v>1559</v>
      </c>
      <c r="B525" s="149" t="s">
        <v>1560</v>
      </c>
    </row>
    <row r="526" spans="1:2">
      <c r="A526" s="149" t="s">
        <v>1561</v>
      </c>
      <c r="B526" s="149" t="s">
        <v>1562</v>
      </c>
    </row>
    <row r="527" spans="1:2">
      <c r="A527" s="149" t="s">
        <v>1563</v>
      </c>
      <c r="B527" s="149" t="s">
        <v>1564</v>
      </c>
    </row>
    <row r="528" spans="1:2">
      <c r="A528" s="149" t="s">
        <v>1565</v>
      </c>
      <c r="B528" s="149" t="s">
        <v>1566</v>
      </c>
    </row>
    <row r="529" spans="1:2">
      <c r="A529" s="149" t="s">
        <v>1567</v>
      </c>
      <c r="B529" s="149" t="s">
        <v>1568</v>
      </c>
    </row>
    <row r="530" spans="1:2">
      <c r="A530" s="149" t="s">
        <v>1569</v>
      </c>
      <c r="B530" s="149" t="s">
        <v>1570</v>
      </c>
    </row>
    <row r="531" spans="1:2">
      <c r="A531" s="149" t="s">
        <v>1571</v>
      </c>
      <c r="B531" s="149" t="s">
        <v>1572</v>
      </c>
    </row>
    <row r="532" spans="1:2">
      <c r="A532" s="149" t="s">
        <v>1573</v>
      </c>
      <c r="B532" s="149" t="s">
        <v>1574</v>
      </c>
    </row>
    <row r="533" spans="1:2">
      <c r="A533" s="149" t="s">
        <v>1575</v>
      </c>
      <c r="B533" s="149" t="s">
        <v>1576</v>
      </c>
    </row>
    <row r="534" spans="1:2">
      <c r="A534" s="149" t="s">
        <v>1577</v>
      </c>
      <c r="B534" s="149" t="s">
        <v>1578</v>
      </c>
    </row>
    <row r="535" spans="1:2">
      <c r="A535" s="149" t="s">
        <v>1579</v>
      </c>
      <c r="B535" s="149" t="s">
        <v>1580</v>
      </c>
    </row>
    <row r="536" spans="1:2">
      <c r="A536" s="149" t="s">
        <v>1581</v>
      </c>
      <c r="B536" s="149" t="s">
        <v>1582</v>
      </c>
    </row>
    <row r="537" spans="1:2">
      <c r="A537" s="149" t="s">
        <v>1583</v>
      </c>
      <c r="B537" s="149" t="s">
        <v>1584</v>
      </c>
    </row>
    <row r="538" spans="1:2">
      <c r="A538" s="149" t="s">
        <v>1585</v>
      </c>
      <c r="B538" s="149" t="s">
        <v>1586</v>
      </c>
    </row>
    <row r="539" spans="1:2">
      <c r="A539" s="149" t="s">
        <v>1587</v>
      </c>
      <c r="B539" s="149" t="s">
        <v>1588</v>
      </c>
    </row>
    <row r="540" spans="1:2">
      <c r="A540" s="149" t="s">
        <v>1589</v>
      </c>
      <c r="B540" s="149" t="s">
        <v>1590</v>
      </c>
    </row>
    <row r="541" spans="1:2">
      <c r="A541" s="149" t="s">
        <v>1591</v>
      </c>
      <c r="B541" s="149" t="s">
        <v>1592</v>
      </c>
    </row>
    <row r="542" spans="1:2">
      <c r="A542" s="149" t="s">
        <v>1593</v>
      </c>
      <c r="B542" s="149" t="s">
        <v>1594</v>
      </c>
    </row>
    <row r="543" spans="1:2">
      <c r="A543" s="149" t="s">
        <v>1595</v>
      </c>
      <c r="B543" s="149" t="s">
        <v>1596</v>
      </c>
    </row>
    <row r="544" spans="1:2">
      <c r="A544" s="149" t="s">
        <v>1597</v>
      </c>
      <c r="B544" s="149" t="s">
        <v>1598</v>
      </c>
    </row>
    <row r="545" spans="1:2">
      <c r="A545" s="149" t="s">
        <v>1599</v>
      </c>
      <c r="B545" s="149" t="s">
        <v>1600</v>
      </c>
    </row>
    <row r="546" spans="1:2">
      <c r="A546" s="149" t="s">
        <v>1601</v>
      </c>
      <c r="B546" s="149" t="s">
        <v>1602</v>
      </c>
    </row>
    <row r="547" spans="1:2">
      <c r="A547" s="149" t="s">
        <v>1603</v>
      </c>
      <c r="B547" s="149" t="s">
        <v>1604</v>
      </c>
    </row>
    <row r="548" spans="1:2">
      <c r="A548" s="149" t="s">
        <v>1605</v>
      </c>
      <c r="B548" s="149" t="s">
        <v>1606</v>
      </c>
    </row>
    <row r="549" spans="1:2">
      <c r="A549" s="149" t="s">
        <v>1607</v>
      </c>
      <c r="B549" s="149" t="s">
        <v>1608</v>
      </c>
    </row>
    <row r="550" spans="1:2">
      <c r="A550" s="149" t="s">
        <v>1609</v>
      </c>
      <c r="B550" s="149" t="s">
        <v>1610</v>
      </c>
    </row>
    <row r="551" spans="1:2">
      <c r="A551" s="149" t="s">
        <v>1611</v>
      </c>
      <c r="B551" s="149" t="s">
        <v>1612</v>
      </c>
    </row>
    <row r="552" spans="1:2">
      <c r="A552" s="149" t="s">
        <v>1613</v>
      </c>
      <c r="B552" s="149" t="s">
        <v>1614</v>
      </c>
    </row>
    <row r="553" spans="1:2">
      <c r="A553" s="149" t="s">
        <v>1615</v>
      </c>
      <c r="B553" s="149" t="s">
        <v>1616</v>
      </c>
    </row>
    <row r="554" spans="1:2">
      <c r="A554" s="149" t="s">
        <v>1617</v>
      </c>
      <c r="B554" s="149" t="s">
        <v>1618</v>
      </c>
    </row>
    <row r="555" spans="1:2">
      <c r="A555" s="149" t="s">
        <v>1619</v>
      </c>
      <c r="B555" s="149" t="s">
        <v>1620</v>
      </c>
    </row>
    <row r="556" spans="1:2">
      <c r="A556" s="149" t="s">
        <v>1621</v>
      </c>
      <c r="B556" s="149" t="s">
        <v>1622</v>
      </c>
    </row>
    <row r="557" spans="1:2">
      <c r="A557" s="149" t="s">
        <v>1623</v>
      </c>
      <c r="B557" s="149" t="s">
        <v>1624</v>
      </c>
    </row>
    <row r="558" spans="1:2">
      <c r="A558" s="149" t="s">
        <v>1625</v>
      </c>
      <c r="B558" s="149" t="s">
        <v>1626</v>
      </c>
    </row>
    <row r="559" spans="1:2">
      <c r="A559" s="149" t="s">
        <v>1627</v>
      </c>
      <c r="B559" s="149" t="s">
        <v>1628</v>
      </c>
    </row>
    <row r="560" spans="1:2">
      <c r="A560" s="149" t="s">
        <v>1629</v>
      </c>
      <c r="B560" s="149" t="s">
        <v>1630</v>
      </c>
    </row>
    <row r="561" spans="1:2">
      <c r="A561" s="149" t="s">
        <v>1631</v>
      </c>
      <c r="B561" s="149" t="s">
        <v>1632</v>
      </c>
    </row>
    <row r="562" spans="1:2">
      <c r="A562" s="149" t="s">
        <v>1633</v>
      </c>
      <c r="B562" s="149" t="s">
        <v>1634</v>
      </c>
    </row>
    <row r="563" spans="1:2">
      <c r="A563" s="149" t="s">
        <v>1635</v>
      </c>
      <c r="B563" s="149" t="s">
        <v>1636</v>
      </c>
    </row>
    <row r="564" spans="1:2">
      <c r="A564" s="149" t="s">
        <v>1637</v>
      </c>
      <c r="B564" s="149" t="s">
        <v>1638</v>
      </c>
    </row>
    <row r="565" spans="1:2">
      <c r="A565" s="149" t="s">
        <v>1639</v>
      </c>
      <c r="B565" s="149" t="s">
        <v>1640</v>
      </c>
    </row>
    <row r="566" spans="1:2">
      <c r="A566" s="149" t="s">
        <v>1641</v>
      </c>
      <c r="B566" s="149" t="s">
        <v>1642</v>
      </c>
    </row>
    <row r="567" spans="1:2">
      <c r="A567" s="149" t="s">
        <v>1643</v>
      </c>
      <c r="B567" s="149" t="s">
        <v>1644</v>
      </c>
    </row>
    <row r="568" spans="1:2">
      <c r="A568" s="149" t="s">
        <v>1645</v>
      </c>
      <c r="B568" s="149" t="s">
        <v>1646</v>
      </c>
    </row>
    <row r="569" spans="1:2">
      <c r="A569" s="149" t="s">
        <v>1647</v>
      </c>
      <c r="B569" s="149" t="s">
        <v>1648</v>
      </c>
    </row>
    <row r="570" spans="1:2">
      <c r="A570" s="149" t="s">
        <v>1649</v>
      </c>
      <c r="B570" s="149" t="s">
        <v>1650</v>
      </c>
    </row>
    <row r="571" spans="1:2">
      <c r="A571" s="149" t="s">
        <v>1651</v>
      </c>
      <c r="B571" s="149" t="s">
        <v>1652</v>
      </c>
    </row>
    <row r="572" spans="1:2">
      <c r="A572" s="149" t="s">
        <v>1653</v>
      </c>
      <c r="B572" s="149" t="s">
        <v>1654</v>
      </c>
    </row>
    <row r="573" spans="1:2">
      <c r="A573" s="149" t="s">
        <v>1655</v>
      </c>
      <c r="B573" s="149" t="s">
        <v>1656</v>
      </c>
    </row>
    <row r="574" spans="1:2">
      <c r="A574" s="149" t="s">
        <v>1657</v>
      </c>
      <c r="B574" s="149" t="s">
        <v>1658</v>
      </c>
    </row>
    <row r="575" spans="1:2">
      <c r="A575" s="149" t="s">
        <v>1659</v>
      </c>
      <c r="B575" s="149" t="s">
        <v>1660</v>
      </c>
    </row>
    <row r="576" spans="1:2">
      <c r="A576" s="149" t="s">
        <v>1661</v>
      </c>
      <c r="B576" s="149" t="s">
        <v>1662</v>
      </c>
    </row>
    <row r="577" spans="1:2">
      <c r="A577" s="149" t="s">
        <v>1663</v>
      </c>
      <c r="B577" s="149" t="s">
        <v>1664</v>
      </c>
    </row>
    <row r="578" spans="1:2">
      <c r="A578" s="149" t="s">
        <v>1665</v>
      </c>
      <c r="B578" s="149" t="s">
        <v>1666</v>
      </c>
    </row>
    <row r="579" spans="1:2">
      <c r="A579" s="149" t="s">
        <v>1667</v>
      </c>
      <c r="B579" s="149" t="s">
        <v>1668</v>
      </c>
    </row>
    <row r="580" spans="1:2">
      <c r="A580" s="149" t="s">
        <v>1669</v>
      </c>
      <c r="B580" s="149" t="s">
        <v>1670</v>
      </c>
    </row>
    <row r="581" spans="1:2">
      <c r="A581" s="149" t="s">
        <v>1671</v>
      </c>
      <c r="B581" s="149" t="s">
        <v>1672</v>
      </c>
    </row>
    <row r="582" spans="1:2">
      <c r="A582" s="149" t="s">
        <v>1673</v>
      </c>
      <c r="B582" s="149" t="s">
        <v>1674</v>
      </c>
    </row>
    <row r="583" spans="1:2">
      <c r="A583" s="149" t="s">
        <v>1675</v>
      </c>
      <c r="B583" s="149" t="s">
        <v>1676</v>
      </c>
    </row>
    <row r="584" spans="1:2">
      <c r="A584" s="149" t="s">
        <v>1677</v>
      </c>
      <c r="B584" s="149" t="s">
        <v>1678</v>
      </c>
    </row>
    <row r="585" spans="1:2">
      <c r="A585" s="149" t="s">
        <v>1679</v>
      </c>
      <c r="B585" s="149" t="s">
        <v>1680</v>
      </c>
    </row>
    <row r="586" spans="1:2">
      <c r="A586" s="149" t="s">
        <v>1681</v>
      </c>
      <c r="B586" s="149" t="s">
        <v>1682</v>
      </c>
    </row>
    <row r="587" spans="1:2">
      <c r="A587" s="149" t="s">
        <v>1683</v>
      </c>
      <c r="B587" s="149" t="s">
        <v>1684</v>
      </c>
    </row>
    <row r="588" spans="1:2">
      <c r="A588" s="149" t="s">
        <v>1685</v>
      </c>
      <c r="B588" s="149" t="s">
        <v>83</v>
      </c>
    </row>
    <row r="589" spans="1:2">
      <c r="A589" s="149" t="s">
        <v>1686</v>
      </c>
      <c r="B589" s="149" t="s">
        <v>1687</v>
      </c>
    </row>
    <row r="590" spans="1:2">
      <c r="A590" s="149" t="s">
        <v>1688</v>
      </c>
      <c r="B590" s="149" t="s">
        <v>1689</v>
      </c>
    </row>
    <row r="591" spans="1:2">
      <c r="A591" s="149" t="s">
        <v>1690</v>
      </c>
      <c r="B591" s="149" t="s">
        <v>1691</v>
      </c>
    </row>
    <row r="592" spans="1:2">
      <c r="A592" s="149" t="s">
        <v>1692</v>
      </c>
      <c r="B592" s="149" t="s">
        <v>1693</v>
      </c>
    </row>
    <row r="593" spans="1:2">
      <c r="A593" s="149" t="s">
        <v>1694</v>
      </c>
      <c r="B593" s="149" t="s">
        <v>1695</v>
      </c>
    </row>
    <row r="594" spans="1:2">
      <c r="A594" s="149" t="s">
        <v>1696</v>
      </c>
      <c r="B594" s="149" t="s">
        <v>1697</v>
      </c>
    </row>
    <row r="595" spans="1:2">
      <c r="A595" s="149" t="s">
        <v>1698</v>
      </c>
      <c r="B595" s="149" t="s">
        <v>1699</v>
      </c>
    </row>
    <row r="596" spans="1:2">
      <c r="A596" s="149" t="s">
        <v>1700</v>
      </c>
      <c r="B596" s="149" t="s">
        <v>1701</v>
      </c>
    </row>
    <row r="597" spans="1:2">
      <c r="A597" s="149" t="s">
        <v>1702</v>
      </c>
      <c r="B597" s="149" t="s">
        <v>1703</v>
      </c>
    </row>
    <row r="598" spans="1:2">
      <c r="A598" s="149" t="s">
        <v>1704</v>
      </c>
      <c r="B598" s="149" t="s">
        <v>1705</v>
      </c>
    </row>
    <row r="599" spans="1:2">
      <c r="A599" s="149" t="s">
        <v>1706</v>
      </c>
      <c r="B599" s="149" t="s">
        <v>1707</v>
      </c>
    </row>
    <row r="600" spans="1:2">
      <c r="A600" s="149" t="s">
        <v>1708</v>
      </c>
      <c r="B600" s="149" t="s">
        <v>1709</v>
      </c>
    </row>
    <row r="601" spans="1:2">
      <c r="A601" s="149" t="s">
        <v>1710</v>
      </c>
      <c r="B601" s="149" t="s">
        <v>1711</v>
      </c>
    </row>
    <row r="602" spans="1:2">
      <c r="A602" s="149" t="s">
        <v>1712</v>
      </c>
      <c r="B602" s="149" t="s">
        <v>1713</v>
      </c>
    </row>
    <row r="603" spans="1:2">
      <c r="A603" s="149" t="s">
        <v>1714</v>
      </c>
      <c r="B603" s="149" t="s">
        <v>1715</v>
      </c>
    </row>
    <row r="604" spans="1:2">
      <c r="A604" s="149" t="s">
        <v>1716</v>
      </c>
      <c r="B604" s="149" t="s">
        <v>1717</v>
      </c>
    </row>
    <row r="605" spans="1:2">
      <c r="A605" s="149" t="s">
        <v>1718</v>
      </c>
      <c r="B605" s="149" t="s">
        <v>1719</v>
      </c>
    </row>
    <row r="606" spans="1:2">
      <c r="A606" s="149" t="s">
        <v>1720</v>
      </c>
      <c r="B606" s="149" t="s">
        <v>1721</v>
      </c>
    </row>
    <row r="607" spans="1:2">
      <c r="A607" s="149" t="s">
        <v>1722</v>
      </c>
      <c r="B607" s="149" t="s">
        <v>1723</v>
      </c>
    </row>
    <row r="608" spans="1:2">
      <c r="A608" s="149" t="s">
        <v>1724</v>
      </c>
      <c r="B608" s="149" t="s">
        <v>1725</v>
      </c>
    </row>
    <row r="609" spans="1:2">
      <c r="A609" s="149" t="s">
        <v>1726</v>
      </c>
      <c r="B609" s="149" t="s">
        <v>1727</v>
      </c>
    </row>
    <row r="610" spans="1:2">
      <c r="A610" s="149" t="s">
        <v>1728</v>
      </c>
      <c r="B610" s="149" t="s">
        <v>1729</v>
      </c>
    </row>
    <row r="611" spans="1:2">
      <c r="A611" s="149" t="s">
        <v>1730</v>
      </c>
      <c r="B611" s="149" t="s">
        <v>1731</v>
      </c>
    </row>
    <row r="612" spans="1:2">
      <c r="A612" s="149" t="s">
        <v>1732</v>
      </c>
      <c r="B612" s="149" t="s">
        <v>1733</v>
      </c>
    </row>
    <row r="613" spans="1:2">
      <c r="A613" s="149" t="s">
        <v>1734</v>
      </c>
      <c r="B613" s="149" t="s">
        <v>1735</v>
      </c>
    </row>
    <row r="614" spans="1:2">
      <c r="A614" s="149" t="s">
        <v>1736</v>
      </c>
      <c r="B614" s="149" t="s">
        <v>1737</v>
      </c>
    </row>
    <row r="615" spans="1:2">
      <c r="A615" s="149" t="s">
        <v>1738</v>
      </c>
      <c r="B615" s="149" t="s">
        <v>1739</v>
      </c>
    </row>
    <row r="616" spans="1:2">
      <c r="A616" s="149" t="s">
        <v>1740</v>
      </c>
      <c r="B616" s="149" t="s">
        <v>1741</v>
      </c>
    </row>
    <row r="617" spans="1:2">
      <c r="A617" s="149" t="s">
        <v>1742</v>
      </c>
      <c r="B617" s="149" t="s">
        <v>1743</v>
      </c>
    </row>
    <row r="618" spans="1:2">
      <c r="A618" s="149" t="s">
        <v>1744</v>
      </c>
      <c r="B618" s="149" t="s">
        <v>1745</v>
      </c>
    </row>
    <row r="619" spans="1:2">
      <c r="A619" s="149" t="s">
        <v>1746</v>
      </c>
      <c r="B619" s="149" t="s">
        <v>1747</v>
      </c>
    </row>
    <row r="620" spans="1:2">
      <c r="A620" s="149" t="s">
        <v>1748</v>
      </c>
      <c r="B620" s="149" t="s">
        <v>1749</v>
      </c>
    </row>
    <row r="621" spans="1:2">
      <c r="A621" s="149" t="s">
        <v>1750</v>
      </c>
      <c r="B621" s="149" t="s">
        <v>1751</v>
      </c>
    </row>
    <row r="622" spans="1:2">
      <c r="A622" s="149" t="s">
        <v>1752</v>
      </c>
      <c r="B622" s="149" t="s">
        <v>1753</v>
      </c>
    </row>
    <row r="623" spans="1:2">
      <c r="A623" s="149" t="s">
        <v>1754</v>
      </c>
      <c r="B623" s="149" t="s">
        <v>1755</v>
      </c>
    </row>
    <row r="624" spans="1:2">
      <c r="A624" s="149" t="s">
        <v>1756</v>
      </c>
      <c r="B624" s="149" t="s">
        <v>1757</v>
      </c>
    </row>
    <row r="625" spans="1:2">
      <c r="A625" s="149" t="s">
        <v>1758</v>
      </c>
      <c r="B625" s="149" t="s">
        <v>1759</v>
      </c>
    </row>
    <row r="626" spans="1:2">
      <c r="A626" s="149" t="s">
        <v>1760</v>
      </c>
      <c r="B626" s="149" t="s">
        <v>1761</v>
      </c>
    </row>
    <row r="627" spans="1:2">
      <c r="A627" s="149" t="s">
        <v>1762</v>
      </c>
      <c r="B627" s="149" t="s">
        <v>265</v>
      </c>
    </row>
    <row r="628" spans="1:2">
      <c r="A628" s="149" t="s">
        <v>1763</v>
      </c>
      <c r="B628" s="149" t="s">
        <v>1764</v>
      </c>
    </row>
    <row r="629" spans="1:2">
      <c r="A629" s="149" t="s">
        <v>1765</v>
      </c>
      <c r="B629" s="149" t="s">
        <v>1766</v>
      </c>
    </row>
    <row r="630" spans="1:2">
      <c r="A630" s="149" t="s">
        <v>1767</v>
      </c>
      <c r="B630" s="149" t="s">
        <v>1768</v>
      </c>
    </row>
    <row r="631" spans="1:2">
      <c r="A631" s="149" t="s">
        <v>1769</v>
      </c>
      <c r="B631" s="149" t="s">
        <v>1770</v>
      </c>
    </row>
    <row r="632" spans="1:2">
      <c r="A632" s="149" t="s">
        <v>1771</v>
      </c>
      <c r="B632" s="149" t="s">
        <v>1772</v>
      </c>
    </row>
    <row r="633" spans="1:2">
      <c r="A633" s="149" t="s">
        <v>1773</v>
      </c>
      <c r="B633" s="149" t="s">
        <v>1774</v>
      </c>
    </row>
    <row r="634" spans="1:2">
      <c r="A634" s="149" t="s">
        <v>1775</v>
      </c>
      <c r="B634" s="149" t="s">
        <v>1776</v>
      </c>
    </row>
    <row r="635" spans="1:2">
      <c r="A635" s="149" t="s">
        <v>1777</v>
      </c>
      <c r="B635" s="149" t="s">
        <v>1778</v>
      </c>
    </row>
    <row r="636" spans="1:2">
      <c r="A636" s="149" t="s">
        <v>1779</v>
      </c>
      <c r="B636" s="149" t="s">
        <v>1780</v>
      </c>
    </row>
    <row r="637" spans="1:2">
      <c r="A637" s="149" t="s">
        <v>1781</v>
      </c>
      <c r="B637" s="149" t="s">
        <v>1782</v>
      </c>
    </row>
    <row r="638" spans="1:2">
      <c r="A638" s="149" t="s">
        <v>1783</v>
      </c>
      <c r="B638" s="149" t="s">
        <v>1784</v>
      </c>
    </row>
    <row r="639" spans="1:2">
      <c r="A639" s="149" t="s">
        <v>1785</v>
      </c>
      <c r="B639" s="149" t="s">
        <v>1786</v>
      </c>
    </row>
    <row r="640" spans="1:2">
      <c r="A640" s="149" t="s">
        <v>1787</v>
      </c>
      <c r="B640" s="149" t="s">
        <v>1788</v>
      </c>
    </row>
    <row r="641" spans="1:2">
      <c r="A641" s="149" t="s">
        <v>1789</v>
      </c>
      <c r="B641" s="149" t="s">
        <v>1790</v>
      </c>
    </row>
    <row r="642" spans="1:2">
      <c r="A642" s="149" t="s">
        <v>1791</v>
      </c>
      <c r="B642" s="149" t="s">
        <v>1792</v>
      </c>
    </row>
    <row r="643" spans="1:2">
      <c r="A643" s="149" t="s">
        <v>1793</v>
      </c>
      <c r="B643" s="149" t="s">
        <v>1794</v>
      </c>
    </row>
    <row r="644" spans="1:2">
      <c r="A644" s="149" t="s">
        <v>1795</v>
      </c>
      <c r="B644" s="149" t="s">
        <v>1796</v>
      </c>
    </row>
    <row r="645" spans="1:2">
      <c r="A645" s="149" t="s">
        <v>1797</v>
      </c>
      <c r="B645" s="149" t="s">
        <v>1798</v>
      </c>
    </row>
    <row r="646" spans="1:2">
      <c r="A646" s="149" t="s">
        <v>1799</v>
      </c>
      <c r="B646" s="149" t="s">
        <v>1800</v>
      </c>
    </row>
    <row r="647" spans="1:2">
      <c r="A647" s="149" t="s">
        <v>1801</v>
      </c>
      <c r="B647" s="149" t="s">
        <v>1802</v>
      </c>
    </row>
    <row r="648" spans="1:2">
      <c r="A648" s="149" t="s">
        <v>1803</v>
      </c>
      <c r="B648" s="149" t="s">
        <v>1804</v>
      </c>
    </row>
    <row r="649" spans="1:2">
      <c r="A649" s="149" t="s">
        <v>1805</v>
      </c>
      <c r="B649" s="149" t="s">
        <v>1806</v>
      </c>
    </row>
    <row r="650" spans="1:2">
      <c r="A650" s="149" t="s">
        <v>1807</v>
      </c>
      <c r="B650" s="149" t="s">
        <v>1808</v>
      </c>
    </row>
    <row r="651" spans="1:2">
      <c r="A651" s="149" t="s">
        <v>1809</v>
      </c>
      <c r="B651" s="149" t="s">
        <v>1810</v>
      </c>
    </row>
    <row r="652" spans="1:2">
      <c r="A652" s="149" t="s">
        <v>1811</v>
      </c>
      <c r="B652" s="149" t="s">
        <v>1812</v>
      </c>
    </row>
    <row r="653" spans="1:2">
      <c r="A653" s="149" t="s">
        <v>1813</v>
      </c>
      <c r="B653" s="149" t="s">
        <v>1814</v>
      </c>
    </row>
    <row r="654" spans="1:2">
      <c r="A654" s="149" t="s">
        <v>1815</v>
      </c>
      <c r="B654" s="149" t="s">
        <v>1816</v>
      </c>
    </row>
    <row r="655" spans="1:2">
      <c r="A655" s="149" t="s">
        <v>1817</v>
      </c>
      <c r="B655" s="149" t="s">
        <v>1818</v>
      </c>
    </row>
    <row r="656" spans="1:2">
      <c r="A656" s="149" t="s">
        <v>1819</v>
      </c>
      <c r="B656" s="149" t="s">
        <v>1820</v>
      </c>
    </row>
    <row r="657" spans="1:2">
      <c r="A657" s="149" t="s">
        <v>1821</v>
      </c>
      <c r="B657" s="149" t="s">
        <v>1822</v>
      </c>
    </row>
    <row r="658" spans="1:2">
      <c r="A658" s="149" t="s">
        <v>1823</v>
      </c>
      <c r="B658" s="149" t="s">
        <v>1824</v>
      </c>
    </row>
    <row r="659" spans="1:2">
      <c r="A659" s="149" t="s">
        <v>1825</v>
      </c>
      <c r="B659" s="149" t="s">
        <v>1826</v>
      </c>
    </row>
    <row r="660" spans="1:2">
      <c r="A660" s="149" t="s">
        <v>1827</v>
      </c>
      <c r="B660" s="149" t="s">
        <v>1828</v>
      </c>
    </row>
    <row r="661" spans="1:2">
      <c r="A661" s="149" t="s">
        <v>1829</v>
      </c>
      <c r="B661" s="149" t="s">
        <v>1830</v>
      </c>
    </row>
    <row r="662" spans="1:2">
      <c r="A662" s="149" t="s">
        <v>1831</v>
      </c>
      <c r="B662" s="149" t="s">
        <v>1832</v>
      </c>
    </row>
    <row r="663" spans="1:2">
      <c r="A663" s="149" t="s">
        <v>1833</v>
      </c>
      <c r="B663" s="149" t="s">
        <v>1834</v>
      </c>
    </row>
    <row r="664" spans="1:2">
      <c r="A664" s="149" t="s">
        <v>1835</v>
      </c>
      <c r="B664" s="149" t="s">
        <v>1836</v>
      </c>
    </row>
    <row r="665" spans="1:2">
      <c r="A665" s="149" t="s">
        <v>1837</v>
      </c>
      <c r="B665" s="149" t="s">
        <v>1838</v>
      </c>
    </row>
    <row r="666" spans="1:2">
      <c r="A666" s="149" t="s">
        <v>1839</v>
      </c>
      <c r="B666" s="149" t="s">
        <v>1840</v>
      </c>
    </row>
    <row r="667" spans="1:2">
      <c r="A667" s="149" t="s">
        <v>1841</v>
      </c>
      <c r="B667" s="149" t="s">
        <v>1842</v>
      </c>
    </row>
    <row r="668" spans="1:2">
      <c r="A668" s="149" t="s">
        <v>1843</v>
      </c>
      <c r="B668" s="149" t="s">
        <v>1844</v>
      </c>
    </row>
    <row r="669" spans="1:2">
      <c r="A669" s="149" t="s">
        <v>1845</v>
      </c>
      <c r="B669" s="149" t="s">
        <v>1846</v>
      </c>
    </row>
    <row r="670" spans="1:2">
      <c r="A670" s="149" t="s">
        <v>1847</v>
      </c>
      <c r="B670" s="149" t="s">
        <v>1848</v>
      </c>
    </row>
    <row r="671" spans="1:2">
      <c r="A671" s="149" t="s">
        <v>1849</v>
      </c>
      <c r="B671" s="149" t="s">
        <v>1850</v>
      </c>
    </row>
    <row r="672" spans="1:2">
      <c r="A672" s="149" t="s">
        <v>1851</v>
      </c>
      <c r="B672" s="149" t="s">
        <v>1852</v>
      </c>
    </row>
    <row r="673" spans="1:2">
      <c r="A673" s="149" t="s">
        <v>1853</v>
      </c>
      <c r="B673" s="149" t="s">
        <v>1854</v>
      </c>
    </row>
    <row r="674" spans="1:2">
      <c r="A674" s="149" t="s">
        <v>1855</v>
      </c>
      <c r="B674" s="149" t="s">
        <v>1856</v>
      </c>
    </row>
    <row r="675" spans="1:2">
      <c r="A675" s="149" t="s">
        <v>1857</v>
      </c>
      <c r="B675" s="149" t="s">
        <v>1858</v>
      </c>
    </row>
    <row r="676" spans="1:2">
      <c r="A676" s="149" t="s">
        <v>1859</v>
      </c>
      <c r="B676" s="149" t="s">
        <v>1860</v>
      </c>
    </row>
    <row r="677" spans="1:2">
      <c r="A677" s="149" t="s">
        <v>1861</v>
      </c>
      <c r="B677" s="149" t="s">
        <v>1862</v>
      </c>
    </row>
    <row r="678" spans="1:2">
      <c r="A678" s="149" t="s">
        <v>1863</v>
      </c>
      <c r="B678" s="149" t="s">
        <v>1864</v>
      </c>
    </row>
    <row r="679" spans="1:2">
      <c r="A679" s="149" t="s">
        <v>1865</v>
      </c>
      <c r="B679" s="149" t="s">
        <v>1866</v>
      </c>
    </row>
    <row r="680" spans="1:2">
      <c r="A680" s="149" t="s">
        <v>1867</v>
      </c>
      <c r="B680" s="149" t="s">
        <v>1868</v>
      </c>
    </row>
    <row r="681" spans="1:2">
      <c r="A681" s="149" t="s">
        <v>1869</v>
      </c>
      <c r="B681" s="149" t="s">
        <v>1870</v>
      </c>
    </row>
    <row r="682" spans="1:2">
      <c r="A682" s="149" t="s">
        <v>1871</v>
      </c>
      <c r="B682" s="149" t="s">
        <v>1872</v>
      </c>
    </row>
    <row r="683" spans="1:2">
      <c r="A683" s="149" t="s">
        <v>1873</v>
      </c>
      <c r="B683" s="149" t="s">
        <v>1874</v>
      </c>
    </row>
    <row r="684" spans="1:2">
      <c r="A684" s="149" t="s">
        <v>1875</v>
      </c>
      <c r="B684" s="149" t="s">
        <v>1876</v>
      </c>
    </row>
    <row r="685" spans="1:2">
      <c r="A685" s="149" t="s">
        <v>1877</v>
      </c>
      <c r="B685" s="149" t="s">
        <v>1878</v>
      </c>
    </row>
    <row r="686" spans="1:2">
      <c r="A686" s="149" t="s">
        <v>1879</v>
      </c>
      <c r="B686" s="149" t="s">
        <v>1880</v>
      </c>
    </row>
    <row r="687" spans="1:2">
      <c r="A687" s="149" t="s">
        <v>1881</v>
      </c>
      <c r="B687" s="149" t="s">
        <v>1882</v>
      </c>
    </row>
    <row r="688" spans="1:2">
      <c r="A688" s="149" t="s">
        <v>1883</v>
      </c>
      <c r="B688" s="149" t="s">
        <v>1884</v>
      </c>
    </row>
    <row r="689" spans="1:2">
      <c r="A689" s="149" t="s">
        <v>1885</v>
      </c>
      <c r="B689" s="149" t="s">
        <v>1886</v>
      </c>
    </row>
    <row r="690" spans="1:2">
      <c r="A690" s="149" t="s">
        <v>1887</v>
      </c>
      <c r="B690" s="149" t="s">
        <v>1888</v>
      </c>
    </row>
    <row r="691" spans="1:2">
      <c r="A691" s="149" t="s">
        <v>1889</v>
      </c>
      <c r="B691" s="149" t="s">
        <v>1890</v>
      </c>
    </row>
    <row r="692" spans="1:2">
      <c r="A692" s="149" t="s">
        <v>1891</v>
      </c>
      <c r="B692" s="149" t="s">
        <v>1892</v>
      </c>
    </row>
    <row r="693" spans="1:2">
      <c r="A693" s="149" t="s">
        <v>1893</v>
      </c>
      <c r="B693" s="149" t="s">
        <v>1894</v>
      </c>
    </row>
    <row r="694" spans="1:2">
      <c r="A694" s="149" t="s">
        <v>1895</v>
      </c>
      <c r="B694" s="149" t="s">
        <v>1896</v>
      </c>
    </row>
    <row r="695" spans="1:2">
      <c r="A695" s="149" t="s">
        <v>1897</v>
      </c>
      <c r="B695" s="149" t="s">
        <v>1898</v>
      </c>
    </row>
    <row r="696" spans="1:2">
      <c r="A696" s="149" t="s">
        <v>1899</v>
      </c>
      <c r="B696" s="149" t="s">
        <v>1900</v>
      </c>
    </row>
    <row r="697" spans="1:2">
      <c r="A697" s="149" t="s">
        <v>1901</v>
      </c>
      <c r="B697" s="149" t="s">
        <v>1902</v>
      </c>
    </row>
    <row r="698" spans="1:2">
      <c r="A698" s="149" t="s">
        <v>1903</v>
      </c>
      <c r="B698" s="149" t="s">
        <v>1904</v>
      </c>
    </row>
    <row r="699" spans="1:2">
      <c r="A699" s="149" t="s">
        <v>1905</v>
      </c>
      <c r="B699" s="149" t="s">
        <v>1906</v>
      </c>
    </row>
    <row r="700" spans="1:2">
      <c r="A700" s="149" t="s">
        <v>1907</v>
      </c>
      <c r="B700" s="149" t="s">
        <v>1908</v>
      </c>
    </row>
    <row r="701" spans="1:2">
      <c r="A701" s="149" t="s">
        <v>1909</v>
      </c>
      <c r="B701" s="149" t="s">
        <v>1910</v>
      </c>
    </row>
    <row r="702" spans="1:2">
      <c r="A702" s="149" t="s">
        <v>1911</v>
      </c>
      <c r="B702" s="149" t="s">
        <v>1912</v>
      </c>
    </row>
    <row r="703" spans="1:2">
      <c r="A703" s="149" t="s">
        <v>1913</v>
      </c>
      <c r="B703" s="149" t="s">
        <v>1914</v>
      </c>
    </row>
    <row r="704" spans="1:2">
      <c r="A704" s="149" t="s">
        <v>1915</v>
      </c>
      <c r="B704" s="149" t="s">
        <v>1916</v>
      </c>
    </row>
    <row r="705" spans="1:2">
      <c r="A705" s="149" t="s">
        <v>1917</v>
      </c>
      <c r="B705" s="149" t="s">
        <v>1918</v>
      </c>
    </row>
    <row r="706" spans="1:2">
      <c r="A706" s="149" t="s">
        <v>1919</v>
      </c>
      <c r="B706" s="149" t="s">
        <v>1920</v>
      </c>
    </row>
    <row r="707" spans="1:2">
      <c r="A707" s="149" t="s">
        <v>1921</v>
      </c>
      <c r="B707" s="149" t="s">
        <v>1922</v>
      </c>
    </row>
    <row r="708" spans="1:2">
      <c r="A708" s="149" t="s">
        <v>1923</v>
      </c>
      <c r="B708" s="149" t="s">
        <v>1924</v>
      </c>
    </row>
    <row r="709" spans="1:2">
      <c r="A709" s="149" t="s">
        <v>1925</v>
      </c>
      <c r="B709" s="149" t="s">
        <v>1926</v>
      </c>
    </row>
    <row r="710" spans="1:2">
      <c r="A710" s="149" t="s">
        <v>1927</v>
      </c>
      <c r="B710" s="149" t="s">
        <v>1928</v>
      </c>
    </row>
    <row r="711" spans="1:2">
      <c r="A711" s="149" t="s">
        <v>1929</v>
      </c>
      <c r="B711" s="149" t="s">
        <v>1930</v>
      </c>
    </row>
    <row r="712" spans="1:2">
      <c r="A712" s="149" t="s">
        <v>1931</v>
      </c>
      <c r="B712" s="149" t="s">
        <v>1932</v>
      </c>
    </row>
    <row r="713" spans="1:2">
      <c r="A713" s="149" t="s">
        <v>1933</v>
      </c>
      <c r="B713" s="149" t="s">
        <v>1934</v>
      </c>
    </row>
    <row r="714" spans="1:2">
      <c r="A714" s="149" t="s">
        <v>1935</v>
      </c>
      <c r="B714" s="149" t="s">
        <v>1936</v>
      </c>
    </row>
    <row r="715" spans="1:2">
      <c r="A715" s="149" t="s">
        <v>1937</v>
      </c>
      <c r="B715" s="149" t="s">
        <v>1938</v>
      </c>
    </row>
    <row r="716" spans="1:2">
      <c r="A716" s="149" t="s">
        <v>1939</v>
      </c>
      <c r="B716" s="149" t="s">
        <v>1940</v>
      </c>
    </row>
    <row r="717" spans="1:2">
      <c r="A717" s="149" t="s">
        <v>1941</v>
      </c>
      <c r="B717" s="149" t="s">
        <v>1942</v>
      </c>
    </row>
    <row r="718" spans="1:2">
      <c r="A718" s="149" t="s">
        <v>1943</v>
      </c>
      <c r="B718" s="149" t="s">
        <v>1944</v>
      </c>
    </row>
    <row r="719" spans="1:2">
      <c r="A719" s="149" t="s">
        <v>1945</v>
      </c>
      <c r="B719" s="149" t="s">
        <v>1946</v>
      </c>
    </row>
    <row r="720" spans="1:2">
      <c r="A720" s="149" t="s">
        <v>1947</v>
      </c>
      <c r="B720" s="149" t="s">
        <v>1948</v>
      </c>
    </row>
    <row r="721" spans="1:2">
      <c r="A721" s="149" t="s">
        <v>1949</v>
      </c>
      <c r="B721" s="149" t="s">
        <v>1950</v>
      </c>
    </row>
    <row r="722" spans="1:2">
      <c r="A722" s="149" t="s">
        <v>1951</v>
      </c>
      <c r="B722" s="149" t="s">
        <v>1952</v>
      </c>
    </row>
    <row r="723" spans="1:2">
      <c r="A723" s="149" t="s">
        <v>1953</v>
      </c>
      <c r="B723" s="149" t="s">
        <v>1954</v>
      </c>
    </row>
    <row r="724" spans="1:2">
      <c r="A724" s="149" t="s">
        <v>1955</v>
      </c>
      <c r="B724" s="149" t="s">
        <v>1956</v>
      </c>
    </row>
    <row r="725" spans="1:2">
      <c r="A725" s="149" t="s">
        <v>1957</v>
      </c>
      <c r="B725" s="149" t="s">
        <v>1958</v>
      </c>
    </row>
    <row r="726" spans="1:2">
      <c r="A726" s="149" t="s">
        <v>1959</v>
      </c>
      <c r="B726" s="149" t="s">
        <v>1960</v>
      </c>
    </row>
    <row r="727" spans="1:2">
      <c r="A727" s="149" t="s">
        <v>1961</v>
      </c>
      <c r="B727" s="149" t="s">
        <v>1962</v>
      </c>
    </row>
    <row r="728" spans="1:2">
      <c r="A728" s="149" t="s">
        <v>1963</v>
      </c>
      <c r="B728" s="149" t="s">
        <v>1964</v>
      </c>
    </row>
    <row r="729" spans="1:2">
      <c r="A729" s="149" t="s">
        <v>1965</v>
      </c>
      <c r="B729" s="149" t="s">
        <v>1966</v>
      </c>
    </row>
    <row r="730" spans="1:2">
      <c r="A730" s="149" t="s">
        <v>1967</v>
      </c>
      <c r="B730" s="149" t="s">
        <v>1968</v>
      </c>
    </row>
    <row r="731" spans="1:2">
      <c r="A731" s="149" t="s">
        <v>1969</v>
      </c>
      <c r="B731" s="149" t="s">
        <v>1970</v>
      </c>
    </row>
    <row r="732" spans="1:2">
      <c r="A732" s="149" t="s">
        <v>1971</v>
      </c>
      <c r="B732" s="149" t="s">
        <v>1972</v>
      </c>
    </row>
    <row r="733" spans="1:2">
      <c r="A733" s="149" t="s">
        <v>1973</v>
      </c>
      <c r="B733" s="149" t="s">
        <v>1974</v>
      </c>
    </row>
    <row r="734" spans="1:2">
      <c r="A734" s="149" t="s">
        <v>1975</v>
      </c>
      <c r="B734" s="149" t="s">
        <v>1976</v>
      </c>
    </row>
    <row r="735" spans="1:2">
      <c r="A735" s="149" t="s">
        <v>1977</v>
      </c>
      <c r="B735" s="149" t="s">
        <v>1978</v>
      </c>
    </row>
    <row r="736" spans="1:2">
      <c r="A736" s="149" t="s">
        <v>1979</v>
      </c>
      <c r="B736" s="149" t="s">
        <v>1980</v>
      </c>
    </row>
    <row r="737" spans="1:2">
      <c r="A737" s="149" t="s">
        <v>1981</v>
      </c>
      <c r="B737" s="149" t="s">
        <v>1982</v>
      </c>
    </row>
    <row r="738" spans="1:2">
      <c r="A738" s="149" t="s">
        <v>1983</v>
      </c>
      <c r="B738" s="149" t="s">
        <v>1984</v>
      </c>
    </row>
    <row r="739" spans="1:2">
      <c r="A739" s="149" t="s">
        <v>1985</v>
      </c>
      <c r="B739" s="149" t="s">
        <v>1986</v>
      </c>
    </row>
    <row r="740" spans="1:2">
      <c r="A740" s="149" t="s">
        <v>1987</v>
      </c>
      <c r="B740" s="149" t="s">
        <v>1988</v>
      </c>
    </row>
    <row r="741" spans="1:2">
      <c r="A741" s="149" t="s">
        <v>1989</v>
      </c>
      <c r="B741" s="149" t="s">
        <v>1990</v>
      </c>
    </row>
    <row r="742" spans="1:2">
      <c r="A742" s="149" t="s">
        <v>1991</v>
      </c>
      <c r="B742" s="149" t="s">
        <v>1992</v>
      </c>
    </row>
    <row r="743" spans="1:2">
      <c r="A743" s="149" t="s">
        <v>1993</v>
      </c>
      <c r="B743" s="149" t="s">
        <v>1994</v>
      </c>
    </row>
    <row r="744" spans="1:2">
      <c r="A744" s="149" t="s">
        <v>1995</v>
      </c>
      <c r="B744" s="149" t="s">
        <v>1996</v>
      </c>
    </row>
    <row r="745" spans="1:2">
      <c r="A745" s="149" t="s">
        <v>1997</v>
      </c>
      <c r="B745" s="149" t="s">
        <v>1998</v>
      </c>
    </row>
    <row r="746" spans="1:2">
      <c r="A746" s="149" t="s">
        <v>1999</v>
      </c>
      <c r="B746" s="149" t="s">
        <v>2000</v>
      </c>
    </row>
    <row r="747" spans="1:2">
      <c r="A747" s="149" t="s">
        <v>2001</v>
      </c>
      <c r="B747" s="149" t="s">
        <v>2002</v>
      </c>
    </row>
    <row r="748" spans="1:2">
      <c r="A748" s="149" t="s">
        <v>2003</v>
      </c>
      <c r="B748" s="149" t="s">
        <v>2004</v>
      </c>
    </row>
    <row r="749" spans="1:2">
      <c r="A749" s="149" t="s">
        <v>2005</v>
      </c>
      <c r="B749" s="149" t="s">
        <v>2006</v>
      </c>
    </row>
    <row r="750" spans="1:2">
      <c r="A750" s="149" t="s">
        <v>2007</v>
      </c>
      <c r="B750" s="149" t="s">
        <v>2008</v>
      </c>
    </row>
    <row r="751" spans="1:2">
      <c r="A751" s="149" t="s">
        <v>2009</v>
      </c>
      <c r="B751" s="149" t="s">
        <v>2010</v>
      </c>
    </row>
    <row r="752" spans="1:2">
      <c r="A752" s="149" t="s">
        <v>2011</v>
      </c>
      <c r="B752" s="149" t="s">
        <v>2012</v>
      </c>
    </row>
    <row r="753" spans="1:2">
      <c r="A753" s="149" t="s">
        <v>2013</v>
      </c>
      <c r="B753" s="149" t="s">
        <v>2014</v>
      </c>
    </row>
    <row r="754" spans="1:2">
      <c r="A754" s="149" t="s">
        <v>2015</v>
      </c>
      <c r="B754" s="149" t="s">
        <v>2016</v>
      </c>
    </row>
    <row r="755" spans="1:2">
      <c r="A755" s="149" t="s">
        <v>2017</v>
      </c>
      <c r="B755" s="149" t="s">
        <v>2018</v>
      </c>
    </row>
    <row r="756" spans="1:2">
      <c r="A756" s="149" t="s">
        <v>2019</v>
      </c>
      <c r="B756" s="149" t="s">
        <v>2020</v>
      </c>
    </row>
    <row r="757" spans="1:2">
      <c r="A757" s="149" t="s">
        <v>2021</v>
      </c>
      <c r="B757" s="149" t="s">
        <v>2022</v>
      </c>
    </row>
    <row r="758" spans="1:2">
      <c r="A758" s="149" t="s">
        <v>2023</v>
      </c>
      <c r="B758" s="149" t="s">
        <v>2024</v>
      </c>
    </row>
    <row r="759" spans="1:2">
      <c r="A759" s="149" t="s">
        <v>2025</v>
      </c>
      <c r="B759" s="149" t="s">
        <v>2026</v>
      </c>
    </row>
    <row r="760" spans="1:2">
      <c r="A760" s="149" t="s">
        <v>2027</v>
      </c>
      <c r="B760" s="149" t="s">
        <v>2028</v>
      </c>
    </row>
    <row r="761" spans="1:2">
      <c r="A761" s="149" t="s">
        <v>2029</v>
      </c>
      <c r="B761" s="149" t="s">
        <v>2030</v>
      </c>
    </row>
    <row r="762" spans="1:2">
      <c r="A762" s="149" t="s">
        <v>2031</v>
      </c>
      <c r="B762" s="149" t="s">
        <v>2032</v>
      </c>
    </row>
    <row r="763" spans="1:2">
      <c r="A763" s="149" t="s">
        <v>2033</v>
      </c>
      <c r="B763" s="149" t="s">
        <v>2034</v>
      </c>
    </row>
    <row r="764" spans="1:2">
      <c r="A764" s="149" t="s">
        <v>2035</v>
      </c>
      <c r="B764" s="149" t="s">
        <v>2036</v>
      </c>
    </row>
    <row r="765" spans="1:2">
      <c r="A765" s="149" t="s">
        <v>2037</v>
      </c>
      <c r="B765" s="149" t="s">
        <v>2038</v>
      </c>
    </row>
    <row r="766" spans="1:2">
      <c r="A766" s="149" t="s">
        <v>2039</v>
      </c>
      <c r="B766" s="149" t="s">
        <v>2040</v>
      </c>
    </row>
    <row r="767" spans="1:2">
      <c r="A767" s="149" t="s">
        <v>2041</v>
      </c>
      <c r="B767" s="149" t="s">
        <v>2042</v>
      </c>
    </row>
    <row r="768" spans="1:2">
      <c r="A768" s="149" t="s">
        <v>2043</v>
      </c>
      <c r="B768" s="149" t="s">
        <v>2044</v>
      </c>
    </row>
    <row r="769" spans="1:2">
      <c r="A769" s="149" t="s">
        <v>2045</v>
      </c>
      <c r="B769" s="149" t="s">
        <v>2046</v>
      </c>
    </row>
    <row r="770" spans="1:2">
      <c r="A770" s="149" t="s">
        <v>2047</v>
      </c>
      <c r="B770" s="149" t="s">
        <v>2048</v>
      </c>
    </row>
    <row r="771" spans="1:2">
      <c r="A771" s="149" t="s">
        <v>2049</v>
      </c>
      <c r="B771" s="149" t="s">
        <v>2050</v>
      </c>
    </row>
    <row r="772" spans="1:2">
      <c r="A772" s="149" t="s">
        <v>2051</v>
      </c>
      <c r="B772" s="149" t="s">
        <v>2052</v>
      </c>
    </row>
    <row r="773" spans="1:2">
      <c r="A773" s="149" t="s">
        <v>2053</v>
      </c>
      <c r="B773" s="149" t="s">
        <v>2054</v>
      </c>
    </row>
    <row r="774" spans="1:2">
      <c r="A774" s="149" t="s">
        <v>2055</v>
      </c>
      <c r="B774" s="149" t="s">
        <v>2056</v>
      </c>
    </row>
    <row r="775" spans="1:2">
      <c r="A775" s="149" t="s">
        <v>2057</v>
      </c>
      <c r="B775" s="149" t="s">
        <v>2058</v>
      </c>
    </row>
    <row r="776" spans="1:2">
      <c r="A776" s="149" t="s">
        <v>2059</v>
      </c>
      <c r="B776" s="149" t="s">
        <v>2060</v>
      </c>
    </row>
    <row r="777" spans="1:2">
      <c r="A777" s="149" t="s">
        <v>2061</v>
      </c>
      <c r="B777" s="149" t="s">
        <v>2062</v>
      </c>
    </row>
    <row r="778" spans="1:2">
      <c r="A778" s="149" t="s">
        <v>2063</v>
      </c>
      <c r="B778" s="149" t="s">
        <v>2064</v>
      </c>
    </row>
    <row r="779" spans="1:2">
      <c r="A779" s="149" t="s">
        <v>2065</v>
      </c>
      <c r="B779" s="149" t="s">
        <v>2066</v>
      </c>
    </row>
    <row r="780" spans="1:2">
      <c r="A780" s="149" t="s">
        <v>2067</v>
      </c>
      <c r="B780" s="149" t="s">
        <v>2068</v>
      </c>
    </row>
    <row r="781" spans="1:2">
      <c r="A781" s="149" t="s">
        <v>2069</v>
      </c>
      <c r="B781" s="149" t="s">
        <v>2070</v>
      </c>
    </row>
    <row r="782" spans="1:2">
      <c r="A782" s="149" t="s">
        <v>2071</v>
      </c>
      <c r="B782" s="149" t="s">
        <v>2072</v>
      </c>
    </row>
    <row r="783" spans="1:2">
      <c r="A783" s="149" t="s">
        <v>2073</v>
      </c>
      <c r="B783" s="149" t="s">
        <v>2074</v>
      </c>
    </row>
    <row r="784" spans="1:2">
      <c r="A784" s="149" t="s">
        <v>2075</v>
      </c>
      <c r="B784" s="149" t="s">
        <v>2076</v>
      </c>
    </row>
    <row r="785" spans="1:2">
      <c r="A785" s="149" t="s">
        <v>2077</v>
      </c>
      <c r="B785" s="149" t="s">
        <v>2078</v>
      </c>
    </row>
    <row r="786" spans="1:2">
      <c r="A786" s="149" t="s">
        <v>2079</v>
      </c>
      <c r="B786" s="149" t="s">
        <v>2080</v>
      </c>
    </row>
    <row r="787" spans="1:2">
      <c r="A787" s="149" t="s">
        <v>2081</v>
      </c>
      <c r="B787" s="149" t="s">
        <v>2082</v>
      </c>
    </row>
    <row r="788" spans="1:2">
      <c r="A788" s="149" t="s">
        <v>2083</v>
      </c>
      <c r="B788" s="149" t="s">
        <v>2084</v>
      </c>
    </row>
    <row r="789" spans="1:2">
      <c r="A789" s="149" t="s">
        <v>2085</v>
      </c>
      <c r="B789" s="149" t="s">
        <v>2086</v>
      </c>
    </row>
    <row r="790" spans="1:2">
      <c r="A790" s="149" t="s">
        <v>2087</v>
      </c>
      <c r="B790" s="149" t="s">
        <v>2088</v>
      </c>
    </row>
    <row r="791" spans="1:2">
      <c r="A791" s="149" t="s">
        <v>2089</v>
      </c>
      <c r="B791" s="149" t="s">
        <v>2090</v>
      </c>
    </row>
    <row r="792" spans="1:2">
      <c r="A792" s="149" t="s">
        <v>2091</v>
      </c>
      <c r="B792" s="149" t="s">
        <v>2092</v>
      </c>
    </row>
    <row r="793" spans="1:2">
      <c r="A793" s="149" t="s">
        <v>2093</v>
      </c>
      <c r="B793" s="149" t="s">
        <v>2094</v>
      </c>
    </row>
    <row r="794" spans="1:2">
      <c r="A794" s="149" t="s">
        <v>2095</v>
      </c>
      <c r="B794" s="149" t="s">
        <v>2096</v>
      </c>
    </row>
    <row r="795" spans="1:2">
      <c r="A795" s="149" t="s">
        <v>2097</v>
      </c>
      <c r="B795" s="149" t="s">
        <v>2098</v>
      </c>
    </row>
    <row r="796" spans="1:2">
      <c r="A796" s="149" t="s">
        <v>2099</v>
      </c>
      <c r="B796" s="149" t="s">
        <v>2100</v>
      </c>
    </row>
    <row r="797" spans="1:2">
      <c r="A797" s="149" t="s">
        <v>2101</v>
      </c>
      <c r="B797" s="149" t="s">
        <v>2102</v>
      </c>
    </row>
    <row r="798" spans="1:2">
      <c r="A798" s="149" t="s">
        <v>2103</v>
      </c>
      <c r="B798" s="149" t="s">
        <v>2104</v>
      </c>
    </row>
    <row r="799" spans="1:2">
      <c r="A799" s="149" t="s">
        <v>2105</v>
      </c>
      <c r="B799" s="149" t="s">
        <v>2106</v>
      </c>
    </row>
    <row r="800" spans="1:2">
      <c r="A800" s="149" t="s">
        <v>2107</v>
      </c>
      <c r="B800" s="149" t="s">
        <v>2108</v>
      </c>
    </row>
    <row r="801" spans="1:2">
      <c r="A801" s="149" t="s">
        <v>2109</v>
      </c>
      <c r="B801" s="149" t="s">
        <v>2110</v>
      </c>
    </row>
    <row r="802" spans="1:2">
      <c r="A802" s="149" t="s">
        <v>2111</v>
      </c>
      <c r="B802" s="149" t="s">
        <v>2112</v>
      </c>
    </row>
    <row r="803" spans="1:2">
      <c r="A803" s="149" t="s">
        <v>2113</v>
      </c>
      <c r="B803" s="149" t="s">
        <v>2114</v>
      </c>
    </row>
    <row r="804" spans="1:2">
      <c r="A804" s="149" t="s">
        <v>2115</v>
      </c>
      <c r="B804" s="149" t="s">
        <v>2116</v>
      </c>
    </row>
    <row r="805" spans="1:2">
      <c r="A805" s="149" t="s">
        <v>2117</v>
      </c>
      <c r="B805" s="149" t="s">
        <v>2118</v>
      </c>
    </row>
    <row r="806" spans="1:2">
      <c r="A806" s="149" t="s">
        <v>2119</v>
      </c>
      <c r="B806" s="149" t="s">
        <v>2120</v>
      </c>
    </row>
    <row r="807" spans="1:2">
      <c r="A807" s="149" t="s">
        <v>2121</v>
      </c>
      <c r="B807" s="149" t="s">
        <v>2122</v>
      </c>
    </row>
    <row r="808" spans="1:2">
      <c r="A808" s="149" t="s">
        <v>2123</v>
      </c>
      <c r="B808" s="149" t="s">
        <v>2124</v>
      </c>
    </row>
    <row r="809" spans="1:2">
      <c r="A809" s="149" t="s">
        <v>2125</v>
      </c>
      <c r="B809" s="149" t="s">
        <v>2126</v>
      </c>
    </row>
    <row r="810" spans="1:2">
      <c r="A810" s="149" t="s">
        <v>2127</v>
      </c>
      <c r="B810" s="149" t="s">
        <v>2128</v>
      </c>
    </row>
    <row r="811" spans="1:2">
      <c r="A811" s="149" t="s">
        <v>2129</v>
      </c>
      <c r="B811" s="149" t="s">
        <v>2130</v>
      </c>
    </row>
    <row r="812" spans="1:2">
      <c r="A812" s="149" t="s">
        <v>2131</v>
      </c>
      <c r="B812" s="149" t="s">
        <v>2132</v>
      </c>
    </row>
    <row r="813" spans="1:2">
      <c r="A813" s="149" t="s">
        <v>2133</v>
      </c>
      <c r="B813" s="149" t="s">
        <v>2134</v>
      </c>
    </row>
    <row r="814" spans="1:2">
      <c r="A814" s="149" t="s">
        <v>2135</v>
      </c>
      <c r="B814" s="149" t="s">
        <v>2136</v>
      </c>
    </row>
    <row r="815" spans="1:2">
      <c r="A815" s="149" t="s">
        <v>2137</v>
      </c>
      <c r="B815" s="149" t="s">
        <v>2138</v>
      </c>
    </row>
    <row r="816" spans="1:2">
      <c r="A816" s="149" t="s">
        <v>2139</v>
      </c>
      <c r="B816" s="149" t="s">
        <v>2140</v>
      </c>
    </row>
    <row r="817" spans="1:2">
      <c r="A817" s="149" t="s">
        <v>2141</v>
      </c>
      <c r="B817" s="149" t="s">
        <v>2142</v>
      </c>
    </row>
    <row r="818" spans="1:2">
      <c r="A818" s="149" t="s">
        <v>2143</v>
      </c>
      <c r="B818" s="149" t="s">
        <v>2144</v>
      </c>
    </row>
    <row r="819" spans="1:2">
      <c r="A819" s="149" t="s">
        <v>2145</v>
      </c>
      <c r="B819" s="149" t="s">
        <v>2146</v>
      </c>
    </row>
    <row r="820" spans="1:2">
      <c r="A820" s="149" t="s">
        <v>2147</v>
      </c>
      <c r="B820" s="149" t="s">
        <v>2148</v>
      </c>
    </row>
    <row r="821" spans="1:2">
      <c r="A821" s="149" t="s">
        <v>2149</v>
      </c>
      <c r="B821" s="149" t="s">
        <v>2150</v>
      </c>
    </row>
    <row r="822" spans="1:2">
      <c r="A822" s="149" t="s">
        <v>2151</v>
      </c>
      <c r="B822" s="149" t="s">
        <v>2152</v>
      </c>
    </row>
    <row r="823" spans="1:2">
      <c r="A823" s="149" t="s">
        <v>2153</v>
      </c>
      <c r="B823" s="149" t="s">
        <v>2154</v>
      </c>
    </row>
    <row r="824" spans="1:2">
      <c r="A824" s="149" t="s">
        <v>2155</v>
      </c>
      <c r="B824" s="149" t="s">
        <v>2156</v>
      </c>
    </row>
    <row r="825" spans="1:2">
      <c r="A825" s="149" t="s">
        <v>2157</v>
      </c>
      <c r="B825" s="149" t="s">
        <v>2158</v>
      </c>
    </row>
    <row r="826" spans="1:2">
      <c r="A826" s="149" t="s">
        <v>2159</v>
      </c>
      <c r="B826" s="149" t="s">
        <v>2160</v>
      </c>
    </row>
    <row r="827" spans="1:2">
      <c r="A827" s="149" t="s">
        <v>2161</v>
      </c>
      <c r="B827" s="149" t="s">
        <v>2162</v>
      </c>
    </row>
    <row r="828" spans="1:2">
      <c r="A828" s="149" t="s">
        <v>2163</v>
      </c>
      <c r="B828" s="149" t="s">
        <v>2164</v>
      </c>
    </row>
    <row r="829" spans="1:2">
      <c r="A829" s="149" t="s">
        <v>2165</v>
      </c>
      <c r="B829" s="149" t="s">
        <v>2166</v>
      </c>
    </row>
    <row r="830" spans="1:2">
      <c r="A830" s="149" t="s">
        <v>2167</v>
      </c>
      <c r="B830" s="149" t="s">
        <v>2168</v>
      </c>
    </row>
    <row r="831" spans="1:2">
      <c r="A831" s="149" t="s">
        <v>2169</v>
      </c>
      <c r="B831" s="149" t="s">
        <v>2170</v>
      </c>
    </row>
    <row r="832" spans="1:2">
      <c r="A832" s="149" t="s">
        <v>2171</v>
      </c>
      <c r="B832" s="149" t="s">
        <v>2172</v>
      </c>
    </row>
    <row r="833" spans="1:2">
      <c r="A833" s="149" t="s">
        <v>2173</v>
      </c>
      <c r="B833" s="149" t="s">
        <v>2174</v>
      </c>
    </row>
    <row r="834" spans="1:2">
      <c r="A834" s="149" t="s">
        <v>2175</v>
      </c>
      <c r="B834" s="149" t="s">
        <v>2176</v>
      </c>
    </row>
    <row r="835" spans="1:2">
      <c r="A835" s="149" t="s">
        <v>2177</v>
      </c>
      <c r="B835" s="149" t="s">
        <v>2178</v>
      </c>
    </row>
    <row r="836" spans="1:2">
      <c r="A836" s="149" t="s">
        <v>2179</v>
      </c>
      <c r="B836" s="149" t="s">
        <v>2180</v>
      </c>
    </row>
    <row r="837" spans="1:2">
      <c r="A837" s="149" t="s">
        <v>2181</v>
      </c>
      <c r="B837" s="149" t="s">
        <v>2182</v>
      </c>
    </row>
    <row r="838" spans="1:2">
      <c r="A838" s="149" t="s">
        <v>2183</v>
      </c>
      <c r="B838" s="149" t="s">
        <v>2184</v>
      </c>
    </row>
    <row r="839" spans="1:2">
      <c r="A839" s="149" t="s">
        <v>2185</v>
      </c>
      <c r="B839" s="149" t="s">
        <v>2186</v>
      </c>
    </row>
    <row r="840" spans="1:2">
      <c r="A840" s="149" t="s">
        <v>2187</v>
      </c>
      <c r="B840" s="149" t="s">
        <v>2188</v>
      </c>
    </row>
    <row r="841" spans="1:2">
      <c r="A841" s="149" t="s">
        <v>2189</v>
      </c>
      <c r="B841" s="149" t="s">
        <v>2190</v>
      </c>
    </row>
    <row r="842" spans="1:2">
      <c r="A842" s="149" t="s">
        <v>2191</v>
      </c>
      <c r="B842" s="149" t="s">
        <v>2192</v>
      </c>
    </row>
    <row r="843" spans="1:2">
      <c r="A843" s="149" t="s">
        <v>120</v>
      </c>
      <c r="B843" s="149" t="s">
        <v>2193</v>
      </c>
    </row>
    <row r="844" spans="1:2">
      <c r="A844" s="149" t="s">
        <v>2194</v>
      </c>
      <c r="B844" s="149" t="s">
        <v>2195</v>
      </c>
    </row>
    <row r="845" spans="1:2">
      <c r="A845" s="149" t="s">
        <v>2196</v>
      </c>
      <c r="B845" s="149" t="s">
        <v>2197</v>
      </c>
    </row>
    <row r="846" spans="1:2">
      <c r="A846" s="149" t="s">
        <v>2198</v>
      </c>
      <c r="B846" s="149" t="s">
        <v>2199</v>
      </c>
    </row>
    <row r="847" spans="1:2">
      <c r="A847" s="149" t="s">
        <v>2200</v>
      </c>
      <c r="B847" s="149" t="s">
        <v>2201</v>
      </c>
    </row>
    <row r="848" spans="1:2">
      <c r="A848" s="149" t="s">
        <v>2202</v>
      </c>
      <c r="B848" s="149" t="s">
        <v>2203</v>
      </c>
    </row>
    <row r="849" spans="1:2">
      <c r="A849" s="149" t="s">
        <v>2204</v>
      </c>
      <c r="B849" s="149" t="s">
        <v>2205</v>
      </c>
    </row>
    <row r="850" spans="1:2">
      <c r="A850" s="149" t="s">
        <v>2206</v>
      </c>
      <c r="B850" s="149" t="s">
        <v>2207</v>
      </c>
    </row>
    <row r="851" spans="1:2">
      <c r="A851" s="149" t="s">
        <v>2208</v>
      </c>
      <c r="B851" s="149" t="s">
        <v>2209</v>
      </c>
    </row>
    <row r="852" spans="1:2">
      <c r="A852" s="149" t="s">
        <v>2210</v>
      </c>
      <c r="B852" s="149" t="s">
        <v>2211</v>
      </c>
    </row>
    <row r="853" spans="1:2">
      <c r="A853" s="149" t="s">
        <v>2212</v>
      </c>
      <c r="B853" s="149" t="s">
        <v>2213</v>
      </c>
    </row>
    <row r="854" spans="1:2">
      <c r="A854" s="149" t="s">
        <v>2214</v>
      </c>
      <c r="B854" s="149" t="s">
        <v>2215</v>
      </c>
    </row>
    <row r="855" spans="1:2">
      <c r="A855" s="149" t="s">
        <v>2216</v>
      </c>
      <c r="B855" s="149" t="s">
        <v>2217</v>
      </c>
    </row>
    <row r="856" spans="1:2">
      <c r="A856" s="149" t="s">
        <v>2218</v>
      </c>
      <c r="B856" s="149" t="s">
        <v>2219</v>
      </c>
    </row>
    <row r="857" spans="1:2">
      <c r="A857" s="149" t="s">
        <v>2220</v>
      </c>
      <c r="B857" s="149" t="s">
        <v>2221</v>
      </c>
    </row>
    <row r="858" spans="1:2">
      <c r="A858" s="149" t="s">
        <v>2222</v>
      </c>
      <c r="B858" s="149" t="s">
        <v>2223</v>
      </c>
    </row>
    <row r="859" spans="1:2">
      <c r="A859" s="149" t="s">
        <v>2224</v>
      </c>
      <c r="B859" s="149" t="s">
        <v>2225</v>
      </c>
    </row>
    <row r="860" spans="1:2">
      <c r="A860" s="149" t="s">
        <v>2226</v>
      </c>
      <c r="B860" s="149" t="s">
        <v>2227</v>
      </c>
    </row>
    <row r="861" spans="1:2">
      <c r="A861" s="149" t="s">
        <v>2228</v>
      </c>
      <c r="B861" s="149" t="s">
        <v>2229</v>
      </c>
    </row>
    <row r="862" spans="1:2">
      <c r="A862" s="149" t="s">
        <v>2230</v>
      </c>
      <c r="B862" s="149" t="s">
        <v>2231</v>
      </c>
    </row>
    <row r="863" spans="1:2">
      <c r="A863" s="149" t="s">
        <v>2232</v>
      </c>
      <c r="B863" s="149" t="s">
        <v>2233</v>
      </c>
    </row>
    <row r="864" spans="1:2">
      <c r="A864" s="149" t="s">
        <v>2234</v>
      </c>
      <c r="B864" s="149" t="s">
        <v>2235</v>
      </c>
    </row>
    <row r="865" spans="1:2">
      <c r="A865" s="149" t="s">
        <v>2236</v>
      </c>
      <c r="B865" s="149" t="s">
        <v>2237</v>
      </c>
    </row>
    <row r="866" spans="1:2">
      <c r="A866" s="149" t="s">
        <v>2238</v>
      </c>
      <c r="B866" s="149" t="s">
        <v>2239</v>
      </c>
    </row>
    <row r="867" spans="1:2">
      <c r="A867" s="149" t="s">
        <v>2240</v>
      </c>
      <c r="B867" s="149" t="s">
        <v>2241</v>
      </c>
    </row>
    <row r="868" spans="1:2">
      <c r="A868" s="149" t="s">
        <v>2242</v>
      </c>
      <c r="B868" s="149" t="s">
        <v>2243</v>
      </c>
    </row>
    <row r="869" spans="1:2">
      <c r="A869" s="149" t="s">
        <v>2244</v>
      </c>
      <c r="B869" s="149" t="s">
        <v>2245</v>
      </c>
    </row>
    <row r="870" spans="1:2">
      <c r="A870" s="149" t="s">
        <v>2246</v>
      </c>
      <c r="B870" s="149" t="s">
        <v>2247</v>
      </c>
    </row>
    <row r="871" spans="1:2">
      <c r="A871" s="149" t="s">
        <v>2248</v>
      </c>
      <c r="B871" s="149" t="s">
        <v>2249</v>
      </c>
    </row>
    <row r="872" spans="1:2">
      <c r="A872" s="149" t="s">
        <v>2250</v>
      </c>
      <c r="B872" s="149" t="s">
        <v>341</v>
      </c>
    </row>
    <row r="873" spans="1:2">
      <c r="A873" s="149" t="s">
        <v>2251</v>
      </c>
      <c r="B873" s="149" t="s">
        <v>2252</v>
      </c>
    </row>
    <row r="874" spans="1:2">
      <c r="A874" s="149" t="s">
        <v>2253</v>
      </c>
      <c r="B874" s="149" t="s">
        <v>2254</v>
      </c>
    </row>
    <row r="875" spans="1:2">
      <c r="A875" s="149" t="s">
        <v>2255</v>
      </c>
      <c r="B875" s="149" t="s">
        <v>2256</v>
      </c>
    </row>
    <row r="876" spans="1:2">
      <c r="A876" s="149" t="s">
        <v>2257</v>
      </c>
      <c r="B876" s="149" t="s">
        <v>2258</v>
      </c>
    </row>
    <row r="877" spans="1:2">
      <c r="A877" s="149" t="s">
        <v>2259</v>
      </c>
      <c r="B877" s="149" t="s">
        <v>2260</v>
      </c>
    </row>
    <row r="878" spans="1:2">
      <c r="A878" s="149" t="s">
        <v>2261</v>
      </c>
      <c r="B878" s="149" t="s">
        <v>2262</v>
      </c>
    </row>
    <row r="879" spans="1:2">
      <c r="A879" s="149" t="s">
        <v>2263</v>
      </c>
      <c r="B879" s="149" t="s">
        <v>2264</v>
      </c>
    </row>
    <row r="880" spans="1:2">
      <c r="A880" s="149" t="s">
        <v>2265</v>
      </c>
      <c r="B880" s="149" t="s">
        <v>2266</v>
      </c>
    </row>
    <row r="881" spans="1:2">
      <c r="A881" s="149" t="s">
        <v>2267</v>
      </c>
      <c r="B881" s="149" t="s">
        <v>2268</v>
      </c>
    </row>
    <row r="882" spans="1:2">
      <c r="A882" s="149" t="s">
        <v>2269</v>
      </c>
      <c r="B882" s="149" t="s">
        <v>2270</v>
      </c>
    </row>
    <row r="883" spans="1:2">
      <c r="A883" s="149" t="s">
        <v>2271</v>
      </c>
      <c r="B883" s="149" t="s">
        <v>2272</v>
      </c>
    </row>
    <row r="884" spans="1:2">
      <c r="A884" s="149" t="s">
        <v>2273</v>
      </c>
      <c r="B884" s="149" t="s">
        <v>2274</v>
      </c>
    </row>
    <row r="885" spans="1:2">
      <c r="A885" s="149" t="s">
        <v>2275</v>
      </c>
      <c r="B885" s="149" t="s">
        <v>2276</v>
      </c>
    </row>
    <row r="886" spans="1:2">
      <c r="A886" s="149" t="s">
        <v>2277</v>
      </c>
      <c r="B886" s="149" t="s">
        <v>2278</v>
      </c>
    </row>
    <row r="887" spans="1:2">
      <c r="A887" s="149" t="s">
        <v>2279</v>
      </c>
      <c r="B887" s="149" t="s">
        <v>2280</v>
      </c>
    </row>
    <row r="888" spans="1:2">
      <c r="A888" s="149" t="s">
        <v>2281</v>
      </c>
      <c r="B888" s="149" t="s">
        <v>2282</v>
      </c>
    </row>
    <row r="889" spans="1:2">
      <c r="A889" s="149" t="s">
        <v>2283</v>
      </c>
      <c r="B889" s="149" t="s">
        <v>2284</v>
      </c>
    </row>
    <row r="890" spans="1:2">
      <c r="A890" s="149" t="s">
        <v>2285</v>
      </c>
      <c r="B890" s="149" t="s">
        <v>2286</v>
      </c>
    </row>
    <row r="891" spans="1:2">
      <c r="A891" s="149" t="s">
        <v>2287</v>
      </c>
      <c r="B891" s="149" t="s">
        <v>2288</v>
      </c>
    </row>
    <row r="892" spans="1:2">
      <c r="A892" s="149" t="s">
        <v>2289</v>
      </c>
      <c r="B892" s="149" t="s">
        <v>2290</v>
      </c>
    </row>
    <row r="893" spans="1:2">
      <c r="A893" s="149" t="s">
        <v>2291</v>
      </c>
      <c r="B893" s="149" t="s">
        <v>2292</v>
      </c>
    </row>
    <row r="894" spans="1:2">
      <c r="A894" s="149" t="s">
        <v>2293</v>
      </c>
      <c r="B894" s="149" t="s">
        <v>2294</v>
      </c>
    </row>
    <row r="895" spans="1:2">
      <c r="A895" s="149" t="s">
        <v>2295</v>
      </c>
      <c r="B895" s="149" t="s">
        <v>2296</v>
      </c>
    </row>
    <row r="896" spans="1:2">
      <c r="A896" s="149" t="s">
        <v>2297</v>
      </c>
      <c r="B896" s="149" t="s">
        <v>2298</v>
      </c>
    </row>
    <row r="897" spans="1:2">
      <c r="A897" s="149" t="s">
        <v>2299</v>
      </c>
      <c r="B897" s="149" t="s">
        <v>2300</v>
      </c>
    </row>
    <row r="898" spans="1:2">
      <c r="A898" s="149" t="s">
        <v>2301</v>
      </c>
      <c r="B898" s="149" t="s">
        <v>2302</v>
      </c>
    </row>
    <row r="899" spans="1:2">
      <c r="A899" s="149" t="s">
        <v>2303</v>
      </c>
      <c r="B899" s="149" t="s">
        <v>2304</v>
      </c>
    </row>
    <row r="900" spans="1:2">
      <c r="A900" s="149" t="s">
        <v>2305</v>
      </c>
      <c r="B900" s="149" t="s">
        <v>2306</v>
      </c>
    </row>
    <row r="901" spans="1:2">
      <c r="A901" s="149" t="s">
        <v>2307</v>
      </c>
      <c r="B901" s="149" t="s">
        <v>2308</v>
      </c>
    </row>
    <row r="902" spans="1:2">
      <c r="A902" s="149" t="s">
        <v>2309</v>
      </c>
      <c r="B902" s="149" t="s">
        <v>2310</v>
      </c>
    </row>
    <row r="903" spans="1:2">
      <c r="A903" s="149" t="s">
        <v>2311</v>
      </c>
      <c r="B903" s="149" t="s">
        <v>2312</v>
      </c>
    </row>
    <row r="904" spans="1:2">
      <c r="A904" s="149" t="s">
        <v>2313</v>
      </c>
      <c r="B904" s="149" t="s">
        <v>2314</v>
      </c>
    </row>
    <row r="905" spans="1:2">
      <c r="A905" s="149" t="s">
        <v>2315</v>
      </c>
      <c r="B905" s="149" t="s">
        <v>2316</v>
      </c>
    </row>
    <row r="906" spans="1:2">
      <c r="A906" s="149" t="s">
        <v>2317</v>
      </c>
      <c r="B906" s="149" t="s">
        <v>2318</v>
      </c>
    </row>
    <row r="907" spans="1:2">
      <c r="A907" s="149" t="s">
        <v>2319</v>
      </c>
      <c r="B907" s="149" t="s">
        <v>2320</v>
      </c>
    </row>
    <row r="908" spans="1:2">
      <c r="A908" s="149" t="s">
        <v>2321</v>
      </c>
      <c r="B908" s="149" t="s">
        <v>2322</v>
      </c>
    </row>
    <row r="909" spans="1:2">
      <c r="A909" s="149" t="s">
        <v>2323</v>
      </c>
      <c r="B909" s="149" t="s">
        <v>2324</v>
      </c>
    </row>
    <row r="910" spans="1:2">
      <c r="A910" s="149" t="s">
        <v>2325</v>
      </c>
      <c r="B910" s="149" t="s">
        <v>2326</v>
      </c>
    </row>
    <row r="911" spans="1:2">
      <c r="A911" s="149" t="s">
        <v>2327</v>
      </c>
      <c r="B911" s="149" t="s">
        <v>2328</v>
      </c>
    </row>
    <row r="912" spans="1:2">
      <c r="A912" s="149" t="s">
        <v>2329</v>
      </c>
      <c r="B912" s="149" t="s">
        <v>2330</v>
      </c>
    </row>
    <row r="913" spans="1:2">
      <c r="A913" s="149" t="s">
        <v>2331</v>
      </c>
      <c r="B913" s="149" t="s">
        <v>2332</v>
      </c>
    </row>
    <row r="914" spans="1:2">
      <c r="A914" s="149" t="s">
        <v>2333</v>
      </c>
      <c r="B914" s="149" t="s">
        <v>2334</v>
      </c>
    </row>
    <row r="915" spans="1:2">
      <c r="A915" s="149" t="s">
        <v>2335</v>
      </c>
      <c r="B915" s="149" t="s">
        <v>2336</v>
      </c>
    </row>
    <row r="916" spans="1:2">
      <c r="A916" s="149" t="s">
        <v>2337</v>
      </c>
      <c r="B916" s="149" t="s">
        <v>2338</v>
      </c>
    </row>
    <row r="917" spans="1:2">
      <c r="A917" s="149" t="s">
        <v>2339</v>
      </c>
      <c r="B917" s="149" t="s">
        <v>2340</v>
      </c>
    </row>
    <row r="918" spans="1:2">
      <c r="A918" s="149" t="s">
        <v>2341</v>
      </c>
      <c r="B918" s="149" t="s">
        <v>2342</v>
      </c>
    </row>
    <row r="919" spans="1:2">
      <c r="A919" s="149" t="s">
        <v>2343</v>
      </c>
      <c r="B919" s="149" t="s">
        <v>2344</v>
      </c>
    </row>
    <row r="920" spans="1:2">
      <c r="A920" s="149" t="s">
        <v>2345</v>
      </c>
      <c r="B920" s="149" t="s">
        <v>2346</v>
      </c>
    </row>
    <row r="921" spans="1:2">
      <c r="A921" s="149" t="s">
        <v>2347</v>
      </c>
      <c r="B921" s="149" t="s">
        <v>2348</v>
      </c>
    </row>
    <row r="922" spans="1:2">
      <c r="A922" s="149" t="s">
        <v>2349</v>
      </c>
      <c r="B922" s="149" t="s">
        <v>2350</v>
      </c>
    </row>
    <row r="923" spans="1:2">
      <c r="A923" s="149" t="s">
        <v>2351</v>
      </c>
      <c r="B923" s="149" t="s">
        <v>2352</v>
      </c>
    </row>
    <row r="924" spans="1:2">
      <c r="A924" s="149" t="s">
        <v>2353</v>
      </c>
      <c r="B924" s="149" t="s">
        <v>2354</v>
      </c>
    </row>
    <row r="925" spans="1:2">
      <c r="A925" s="149" t="s">
        <v>2355</v>
      </c>
      <c r="B925" s="149" t="s">
        <v>2356</v>
      </c>
    </row>
    <row r="926" spans="1:2">
      <c r="A926" s="149" t="s">
        <v>2357</v>
      </c>
      <c r="B926" s="149" t="s">
        <v>2358</v>
      </c>
    </row>
    <row r="927" spans="1:2">
      <c r="A927" s="149" t="s">
        <v>2359</v>
      </c>
      <c r="B927" s="149" t="s">
        <v>2360</v>
      </c>
    </row>
    <row r="928" spans="1:2">
      <c r="A928" s="149" t="s">
        <v>2361</v>
      </c>
      <c r="B928" s="149" t="s">
        <v>2362</v>
      </c>
    </row>
    <row r="929" spans="1:2">
      <c r="A929" s="149" t="s">
        <v>2363</v>
      </c>
      <c r="B929" s="149" t="s">
        <v>2364</v>
      </c>
    </row>
    <row r="930" spans="1:2">
      <c r="A930" s="149" t="s">
        <v>2365</v>
      </c>
      <c r="B930" s="149" t="s">
        <v>2366</v>
      </c>
    </row>
    <row r="931" spans="1:2">
      <c r="A931" s="149" t="s">
        <v>2367</v>
      </c>
      <c r="B931" s="149" t="s">
        <v>2368</v>
      </c>
    </row>
    <row r="932" spans="1:2">
      <c r="A932" s="149" t="s">
        <v>2369</v>
      </c>
      <c r="B932" s="149" t="s">
        <v>2370</v>
      </c>
    </row>
    <row r="933" spans="1:2">
      <c r="A933" s="149" t="s">
        <v>2371</v>
      </c>
      <c r="B933" s="149" t="s">
        <v>2372</v>
      </c>
    </row>
    <row r="934" spans="1:2">
      <c r="A934" s="149" t="s">
        <v>2373</v>
      </c>
      <c r="B934" s="149" t="s">
        <v>2374</v>
      </c>
    </row>
    <row r="935" spans="1:2">
      <c r="A935" s="149" t="s">
        <v>2375</v>
      </c>
      <c r="B935" s="149" t="s">
        <v>2376</v>
      </c>
    </row>
    <row r="936" spans="1:2">
      <c r="A936" s="149" t="s">
        <v>2377</v>
      </c>
      <c r="B936" s="149" t="s">
        <v>2378</v>
      </c>
    </row>
    <row r="937" spans="1:2">
      <c r="A937" s="149" t="s">
        <v>2379</v>
      </c>
      <c r="B937" s="149" t="s">
        <v>2380</v>
      </c>
    </row>
    <row r="938" spans="1:2">
      <c r="A938" s="149" t="s">
        <v>2381</v>
      </c>
      <c r="B938" s="149" t="s">
        <v>2382</v>
      </c>
    </row>
    <row r="939" spans="1:2">
      <c r="A939" s="149" t="s">
        <v>2383</v>
      </c>
      <c r="B939" s="149" t="s">
        <v>2384</v>
      </c>
    </row>
    <row r="940" spans="1:2">
      <c r="A940" s="149" t="s">
        <v>2385</v>
      </c>
      <c r="B940" s="149" t="s">
        <v>2386</v>
      </c>
    </row>
    <row r="941" spans="1:2">
      <c r="A941" s="149" t="s">
        <v>2387</v>
      </c>
      <c r="B941" s="149" t="s">
        <v>2388</v>
      </c>
    </row>
    <row r="942" spans="1:2">
      <c r="A942" s="149" t="s">
        <v>2389</v>
      </c>
      <c r="B942" s="149" t="s">
        <v>2390</v>
      </c>
    </row>
    <row r="943" spans="1:2">
      <c r="A943" s="149" t="s">
        <v>2391</v>
      </c>
      <c r="B943" s="149" t="s">
        <v>2392</v>
      </c>
    </row>
    <row r="944" spans="1:2">
      <c r="A944" s="149" t="s">
        <v>2393</v>
      </c>
      <c r="B944" s="149" t="s">
        <v>2394</v>
      </c>
    </row>
    <row r="945" spans="1:2">
      <c r="A945" s="149" t="s">
        <v>2395</v>
      </c>
      <c r="B945" s="149" t="s">
        <v>2396</v>
      </c>
    </row>
    <row r="946" spans="1:2">
      <c r="A946" s="149" t="s">
        <v>2397</v>
      </c>
      <c r="B946" s="149" t="s">
        <v>2398</v>
      </c>
    </row>
    <row r="947" spans="1:2">
      <c r="A947" s="149" t="s">
        <v>2399</v>
      </c>
      <c r="B947" s="149" t="s">
        <v>2400</v>
      </c>
    </row>
    <row r="948" spans="1:2">
      <c r="A948" s="149" t="s">
        <v>2401</v>
      </c>
      <c r="B948" s="149" t="s">
        <v>2402</v>
      </c>
    </row>
    <row r="949" spans="1:2">
      <c r="A949" s="149" t="s">
        <v>2403</v>
      </c>
      <c r="B949" s="149" t="s">
        <v>2404</v>
      </c>
    </row>
    <row r="950" spans="1:2">
      <c r="A950" s="149" t="s">
        <v>2405</v>
      </c>
      <c r="B950" s="149" t="s">
        <v>2406</v>
      </c>
    </row>
    <row r="951" spans="1:2">
      <c r="A951" s="149" t="s">
        <v>2407</v>
      </c>
      <c r="B951" s="149" t="s">
        <v>2408</v>
      </c>
    </row>
    <row r="952" spans="1:2">
      <c r="A952" s="149" t="s">
        <v>2409</v>
      </c>
      <c r="B952" s="149" t="s">
        <v>2410</v>
      </c>
    </row>
    <row r="953" spans="1:2">
      <c r="A953" s="149" t="s">
        <v>2411</v>
      </c>
      <c r="B953" s="149" t="s">
        <v>2412</v>
      </c>
    </row>
    <row r="954" spans="1:2">
      <c r="A954" s="149" t="s">
        <v>2413</v>
      </c>
      <c r="B954" s="149" t="s">
        <v>2414</v>
      </c>
    </row>
    <row r="955" spans="1:2">
      <c r="A955" s="149" t="s">
        <v>2415</v>
      </c>
      <c r="B955" s="149" t="s">
        <v>2416</v>
      </c>
    </row>
    <row r="956" spans="1:2">
      <c r="A956" s="149" t="s">
        <v>2417</v>
      </c>
      <c r="B956" s="149" t="s">
        <v>2418</v>
      </c>
    </row>
    <row r="957" spans="1:2">
      <c r="A957" s="149" t="s">
        <v>2419</v>
      </c>
      <c r="B957" s="149" t="s">
        <v>2420</v>
      </c>
    </row>
    <row r="958" spans="1:2">
      <c r="A958" s="149" t="s">
        <v>2421</v>
      </c>
      <c r="B958" s="149" t="s">
        <v>2422</v>
      </c>
    </row>
    <row r="959" spans="1:2">
      <c r="A959" s="149" t="s">
        <v>2423</v>
      </c>
      <c r="B959" s="149" t="s">
        <v>2424</v>
      </c>
    </row>
    <row r="960" spans="1:2">
      <c r="A960" s="149" t="s">
        <v>2425</v>
      </c>
      <c r="B960" s="149" t="s">
        <v>2426</v>
      </c>
    </row>
    <row r="961" spans="1:2">
      <c r="A961" s="149" t="s">
        <v>2427</v>
      </c>
      <c r="B961" s="149" t="s">
        <v>2428</v>
      </c>
    </row>
    <row r="962" spans="1:2">
      <c r="A962" s="149" t="s">
        <v>2429</v>
      </c>
      <c r="B962" s="149" t="s">
        <v>2430</v>
      </c>
    </row>
    <row r="963" spans="1:2">
      <c r="A963" s="149" t="s">
        <v>2431</v>
      </c>
      <c r="B963" s="149" t="s">
        <v>2432</v>
      </c>
    </row>
    <row r="964" spans="1:2">
      <c r="A964" s="149" t="s">
        <v>2433</v>
      </c>
      <c r="B964" s="149" t="s">
        <v>2434</v>
      </c>
    </row>
    <row r="965" spans="1:2">
      <c r="A965" s="149" t="s">
        <v>2435</v>
      </c>
      <c r="B965" s="149" t="s">
        <v>2436</v>
      </c>
    </row>
    <row r="966" spans="1:2">
      <c r="A966" s="149" t="s">
        <v>2437</v>
      </c>
      <c r="B966" s="149" t="s">
        <v>270</v>
      </c>
    </row>
    <row r="967" spans="1:2">
      <c r="A967" s="149" t="s">
        <v>2438</v>
      </c>
      <c r="B967" s="149" t="s">
        <v>2439</v>
      </c>
    </row>
    <row r="968" spans="1:2">
      <c r="A968" s="149" t="s">
        <v>2440</v>
      </c>
      <c r="B968" s="149" t="s">
        <v>2441</v>
      </c>
    </row>
    <row r="969" spans="1:2">
      <c r="A969" s="149" t="s">
        <v>2442</v>
      </c>
      <c r="B969" s="149" t="s">
        <v>2443</v>
      </c>
    </row>
    <row r="970" spans="1:2">
      <c r="A970" s="149" t="s">
        <v>2444</v>
      </c>
      <c r="B970" s="149" t="s">
        <v>2445</v>
      </c>
    </row>
    <row r="971" spans="1:2">
      <c r="A971" s="149" t="s">
        <v>2446</v>
      </c>
      <c r="B971" s="149" t="s">
        <v>2447</v>
      </c>
    </row>
    <row r="972" spans="1:2">
      <c r="A972" s="149" t="s">
        <v>2448</v>
      </c>
      <c r="B972" s="149" t="s">
        <v>2449</v>
      </c>
    </row>
    <row r="973" spans="1:2">
      <c r="A973" s="149" t="s">
        <v>2450</v>
      </c>
      <c r="B973" s="149" t="s">
        <v>2451</v>
      </c>
    </row>
    <row r="974" spans="1:2">
      <c r="A974" s="149" t="s">
        <v>2452</v>
      </c>
      <c r="B974" s="149" t="s">
        <v>2453</v>
      </c>
    </row>
    <row r="975" spans="1:2">
      <c r="A975" s="149" t="s">
        <v>2454</v>
      </c>
      <c r="B975" s="149" t="s">
        <v>2455</v>
      </c>
    </row>
    <row r="976" spans="1:2">
      <c r="A976" s="149" t="s">
        <v>2456</v>
      </c>
      <c r="B976" s="149" t="s">
        <v>2457</v>
      </c>
    </row>
    <row r="977" spans="1:2">
      <c r="A977" s="149" t="s">
        <v>2458</v>
      </c>
      <c r="B977" s="149" t="s">
        <v>2459</v>
      </c>
    </row>
    <row r="978" spans="1:2">
      <c r="A978" s="149" t="s">
        <v>2460</v>
      </c>
      <c r="B978" s="149" t="s">
        <v>2461</v>
      </c>
    </row>
    <row r="979" spans="1:2">
      <c r="A979" s="149" t="s">
        <v>2462</v>
      </c>
      <c r="B979" s="149" t="s">
        <v>2463</v>
      </c>
    </row>
    <row r="980" spans="1:2">
      <c r="A980" s="149" t="s">
        <v>2464</v>
      </c>
      <c r="B980" s="149" t="s">
        <v>2465</v>
      </c>
    </row>
    <row r="981" spans="1:2">
      <c r="A981" s="149" t="s">
        <v>2466</v>
      </c>
      <c r="B981" s="149" t="s">
        <v>2467</v>
      </c>
    </row>
    <row r="982" spans="1:2">
      <c r="A982" s="149" t="s">
        <v>2468</v>
      </c>
      <c r="B982" s="149" t="s">
        <v>2469</v>
      </c>
    </row>
    <row r="983" spans="1:2">
      <c r="A983" s="149" t="s">
        <v>2470</v>
      </c>
      <c r="B983" s="149" t="s">
        <v>2471</v>
      </c>
    </row>
    <row r="984" spans="1:2">
      <c r="A984" s="149" t="s">
        <v>2472</v>
      </c>
      <c r="B984" s="149" t="s">
        <v>2473</v>
      </c>
    </row>
    <row r="985" spans="1:2">
      <c r="A985" s="149" t="s">
        <v>2474</v>
      </c>
      <c r="B985" s="149" t="s">
        <v>2475</v>
      </c>
    </row>
    <row r="986" spans="1:2">
      <c r="A986" s="149" t="s">
        <v>2476</v>
      </c>
      <c r="B986" s="149" t="s">
        <v>2477</v>
      </c>
    </row>
    <row r="987" spans="1:2">
      <c r="A987" s="149" t="s">
        <v>2478</v>
      </c>
      <c r="B987" s="149" t="s">
        <v>2479</v>
      </c>
    </row>
    <row r="988" spans="1:2">
      <c r="A988" s="149" t="s">
        <v>2480</v>
      </c>
      <c r="B988" s="149" t="s">
        <v>2481</v>
      </c>
    </row>
    <row r="989" spans="1:2">
      <c r="A989" s="149" t="s">
        <v>2482</v>
      </c>
      <c r="B989" s="149" t="s">
        <v>2483</v>
      </c>
    </row>
    <row r="990" spans="1:2">
      <c r="A990" s="149" t="s">
        <v>2484</v>
      </c>
      <c r="B990" s="149" t="s">
        <v>2485</v>
      </c>
    </row>
    <row r="991" spans="1:2">
      <c r="A991" s="149" t="s">
        <v>2486</v>
      </c>
      <c r="B991" s="149" t="s">
        <v>275</v>
      </c>
    </row>
    <row r="992" spans="1:2">
      <c r="A992" s="149" t="s">
        <v>2487</v>
      </c>
      <c r="B992" s="149" t="s">
        <v>2488</v>
      </c>
    </row>
    <row r="993" spans="1:2">
      <c r="A993" s="149" t="s">
        <v>2489</v>
      </c>
      <c r="B993" s="149" t="s">
        <v>2490</v>
      </c>
    </row>
    <row r="994" spans="1:2">
      <c r="A994" s="149" t="s">
        <v>2491</v>
      </c>
      <c r="B994" s="149" t="s">
        <v>2492</v>
      </c>
    </row>
    <row r="995" spans="1:2">
      <c r="A995" s="149" t="s">
        <v>2493</v>
      </c>
      <c r="B995" s="149" t="s">
        <v>2494</v>
      </c>
    </row>
    <row r="996" spans="1:2">
      <c r="A996" s="149" t="s">
        <v>2495</v>
      </c>
      <c r="B996" s="149" t="s">
        <v>2496</v>
      </c>
    </row>
    <row r="997" spans="1:2">
      <c r="A997" s="149" t="s">
        <v>2497</v>
      </c>
      <c r="B997" s="149" t="s">
        <v>2498</v>
      </c>
    </row>
    <row r="998" spans="1:2">
      <c r="A998" s="149" t="s">
        <v>2499</v>
      </c>
      <c r="B998" s="149" t="s">
        <v>2500</v>
      </c>
    </row>
    <row r="999" spans="1:2">
      <c r="A999" s="149" t="s">
        <v>2501</v>
      </c>
      <c r="B999" s="149" t="s">
        <v>2502</v>
      </c>
    </row>
    <row r="1000" spans="1:2">
      <c r="A1000" s="149" t="s">
        <v>2503</v>
      </c>
      <c r="B1000" s="149" t="s">
        <v>2504</v>
      </c>
    </row>
    <row r="1001" spans="1:2">
      <c r="A1001" s="149" t="s">
        <v>2505</v>
      </c>
      <c r="B1001" s="149" t="s">
        <v>2506</v>
      </c>
    </row>
    <row r="1002" spans="1:2">
      <c r="A1002" s="149" t="s">
        <v>2507</v>
      </c>
      <c r="B1002" s="149" t="s">
        <v>2508</v>
      </c>
    </row>
    <row r="1003" spans="1:2">
      <c r="A1003" s="149" t="s">
        <v>2509</v>
      </c>
      <c r="B1003" s="149" t="s">
        <v>2510</v>
      </c>
    </row>
    <row r="1004" spans="1:2">
      <c r="A1004" s="149" t="s">
        <v>2511</v>
      </c>
      <c r="B1004" s="149" t="s">
        <v>2512</v>
      </c>
    </row>
    <row r="1005" spans="1:2">
      <c r="A1005" s="149" t="s">
        <v>2513</v>
      </c>
      <c r="B1005" s="149" t="s">
        <v>2514</v>
      </c>
    </row>
    <row r="1006" spans="1:2">
      <c r="A1006" s="149" t="s">
        <v>2515</v>
      </c>
      <c r="B1006" s="149" t="s">
        <v>2516</v>
      </c>
    </row>
    <row r="1007" spans="1:2">
      <c r="A1007" s="149" t="s">
        <v>2517</v>
      </c>
      <c r="B1007" s="149" t="s">
        <v>2518</v>
      </c>
    </row>
    <row r="1008" spans="1:2">
      <c r="A1008" s="149" t="s">
        <v>2519</v>
      </c>
      <c r="B1008" s="149" t="s">
        <v>2520</v>
      </c>
    </row>
    <row r="1009" spans="1:2">
      <c r="A1009" s="149" t="s">
        <v>2521</v>
      </c>
      <c r="B1009" s="149" t="s">
        <v>2522</v>
      </c>
    </row>
    <row r="1010" spans="1:2">
      <c r="A1010" s="149" t="s">
        <v>2523</v>
      </c>
      <c r="B1010" s="149" t="s">
        <v>2524</v>
      </c>
    </row>
    <row r="1011" spans="1:2">
      <c r="A1011" s="149" t="s">
        <v>2525</v>
      </c>
      <c r="B1011" s="149" t="s">
        <v>2526</v>
      </c>
    </row>
    <row r="1012" spans="1:2">
      <c r="A1012" s="149" t="s">
        <v>2527</v>
      </c>
      <c r="B1012" s="149" t="s">
        <v>2528</v>
      </c>
    </row>
    <row r="1013" spans="1:2">
      <c r="A1013" s="149" t="s">
        <v>2529</v>
      </c>
      <c r="B1013" s="149" t="s">
        <v>2530</v>
      </c>
    </row>
    <row r="1014" spans="1:2">
      <c r="A1014" s="149" t="s">
        <v>2531</v>
      </c>
      <c r="B1014" s="149" t="s">
        <v>2532</v>
      </c>
    </row>
    <row r="1015" spans="1:2">
      <c r="A1015" s="149" t="s">
        <v>2533</v>
      </c>
      <c r="B1015" s="149" t="s">
        <v>2534</v>
      </c>
    </row>
    <row r="1016" spans="1:2">
      <c r="A1016" s="149" t="s">
        <v>2535</v>
      </c>
      <c r="B1016" s="149" t="s">
        <v>2536</v>
      </c>
    </row>
    <row r="1017" spans="1:2">
      <c r="A1017" s="149" t="s">
        <v>2537</v>
      </c>
      <c r="B1017" s="149" t="s">
        <v>2538</v>
      </c>
    </row>
    <row r="1018" spans="1:2">
      <c r="A1018" s="149" t="s">
        <v>2539</v>
      </c>
      <c r="B1018" s="149" t="s">
        <v>2540</v>
      </c>
    </row>
    <row r="1019" spans="1:2">
      <c r="A1019" s="149" t="s">
        <v>2541</v>
      </c>
      <c r="B1019" s="149" t="s">
        <v>2542</v>
      </c>
    </row>
    <row r="1020" spans="1:2">
      <c r="A1020" s="149" t="s">
        <v>2543</v>
      </c>
      <c r="B1020" s="149" t="s">
        <v>2544</v>
      </c>
    </row>
    <row r="1021" spans="1:2">
      <c r="A1021" s="149" t="s">
        <v>2545</v>
      </c>
      <c r="B1021" s="149" t="s">
        <v>2546</v>
      </c>
    </row>
    <row r="1022" spans="1:2">
      <c r="A1022" s="149" t="s">
        <v>2547</v>
      </c>
      <c r="B1022" s="149" t="s">
        <v>2548</v>
      </c>
    </row>
    <row r="1023" spans="1:2">
      <c r="A1023" s="149" t="s">
        <v>2549</v>
      </c>
      <c r="B1023" s="149" t="s">
        <v>2550</v>
      </c>
    </row>
    <row r="1024" spans="1:2">
      <c r="A1024" s="149" t="s">
        <v>2551</v>
      </c>
      <c r="B1024" s="149" t="s">
        <v>2552</v>
      </c>
    </row>
    <row r="1025" spans="1:2">
      <c r="A1025" s="149" t="s">
        <v>2553</v>
      </c>
      <c r="B1025" s="149" t="s">
        <v>2554</v>
      </c>
    </row>
    <row r="1026" spans="1:2">
      <c r="A1026" s="149" t="s">
        <v>2555</v>
      </c>
      <c r="B1026" s="149" t="s">
        <v>2556</v>
      </c>
    </row>
    <row r="1027" spans="1:2">
      <c r="A1027" s="149" t="s">
        <v>2557</v>
      </c>
      <c r="B1027" s="149" t="s">
        <v>2558</v>
      </c>
    </row>
    <row r="1028" spans="1:2">
      <c r="A1028" s="149" t="s">
        <v>2559</v>
      </c>
      <c r="B1028" s="149" t="s">
        <v>2560</v>
      </c>
    </row>
    <row r="1029" spans="1:2">
      <c r="A1029" s="149" t="s">
        <v>2561</v>
      </c>
      <c r="B1029" s="149" t="s">
        <v>2562</v>
      </c>
    </row>
    <row r="1030" spans="1:2">
      <c r="A1030" s="149" t="s">
        <v>2563</v>
      </c>
      <c r="B1030" s="149" t="s">
        <v>2564</v>
      </c>
    </row>
    <row r="1031" spans="1:2">
      <c r="A1031" s="149" t="s">
        <v>2565</v>
      </c>
      <c r="B1031" s="149" t="s">
        <v>2566</v>
      </c>
    </row>
    <row r="1032" spans="1:2">
      <c r="A1032" s="149" t="s">
        <v>2567</v>
      </c>
      <c r="B1032" s="149" t="s">
        <v>2568</v>
      </c>
    </row>
    <row r="1033" spans="1:2">
      <c r="A1033" s="149" t="s">
        <v>2569</v>
      </c>
      <c r="B1033" s="149" t="s">
        <v>2570</v>
      </c>
    </row>
    <row r="1034" spans="1:2">
      <c r="A1034" s="149" t="s">
        <v>2571</v>
      </c>
      <c r="B1034" s="149" t="s">
        <v>2572</v>
      </c>
    </row>
    <row r="1035" spans="1:2">
      <c r="A1035" s="149" t="s">
        <v>2573</v>
      </c>
      <c r="B1035" s="149" t="s">
        <v>2574</v>
      </c>
    </row>
    <row r="1036" spans="1:2">
      <c r="A1036" s="149" t="s">
        <v>2575</v>
      </c>
      <c r="B1036" s="149" t="s">
        <v>2576</v>
      </c>
    </row>
    <row r="1037" spans="1:2">
      <c r="A1037" s="149" t="s">
        <v>2577</v>
      </c>
      <c r="B1037" s="149" t="s">
        <v>2578</v>
      </c>
    </row>
    <row r="1038" spans="1:2">
      <c r="A1038" s="149" t="s">
        <v>2579</v>
      </c>
      <c r="B1038" s="149" t="s">
        <v>2580</v>
      </c>
    </row>
    <row r="1039" spans="1:2">
      <c r="A1039" s="149" t="s">
        <v>2581</v>
      </c>
      <c r="B1039" s="149" t="s">
        <v>2582</v>
      </c>
    </row>
    <row r="1040" spans="1:2">
      <c r="A1040" s="149" t="s">
        <v>2583</v>
      </c>
      <c r="B1040" s="149" t="s">
        <v>2584</v>
      </c>
    </row>
    <row r="1041" spans="1:2">
      <c r="A1041" s="149" t="s">
        <v>2585</v>
      </c>
      <c r="B1041" s="149" t="s">
        <v>2586</v>
      </c>
    </row>
    <row r="1042" spans="1:2">
      <c r="A1042" s="149" t="s">
        <v>2587</v>
      </c>
      <c r="B1042" s="149" t="s">
        <v>2588</v>
      </c>
    </row>
    <row r="1043" spans="1:2">
      <c r="A1043" s="149" t="s">
        <v>2589</v>
      </c>
      <c r="B1043" s="149" t="s">
        <v>2590</v>
      </c>
    </row>
    <row r="1044" spans="1:2">
      <c r="A1044" s="149" t="s">
        <v>2591</v>
      </c>
      <c r="B1044" s="149" t="s">
        <v>2592</v>
      </c>
    </row>
    <row r="1045" spans="1:2">
      <c r="A1045" s="149" t="s">
        <v>2593</v>
      </c>
      <c r="B1045" s="149" t="s">
        <v>2594</v>
      </c>
    </row>
    <row r="1046" spans="1:2">
      <c r="A1046" s="149" t="s">
        <v>2595</v>
      </c>
      <c r="B1046" s="149" t="s">
        <v>2596</v>
      </c>
    </row>
    <row r="1047" spans="1:2">
      <c r="A1047" s="149" t="s">
        <v>2597</v>
      </c>
      <c r="B1047" s="149" t="s">
        <v>2598</v>
      </c>
    </row>
    <row r="1048" spans="1:2">
      <c r="A1048" s="149" t="s">
        <v>2599</v>
      </c>
      <c r="B1048" s="149" t="s">
        <v>2600</v>
      </c>
    </row>
    <row r="1049" spans="1:2">
      <c r="A1049" s="149" t="s">
        <v>2601</v>
      </c>
      <c r="B1049" s="149" t="s">
        <v>2602</v>
      </c>
    </row>
    <row r="1050" spans="1:2">
      <c r="A1050" s="149" t="s">
        <v>2603</v>
      </c>
      <c r="B1050" s="149" t="s">
        <v>2604</v>
      </c>
    </row>
    <row r="1051" spans="1:2">
      <c r="A1051" s="149" t="s">
        <v>2605</v>
      </c>
      <c r="B1051" s="149" t="s">
        <v>2606</v>
      </c>
    </row>
    <row r="1052" spans="1:2">
      <c r="A1052" s="149" t="s">
        <v>2607</v>
      </c>
      <c r="B1052" s="149" t="s">
        <v>2608</v>
      </c>
    </row>
    <row r="1053" spans="1:2">
      <c r="A1053" s="149" t="s">
        <v>2609</v>
      </c>
      <c r="B1053" s="149" t="s">
        <v>2610</v>
      </c>
    </row>
    <row r="1054" spans="1:2">
      <c r="A1054" s="149" t="s">
        <v>2611</v>
      </c>
      <c r="B1054" s="149" t="s">
        <v>2612</v>
      </c>
    </row>
    <row r="1055" spans="1:2">
      <c r="A1055" s="149" t="s">
        <v>2613</v>
      </c>
      <c r="B1055" s="149" t="s">
        <v>2614</v>
      </c>
    </row>
    <row r="1056" spans="1:2">
      <c r="A1056" s="149" t="s">
        <v>2615</v>
      </c>
      <c r="B1056" s="149" t="s">
        <v>2616</v>
      </c>
    </row>
    <row r="1057" spans="1:2">
      <c r="A1057" s="149" t="s">
        <v>2617</v>
      </c>
      <c r="B1057" s="149" t="s">
        <v>2618</v>
      </c>
    </row>
    <row r="1058" spans="1:2">
      <c r="A1058" s="149" t="s">
        <v>2619</v>
      </c>
      <c r="B1058" s="149" t="s">
        <v>2620</v>
      </c>
    </row>
    <row r="1059" spans="1:2">
      <c r="A1059" s="149" t="s">
        <v>2621</v>
      </c>
      <c r="B1059" s="149" t="s">
        <v>2622</v>
      </c>
    </row>
    <row r="1060" spans="1:2">
      <c r="A1060" s="149" t="s">
        <v>2623</v>
      </c>
      <c r="B1060" s="149" t="s">
        <v>2624</v>
      </c>
    </row>
    <row r="1061" spans="1:2">
      <c r="A1061" s="149" t="s">
        <v>2625</v>
      </c>
      <c r="B1061" s="149" t="s">
        <v>2626</v>
      </c>
    </row>
    <row r="1062" spans="1:2">
      <c r="A1062" s="149" t="s">
        <v>2627</v>
      </c>
      <c r="B1062" s="149" t="s">
        <v>2628</v>
      </c>
    </row>
    <row r="1063" spans="1:2">
      <c r="A1063" s="149" t="s">
        <v>2629</v>
      </c>
      <c r="B1063" s="149" t="s">
        <v>2630</v>
      </c>
    </row>
    <row r="1064" spans="1:2">
      <c r="A1064" s="149" t="s">
        <v>2631</v>
      </c>
      <c r="B1064" s="149" t="s">
        <v>2632</v>
      </c>
    </row>
    <row r="1065" spans="1:2">
      <c r="A1065" s="149" t="s">
        <v>2633</v>
      </c>
      <c r="B1065" s="149" t="s">
        <v>2634</v>
      </c>
    </row>
    <row r="1066" spans="1:2">
      <c r="A1066" s="149" t="s">
        <v>2635</v>
      </c>
      <c r="B1066" s="149" t="s">
        <v>2636</v>
      </c>
    </row>
    <row r="1067" spans="1:2">
      <c r="A1067" s="149" t="s">
        <v>2637</v>
      </c>
      <c r="B1067" s="149" t="s">
        <v>2638</v>
      </c>
    </row>
    <row r="1068" spans="1:2">
      <c r="A1068" s="149" t="s">
        <v>2639</v>
      </c>
      <c r="B1068" s="149" t="s">
        <v>2640</v>
      </c>
    </row>
    <row r="1069" spans="1:2">
      <c r="A1069" s="149" t="s">
        <v>2641</v>
      </c>
      <c r="B1069" s="149" t="s">
        <v>2642</v>
      </c>
    </row>
    <row r="1070" spans="1:2">
      <c r="A1070" s="149" t="s">
        <v>2643</v>
      </c>
      <c r="B1070" s="149" t="s">
        <v>2644</v>
      </c>
    </row>
    <row r="1071" spans="1:2">
      <c r="A1071" s="149" t="s">
        <v>2645</v>
      </c>
      <c r="B1071" s="149" t="s">
        <v>2646</v>
      </c>
    </row>
    <row r="1072" spans="1:2">
      <c r="A1072" s="149" t="s">
        <v>2647</v>
      </c>
      <c r="B1072" s="149" t="s">
        <v>2648</v>
      </c>
    </row>
    <row r="1073" spans="1:2">
      <c r="A1073" s="149" t="s">
        <v>2649</v>
      </c>
      <c r="B1073" s="149" t="s">
        <v>2650</v>
      </c>
    </row>
    <row r="1074" spans="1:2">
      <c r="A1074" s="149" t="s">
        <v>2651</v>
      </c>
      <c r="B1074" s="149" t="s">
        <v>2652</v>
      </c>
    </row>
    <row r="1075" spans="1:2">
      <c r="A1075" s="149" t="s">
        <v>2653</v>
      </c>
      <c r="B1075" s="149" t="s">
        <v>2654</v>
      </c>
    </row>
    <row r="1076" spans="1:2">
      <c r="A1076" s="149" t="s">
        <v>2655</v>
      </c>
      <c r="B1076" s="149" t="s">
        <v>2656</v>
      </c>
    </row>
    <row r="1077" spans="1:2">
      <c r="A1077" s="149" t="s">
        <v>2657</v>
      </c>
      <c r="B1077" s="149" t="s">
        <v>2658</v>
      </c>
    </row>
    <row r="1078" spans="1:2">
      <c r="A1078" s="149" t="s">
        <v>2659</v>
      </c>
      <c r="B1078" s="149" t="s">
        <v>2660</v>
      </c>
    </row>
    <row r="1079" spans="1:2">
      <c r="A1079" s="149" t="s">
        <v>2661</v>
      </c>
      <c r="B1079" s="149" t="s">
        <v>2662</v>
      </c>
    </row>
    <row r="1080" spans="1:2">
      <c r="A1080" s="149" t="s">
        <v>2663</v>
      </c>
      <c r="B1080" s="149" t="s">
        <v>2664</v>
      </c>
    </row>
    <row r="1081" spans="1:2">
      <c r="A1081" s="149" t="s">
        <v>2665</v>
      </c>
      <c r="B1081" s="149" t="s">
        <v>2666</v>
      </c>
    </row>
    <row r="1082" spans="1:2">
      <c r="A1082" s="149" t="s">
        <v>2667</v>
      </c>
      <c r="B1082" s="149" t="s">
        <v>2668</v>
      </c>
    </row>
    <row r="1083" spans="1:2">
      <c r="A1083" s="149" t="s">
        <v>2669</v>
      </c>
      <c r="B1083" s="149" t="s">
        <v>2670</v>
      </c>
    </row>
    <row r="1084" spans="1:2">
      <c r="A1084" s="149" t="s">
        <v>2671</v>
      </c>
      <c r="B1084" s="149" t="s">
        <v>2672</v>
      </c>
    </row>
    <row r="1085" spans="1:2">
      <c r="A1085" s="149" t="s">
        <v>2673</v>
      </c>
      <c r="B1085" s="149" t="s">
        <v>2674</v>
      </c>
    </row>
    <row r="1086" spans="1:2">
      <c r="A1086" s="149" t="s">
        <v>2675</v>
      </c>
      <c r="B1086" s="149" t="s">
        <v>2676</v>
      </c>
    </row>
    <row r="1087" spans="1:2">
      <c r="A1087" s="149" t="s">
        <v>2677</v>
      </c>
      <c r="B1087" s="149" t="s">
        <v>2678</v>
      </c>
    </row>
    <row r="1088" spans="1:2">
      <c r="A1088" s="149" t="s">
        <v>2679</v>
      </c>
      <c r="B1088" s="149" t="s">
        <v>2680</v>
      </c>
    </row>
    <row r="1089" spans="1:2">
      <c r="A1089" s="149" t="s">
        <v>2681</v>
      </c>
      <c r="B1089" s="149" t="s">
        <v>2682</v>
      </c>
    </row>
    <row r="1090" spans="1:2">
      <c r="A1090" s="149" t="s">
        <v>2683</v>
      </c>
      <c r="B1090" s="149" t="s">
        <v>2684</v>
      </c>
    </row>
    <row r="1091" spans="1:2">
      <c r="A1091" s="149" t="s">
        <v>2685</v>
      </c>
      <c r="B1091" s="149" t="s">
        <v>2686</v>
      </c>
    </row>
    <row r="1092" spans="1:2">
      <c r="A1092" s="149" t="s">
        <v>2687</v>
      </c>
      <c r="B1092" s="149" t="s">
        <v>2688</v>
      </c>
    </row>
    <row r="1093" spans="1:2">
      <c r="A1093" s="149" t="s">
        <v>2689</v>
      </c>
      <c r="B1093" s="149" t="s">
        <v>2690</v>
      </c>
    </row>
    <row r="1094" spans="1:2">
      <c r="A1094" s="149" t="s">
        <v>2691</v>
      </c>
      <c r="B1094" s="149" t="s">
        <v>2692</v>
      </c>
    </row>
    <row r="1095" spans="1:2">
      <c r="A1095" s="149" t="s">
        <v>2693</v>
      </c>
      <c r="B1095" s="149" t="s">
        <v>2694</v>
      </c>
    </row>
    <row r="1096" spans="1:2">
      <c r="A1096" s="149" t="s">
        <v>2695</v>
      </c>
      <c r="B1096" s="149" t="s">
        <v>2696</v>
      </c>
    </row>
    <row r="1097" spans="1:2">
      <c r="A1097" s="149" t="s">
        <v>2697</v>
      </c>
      <c r="B1097" s="149" t="s">
        <v>2698</v>
      </c>
    </row>
    <row r="1098" spans="1:2">
      <c r="A1098" s="149" t="s">
        <v>2699</v>
      </c>
      <c r="B1098" s="149" t="s">
        <v>2700</v>
      </c>
    </row>
    <row r="1099" spans="1:2">
      <c r="A1099" s="149" t="s">
        <v>2701</v>
      </c>
      <c r="B1099" s="149" t="s">
        <v>2702</v>
      </c>
    </row>
    <row r="1100" spans="1:2">
      <c r="A1100" s="149" t="s">
        <v>2703</v>
      </c>
      <c r="B1100" s="149" t="s">
        <v>2704</v>
      </c>
    </row>
    <row r="1101" spans="1:2">
      <c r="A1101" s="149" t="s">
        <v>2705</v>
      </c>
      <c r="B1101" s="149" t="s">
        <v>2706</v>
      </c>
    </row>
    <row r="1102" spans="1:2">
      <c r="A1102" s="149" t="s">
        <v>2707</v>
      </c>
      <c r="B1102" s="149" t="s">
        <v>2708</v>
      </c>
    </row>
    <row r="1103" spans="1:2">
      <c r="A1103" s="149" t="s">
        <v>2709</v>
      </c>
      <c r="B1103" s="149" t="s">
        <v>2710</v>
      </c>
    </row>
    <row r="1104" spans="1:2">
      <c r="A1104" s="149" t="s">
        <v>2711</v>
      </c>
      <c r="B1104" s="149" t="s">
        <v>2712</v>
      </c>
    </row>
    <row r="1105" spans="1:2">
      <c r="A1105" s="149" t="s">
        <v>2713</v>
      </c>
      <c r="B1105" s="149" t="s">
        <v>2714</v>
      </c>
    </row>
    <row r="1106" spans="1:2">
      <c r="A1106" s="149" t="s">
        <v>2715</v>
      </c>
      <c r="B1106" s="149" t="s">
        <v>2716</v>
      </c>
    </row>
    <row r="1107" spans="1:2">
      <c r="A1107" s="149" t="s">
        <v>2717</v>
      </c>
      <c r="B1107" s="149" t="s">
        <v>2718</v>
      </c>
    </row>
    <row r="1108" spans="1:2">
      <c r="A1108" s="149" t="s">
        <v>2719</v>
      </c>
      <c r="B1108" s="149" t="s">
        <v>2720</v>
      </c>
    </row>
    <row r="1109" spans="1:2">
      <c r="A1109" s="149" t="s">
        <v>2721</v>
      </c>
      <c r="B1109" s="149" t="s">
        <v>2722</v>
      </c>
    </row>
    <row r="1110" spans="1:2">
      <c r="A1110" s="149" t="s">
        <v>2723</v>
      </c>
      <c r="B1110" s="149" t="s">
        <v>2724</v>
      </c>
    </row>
    <row r="1111" spans="1:2">
      <c r="A1111" s="149" t="s">
        <v>2725</v>
      </c>
      <c r="B1111" s="149" t="s">
        <v>2726</v>
      </c>
    </row>
    <row r="1112" spans="1:2">
      <c r="A1112" s="149" t="s">
        <v>2727</v>
      </c>
      <c r="B1112" s="149" t="s">
        <v>2728</v>
      </c>
    </row>
    <row r="1113" spans="1:2">
      <c r="A1113" s="149" t="s">
        <v>2729</v>
      </c>
      <c r="B1113" s="149" t="s">
        <v>2730</v>
      </c>
    </row>
    <row r="1114" spans="1:2">
      <c r="A1114" s="149" t="s">
        <v>2731</v>
      </c>
      <c r="B1114" s="149" t="s">
        <v>2732</v>
      </c>
    </row>
    <row r="1115" spans="1:2">
      <c r="A1115" s="149" t="s">
        <v>2733</v>
      </c>
      <c r="B1115" s="149" t="s">
        <v>2734</v>
      </c>
    </row>
    <row r="1116" spans="1:2">
      <c r="A1116" s="149" t="s">
        <v>2735</v>
      </c>
      <c r="B1116" s="149" t="s">
        <v>2736</v>
      </c>
    </row>
    <row r="1117" spans="1:2">
      <c r="A1117" s="149" t="s">
        <v>2737</v>
      </c>
      <c r="B1117" s="149" t="s">
        <v>2738</v>
      </c>
    </row>
    <row r="1118" spans="1:2">
      <c r="A1118" s="149" t="s">
        <v>2739</v>
      </c>
      <c r="B1118" s="149" t="s">
        <v>2740</v>
      </c>
    </row>
    <row r="1119" spans="1:2">
      <c r="A1119" s="149" t="s">
        <v>2741</v>
      </c>
      <c r="B1119" s="149" t="s">
        <v>2742</v>
      </c>
    </row>
    <row r="1120" spans="1:2">
      <c r="A1120" s="149" t="s">
        <v>2743</v>
      </c>
      <c r="B1120" s="149" t="s">
        <v>2744</v>
      </c>
    </row>
    <row r="1121" spans="1:2">
      <c r="A1121" s="149" t="s">
        <v>2745</v>
      </c>
      <c r="B1121" s="149" t="s">
        <v>2746</v>
      </c>
    </row>
    <row r="1122" spans="1:2">
      <c r="A1122" s="149" t="s">
        <v>2747</v>
      </c>
      <c r="B1122" s="149" t="s">
        <v>2748</v>
      </c>
    </row>
    <row r="1123" spans="1:2">
      <c r="A1123" s="149" t="s">
        <v>2749</v>
      </c>
      <c r="B1123" s="149" t="s">
        <v>2750</v>
      </c>
    </row>
    <row r="1124" spans="1:2">
      <c r="A1124" s="149" t="s">
        <v>2751</v>
      </c>
      <c r="B1124" s="149" t="s">
        <v>2752</v>
      </c>
    </row>
    <row r="1125" spans="1:2">
      <c r="A1125" s="149" t="s">
        <v>2753</v>
      </c>
      <c r="B1125" s="149" t="s">
        <v>2754</v>
      </c>
    </row>
    <row r="1126" spans="1:2">
      <c r="A1126" s="149" t="s">
        <v>2755</v>
      </c>
      <c r="B1126" s="149" t="s">
        <v>2756</v>
      </c>
    </row>
    <row r="1127" spans="1:2">
      <c r="A1127" s="149" t="s">
        <v>2757</v>
      </c>
      <c r="B1127" s="149" t="s">
        <v>2758</v>
      </c>
    </row>
    <row r="1128" spans="1:2">
      <c r="A1128" s="149" t="s">
        <v>2759</v>
      </c>
      <c r="B1128" s="149" t="s">
        <v>2760</v>
      </c>
    </row>
    <row r="1129" spans="1:2">
      <c r="A1129" s="149" t="s">
        <v>2761</v>
      </c>
      <c r="B1129" s="149" t="s">
        <v>2762</v>
      </c>
    </row>
    <row r="1130" spans="1:2">
      <c r="A1130" s="149" t="s">
        <v>2763</v>
      </c>
      <c r="B1130" s="149" t="s">
        <v>2764</v>
      </c>
    </row>
    <row r="1131" spans="1:2">
      <c r="A1131" s="149" t="s">
        <v>2765</v>
      </c>
      <c r="B1131" s="149" t="s">
        <v>2766</v>
      </c>
    </row>
    <row r="1132" spans="1:2">
      <c r="A1132" s="149" t="s">
        <v>2767</v>
      </c>
      <c r="B1132" s="149" t="s">
        <v>2768</v>
      </c>
    </row>
    <row r="1133" spans="1:2">
      <c r="A1133" s="149" t="s">
        <v>2769</v>
      </c>
      <c r="B1133" s="149" t="s">
        <v>2770</v>
      </c>
    </row>
    <row r="1134" spans="1:2">
      <c r="A1134" s="149" t="s">
        <v>2771</v>
      </c>
      <c r="B1134" s="149" t="s">
        <v>2772</v>
      </c>
    </row>
    <row r="1135" spans="1:2">
      <c r="A1135" s="149" t="s">
        <v>2773</v>
      </c>
      <c r="B1135" s="149" t="s">
        <v>2774</v>
      </c>
    </row>
    <row r="1136" spans="1:2">
      <c r="A1136" s="149" t="s">
        <v>2775</v>
      </c>
      <c r="B1136" s="149" t="s">
        <v>2776</v>
      </c>
    </row>
    <row r="1137" spans="1:2">
      <c r="A1137" s="149" t="s">
        <v>2777</v>
      </c>
      <c r="B1137" s="149" t="s">
        <v>2778</v>
      </c>
    </row>
    <row r="1138" spans="1:2">
      <c r="A1138" s="149" t="s">
        <v>2779</v>
      </c>
      <c r="B1138" s="149" t="s">
        <v>2780</v>
      </c>
    </row>
    <row r="1139" spans="1:2">
      <c r="A1139" s="149" t="s">
        <v>2781</v>
      </c>
      <c r="B1139" s="149" t="s">
        <v>2782</v>
      </c>
    </row>
    <row r="1140" spans="1:2">
      <c r="A1140" s="149" t="s">
        <v>2783</v>
      </c>
      <c r="B1140" s="149" t="s">
        <v>2784</v>
      </c>
    </row>
    <row r="1141" spans="1:2">
      <c r="A1141" s="149" t="s">
        <v>2785</v>
      </c>
      <c r="B1141" s="149" t="s">
        <v>2786</v>
      </c>
    </row>
    <row r="1142" spans="1:2">
      <c r="A1142" s="149" t="s">
        <v>2787</v>
      </c>
      <c r="B1142" s="149" t="s">
        <v>2788</v>
      </c>
    </row>
    <row r="1143" spans="1:2">
      <c r="A1143" s="149" t="s">
        <v>2789</v>
      </c>
      <c r="B1143" s="149" t="s">
        <v>2790</v>
      </c>
    </row>
    <row r="1144" spans="1:2">
      <c r="A1144" s="149" t="s">
        <v>2791</v>
      </c>
      <c r="B1144" s="149" t="s">
        <v>2792</v>
      </c>
    </row>
    <row r="1145" spans="1:2">
      <c r="A1145" s="149" t="s">
        <v>2793</v>
      </c>
      <c r="B1145" s="149" t="s">
        <v>2794</v>
      </c>
    </row>
    <row r="1146" spans="1:2">
      <c r="A1146" s="149" t="s">
        <v>2795</v>
      </c>
      <c r="B1146" s="149" t="s">
        <v>2796</v>
      </c>
    </row>
    <row r="1147" spans="1:2">
      <c r="A1147" s="149" t="s">
        <v>2797</v>
      </c>
      <c r="B1147" s="149" t="s">
        <v>2798</v>
      </c>
    </row>
    <row r="1148" spans="1:2">
      <c r="A1148" s="149" t="s">
        <v>2799</v>
      </c>
      <c r="B1148" s="149" t="s">
        <v>2800</v>
      </c>
    </row>
    <row r="1149" spans="1:2">
      <c r="A1149" s="149" t="s">
        <v>2801</v>
      </c>
      <c r="B1149" s="149" t="s">
        <v>2802</v>
      </c>
    </row>
    <row r="1150" spans="1:2">
      <c r="A1150" s="149" t="s">
        <v>2803</v>
      </c>
      <c r="B1150" s="149" t="s">
        <v>2804</v>
      </c>
    </row>
    <row r="1151" spans="1:2">
      <c r="A1151" s="149" t="s">
        <v>2805</v>
      </c>
      <c r="B1151" s="149" t="s">
        <v>2806</v>
      </c>
    </row>
    <row r="1152" spans="1:2">
      <c r="A1152" s="149" t="s">
        <v>2807</v>
      </c>
      <c r="B1152" s="149" t="s">
        <v>2808</v>
      </c>
    </row>
    <row r="1153" spans="1:2">
      <c r="A1153" s="149" t="s">
        <v>2809</v>
      </c>
      <c r="B1153" s="149" t="s">
        <v>2810</v>
      </c>
    </row>
    <row r="1154" spans="1:2">
      <c r="A1154" s="149" t="s">
        <v>2811</v>
      </c>
      <c r="B1154" s="149" t="s">
        <v>2812</v>
      </c>
    </row>
    <row r="1155" spans="1:2">
      <c r="A1155" s="149" t="s">
        <v>2813</v>
      </c>
      <c r="B1155" s="149" t="s">
        <v>2814</v>
      </c>
    </row>
    <row r="1156" spans="1:2">
      <c r="A1156" s="149" t="s">
        <v>2815</v>
      </c>
      <c r="B1156" s="149" t="s">
        <v>2816</v>
      </c>
    </row>
    <row r="1157" spans="1:2">
      <c r="A1157" s="149" t="s">
        <v>2817</v>
      </c>
      <c r="B1157" s="149" t="s">
        <v>2818</v>
      </c>
    </row>
    <row r="1158" spans="1:2">
      <c r="A1158" s="149" t="s">
        <v>2819</v>
      </c>
      <c r="B1158" s="149" t="s">
        <v>2820</v>
      </c>
    </row>
    <row r="1159" spans="1:2">
      <c r="A1159" s="149" t="s">
        <v>2821</v>
      </c>
      <c r="B1159" s="149" t="s">
        <v>2822</v>
      </c>
    </row>
    <row r="1160" spans="1:2">
      <c r="A1160" s="149" t="s">
        <v>2823</v>
      </c>
      <c r="B1160" s="149" t="s">
        <v>2824</v>
      </c>
    </row>
    <row r="1161" spans="1:2">
      <c r="A1161" s="149" t="s">
        <v>2825</v>
      </c>
      <c r="B1161" s="149" t="s">
        <v>2826</v>
      </c>
    </row>
    <row r="1162" spans="1:2">
      <c r="A1162" s="149" t="s">
        <v>2827</v>
      </c>
      <c r="B1162" s="149" t="s">
        <v>2828</v>
      </c>
    </row>
    <row r="1163" spans="1:2">
      <c r="A1163" s="149" t="s">
        <v>2829</v>
      </c>
      <c r="B1163" s="149" t="s">
        <v>2830</v>
      </c>
    </row>
    <row r="1164" spans="1:2">
      <c r="A1164" s="149" t="s">
        <v>2831</v>
      </c>
      <c r="B1164" s="149" t="s">
        <v>2832</v>
      </c>
    </row>
    <row r="1165" spans="1:2">
      <c r="A1165" s="149" t="s">
        <v>2833</v>
      </c>
      <c r="B1165" s="149" t="s">
        <v>2834</v>
      </c>
    </row>
    <row r="1166" spans="1:2">
      <c r="A1166" s="149" t="s">
        <v>2835</v>
      </c>
      <c r="B1166" s="149" t="s">
        <v>2836</v>
      </c>
    </row>
    <row r="1167" spans="1:2">
      <c r="A1167" s="149" t="s">
        <v>2837</v>
      </c>
      <c r="B1167" s="149" t="s">
        <v>2838</v>
      </c>
    </row>
    <row r="1168" spans="1:2">
      <c r="A1168" s="149" t="s">
        <v>2839</v>
      </c>
      <c r="B1168" s="149" t="s">
        <v>2840</v>
      </c>
    </row>
    <row r="1169" spans="1:2">
      <c r="A1169" s="149" t="s">
        <v>2841</v>
      </c>
      <c r="B1169" s="149" t="s">
        <v>2842</v>
      </c>
    </row>
    <row r="1170" spans="1:2">
      <c r="A1170" s="149" t="s">
        <v>2843</v>
      </c>
      <c r="B1170" s="149" t="s">
        <v>2844</v>
      </c>
    </row>
    <row r="1171" spans="1:2">
      <c r="A1171" s="149" t="s">
        <v>2845</v>
      </c>
      <c r="B1171" s="149" t="s">
        <v>2846</v>
      </c>
    </row>
    <row r="1172" spans="1:2">
      <c r="A1172" s="149" t="s">
        <v>2847</v>
      </c>
      <c r="B1172" s="149" t="s">
        <v>2848</v>
      </c>
    </row>
    <row r="1173" spans="1:2">
      <c r="A1173" s="149" t="s">
        <v>2849</v>
      </c>
      <c r="B1173" s="149" t="s">
        <v>2850</v>
      </c>
    </row>
    <row r="1174" spans="1:2">
      <c r="A1174" s="149" t="s">
        <v>2851</v>
      </c>
      <c r="B1174" s="149" t="s">
        <v>2852</v>
      </c>
    </row>
    <row r="1175" spans="1:2">
      <c r="A1175" s="149" t="s">
        <v>2853</v>
      </c>
      <c r="B1175" s="149" t="s">
        <v>2854</v>
      </c>
    </row>
    <row r="1176" spans="1:2">
      <c r="A1176" s="149" t="s">
        <v>2855</v>
      </c>
      <c r="B1176" s="149" t="s">
        <v>2856</v>
      </c>
    </row>
    <row r="1177" spans="1:2">
      <c r="A1177" s="149" t="s">
        <v>2857</v>
      </c>
      <c r="B1177" s="149" t="s">
        <v>2858</v>
      </c>
    </row>
    <row r="1178" spans="1:2">
      <c r="A1178" s="149" t="s">
        <v>2859</v>
      </c>
      <c r="B1178" s="149" t="s">
        <v>2860</v>
      </c>
    </row>
    <row r="1179" spans="1:2">
      <c r="A1179" s="149" t="s">
        <v>2861</v>
      </c>
      <c r="B1179" s="149" t="s">
        <v>2862</v>
      </c>
    </row>
    <row r="1180" spans="1:2">
      <c r="A1180" s="149" t="s">
        <v>2863</v>
      </c>
      <c r="B1180" s="149" t="s">
        <v>2864</v>
      </c>
    </row>
    <row r="1181" spans="1:2">
      <c r="A1181" s="149" t="s">
        <v>2865</v>
      </c>
      <c r="B1181" s="149" t="s">
        <v>2866</v>
      </c>
    </row>
    <row r="1182" spans="1:2">
      <c r="A1182" s="149" t="s">
        <v>2867</v>
      </c>
      <c r="B1182" s="149" t="s">
        <v>2868</v>
      </c>
    </row>
    <row r="1183" spans="1:2">
      <c r="A1183" s="149" t="s">
        <v>2869</v>
      </c>
      <c r="B1183" s="149" t="s">
        <v>2870</v>
      </c>
    </row>
    <row r="1184" spans="1:2">
      <c r="A1184" s="149" t="s">
        <v>2871</v>
      </c>
      <c r="B1184" s="149" t="s">
        <v>2872</v>
      </c>
    </row>
    <row r="1185" spans="1:2">
      <c r="A1185" s="149" t="s">
        <v>2873</v>
      </c>
      <c r="B1185" s="149" t="s">
        <v>2874</v>
      </c>
    </row>
    <row r="1186" spans="1:2">
      <c r="A1186" s="149" t="s">
        <v>2875</v>
      </c>
      <c r="B1186" s="149" t="s">
        <v>2876</v>
      </c>
    </row>
    <row r="1187" spans="1:2">
      <c r="A1187" s="149" t="s">
        <v>2877</v>
      </c>
      <c r="B1187" s="149" t="s">
        <v>2878</v>
      </c>
    </row>
    <row r="1188" spans="1:2">
      <c r="A1188" s="149" t="s">
        <v>2879</v>
      </c>
      <c r="B1188" s="149" t="s">
        <v>2880</v>
      </c>
    </row>
    <row r="1189" spans="1:2">
      <c r="A1189" s="149" t="s">
        <v>2881</v>
      </c>
      <c r="B1189" s="149" t="s">
        <v>2882</v>
      </c>
    </row>
    <row r="1190" spans="1:2">
      <c r="A1190" s="149" t="s">
        <v>2883</v>
      </c>
      <c r="B1190" s="149" t="s">
        <v>2884</v>
      </c>
    </row>
    <row r="1191" spans="1:2">
      <c r="A1191" s="149" t="s">
        <v>2885</v>
      </c>
      <c r="B1191" s="149" t="s">
        <v>2886</v>
      </c>
    </row>
    <row r="1192" spans="1:2">
      <c r="A1192" s="149" t="s">
        <v>2887</v>
      </c>
      <c r="B1192" s="149" t="s">
        <v>2888</v>
      </c>
    </row>
    <row r="1193" spans="1:2">
      <c r="A1193" s="149" t="s">
        <v>2889</v>
      </c>
      <c r="B1193" s="149" t="s">
        <v>2890</v>
      </c>
    </row>
    <row r="1194" spans="1:2">
      <c r="A1194" s="149" t="s">
        <v>2891</v>
      </c>
      <c r="B1194" s="149" t="s">
        <v>2892</v>
      </c>
    </row>
    <row r="1195" spans="1:2">
      <c r="A1195" s="149" t="s">
        <v>2893</v>
      </c>
      <c r="B1195" s="149" t="s">
        <v>2894</v>
      </c>
    </row>
    <row r="1196" spans="1:2">
      <c r="A1196" s="149" t="s">
        <v>2895</v>
      </c>
      <c r="B1196" s="149" t="s">
        <v>2896</v>
      </c>
    </row>
    <row r="1197" spans="1:2">
      <c r="A1197" s="149" t="s">
        <v>2897</v>
      </c>
      <c r="B1197" s="149" t="s">
        <v>2898</v>
      </c>
    </row>
    <row r="1198" spans="1:2">
      <c r="A1198" s="149" t="s">
        <v>2899</v>
      </c>
      <c r="B1198" s="149" t="s">
        <v>2900</v>
      </c>
    </row>
    <row r="1199" spans="1:2">
      <c r="A1199" s="149" t="s">
        <v>2901</v>
      </c>
      <c r="B1199" s="149" t="s">
        <v>2902</v>
      </c>
    </row>
    <row r="1200" spans="1:2">
      <c r="A1200" s="149" t="s">
        <v>2903</v>
      </c>
      <c r="B1200" s="149" t="s">
        <v>2904</v>
      </c>
    </row>
    <row r="1201" spans="1:2">
      <c r="A1201" s="149" t="s">
        <v>2905</v>
      </c>
      <c r="B1201" s="149" t="s">
        <v>2906</v>
      </c>
    </row>
    <row r="1202" spans="1:2">
      <c r="A1202" s="149" t="s">
        <v>2907</v>
      </c>
      <c r="B1202" s="149" t="s">
        <v>2908</v>
      </c>
    </row>
    <row r="1203" spans="1:2">
      <c r="A1203" s="149" t="s">
        <v>2909</v>
      </c>
      <c r="B1203" s="149" t="s">
        <v>2910</v>
      </c>
    </row>
    <row r="1204" spans="1:2">
      <c r="A1204" s="149" t="s">
        <v>2911</v>
      </c>
      <c r="B1204" s="149" t="s">
        <v>2912</v>
      </c>
    </row>
    <row r="1205" spans="1:2">
      <c r="A1205" s="149" t="s">
        <v>2913</v>
      </c>
      <c r="B1205" s="149" t="s">
        <v>2914</v>
      </c>
    </row>
    <row r="1206" spans="1:2">
      <c r="A1206" s="149" t="s">
        <v>2915</v>
      </c>
      <c r="B1206" s="149" t="s">
        <v>2916</v>
      </c>
    </row>
    <row r="1207" spans="1:2">
      <c r="A1207" s="149" t="s">
        <v>2917</v>
      </c>
      <c r="B1207" s="149" t="s">
        <v>2918</v>
      </c>
    </row>
    <row r="1208" spans="1:2">
      <c r="A1208" s="149" t="s">
        <v>2919</v>
      </c>
      <c r="B1208" s="149" t="s">
        <v>2920</v>
      </c>
    </row>
    <row r="1209" spans="1:2">
      <c r="A1209" s="149" t="s">
        <v>2921</v>
      </c>
      <c r="B1209" s="149" t="s">
        <v>2922</v>
      </c>
    </row>
    <row r="1210" spans="1:2">
      <c r="A1210" s="149" t="s">
        <v>2923</v>
      </c>
      <c r="B1210" s="149" t="s">
        <v>2924</v>
      </c>
    </row>
    <row r="1211" spans="1:2">
      <c r="A1211" s="149" t="s">
        <v>2925</v>
      </c>
      <c r="B1211" s="149" t="s">
        <v>2926</v>
      </c>
    </row>
    <row r="1212" spans="1:2">
      <c r="A1212" s="149" t="s">
        <v>2927</v>
      </c>
      <c r="B1212" s="149" t="s">
        <v>2928</v>
      </c>
    </row>
    <row r="1213" spans="1:2">
      <c r="A1213" s="149" t="s">
        <v>2929</v>
      </c>
      <c r="B1213" s="149" t="s">
        <v>2930</v>
      </c>
    </row>
    <row r="1214" spans="1:2">
      <c r="A1214" s="149" t="s">
        <v>2931</v>
      </c>
      <c r="B1214" s="149" t="s">
        <v>2932</v>
      </c>
    </row>
    <row r="1215" spans="1:2">
      <c r="A1215" s="149" t="s">
        <v>2933</v>
      </c>
      <c r="B1215" s="149" t="s">
        <v>2934</v>
      </c>
    </row>
    <row r="1216" spans="1:2">
      <c r="A1216" s="149" t="s">
        <v>2935</v>
      </c>
      <c r="B1216" s="149" t="s">
        <v>2936</v>
      </c>
    </row>
    <row r="1217" spans="1:2">
      <c r="A1217" s="149" t="s">
        <v>2937</v>
      </c>
      <c r="B1217" s="149" t="s">
        <v>2938</v>
      </c>
    </row>
    <row r="1218" spans="1:2">
      <c r="A1218" s="149" t="s">
        <v>2939</v>
      </c>
      <c r="B1218" s="149" t="s">
        <v>2940</v>
      </c>
    </row>
    <row r="1219" spans="1:2">
      <c r="A1219" s="149" t="s">
        <v>2941</v>
      </c>
      <c r="B1219" s="149" t="s">
        <v>2942</v>
      </c>
    </row>
    <row r="1220" spans="1:2">
      <c r="A1220" s="149" t="s">
        <v>2943</v>
      </c>
      <c r="B1220" s="149" t="s">
        <v>2944</v>
      </c>
    </row>
    <row r="1221" spans="1:2">
      <c r="A1221" s="149" t="s">
        <v>2945</v>
      </c>
      <c r="B1221" s="149" t="s">
        <v>2946</v>
      </c>
    </row>
    <row r="1222" spans="1:2">
      <c r="A1222" s="149" t="s">
        <v>2947</v>
      </c>
      <c r="B1222" s="149" t="s">
        <v>2948</v>
      </c>
    </row>
    <row r="1223" spans="1:2">
      <c r="A1223" s="149" t="s">
        <v>2949</v>
      </c>
      <c r="B1223" s="149" t="s">
        <v>2950</v>
      </c>
    </row>
    <row r="1224" spans="1:2">
      <c r="A1224" s="149" t="s">
        <v>2951</v>
      </c>
      <c r="B1224" s="149" t="s">
        <v>2952</v>
      </c>
    </row>
    <row r="1225" spans="1:2">
      <c r="A1225" s="149" t="s">
        <v>2953</v>
      </c>
      <c r="B1225" s="149" t="s">
        <v>2954</v>
      </c>
    </row>
    <row r="1226" spans="1:2">
      <c r="A1226" s="149" t="s">
        <v>2955</v>
      </c>
      <c r="B1226" s="149" t="s">
        <v>2956</v>
      </c>
    </row>
    <row r="1227" spans="1:2">
      <c r="A1227" s="149" t="s">
        <v>2957</v>
      </c>
      <c r="B1227" s="149" t="s">
        <v>2958</v>
      </c>
    </row>
    <row r="1228" spans="1:2">
      <c r="A1228" s="149" t="s">
        <v>2959</v>
      </c>
      <c r="B1228" s="149" t="s">
        <v>2960</v>
      </c>
    </row>
    <row r="1229" spans="1:2">
      <c r="A1229" s="149" t="s">
        <v>2961</v>
      </c>
      <c r="B1229" s="149" t="s">
        <v>2962</v>
      </c>
    </row>
    <row r="1230" spans="1:2">
      <c r="A1230" s="149" t="s">
        <v>2963</v>
      </c>
      <c r="B1230" s="149" t="s">
        <v>2964</v>
      </c>
    </row>
    <row r="1231" spans="1:2">
      <c r="A1231" s="149" t="s">
        <v>2965</v>
      </c>
      <c r="B1231" s="149" t="s">
        <v>2966</v>
      </c>
    </row>
    <row r="1232" spans="1:2">
      <c r="A1232" s="149" t="s">
        <v>2967</v>
      </c>
      <c r="B1232" s="149" t="s">
        <v>2968</v>
      </c>
    </row>
    <row r="1233" spans="1:2">
      <c r="A1233" s="149" t="s">
        <v>2969</v>
      </c>
      <c r="B1233" s="149" t="s">
        <v>2970</v>
      </c>
    </row>
    <row r="1234" spans="1:2">
      <c r="A1234" s="149" t="s">
        <v>2971</v>
      </c>
      <c r="B1234" s="149" t="s">
        <v>2972</v>
      </c>
    </row>
    <row r="1235" spans="1:2">
      <c r="A1235" s="149" t="s">
        <v>2973</v>
      </c>
      <c r="B1235" s="149" t="s">
        <v>2974</v>
      </c>
    </row>
    <row r="1236" spans="1:2">
      <c r="A1236" s="149" t="s">
        <v>2975</v>
      </c>
      <c r="B1236" s="149" t="s">
        <v>2976</v>
      </c>
    </row>
    <row r="1237" spans="1:2">
      <c r="A1237" s="149" t="s">
        <v>2977</v>
      </c>
      <c r="B1237" s="149" t="s">
        <v>2978</v>
      </c>
    </row>
    <row r="1238" spans="1:2">
      <c r="A1238" s="149" t="s">
        <v>2979</v>
      </c>
      <c r="B1238" s="149" t="s">
        <v>2980</v>
      </c>
    </row>
    <row r="1239" spans="1:2">
      <c r="A1239" s="149" t="s">
        <v>2981</v>
      </c>
      <c r="B1239" s="149" t="s">
        <v>2982</v>
      </c>
    </row>
    <row r="1240" spans="1:2">
      <c r="A1240" s="149" t="s">
        <v>2983</v>
      </c>
      <c r="B1240" s="149" t="s">
        <v>2984</v>
      </c>
    </row>
    <row r="1241" spans="1:2">
      <c r="A1241" s="149" t="s">
        <v>2985</v>
      </c>
      <c r="B1241" s="149" t="s">
        <v>2986</v>
      </c>
    </row>
    <row r="1242" spans="1:2">
      <c r="A1242" s="149" t="s">
        <v>2987</v>
      </c>
      <c r="B1242" s="149" t="s">
        <v>2988</v>
      </c>
    </row>
    <row r="1243" spans="1:2">
      <c r="A1243" s="149" t="s">
        <v>2989</v>
      </c>
      <c r="B1243" s="149" t="s">
        <v>2990</v>
      </c>
    </row>
    <row r="1244" spans="1:2">
      <c r="A1244" s="149" t="s">
        <v>2991</v>
      </c>
      <c r="B1244" s="149" t="s">
        <v>2992</v>
      </c>
    </row>
    <row r="1245" spans="1:2">
      <c r="A1245" s="149" t="s">
        <v>2993</v>
      </c>
      <c r="B1245" s="149" t="s">
        <v>2994</v>
      </c>
    </row>
    <row r="1246" spans="1:2">
      <c r="A1246" s="149" t="s">
        <v>2995</v>
      </c>
      <c r="B1246" s="149" t="s">
        <v>2996</v>
      </c>
    </row>
    <row r="1247" spans="1:2">
      <c r="A1247" s="149" t="s">
        <v>2997</v>
      </c>
      <c r="B1247" s="149" t="s">
        <v>2998</v>
      </c>
    </row>
    <row r="1248" spans="1:2">
      <c r="A1248" s="149" t="s">
        <v>2999</v>
      </c>
      <c r="B1248" s="149" t="s">
        <v>3000</v>
      </c>
    </row>
    <row r="1249" spans="1:2">
      <c r="A1249" s="149" t="s">
        <v>3001</v>
      </c>
      <c r="B1249" s="149" t="s">
        <v>3002</v>
      </c>
    </row>
    <row r="1250" spans="1:2">
      <c r="A1250" s="149" t="s">
        <v>3003</v>
      </c>
      <c r="B1250" s="149" t="s">
        <v>3004</v>
      </c>
    </row>
    <row r="1251" spans="1:2">
      <c r="A1251" s="149" t="s">
        <v>3005</v>
      </c>
      <c r="B1251" s="149" t="s">
        <v>3006</v>
      </c>
    </row>
    <row r="1252" spans="1:2">
      <c r="A1252" s="149" t="s">
        <v>3007</v>
      </c>
      <c r="B1252" s="149" t="s">
        <v>3008</v>
      </c>
    </row>
    <row r="1253" spans="1:2">
      <c r="A1253" s="149" t="s">
        <v>3009</v>
      </c>
      <c r="B1253" s="149" t="s">
        <v>3010</v>
      </c>
    </row>
    <row r="1254" spans="1:2">
      <c r="A1254" s="149" t="s">
        <v>3011</v>
      </c>
      <c r="B1254" s="149" t="s">
        <v>3012</v>
      </c>
    </row>
    <row r="1255" spans="1:2">
      <c r="A1255" s="149" t="s">
        <v>3013</v>
      </c>
      <c r="B1255" s="149" t="s">
        <v>3014</v>
      </c>
    </row>
    <row r="1256" spans="1:2">
      <c r="A1256" s="149" t="s">
        <v>3015</v>
      </c>
      <c r="B1256" s="149" t="s">
        <v>3016</v>
      </c>
    </row>
    <row r="1257" spans="1:2">
      <c r="A1257" s="149" t="s">
        <v>3017</v>
      </c>
      <c r="B1257" s="149" t="s">
        <v>3018</v>
      </c>
    </row>
    <row r="1258" spans="1:2">
      <c r="A1258" s="149" t="s">
        <v>3019</v>
      </c>
      <c r="B1258" s="149" t="s">
        <v>3020</v>
      </c>
    </row>
    <row r="1259" spans="1:2">
      <c r="A1259" s="149" t="s">
        <v>3021</v>
      </c>
      <c r="B1259" s="149" t="s">
        <v>3022</v>
      </c>
    </row>
    <row r="1260" spans="1:2">
      <c r="A1260" s="149" t="s">
        <v>3023</v>
      </c>
      <c r="B1260" s="149" t="s">
        <v>3024</v>
      </c>
    </row>
    <row r="1261" spans="1:2">
      <c r="A1261" s="149" t="s">
        <v>3025</v>
      </c>
      <c r="B1261" s="149" t="s">
        <v>3026</v>
      </c>
    </row>
    <row r="1262" spans="1:2">
      <c r="A1262" s="149" t="s">
        <v>3027</v>
      </c>
      <c r="B1262" s="149" t="s">
        <v>279</v>
      </c>
    </row>
    <row r="1263" spans="1:2">
      <c r="A1263" s="149" t="s">
        <v>3028</v>
      </c>
      <c r="B1263" s="149" t="s">
        <v>3029</v>
      </c>
    </row>
    <row r="1264" spans="1:2">
      <c r="A1264" s="149" t="s">
        <v>3030</v>
      </c>
      <c r="B1264" s="149" t="s">
        <v>3031</v>
      </c>
    </row>
    <row r="1265" spans="1:2">
      <c r="A1265" s="149" t="s">
        <v>3032</v>
      </c>
      <c r="B1265" s="149" t="s">
        <v>3033</v>
      </c>
    </row>
    <row r="1266" spans="1:2">
      <c r="A1266" s="149" t="s">
        <v>3034</v>
      </c>
      <c r="B1266" s="149" t="s">
        <v>3035</v>
      </c>
    </row>
    <row r="1267" spans="1:2">
      <c r="A1267" s="149" t="s">
        <v>3036</v>
      </c>
      <c r="B1267" s="149" t="s">
        <v>3037</v>
      </c>
    </row>
    <row r="1268" spans="1:2">
      <c r="A1268" s="149" t="s">
        <v>3038</v>
      </c>
      <c r="B1268" s="149" t="s">
        <v>3039</v>
      </c>
    </row>
    <row r="1269" spans="1:2">
      <c r="A1269" s="149" t="s">
        <v>3040</v>
      </c>
      <c r="B1269" s="149" t="s">
        <v>284</v>
      </c>
    </row>
    <row r="1270" spans="1:2">
      <c r="A1270" s="149" t="s">
        <v>3041</v>
      </c>
      <c r="B1270" s="149" t="s">
        <v>3042</v>
      </c>
    </row>
    <row r="1271" spans="1:2">
      <c r="A1271" s="149" t="s">
        <v>3043</v>
      </c>
      <c r="B1271" s="149" t="s">
        <v>3044</v>
      </c>
    </row>
    <row r="1272" spans="1:2">
      <c r="A1272" s="149" t="s">
        <v>3045</v>
      </c>
      <c r="B1272" s="149" t="s">
        <v>3046</v>
      </c>
    </row>
    <row r="1273" spans="1:2">
      <c r="A1273" s="149" t="s">
        <v>3047</v>
      </c>
      <c r="B1273" s="149" t="s">
        <v>3048</v>
      </c>
    </row>
    <row r="1274" spans="1:2">
      <c r="A1274" s="149" t="s">
        <v>3049</v>
      </c>
      <c r="B1274" s="149" t="s">
        <v>3050</v>
      </c>
    </row>
    <row r="1275" spans="1:2">
      <c r="A1275" s="149" t="s">
        <v>3051</v>
      </c>
      <c r="B1275" s="149" t="s">
        <v>3052</v>
      </c>
    </row>
    <row r="1276" spans="1:2">
      <c r="A1276" s="149" t="s">
        <v>3053</v>
      </c>
      <c r="B1276" s="149" t="s">
        <v>3054</v>
      </c>
    </row>
    <row r="1277" spans="1:2">
      <c r="A1277" s="149" t="s">
        <v>3055</v>
      </c>
      <c r="B1277" s="149" t="s">
        <v>3056</v>
      </c>
    </row>
    <row r="1278" spans="1:2">
      <c r="A1278" s="149" t="s">
        <v>3057</v>
      </c>
      <c r="B1278" s="149" t="s">
        <v>3058</v>
      </c>
    </row>
    <row r="1279" spans="1:2">
      <c r="A1279" s="149" t="s">
        <v>3059</v>
      </c>
      <c r="B1279" s="149" t="s">
        <v>289</v>
      </c>
    </row>
    <row r="1280" spans="1:2">
      <c r="A1280" s="149" t="s">
        <v>3060</v>
      </c>
      <c r="B1280" s="149" t="s">
        <v>3061</v>
      </c>
    </row>
    <row r="1281" spans="1:2">
      <c r="A1281" s="149" t="s">
        <v>3062</v>
      </c>
      <c r="B1281" s="149" t="s">
        <v>3063</v>
      </c>
    </row>
    <row r="1282" spans="1:2">
      <c r="A1282" s="149" t="s">
        <v>3064</v>
      </c>
      <c r="B1282" s="149" t="s">
        <v>3065</v>
      </c>
    </row>
    <row r="1283" spans="1:2">
      <c r="A1283" s="149" t="s">
        <v>3066</v>
      </c>
      <c r="B1283" s="149" t="s">
        <v>294</v>
      </c>
    </row>
    <row r="1284" spans="1:2">
      <c r="A1284" s="149" t="s">
        <v>3067</v>
      </c>
      <c r="B1284" s="149" t="s">
        <v>299</v>
      </c>
    </row>
    <row r="1285" spans="1:2">
      <c r="A1285" s="149" t="s">
        <v>3068</v>
      </c>
      <c r="B1285" s="149" t="s">
        <v>304</v>
      </c>
    </row>
    <row r="1286" spans="1:2">
      <c r="A1286" s="149" t="s">
        <v>3069</v>
      </c>
      <c r="B1286" s="149" t="s">
        <v>3070</v>
      </c>
    </row>
    <row r="1287" spans="1:2">
      <c r="A1287" s="149" t="s">
        <v>3071</v>
      </c>
      <c r="B1287" s="149" t="s">
        <v>3072</v>
      </c>
    </row>
    <row r="1288" spans="1:2">
      <c r="A1288" s="149" t="s">
        <v>3073</v>
      </c>
      <c r="B1288" s="149" t="s">
        <v>3074</v>
      </c>
    </row>
    <row r="1289" spans="1:2">
      <c r="A1289" s="149" t="s">
        <v>3075</v>
      </c>
      <c r="B1289" s="149" t="s">
        <v>3076</v>
      </c>
    </row>
    <row r="1290" spans="1:2">
      <c r="A1290" s="149" t="s">
        <v>3077</v>
      </c>
      <c r="B1290" s="149" t="s">
        <v>3078</v>
      </c>
    </row>
    <row r="1291" spans="1:2">
      <c r="A1291" s="149" t="s">
        <v>3079</v>
      </c>
      <c r="B1291" s="149" t="s">
        <v>3080</v>
      </c>
    </row>
    <row r="1292" spans="1:2">
      <c r="A1292" s="149" t="s">
        <v>3081</v>
      </c>
      <c r="B1292" s="149" t="s">
        <v>3082</v>
      </c>
    </row>
    <row r="1293" spans="1:2">
      <c r="A1293" s="149" t="s">
        <v>3083</v>
      </c>
      <c r="B1293" s="149" t="s">
        <v>3084</v>
      </c>
    </row>
    <row r="1294" spans="1:2">
      <c r="A1294" s="149" t="s">
        <v>3085</v>
      </c>
      <c r="B1294" s="149" t="s">
        <v>3086</v>
      </c>
    </row>
    <row r="1295" spans="1:2">
      <c r="A1295" s="149" t="s">
        <v>3087</v>
      </c>
      <c r="B1295" s="149" t="s">
        <v>3088</v>
      </c>
    </row>
    <row r="1296" spans="1:2">
      <c r="A1296" s="149" t="s">
        <v>3089</v>
      </c>
      <c r="B1296" s="149" t="s">
        <v>3090</v>
      </c>
    </row>
    <row r="1297" spans="1:2">
      <c r="A1297" s="149" t="s">
        <v>3091</v>
      </c>
      <c r="B1297" s="149" t="s">
        <v>3092</v>
      </c>
    </row>
    <row r="1298" spans="1:2">
      <c r="A1298" s="149" t="s">
        <v>3093</v>
      </c>
      <c r="B1298" s="149" t="s">
        <v>3094</v>
      </c>
    </row>
    <row r="1299" spans="1:2">
      <c r="A1299" s="149" t="s">
        <v>3095</v>
      </c>
      <c r="B1299" s="149" t="s">
        <v>3096</v>
      </c>
    </row>
    <row r="1300" spans="1:2">
      <c r="A1300" s="149" t="s">
        <v>3097</v>
      </c>
      <c r="B1300" s="149" t="s">
        <v>309</v>
      </c>
    </row>
    <row r="1301" spans="1:2">
      <c r="A1301" s="149" t="s">
        <v>3098</v>
      </c>
      <c r="B1301" s="149" t="s">
        <v>3099</v>
      </c>
    </row>
    <row r="1302" spans="1:2">
      <c r="A1302" s="149" t="s">
        <v>3100</v>
      </c>
      <c r="B1302" s="149" t="s">
        <v>3101</v>
      </c>
    </row>
    <row r="1303" spans="1:2">
      <c r="A1303" s="149" t="s">
        <v>3102</v>
      </c>
      <c r="B1303" s="149" t="s">
        <v>314</v>
      </c>
    </row>
    <row r="1304" spans="1:2">
      <c r="A1304" s="149" t="s">
        <v>3103</v>
      </c>
      <c r="B1304" s="149" t="s">
        <v>3104</v>
      </c>
    </row>
    <row r="1305" spans="1:2">
      <c r="A1305" s="149" t="s">
        <v>3105</v>
      </c>
      <c r="B1305" s="149" t="s">
        <v>3106</v>
      </c>
    </row>
    <row r="1306" spans="1:2">
      <c r="A1306" s="149" t="s">
        <v>3107</v>
      </c>
      <c r="B1306" s="149" t="s">
        <v>3108</v>
      </c>
    </row>
    <row r="1307" spans="1:2">
      <c r="A1307" s="149" t="s">
        <v>3109</v>
      </c>
      <c r="B1307" s="149" t="s">
        <v>3110</v>
      </c>
    </row>
    <row r="1308" spans="1:2">
      <c r="A1308" s="149" t="s">
        <v>3111</v>
      </c>
      <c r="B1308" s="149" t="s">
        <v>3112</v>
      </c>
    </row>
    <row r="1309" spans="1:2">
      <c r="A1309" s="149" t="s">
        <v>3113</v>
      </c>
      <c r="B1309" s="149" t="s">
        <v>3114</v>
      </c>
    </row>
    <row r="1310" spans="1:2">
      <c r="A1310" s="149" t="s">
        <v>3115</v>
      </c>
      <c r="B1310" s="149" t="s">
        <v>3116</v>
      </c>
    </row>
    <row r="1311" spans="1:2">
      <c r="A1311" s="149" t="s">
        <v>3117</v>
      </c>
      <c r="B1311" s="149" t="s">
        <v>3118</v>
      </c>
    </row>
    <row r="1312" spans="1:2">
      <c r="A1312" s="149" t="s">
        <v>3119</v>
      </c>
      <c r="B1312" s="149" t="s">
        <v>3120</v>
      </c>
    </row>
    <row r="1313" spans="1:2">
      <c r="A1313" s="149" t="s">
        <v>3121</v>
      </c>
      <c r="B1313" s="149" t="s">
        <v>3122</v>
      </c>
    </row>
    <row r="1314" spans="1:2">
      <c r="A1314" s="149" t="s">
        <v>3123</v>
      </c>
      <c r="B1314" s="149" t="s">
        <v>3124</v>
      </c>
    </row>
    <row r="1315" spans="1:2">
      <c r="A1315" s="149" t="s">
        <v>3125</v>
      </c>
      <c r="B1315" s="149" t="s">
        <v>3126</v>
      </c>
    </row>
    <row r="1316" spans="1:2">
      <c r="A1316" s="149" t="s">
        <v>3127</v>
      </c>
      <c r="B1316" s="149" t="s">
        <v>3128</v>
      </c>
    </row>
    <row r="1317" spans="1:2">
      <c r="A1317" s="149" t="s">
        <v>3129</v>
      </c>
      <c r="B1317" s="149" t="s">
        <v>3130</v>
      </c>
    </row>
    <row r="1318" spans="1:2">
      <c r="A1318" s="149" t="s">
        <v>3131</v>
      </c>
      <c r="B1318" s="149" t="s">
        <v>3132</v>
      </c>
    </row>
    <row r="1319" spans="1:2">
      <c r="A1319" s="149" t="s">
        <v>3133</v>
      </c>
      <c r="B1319" s="149" t="s">
        <v>3134</v>
      </c>
    </row>
    <row r="1320" spans="1:2">
      <c r="A1320" s="149" t="s">
        <v>3135</v>
      </c>
      <c r="B1320" s="149" t="s">
        <v>3136</v>
      </c>
    </row>
    <row r="1321" spans="1:2">
      <c r="A1321" s="149" t="s">
        <v>3137</v>
      </c>
      <c r="B1321" s="149" t="s">
        <v>3138</v>
      </c>
    </row>
    <row r="1322" spans="1:2">
      <c r="A1322" s="149" t="s">
        <v>3139</v>
      </c>
      <c r="B1322" s="149" t="s">
        <v>3140</v>
      </c>
    </row>
    <row r="1323" spans="1:2">
      <c r="A1323" s="149" t="s">
        <v>3141</v>
      </c>
      <c r="B1323" s="149" t="s">
        <v>3142</v>
      </c>
    </row>
    <row r="1324" spans="1:2">
      <c r="A1324" s="149" t="s">
        <v>3143</v>
      </c>
      <c r="B1324" s="149" t="s">
        <v>3144</v>
      </c>
    </row>
    <row r="1325" spans="1:2">
      <c r="A1325" s="149" t="s">
        <v>3145</v>
      </c>
      <c r="B1325" s="149" t="s">
        <v>3146</v>
      </c>
    </row>
    <row r="1326" spans="1:2">
      <c r="A1326" s="149" t="s">
        <v>3147</v>
      </c>
      <c r="B1326" s="149" t="s">
        <v>3148</v>
      </c>
    </row>
    <row r="1327" spans="1:2">
      <c r="A1327" s="149" t="s">
        <v>3149</v>
      </c>
      <c r="B1327" s="149" t="s">
        <v>3150</v>
      </c>
    </row>
    <row r="1328" spans="1:2">
      <c r="A1328" s="149" t="s">
        <v>3151</v>
      </c>
      <c r="B1328" s="149" t="s">
        <v>3152</v>
      </c>
    </row>
    <row r="1329" spans="1:2">
      <c r="A1329" s="149" t="s">
        <v>3153</v>
      </c>
      <c r="B1329" s="149" t="s">
        <v>3154</v>
      </c>
    </row>
    <row r="1330" spans="1:2">
      <c r="A1330" s="149" t="s">
        <v>3155</v>
      </c>
      <c r="B1330" s="149" t="s">
        <v>3156</v>
      </c>
    </row>
    <row r="1331" spans="1:2">
      <c r="A1331" s="149" t="s">
        <v>3157</v>
      </c>
      <c r="B1331" s="149" t="s">
        <v>3158</v>
      </c>
    </row>
    <row r="1332" spans="1:2">
      <c r="A1332" s="149" t="s">
        <v>3159</v>
      </c>
      <c r="B1332" s="149" t="s">
        <v>3160</v>
      </c>
    </row>
    <row r="1333" spans="1:2">
      <c r="A1333" s="149" t="s">
        <v>3161</v>
      </c>
      <c r="B1333" s="149" t="s">
        <v>3162</v>
      </c>
    </row>
    <row r="1334" spans="1:2">
      <c r="A1334" s="149" t="s">
        <v>3163</v>
      </c>
      <c r="B1334" s="149" t="s">
        <v>3164</v>
      </c>
    </row>
    <row r="1335" spans="1:2">
      <c r="A1335" s="149" t="s">
        <v>3165</v>
      </c>
      <c r="B1335" s="149" t="s">
        <v>3166</v>
      </c>
    </row>
    <row r="1336" spans="1:2">
      <c r="A1336" s="149" t="s">
        <v>3167</v>
      </c>
      <c r="B1336" s="149" t="s">
        <v>3168</v>
      </c>
    </row>
    <row r="1337" spans="1:2">
      <c r="A1337" s="149" t="s">
        <v>3169</v>
      </c>
      <c r="B1337" s="149" t="s">
        <v>3170</v>
      </c>
    </row>
    <row r="1338" spans="1:2">
      <c r="A1338" s="149" t="s">
        <v>3171</v>
      </c>
      <c r="B1338" s="149" t="s">
        <v>3172</v>
      </c>
    </row>
    <row r="1339" spans="1:2">
      <c r="A1339" s="149" t="s">
        <v>3173</v>
      </c>
      <c r="B1339" s="149" t="s">
        <v>3174</v>
      </c>
    </row>
    <row r="1340" spans="1:2">
      <c r="A1340" s="149" t="s">
        <v>3175</v>
      </c>
      <c r="B1340" s="149" t="s">
        <v>3176</v>
      </c>
    </row>
    <row r="1341" spans="1:2">
      <c r="A1341" s="149" t="s">
        <v>3177</v>
      </c>
      <c r="B1341" s="149" t="s">
        <v>3178</v>
      </c>
    </row>
    <row r="1342" spans="1:2">
      <c r="A1342" s="149" t="s">
        <v>3179</v>
      </c>
      <c r="B1342" s="149" t="s">
        <v>3180</v>
      </c>
    </row>
    <row r="1343" spans="1:2">
      <c r="A1343" s="149" t="s">
        <v>3181</v>
      </c>
      <c r="B1343" s="149" t="s">
        <v>3182</v>
      </c>
    </row>
    <row r="1344" spans="1:2">
      <c r="A1344" s="149" t="s">
        <v>3183</v>
      </c>
      <c r="B1344" s="149" t="s">
        <v>3184</v>
      </c>
    </row>
    <row r="1345" spans="1:2">
      <c r="A1345" s="149" t="s">
        <v>3185</v>
      </c>
      <c r="B1345" s="149" t="s">
        <v>3186</v>
      </c>
    </row>
    <row r="1346" spans="1:2">
      <c r="A1346" s="149" t="s">
        <v>3187</v>
      </c>
      <c r="B1346" s="149" t="s">
        <v>3188</v>
      </c>
    </row>
    <row r="1347" spans="1:2">
      <c r="A1347" s="149" t="s">
        <v>3189</v>
      </c>
      <c r="B1347" s="149" t="s">
        <v>3190</v>
      </c>
    </row>
    <row r="1348" spans="1:2">
      <c r="A1348" s="149" t="s">
        <v>3191</v>
      </c>
      <c r="B1348" s="149" t="s">
        <v>3192</v>
      </c>
    </row>
    <row r="1349" spans="1:2">
      <c r="A1349" s="149" t="s">
        <v>3193</v>
      </c>
      <c r="B1349" s="149" t="s">
        <v>3194</v>
      </c>
    </row>
    <row r="1350" spans="1:2">
      <c r="A1350" s="149" t="s">
        <v>3195</v>
      </c>
      <c r="B1350" s="149" t="s">
        <v>3196</v>
      </c>
    </row>
    <row r="1351" spans="1:2">
      <c r="A1351" s="149" t="s">
        <v>3197</v>
      </c>
      <c r="B1351" s="149" t="s">
        <v>3198</v>
      </c>
    </row>
    <row r="1352" spans="1:2">
      <c r="A1352" s="149" t="s">
        <v>3199</v>
      </c>
      <c r="B1352" s="149" t="s">
        <v>3200</v>
      </c>
    </row>
    <row r="1353" spans="1:2">
      <c r="A1353" s="149" t="s">
        <v>3201</v>
      </c>
      <c r="B1353" s="149" t="s">
        <v>3202</v>
      </c>
    </row>
    <row r="1354" spans="1:2">
      <c r="A1354" s="149" t="s">
        <v>3203</v>
      </c>
      <c r="B1354" s="149" t="s">
        <v>3204</v>
      </c>
    </row>
    <row r="1355" spans="1:2">
      <c r="A1355" s="149" t="s">
        <v>3205</v>
      </c>
      <c r="B1355" s="149" t="s">
        <v>319</v>
      </c>
    </row>
    <row r="1356" spans="1:2">
      <c r="A1356" s="149" t="s">
        <v>3206</v>
      </c>
      <c r="B1356" s="149" t="s">
        <v>3207</v>
      </c>
    </row>
    <row r="1357" spans="1:2">
      <c r="A1357" s="149" t="s">
        <v>3208</v>
      </c>
      <c r="B1357" s="149" t="s">
        <v>324</v>
      </c>
    </row>
    <row r="1358" spans="1:2">
      <c r="A1358" s="149" t="s">
        <v>3209</v>
      </c>
      <c r="B1358" s="149" t="s">
        <v>3210</v>
      </c>
    </row>
    <row r="1359" spans="1:2">
      <c r="A1359" s="149" t="s">
        <v>3211</v>
      </c>
      <c r="B1359" s="149" t="s">
        <v>3212</v>
      </c>
    </row>
    <row r="1360" spans="1:2">
      <c r="A1360" s="149" t="s">
        <v>3213</v>
      </c>
      <c r="B1360" s="149" t="s">
        <v>3214</v>
      </c>
    </row>
    <row r="1361" spans="1:2">
      <c r="A1361" s="149" t="s">
        <v>3215</v>
      </c>
      <c r="B1361" s="149" t="s">
        <v>3216</v>
      </c>
    </row>
    <row r="1362" spans="1:2">
      <c r="A1362" s="149" t="s">
        <v>3217</v>
      </c>
      <c r="B1362" s="149" t="s">
        <v>3218</v>
      </c>
    </row>
    <row r="1363" spans="1:2">
      <c r="A1363" s="149" t="s">
        <v>3219</v>
      </c>
      <c r="B1363" s="149" t="s">
        <v>3220</v>
      </c>
    </row>
    <row r="1364" spans="1:2">
      <c r="A1364" s="149" t="s">
        <v>3221</v>
      </c>
      <c r="B1364" s="149" t="s">
        <v>3222</v>
      </c>
    </row>
    <row r="1365" spans="1:2">
      <c r="A1365" s="149" t="s">
        <v>3223</v>
      </c>
      <c r="B1365" s="149" t="s">
        <v>3224</v>
      </c>
    </row>
    <row r="1366" spans="1:2">
      <c r="A1366" s="149" t="s">
        <v>3225</v>
      </c>
      <c r="B1366" s="149" t="s">
        <v>3226</v>
      </c>
    </row>
    <row r="1367" spans="1:2">
      <c r="A1367" s="149" t="s">
        <v>3227</v>
      </c>
      <c r="B1367" s="149" t="s">
        <v>3228</v>
      </c>
    </row>
    <row r="1368" spans="1:2">
      <c r="A1368" s="149" t="s">
        <v>3229</v>
      </c>
      <c r="B1368" s="149" t="s">
        <v>3230</v>
      </c>
    </row>
    <row r="1369" spans="1:2">
      <c r="A1369" s="149" t="s">
        <v>3231</v>
      </c>
      <c r="B1369" s="149" t="s">
        <v>3232</v>
      </c>
    </row>
    <row r="1370" spans="1:2">
      <c r="A1370" s="149" t="s">
        <v>3233</v>
      </c>
      <c r="B1370" s="149" t="s">
        <v>3234</v>
      </c>
    </row>
    <row r="1371" spans="1:2">
      <c r="A1371" s="149" t="s">
        <v>3235</v>
      </c>
      <c r="B1371" s="149" t="s">
        <v>3236</v>
      </c>
    </row>
    <row r="1372" spans="1:2">
      <c r="A1372" s="149" t="s">
        <v>3237</v>
      </c>
      <c r="B1372" s="149" t="s">
        <v>3238</v>
      </c>
    </row>
    <row r="1373" spans="1:2">
      <c r="A1373" s="149" t="s">
        <v>3239</v>
      </c>
      <c r="B1373" s="149" t="s">
        <v>3240</v>
      </c>
    </row>
    <row r="1374" spans="1:2">
      <c r="A1374" s="149" t="s">
        <v>3241</v>
      </c>
      <c r="B1374" s="149" t="s">
        <v>3242</v>
      </c>
    </row>
    <row r="1375" spans="1:2">
      <c r="A1375" s="149" t="s">
        <v>3243</v>
      </c>
      <c r="B1375" s="149" t="s">
        <v>3244</v>
      </c>
    </row>
    <row r="1376" spans="1:2">
      <c r="A1376" s="149" t="s">
        <v>3245</v>
      </c>
      <c r="B1376" s="149" t="s">
        <v>3246</v>
      </c>
    </row>
    <row r="1377" spans="1:2">
      <c r="A1377" s="149" t="s">
        <v>3247</v>
      </c>
      <c r="B1377" s="149" t="s">
        <v>3248</v>
      </c>
    </row>
    <row r="1378" spans="1:2">
      <c r="A1378" s="149" t="s">
        <v>3249</v>
      </c>
      <c r="B1378" s="149" t="s">
        <v>3250</v>
      </c>
    </row>
    <row r="1379" spans="1:2">
      <c r="A1379" s="149" t="s">
        <v>3251</v>
      </c>
      <c r="B1379" s="149" t="s">
        <v>3252</v>
      </c>
    </row>
    <row r="1380" spans="1:2">
      <c r="A1380" s="149" t="s">
        <v>3253</v>
      </c>
      <c r="B1380" s="149" t="s">
        <v>3254</v>
      </c>
    </row>
    <row r="1381" spans="1:2">
      <c r="A1381" s="149" t="s">
        <v>3255</v>
      </c>
      <c r="B1381" s="149" t="s">
        <v>3256</v>
      </c>
    </row>
    <row r="1382" spans="1:2">
      <c r="A1382" s="149" t="s">
        <v>3257</v>
      </c>
      <c r="B1382" s="149" t="s">
        <v>3258</v>
      </c>
    </row>
    <row r="1383" spans="1:2">
      <c r="A1383" s="149" t="s">
        <v>3259</v>
      </c>
      <c r="B1383" s="149" t="s">
        <v>3260</v>
      </c>
    </row>
    <row r="1384" spans="1:2">
      <c r="A1384" s="149" t="s">
        <v>3261</v>
      </c>
      <c r="B1384" s="149" t="s">
        <v>3262</v>
      </c>
    </row>
    <row r="1385" spans="1:2">
      <c r="A1385" s="149" t="s">
        <v>3263</v>
      </c>
      <c r="B1385" s="149" t="s">
        <v>886</v>
      </c>
    </row>
    <row r="1386" spans="1:2">
      <c r="A1386" s="149" t="s">
        <v>3264</v>
      </c>
      <c r="B1386" s="149" t="s">
        <v>3265</v>
      </c>
    </row>
    <row r="1387" spans="1:2">
      <c r="A1387" s="149" t="s">
        <v>3266</v>
      </c>
      <c r="B1387" s="149" t="s">
        <v>329</v>
      </c>
    </row>
    <row r="1388" spans="1:2">
      <c r="A1388" s="149" t="s">
        <v>3267</v>
      </c>
      <c r="B1388" s="149" t="s">
        <v>3268</v>
      </c>
    </row>
    <row r="1389" spans="1:2">
      <c r="A1389" s="149" t="s">
        <v>3269</v>
      </c>
      <c r="B1389" s="149" t="s">
        <v>334</v>
      </c>
    </row>
    <row r="1390" spans="1:2">
      <c r="A1390" s="149" t="s">
        <v>3270</v>
      </c>
      <c r="B1390" s="149" t="s">
        <v>3271</v>
      </c>
    </row>
    <row r="1391" spans="1:2">
      <c r="A1391" s="149" t="s">
        <v>3272</v>
      </c>
      <c r="B1391" s="149" t="s">
        <v>339</v>
      </c>
    </row>
    <row r="1392" spans="1:2">
      <c r="A1392" s="149" t="s">
        <v>3273</v>
      </c>
      <c r="B1392" s="149" t="s">
        <v>344</v>
      </c>
    </row>
    <row r="1393" spans="1:2">
      <c r="A1393" s="149" t="s">
        <v>3274</v>
      </c>
      <c r="B1393" s="149" t="s">
        <v>84</v>
      </c>
    </row>
    <row r="1394" spans="1:2">
      <c r="A1394" s="149" t="s">
        <v>3275</v>
      </c>
      <c r="B1394" s="149" t="s">
        <v>3276</v>
      </c>
    </row>
    <row r="1395" spans="1:2">
      <c r="A1395" s="149" t="s">
        <v>3277</v>
      </c>
      <c r="B1395" s="149" t="s">
        <v>3278</v>
      </c>
    </row>
    <row r="1396" spans="1:2">
      <c r="A1396" s="149" t="s">
        <v>3279</v>
      </c>
      <c r="B1396" s="149" t="s">
        <v>3280</v>
      </c>
    </row>
    <row r="1397" spans="1:2">
      <c r="A1397" s="149" t="s">
        <v>3281</v>
      </c>
      <c r="B1397" s="149" t="s">
        <v>349</v>
      </c>
    </row>
    <row r="1398" spans="1:2">
      <c r="A1398" s="149" t="s">
        <v>3282</v>
      </c>
      <c r="B1398" s="149" t="s">
        <v>3283</v>
      </c>
    </row>
    <row r="1399" spans="1:2">
      <c r="A1399" s="149" t="s">
        <v>3284</v>
      </c>
      <c r="B1399" s="149" t="s">
        <v>3285</v>
      </c>
    </row>
    <row r="1400" spans="1:2">
      <c r="A1400" s="149" t="s">
        <v>3286</v>
      </c>
      <c r="B1400" s="149" t="s">
        <v>3287</v>
      </c>
    </row>
    <row r="1401" spans="1:2">
      <c r="A1401" s="149" t="s">
        <v>3288</v>
      </c>
      <c r="B1401" s="149" t="s">
        <v>3289</v>
      </c>
    </row>
    <row r="1402" spans="1:2">
      <c r="A1402" s="149" t="s">
        <v>3290</v>
      </c>
      <c r="B1402" s="149" t="s">
        <v>3291</v>
      </c>
    </row>
    <row r="1403" spans="1:2">
      <c r="A1403" s="149" t="s">
        <v>3292</v>
      </c>
      <c r="B1403" s="149" t="s">
        <v>3293</v>
      </c>
    </row>
    <row r="1404" spans="1:2">
      <c r="A1404" s="149" t="s">
        <v>3294</v>
      </c>
      <c r="B1404" s="149" t="s">
        <v>3295</v>
      </c>
    </row>
    <row r="1405" spans="1:2">
      <c r="A1405" s="149" t="s">
        <v>3296</v>
      </c>
      <c r="B1405" s="149" t="s">
        <v>3297</v>
      </c>
    </row>
    <row r="1406" spans="1:2">
      <c r="A1406" s="149" t="s">
        <v>3298</v>
      </c>
      <c r="B1406" s="149" t="s">
        <v>3299</v>
      </c>
    </row>
    <row r="1407" spans="1:2">
      <c r="A1407" s="149" t="s">
        <v>3300</v>
      </c>
      <c r="B1407" s="149" t="s">
        <v>3301</v>
      </c>
    </row>
    <row r="1408" spans="1:2">
      <c r="A1408" s="149" t="s">
        <v>3302</v>
      </c>
      <c r="B1408" s="149" t="s">
        <v>3303</v>
      </c>
    </row>
    <row r="1409" spans="1:2">
      <c r="A1409" s="149" t="s">
        <v>3304</v>
      </c>
      <c r="B1409" s="149" t="s">
        <v>3305</v>
      </c>
    </row>
    <row r="1410" spans="1:2">
      <c r="A1410" s="149" t="s">
        <v>3306</v>
      </c>
      <c r="B1410" s="149" t="s">
        <v>3307</v>
      </c>
    </row>
    <row r="1411" spans="1:2">
      <c r="A1411" s="149" t="s">
        <v>3308</v>
      </c>
      <c r="B1411" s="149" t="s">
        <v>3309</v>
      </c>
    </row>
    <row r="1412" spans="1:2">
      <c r="A1412" s="149" t="s">
        <v>3310</v>
      </c>
      <c r="B1412" s="149" t="s">
        <v>3311</v>
      </c>
    </row>
    <row r="1413" spans="1:2">
      <c r="A1413" s="149" t="s">
        <v>3312</v>
      </c>
      <c r="B1413" s="149" t="s">
        <v>3313</v>
      </c>
    </row>
    <row r="1414" spans="1:2">
      <c r="A1414" s="149" t="s">
        <v>3314</v>
      </c>
      <c r="B1414" s="149" t="s">
        <v>3315</v>
      </c>
    </row>
    <row r="1415" spans="1:2">
      <c r="A1415" s="149" t="s">
        <v>3316</v>
      </c>
      <c r="B1415" s="149" t="s">
        <v>3317</v>
      </c>
    </row>
    <row r="1416" spans="1:2">
      <c r="A1416" s="149" t="s">
        <v>3318</v>
      </c>
      <c r="B1416" s="149" t="s">
        <v>3319</v>
      </c>
    </row>
    <row r="1417" spans="1:2">
      <c r="A1417" s="149" t="s">
        <v>3320</v>
      </c>
      <c r="B1417" s="149" t="s">
        <v>3321</v>
      </c>
    </row>
    <row r="1418" spans="1:2">
      <c r="A1418" s="149" t="s">
        <v>3322</v>
      </c>
      <c r="B1418" s="149" t="s">
        <v>3323</v>
      </c>
    </row>
    <row r="1419" spans="1:2">
      <c r="A1419" s="149" t="s">
        <v>3324</v>
      </c>
      <c r="B1419" s="149" t="s">
        <v>3325</v>
      </c>
    </row>
    <row r="1420" spans="1:2">
      <c r="A1420" s="149" t="s">
        <v>3326</v>
      </c>
      <c r="B1420" s="149" t="s">
        <v>3327</v>
      </c>
    </row>
    <row r="1421" spans="1:2">
      <c r="A1421" s="149" t="s">
        <v>3328</v>
      </c>
      <c r="B1421" s="149" t="s">
        <v>3329</v>
      </c>
    </row>
    <row r="1422" spans="1:2">
      <c r="A1422" s="149" t="s">
        <v>3330</v>
      </c>
      <c r="B1422" s="149" t="s">
        <v>3331</v>
      </c>
    </row>
    <row r="1423" spans="1:2">
      <c r="A1423" s="149" t="s">
        <v>3332</v>
      </c>
      <c r="B1423" s="149" t="s">
        <v>3333</v>
      </c>
    </row>
    <row r="1424" spans="1:2">
      <c r="A1424" s="149" t="s">
        <v>3334</v>
      </c>
      <c r="B1424" s="149" t="s">
        <v>3335</v>
      </c>
    </row>
    <row r="1425" spans="1:2">
      <c r="A1425" s="149" t="s">
        <v>3336</v>
      </c>
      <c r="B1425" s="149" t="s">
        <v>3337</v>
      </c>
    </row>
    <row r="1426" spans="1:2">
      <c r="A1426" s="149" t="s">
        <v>3338</v>
      </c>
      <c r="B1426" s="149" t="s">
        <v>3339</v>
      </c>
    </row>
    <row r="1427" spans="1:2">
      <c r="A1427" s="149" t="s">
        <v>3340</v>
      </c>
      <c r="B1427" s="149" t="s">
        <v>3341</v>
      </c>
    </row>
    <row r="1428" spans="1:2">
      <c r="A1428" s="149" t="s">
        <v>3342</v>
      </c>
      <c r="B1428" s="149" t="s">
        <v>3343</v>
      </c>
    </row>
    <row r="1429" spans="1:2">
      <c r="A1429" s="149" t="s">
        <v>3344</v>
      </c>
      <c r="B1429" s="149" t="s">
        <v>3345</v>
      </c>
    </row>
    <row r="1430" spans="1:2">
      <c r="A1430" s="149" t="s">
        <v>3346</v>
      </c>
      <c r="B1430" s="149" t="s">
        <v>3347</v>
      </c>
    </row>
    <row r="1431" spans="1:2">
      <c r="A1431" s="149" t="s">
        <v>3348</v>
      </c>
      <c r="B1431" s="149" t="s">
        <v>3349</v>
      </c>
    </row>
    <row r="1432" spans="1:2">
      <c r="A1432" s="149" t="s">
        <v>3350</v>
      </c>
      <c r="B1432" s="149" t="s">
        <v>3351</v>
      </c>
    </row>
    <row r="1433" spans="1:2">
      <c r="A1433" s="149" t="s">
        <v>3352</v>
      </c>
      <c r="B1433" s="149" t="s">
        <v>3353</v>
      </c>
    </row>
    <row r="1434" spans="1:2">
      <c r="A1434" s="149" t="s">
        <v>3354</v>
      </c>
      <c r="B1434" s="149" t="s">
        <v>3355</v>
      </c>
    </row>
    <row r="1435" spans="1:2">
      <c r="A1435" s="149" t="s">
        <v>3356</v>
      </c>
      <c r="B1435" s="149" t="s">
        <v>3357</v>
      </c>
    </row>
    <row r="1436" spans="1:2">
      <c r="A1436" s="149" t="s">
        <v>3358</v>
      </c>
      <c r="B1436" s="149" t="s">
        <v>3359</v>
      </c>
    </row>
    <row r="1437" spans="1:2">
      <c r="A1437" s="149" t="s">
        <v>3360</v>
      </c>
      <c r="B1437" s="149" t="s">
        <v>3361</v>
      </c>
    </row>
    <row r="1438" spans="1:2">
      <c r="A1438" s="149" t="s">
        <v>3362</v>
      </c>
      <c r="B1438" s="149" t="s">
        <v>3363</v>
      </c>
    </row>
    <row r="1439" spans="1:2">
      <c r="A1439" s="149" t="s">
        <v>3364</v>
      </c>
      <c r="B1439" s="149" t="s">
        <v>3365</v>
      </c>
    </row>
    <row r="1440" spans="1:2">
      <c r="A1440" s="149" t="s">
        <v>3366</v>
      </c>
      <c r="B1440" s="149" t="s">
        <v>3367</v>
      </c>
    </row>
    <row r="1441" spans="1:2">
      <c r="A1441" s="149" t="s">
        <v>3368</v>
      </c>
      <c r="B1441" s="149" t="s">
        <v>3369</v>
      </c>
    </row>
    <row r="1442" spans="1:2">
      <c r="A1442" s="149" t="s">
        <v>3370</v>
      </c>
      <c r="B1442" s="149" t="s">
        <v>3371</v>
      </c>
    </row>
    <row r="1443" spans="1:2">
      <c r="A1443" s="149" t="s">
        <v>3372</v>
      </c>
      <c r="B1443" s="149" t="s">
        <v>3373</v>
      </c>
    </row>
    <row r="1444" spans="1:2">
      <c r="A1444" s="149" t="s">
        <v>3374</v>
      </c>
      <c r="B1444" s="149" t="s">
        <v>3375</v>
      </c>
    </row>
    <row r="1445" spans="1:2">
      <c r="A1445" s="149" t="s">
        <v>3376</v>
      </c>
      <c r="B1445" s="149" t="s">
        <v>3377</v>
      </c>
    </row>
    <row r="1446" spans="1:2">
      <c r="A1446" s="149" t="s">
        <v>3378</v>
      </c>
      <c r="B1446" s="149" t="s">
        <v>3379</v>
      </c>
    </row>
    <row r="1447" spans="1:2">
      <c r="A1447" s="149" t="s">
        <v>3380</v>
      </c>
      <c r="B1447" s="149" t="s">
        <v>3381</v>
      </c>
    </row>
    <row r="1448" spans="1:2">
      <c r="A1448" s="149" t="s">
        <v>3382</v>
      </c>
      <c r="B1448" s="149" t="s">
        <v>3383</v>
      </c>
    </row>
    <row r="1449" spans="1:2">
      <c r="A1449" s="149" t="s">
        <v>3384</v>
      </c>
      <c r="B1449" s="149" t="s">
        <v>3385</v>
      </c>
    </row>
    <row r="1450" spans="1:2">
      <c r="A1450" s="149" t="s">
        <v>3386</v>
      </c>
      <c r="B1450" s="149" t="s">
        <v>3387</v>
      </c>
    </row>
    <row r="1451" spans="1:2">
      <c r="A1451" s="149" t="s">
        <v>3388</v>
      </c>
      <c r="B1451" s="149" t="s">
        <v>3389</v>
      </c>
    </row>
    <row r="1452" spans="1:2">
      <c r="A1452" s="149" t="s">
        <v>3390</v>
      </c>
      <c r="B1452" s="149" t="s">
        <v>3391</v>
      </c>
    </row>
    <row r="1453" spans="1:2">
      <c r="A1453" s="149" t="s">
        <v>3392</v>
      </c>
      <c r="B1453" s="149" t="s">
        <v>3393</v>
      </c>
    </row>
    <row r="1454" spans="1:2">
      <c r="A1454" s="149" t="s">
        <v>3394</v>
      </c>
      <c r="B1454" s="149" t="s">
        <v>3395</v>
      </c>
    </row>
    <row r="1455" spans="1:2">
      <c r="A1455" s="149" t="s">
        <v>3396</v>
      </c>
      <c r="B1455" s="149" t="s">
        <v>3397</v>
      </c>
    </row>
    <row r="1456" spans="1:2">
      <c r="A1456" s="149" t="s">
        <v>3398</v>
      </c>
      <c r="B1456" s="149" t="s">
        <v>3399</v>
      </c>
    </row>
    <row r="1457" spans="1:2">
      <c r="A1457" s="149" t="s">
        <v>3400</v>
      </c>
      <c r="B1457" s="149" t="s">
        <v>3401</v>
      </c>
    </row>
    <row r="1458" spans="1:2">
      <c r="A1458" s="149" t="s">
        <v>3402</v>
      </c>
    </row>
    <row r="1459" spans="1:2">
      <c r="A1459" s="149" t="s">
        <v>3403</v>
      </c>
    </row>
    <row r="1460" spans="1:2">
      <c r="A1460" s="149" t="s">
        <v>3404</v>
      </c>
    </row>
    <row r="1461" spans="1:2">
      <c r="A1461" s="149" t="s">
        <v>3405</v>
      </c>
    </row>
    <row r="1462" spans="1:2">
      <c r="A1462" s="149" t="s">
        <v>3406</v>
      </c>
    </row>
    <row r="1463" spans="1:2">
      <c r="A1463" s="149" t="s">
        <v>3407</v>
      </c>
    </row>
    <row r="1464" spans="1:2">
      <c r="A1464" s="149" t="s">
        <v>3408</v>
      </c>
    </row>
    <row r="1465" spans="1:2">
      <c r="A1465" s="149" t="s">
        <v>3409</v>
      </c>
    </row>
    <row r="1466" spans="1:2">
      <c r="A1466" s="149" t="s">
        <v>3410</v>
      </c>
    </row>
    <row r="1467" spans="1:2">
      <c r="A1467" s="149" t="s">
        <v>3411</v>
      </c>
    </row>
    <row r="1468" spans="1:2">
      <c r="A1468" s="149" t="s">
        <v>3412</v>
      </c>
    </row>
    <row r="1469" spans="1:2">
      <c r="A1469" s="149" t="s">
        <v>3413</v>
      </c>
    </row>
    <row r="1470" spans="1:2">
      <c r="A1470" s="149" t="s">
        <v>3414</v>
      </c>
    </row>
    <row r="1471" spans="1:2">
      <c r="A1471" s="149" t="s">
        <v>3415</v>
      </c>
    </row>
    <row r="1472" spans="1:2">
      <c r="A1472" s="149" t="s">
        <v>3416</v>
      </c>
    </row>
    <row r="1473" spans="1:1">
      <c r="A1473" s="149" t="s">
        <v>3417</v>
      </c>
    </row>
    <row r="1474" spans="1:1">
      <c r="A1474" s="149" t="s">
        <v>3418</v>
      </c>
    </row>
    <row r="1475" spans="1:1">
      <c r="A1475" s="149" t="s">
        <v>3419</v>
      </c>
    </row>
    <row r="1476" spans="1:1">
      <c r="A1476" s="149" t="s">
        <v>3420</v>
      </c>
    </row>
    <row r="1477" spans="1:1">
      <c r="A1477" s="149" t="s">
        <v>3421</v>
      </c>
    </row>
    <row r="1478" spans="1:1">
      <c r="A1478" s="149" t="s">
        <v>3422</v>
      </c>
    </row>
    <row r="1479" spans="1:1">
      <c r="A1479" s="149" t="s">
        <v>3423</v>
      </c>
    </row>
    <row r="1480" spans="1:1">
      <c r="A1480" s="149" t="s">
        <v>3424</v>
      </c>
    </row>
    <row r="1481" spans="1:1">
      <c r="A1481" s="149" t="s">
        <v>3425</v>
      </c>
    </row>
    <row r="1482" spans="1:1">
      <c r="A1482" s="149" t="s">
        <v>3426</v>
      </c>
    </row>
    <row r="1483" spans="1:1">
      <c r="A1483" s="149" t="s">
        <v>3427</v>
      </c>
    </row>
    <row r="1484" spans="1:1">
      <c r="A1484" s="149" t="s">
        <v>3428</v>
      </c>
    </row>
    <row r="1485" spans="1:1">
      <c r="A1485" s="149" t="s">
        <v>3429</v>
      </c>
    </row>
    <row r="1486" spans="1:1">
      <c r="A1486" s="149" t="s">
        <v>3430</v>
      </c>
    </row>
    <row r="1487" spans="1:1">
      <c r="A1487" s="149" t="s">
        <v>3431</v>
      </c>
    </row>
    <row r="1488" spans="1:1">
      <c r="A1488" s="149" t="s">
        <v>3432</v>
      </c>
    </row>
    <row r="1489" spans="1:1">
      <c r="A1489" s="149" t="s">
        <v>3433</v>
      </c>
    </row>
    <row r="1490" spans="1:1">
      <c r="A1490" s="149" t="s">
        <v>3434</v>
      </c>
    </row>
    <row r="1491" spans="1:1">
      <c r="A1491" s="149" t="s">
        <v>3435</v>
      </c>
    </row>
    <row r="1492" spans="1:1">
      <c r="A1492" s="149" t="s">
        <v>3436</v>
      </c>
    </row>
    <row r="1493" spans="1:1">
      <c r="A1493" s="149" t="s">
        <v>3437</v>
      </c>
    </row>
    <row r="1494" spans="1:1">
      <c r="A1494" s="149" t="s">
        <v>3438</v>
      </c>
    </row>
    <row r="1495" spans="1:1">
      <c r="A1495" s="149" t="s">
        <v>3439</v>
      </c>
    </row>
    <row r="1496" spans="1:1">
      <c r="A1496" s="149" t="s">
        <v>3440</v>
      </c>
    </row>
    <row r="1497" spans="1:1">
      <c r="A1497" s="149" t="s">
        <v>3441</v>
      </c>
    </row>
    <row r="1498" spans="1:1">
      <c r="A1498" s="149" t="s">
        <v>3442</v>
      </c>
    </row>
    <row r="1499" spans="1:1">
      <c r="A1499" s="149" t="s">
        <v>3443</v>
      </c>
    </row>
    <row r="1500" spans="1:1">
      <c r="A1500" s="149" t="s">
        <v>3444</v>
      </c>
    </row>
    <row r="1501" spans="1:1">
      <c r="A1501" s="149" t="s">
        <v>3445</v>
      </c>
    </row>
    <row r="1502" spans="1:1">
      <c r="A1502" s="149" t="s">
        <v>3446</v>
      </c>
    </row>
    <row r="1503" spans="1:1">
      <c r="A1503" s="149" t="s">
        <v>3447</v>
      </c>
    </row>
    <row r="1504" spans="1:1">
      <c r="A1504" s="149" t="s">
        <v>3448</v>
      </c>
    </row>
    <row r="1505" spans="1:1">
      <c r="A1505" s="149" t="s">
        <v>3449</v>
      </c>
    </row>
    <row r="1506" spans="1:1">
      <c r="A1506" s="149" t="s">
        <v>3450</v>
      </c>
    </row>
    <row r="1507" spans="1:1">
      <c r="A1507" s="149" t="s">
        <v>3451</v>
      </c>
    </row>
    <row r="1508" spans="1:1">
      <c r="A1508" s="149" t="s">
        <v>3452</v>
      </c>
    </row>
    <row r="1509" spans="1:1">
      <c r="A1509" s="149" t="s">
        <v>3453</v>
      </c>
    </row>
    <row r="1510" spans="1:1">
      <c r="A1510" s="149" t="s">
        <v>3454</v>
      </c>
    </row>
    <row r="1511" spans="1:1">
      <c r="A1511" s="149" t="s">
        <v>3455</v>
      </c>
    </row>
    <row r="1512" spans="1:1">
      <c r="A1512" s="149" t="s">
        <v>3456</v>
      </c>
    </row>
    <row r="1513" spans="1:1">
      <c r="A1513" s="149" t="s">
        <v>3457</v>
      </c>
    </row>
    <row r="1514" spans="1:1">
      <c r="A1514" s="149" t="s">
        <v>3458</v>
      </c>
    </row>
    <row r="1515" spans="1:1">
      <c r="A1515" s="149" t="s">
        <v>3459</v>
      </c>
    </row>
    <row r="1516" spans="1:1">
      <c r="A1516" s="149" t="s">
        <v>3460</v>
      </c>
    </row>
    <row r="1517" spans="1:1">
      <c r="A1517" s="149" t="s">
        <v>3461</v>
      </c>
    </row>
    <row r="1518" spans="1:1">
      <c r="A1518" s="149" t="s">
        <v>3462</v>
      </c>
    </row>
    <row r="1519" spans="1:1">
      <c r="A1519" s="149" t="s">
        <v>3463</v>
      </c>
    </row>
    <row r="1520" spans="1:1">
      <c r="A1520" s="149" t="s">
        <v>3464</v>
      </c>
    </row>
    <row r="1521" spans="1:1">
      <c r="A1521" s="149" t="s">
        <v>3465</v>
      </c>
    </row>
    <row r="1522" spans="1:1">
      <c r="A1522" s="149" t="s">
        <v>3466</v>
      </c>
    </row>
    <row r="1523" spans="1:1">
      <c r="A1523" s="149" t="s">
        <v>3467</v>
      </c>
    </row>
    <row r="1524" spans="1:1">
      <c r="A1524" s="149" t="s">
        <v>3468</v>
      </c>
    </row>
    <row r="1525" spans="1:1">
      <c r="A1525" s="149" t="s">
        <v>3469</v>
      </c>
    </row>
    <row r="1526" spans="1:1">
      <c r="A1526" s="149" t="s">
        <v>3470</v>
      </c>
    </row>
    <row r="1527" spans="1:1">
      <c r="A1527" s="149" t="s">
        <v>3471</v>
      </c>
    </row>
    <row r="1528" spans="1:1">
      <c r="A1528" s="149" t="s">
        <v>3472</v>
      </c>
    </row>
    <row r="1529" spans="1:1">
      <c r="A1529" s="149" t="s">
        <v>3473</v>
      </c>
    </row>
    <row r="1530" spans="1:1">
      <c r="A1530" s="149" t="s">
        <v>3474</v>
      </c>
    </row>
    <row r="1531" spans="1:1">
      <c r="A1531" s="149" t="s">
        <v>3475</v>
      </c>
    </row>
    <row r="1532" spans="1:1">
      <c r="A1532" s="149" t="s">
        <v>3476</v>
      </c>
    </row>
    <row r="1533" spans="1:1">
      <c r="A1533" s="149" t="s">
        <v>3477</v>
      </c>
    </row>
    <row r="1534" spans="1:1">
      <c r="A1534" s="149" t="s">
        <v>3478</v>
      </c>
    </row>
    <row r="1535" spans="1:1">
      <c r="A1535" s="149" t="s">
        <v>3479</v>
      </c>
    </row>
    <row r="1536" spans="1:1">
      <c r="A1536" s="149" t="s">
        <v>3480</v>
      </c>
    </row>
    <row r="1537" spans="1:1">
      <c r="A1537" s="149" t="s">
        <v>3481</v>
      </c>
    </row>
    <row r="1538" spans="1:1">
      <c r="A1538" s="149" t="s">
        <v>3482</v>
      </c>
    </row>
    <row r="1539" spans="1:1">
      <c r="A1539" s="149" t="s">
        <v>3483</v>
      </c>
    </row>
    <row r="1540" spans="1:1">
      <c r="A1540" s="149" t="s">
        <v>3484</v>
      </c>
    </row>
    <row r="1541" spans="1:1">
      <c r="A1541" s="149" t="s">
        <v>3485</v>
      </c>
    </row>
    <row r="1542" spans="1:1">
      <c r="A1542" s="149" t="s">
        <v>3486</v>
      </c>
    </row>
    <row r="1543" spans="1:1">
      <c r="A1543" s="149" t="s">
        <v>3487</v>
      </c>
    </row>
    <row r="1544" spans="1:1">
      <c r="A1544" s="149" t="s">
        <v>3488</v>
      </c>
    </row>
    <row r="1545" spans="1:1">
      <c r="A1545" s="149" t="s">
        <v>3489</v>
      </c>
    </row>
    <row r="1546" spans="1:1">
      <c r="A1546" s="149" t="s">
        <v>3490</v>
      </c>
    </row>
    <row r="1547" spans="1:1">
      <c r="A1547" s="149" t="s">
        <v>3491</v>
      </c>
    </row>
    <row r="1548" spans="1:1">
      <c r="A1548" s="149" t="s">
        <v>3492</v>
      </c>
    </row>
    <row r="1549" spans="1:1">
      <c r="A1549" s="149" t="s">
        <v>3493</v>
      </c>
    </row>
    <row r="1550" spans="1:1">
      <c r="A1550" s="149" t="s">
        <v>3494</v>
      </c>
    </row>
    <row r="1551" spans="1:1">
      <c r="A1551" s="149" t="s">
        <v>3495</v>
      </c>
    </row>
    <row r="1552" spans="1:1">
      <c r="A1552" s="149" t="s">
        <v>3496</v>
      </c>
    </row>
    <row r="1553" spans="1:1">
      <c r="A1553" s="149" t="s">
        <v>3497</v>
      </c>
    </row>
    <row r="1554" spans="1:1">
      <c r="A1554" s="149" t="s">
        <v>3498</v>
      </c>
    </row>
    <row r="1555" spans="1:1">
      <c r="A1555" s="149" t="s">
        <v>3499</v>
      </c>
    </row>
    <row r="1556" spans="1:1">
      <c r="A1556" s="149" t="s">
        <v>3500</v>
      </c>
    </row>
    <row r="1557" spans="1:1">
      <c r="A1557" s="149" t="s">
        <v>3501</v>
      </c>
    </row>
    <row r="1558" spans="1:1">
      <c r="A1558" s="149" t="s">
        <v>3502</v>
      </c>
    </row>
    <row r="1559" spans="1:1">
      <c r="A1559" s="149" t="s">
        <v>3503</v>
      </c>
    </row>
    <row r="1560" spans="1:1">
      <c r="A1560" s="149" t="s">
        <v>3504</v>
      </c>
    </row>
    <row r="1561" spans="1:1">
      <c r="A1561" s="149" t="s">
        <v>3505</v>
      </c>
    </row>
    <row r="1562" spans="1:1">
      <c r="A1562" s="149" t="s">
        <v>3506</v>
      </c>
    </row>
    <row r="1563" spans="1:1">
      <c r="A1563" s="149" t="s">
        <v>3507</v>
      </c>
    </row>
    <row r="1564" spans="1:1">
      <c r="A1564" s="149" t="s">
        <v>3508</v>
      </c>
    </row>
    <row r="1565" spans="1:1">
      <c r="A1565" s="149" t="s">
        <v>3509</v>
      </c>
    </row>
    <row r="1566" spans="1:1">
      <c r="A1566" s="149" t="s">
        <v>3510</v>
      </c>
    </row>
    <row r="1567" spans="1:1">
      <c r="A1567" s="149" t="s">
        <v>3511</v>
      </c>
    </row>
    <row r="1568" spans="1:1">
      <c r="A1568" s="149" t="s">
        <v>3512</v>
      </c>
    </row>
    <row r="1569" spans="1:1">
      <c r="A1569" s="149" t="s">
        <v>3513</v>
      </c>
    </row>
    <row r="1570" spans="1:1">
      <c r="A1570" s="149" t="s">
        <v>3514</v>
      </c>
    </row>
    <row r="1571" spans="1:1">
      <c r="A1571" s="149" t="s">
        <v>3515</v>
      </c>
    </row>
    <row r="1572" spans="1:1">
      <c r="A1572" s="149" t="s">
        <v>3516</v>
      </c>
    </row>
    <row r="1573" spans="1:1">
      <c r="A1573" s="149" t="s">
        <v>3517</v>
      </c>
    </row>
    <row r="1574" spans="1:1">
      <c r="A1574" s="149" t="s">
        <v>3518</v>
      </c>
    </row>
    <row r="1575" spans="1:1">
      <c r="A1575" s="149" t="s">
        <v>3519</v>
      </c>
    </row>
    <row r="1576" spans="1:1">
      <c r="A1576" s="149" t="s">
        <v>3520</v>
      </c>
    </row>
    <row r="1577" spans="1:1">
      <c r="A1577" s="149" t="s">
        <v>3521</v>
      </c>
    </row>
    <row r="1578" spans="1:1">
      <c r="A1578" s="149" t="s">
        <v>3522</v>
      </c>
    </row>
    <row r="1579" spans="1:1">
      <c r="A1579" s="149" t="s">
        <v>3523</v>
      </c>
    </row>
    <row r="1580" spans="1:1">
      <c r="A1580" s="149" t="s">
        <v>3524</v>
      </c>
    </row>
    <row r="1581" spans="1:1">
      <c r="A1581" s="149" t="s">
        <v>3525</v>
      </c>
    </row>
    <row r="1582" spans="1:1">
      <c r="A1582" s="149" t="s">
        <v>3526</v>
      </c>
    </row>
    <row r="1583" spans="1:1">
      <c r="A1583" s="149" t="s">
        <v>3527</v>
      </c>
    </row>
    <row r="1584" spans="1:1">
      <c r="A1584" s="149" t="s">
        <v>3528</v>
      </c>
    </row>
    <row r="1585" spans="1:1">
      <c r="A1585" s="149" t="s">
        <v>3529</v>
      </c>
    </row>
    <row r="1586" spans="1:1">
      <c r="A1586" s="149" t="s">
        <v>3530</v>
      </c>
    </row>
    <row r="1587" spans="1:1">
      <c r="A1587" s="149" t="s">
        <v>3531</v>
      </c>
    </row>
    <row r="1588" spans="1:1">
      <c r="A1588" s="149" t="s">
        <v>3532</v>
      </c>
    </row>
    <row r="1589" spans="1:1">
      <c r="A1589" s="149" t="s">
        <v>3533</v>
      </c>
    </row>
    <row r="1590" spans="1:1">
      <c r="A1590" s="149" t="s">
        <v>3534</v>
      </c>
    </row>
    <row r="1591" spans="1:1">
      <c r="A1591" s="149" t="s">
        <v>3535</v>
      </c>
    </row>
    <row r="1592" spans="1:1">
      <c r="A1592" s="149" t="s">
        <v>3536</v>
      </c>
    </row>
    <row r="1593" spans="1:1">
      <c r="A1593" s="149" t="s">
        <v>3537</v>
      </c>
    </row>
    <row r="1594" spans="1:1">
      <c r="A1594" s="149" t="s">
        <v>3538</v>
      </c>
    </row>
    <row r="1595" spans="1:1">
      <c r="A1595" s="149" t="s">
        <v>3539</v>
      </c>
    </row>
    <row r="1596" spans="1:1">
      <c r="A1596" s="149" t="s">
        <v>3540</v>
      </c>
    </row>
    <row r="1597" spans="1:1">
      <c r="A1597" s="149" t="s">
        <v>3541</v>
      </c>
    </row>
    <row r="1598" spans="1:1">
      <c r="A1598" s="149" t="s">
        <v>3542</v>
      </c>
    </row>
    <row r="1599" spans="1:1">
      <c r="A1599" s="149" t="s">
        <v>3543</v>
      </c>
    </row>
    <row r="1600" spans="1:1">
      <c r="A1600" s="149" t="s">
        <v>3544</v>
      </c>
    </row>
    <row r="1601" spans="1:1">
      <c r="A1601" s="149" t="s">
        <v>3545</v>
      </c>
    </row>
    <row r="1602" spans="1:1">
      <c r="A1602" s="149" t="s">
        <v>3546</v>
      </c>
    </row>
    <row r="1603" spans="1:1">
      <c r="A1603" s="149" t="s">
        <v>3547</v>
      </c>
    </row>
    <row r="1604" spans="1:1">
      <c r="A1604" s="149" t="s">
        <v>3548</v>
      </c>
    </row>
    <row r="1605" spans="1:1">
      <c r="A1605" s="149" t="s">
        <v>3549</v>
      </c>
    </row>
    <row r="1606" spans="1:1">
      <c r="A1606" s="149" t="s">
        <v>3550</v>
      </c>
    </row>
    <row r="1607" spans="1:1">
      <c r="A1607" s="149" t="s">
        <v>3551</v>
      </c>
    </row>
    <row r="1608" spans="1:1">
      <c r="A1608" s="149" t="s">
        <v>3552</v>
      </c>
    </row>
    <row r="1609" spans="1:1">
      <c r="A1609" s="149" t="s">
        <v>3553</v>
      </c>
    </row>
    <row r="1610" spans="1:1">
      <c r="A1610" s="149" t="s">
        <v>3554</v>
      </c>
    </row>
    <row r="1611" spans="1:1">
      <c r="A1611" s="149" t="s">
        <v>3555</v>
      </c>
    </row>
    <row r="1612" spans="1:1">
      <c r="A1612" s="149" t="s">
        <v>3556</v>
      </c>
    </row>
    <row r="1613" spans="1:1">
      <c r="A1613" s="149" t="s">
        <v>3557</v>
      </c>
    </row>
    <row r="1614" spans="1:1">
      <c r="A1614" s="149" t="s">
        <v>3558</v>
      </c>
    </row>
    <row r="1615" spans="1:1">
      <c r="A1615" s="149" t="s">
        <v>3559</v>
      </c>
    </row>
    <row r="1616" spans="1:1">
      <c r="A1616" s="149" t="s">
        <v>3560</v>
      </c>
    </row>
    <row r="1617" spans="1:1">
      <c r="A1617" s="149" t="s">
        <v>3561</v>
      </c>
    </row>
    <row r="1618" spans="1:1">
      <c r="A1618" s="149" t="s">
        <v>3562</v>
      </c>
    </row>
    <row r="1619" spans="1:1">
      <c r="A1619" s="149" t="s">
        <v>3563</v>
      </c>
    </row>
    <row r="1620" spans="1:1">
      <c r="A1620" s="149" t="s">
        <v>3564</v>
      </c>
    </row>
    <row r="1621" spans="1:1">
      <c r="A1621" s="149" t="s">
        <v>3565</v>
      </c>
    </row>
    <row r="1622" spans="1:1">
      <c r="A1622" s="149" t="s">
        <v>3566</v>
      </c>
    </row>
    <row r="1623" spans="1:1">
      <c r="A1623" s="149" t="s">
        <v>3567</v>
      </c>
    </row>
    <row r="1624" spans="1:1">
      <c r="A1624" s="149" t="s">
        <v>3568</v>
      </c>
    </row>
    <row r="1625" spans="1:1">
      <c r="A1625" s="149" t="s">
        <v>3569</v>
      </c>
    </row>
    <row r="1626" spans="1:1">
      <c r="A1626" s="149" t="s">
        <v>3570</v>
      </c>
    </row>
    <row r="1627" spans="1:1">
      <c r="A1627" s="149" t="s">
        <v>3571</v>
      </c>
    </row>
    <row r="1628" spans="1:1">
      <c r="A1628" s="149" t="s">
        <v>3572</v>
      </c>
    </row>
    <row r="1629" spans="1:1">
      <c r="A1629" s="149" t="s">
        <v>3573</v>
      </c>
    </row>
    <row r="1630" spans="1:1">
      <c r="A1630" s="149" t="s">
        <v>3574</v>
      </c>
    </row>
    <row r="1631" spans="1:1">
      <c r="A1631" s="149" t="s">
        <v>3575</v>
      </c>
    </row>
    <row r="1632" spans="1:1">
      <c r="A1632" s="149" t="s">
        <v>3576</v>
      </c>
    </row>
    <row r="1633" spans="1:1">
      <c r="A1633" s="149" t="s">
        <v>3577</v>
      </c>
    </row>
    <row r="1634" spans="1:1">
      <c r="A1634" s="149" t="s">
        <v>3578</v>
      </c>
    </row>
    <row r="1635" spans="1:1">
      <c r="A1635" s="149" t="s">
        <v>3579</v>
      </c>
    </row>
    <row r="1636" spans="1:1">
      <c r="A1636" s="149" t="s">
        <v>3580</v>
      </c>
    </row>
    <row r="1637" spans="1:1">
      <c r="A1637" s="149" t="s">
        <v>3581</v>
      </c>
    </row>
    <row r="1638" spans="1:1">
      <c r="A1638" s="149" t="s">
        <v>3582</v>
      </c>
    </row>
    <row r="1639" spans="1:1">
      <c r="A1639" s="149" t="s">
        <v>3583</v>
      </c>
    </row>
    <row r="1640" spans="1:1">
      <c r="A1640" s="149" t="s">
        <v>3584</v>
      </c>
    </row>
    <row r="1641" spans="1:1">
      <c r="A1641" s="149" t="s">
        <v>3585</v>
      </c>
    </row>
    <row r="1642" spans="1:1">
      <c r="A1642" s="149" t="s">
        <v>3586</v>
      </c>
    </row>
    <row r="1643" spans="1:1">
      <c r="A1643" s="149" t="s">
        <v>3587</v>
      </c>
    </row>
    <row r="1644" spans="1:1">
      <c r="A1644" s="149" t="s">
        <v>3588</v>
      </c>
    </row>
    <row r="1645" spans="1:1">
      <c r="A1645" s="149" t="s">
        <v>3589</v>
      </c>
    </row>
    <row r="1646" spans="1:1">
      <c r="A1646" s="149" t="s">
        <v>3590</v>
      </c>
    </row>
    <row r="1647" spans="1:1">
      <c r="A1647" s="149" t="s">
        <v>3591</v>
      </c>
    </row>
    <row r="1648" spans="1:1">
      <c r="A1648" s="149" t="s">
        <v>3592</v>
      </c>
    </row>
    <row r="1649" spans="1:1">
      <c r="A1649" s="149" t="s">
        <v>3593</v>
      </c>
    </row>
    <row r="1650" spans="1:1">
      <c r="A1650" s="149" t="s">
        <v>3594</v>
      </c>
    </row>
    <row r="1651" spans="1:1">
      <c r="A1651" s="149" t="s">
        <v>3595</v>
      </c>
    </row>
    <row r="1652" spans="1:1">
      <c r="A1652" s="149" t="s">
        <v>3596</v>
      </c>
    </row>
    <row r="1653" spans="1:1">
      <c r="A1653" s="149" t="s">
        <v>3597</v>
      </c>
    </row>
    <row r="1654" spans="1:1">
      <c r="A1654" s="149" t="s">
        <v>3598</v>
      </c>
    </row>
    <row r="1655" spans="1:1">
      <c r="A1655" s="149" t="s">
        <v>3599</v>
      </c>
    </row>
    <row r="1656" spans="1:1">
      <c r="A1656" s="149" t="s">
        <v>3600</v>
      </c>
    </row>
    <row r="1657" spans="1:1">
      <c r="A1657" s="149" t="s">
        <v>3601</v>
      </c>
    </row>
    <row r="1658" spans="1:1">
      <c r="A1658" s="149" t="s">
        <v>3602</v>
      </c>
    </row>
    <row r="1659" spans="1:1">
      <c r="A1659" s="149" t="s">
        <v>3603</v>
      </c>
    </row>
    <row r="1660" spans="1:1">
      <c r="A1660" s="149" t="s">
        <v>3604</v>
      </c>
    </row>
    <row r="1661" spans="1:1">
      <c r="A1661" s="149" t="s">
        <v>3605</v>
      </c>
    </row>
    <row r="1662" spans="1:1">
      <c r="A1662" s="149" t="s">
        <v>3606</v>
      </c>
    </row>
    <row r="1663" spans="1:1">
      <c r="A1663" s="149" t="s">
        <v>3607</v>
      </c>
    </row>
    <row r="1664" spans="1:1">
      <c r="A1664" s="149" t="s">
        <v>3608</v>
      </c>
    </row>
    <row r="1665" spans="1:1">
      <c r="A1665" s="149" t="s">
        <v>3609</v>
      </c>
    </row>
    <row r="1666" spans="1:1">
      <c r="A1666" s="149" t="s">
        <v>3610</v>
      </c>
    </row>
    <row r="1667" spans="1:1">
      <c r="A1667" s="149" t="s">
        <v>3611</v>
      </c>
    </row>
    <row r="1668" spans="1:1">
      <c r="A1668" s="149" t="s">
        <v>3612</v>
      </c>
    </row>
    <row r="1669" spans="1:1">
      <c r="A1669" s="149" t="s">
        <v>3613</v>
      </c>
    </row>
    <row r="1670" spans="1:1">
      <c r="A1670" s="149" t="s">
        <v>3614</v>
      </c>
    </row>
    <row r="1671" spans="1:1">
      <c r="A1671" s="149" t="s">
        <v>3615</v>
      </c>
    </row>
    <row r="1672" spans="1:1">
      <c r="A1672" s="149" t="s">
        <v>3616</v>
      </c>
    </row>
    <row r="1673" spans="1:1">
      <c r="A1673" s="149" t="s">
        <v>3617</v>
      </c>
    </row>
    <row r="1674" spans="1:1">
      <c r="A1674" s="149" t="s">
        <v>3618</v>
      </c>
    </row>
    <row r="1675" spans="1:1">
      <c r="A1675" s="149" t="s">
        <v>3619</v>
      </c>
    </row>
    <row r="1676" spans="1:1">
      <c r="A1676" s="149" t="s">
        <v>3620</v>
      </c>
    </row>
    <row r="1677" spans="1:1">
      <c r="A1677" s="149" t="s">
        <v>3621</v>
      </c>
    </row>
    <row r="1678" spans="1:1">
      <c r="A1678" s="149" t="s">
        <v>3622</v>
      </c>
    </row>
    <row r="1679" spans="1:1">
      <c r="A1679" s="149" t="s">
        <v>3623</v>
      </c>
    </row>
    <row r="1680" spans="1:1">
      <c r="A1680" s="149" t="s">
        <v>3624</v>
      </c>
    </row>
    <row r="1681" spans="1:1">
      <c r="A1681" s="149" t="s">
        <v>3625</v>
      </c>
    </row>
    <row r="1682" spans="1:1">
      <c r="A1682" s="149" t="s">
        <v>3626</v>
      </c>
    </row>
    <row r="1683" spans="1:1">
      <c r="A1683" s="149" t="s">
        <v>3627</v>
      </c>
    </row>
    <row r="1684" spans="1:1">
      <c r="A1684" s="149" t="s">
        <v>3628</v>
      </c>
    </row>
    <row r="1685" spans="1:1">
      <c r="A1685" s="149" t="s">
        <v>3629</v>
      </c>
    </row>
    <row r="1686" spans="1:1">
      <c r="A1686" s="149" t="s">
        <v>3630</v>
      </c>
    </row>
    <row r="1687" spans="1:1">
      <c r="A1687" s="149" t="s">
        <v>3631</v>
      </c>
    </row>
    <row r="1688" spans="1:1">
      <c r="A1688" s="149" t="s">
        <v>3632</v>
      </c>
    </row>
    <row r="1689" spans="1:1">
      <c r="A1689" s="149" t="s">
        <v>3633</v>
      </c>
    </row>
    <row r="1690" spans="1:1">
      <c r="A1690" s="149" t="s">
        <v>3634</v>
      </c>
    </row>
    <row r="1691" spans="1:1">
      <c r="A1691" s="149" t="s">
        <v>3635</v>
      </c>
    </row>
    <row r="1692" spans="1:1">
      <c r="A1692" s="149" t="s">
        <v>3636</v>
      </c>
    </row>
    <row r="1693" spans="1:1">
      <c r="A1693" s="149" t="s">
        <v>3637</v>
      </c>
    </row>
    <row r="1694" spans="1:1">
      <c r="A1694" s="149" t="s">
        <v>3638</v>
      </c>
    </row>
    <row r="1695" spans="1:1">
      <c r="A1695" s="149" t="s">
        <v>3639</v>
      </c>
    </row>
    <row r="1696" spans="1:1">
      <c r="A1696" s="149" t="s">
        <v>3640</v>
      </c>
    </row>
    <row r="1697" spans="1:1">
      <c r="A1697" s="149" t="s">
        <v>3641</v>
      </c>
    </row>
    <row r="1698" spans="1:1">
      <c r="A1698" s="149" t="s">
        <v>3642</v>
      </c>
    </row>
    <row r="1699" spans="1:1">
      <c r="A1699" s="149" t="s">
        <v>3643</v>
      </c>
    </row>
    <row r="1700" spans="1:1">
      <c r="A1700" s="149" t="s">
        <v>3644</v>
      </c>
    </row>
    <row r="1701" spans="1:1">
      <c r="A1701" s="149" t="s">
        <v>3645</v>
      </c>
    </row>
    <row r="1702" spans="1:1">
      <c r="A1702" s="149" t="s">
        <v>3646</v>
      </c>
    </row>
    <row r="1703" spans="1:1">
      <c r="A1703" s="149" t="s">
        <v>3647</v>
      </c>
    </row>
    <row r="1704" spans="1:1">
      <c r="A1704" s="149" t="s">
        <v>3648</v>
      </c>
    </row>
    <row r="1705" spans="1:1">
      <c r="A1705" s="149" t="s">
        <v>3649</v>
      </c>
    </row>
    <row r="1706" spans="1:1">
      <c r="A1706" s="149" t="s">
        <v>3650</v>
      </c>
    </row>
    <row r="1707" spans="1:1">
      <c r="A1707" s="149" t="s">
        <v>3651</v>
      </c>
    </row>
    <row r="1708" spans="1:1">
      <c r="A1708" s="149" t="s">
        <v>3652</v>
      </c>
    </row>
    <row r="1709" spans="1:1">
      <c r="A1709" s="149" t="s">
        <v>3653</v>
      </c>
    </row>
    <row r="1710" spans="1:1">
      <c r="A1710" s="149" t="s">
        <v>3654</v>
      </c>
    </row>
    <row r="1711" spans="1:1">
      <c r="A1711" s="149" t="s">
        <v>3655</v>
      </c>
    </row>
    <row r="1712" spans="1:1">
      <c r="A1712" s="149" t="s">
        <v>3656</v>
      </c>
    </row>
    <row r="1713" spans="1:1">
      <c r="A1713" s="149" t="s">
        <v>3657</v>
      </c>
    </row>
    <row r="1714" spans="1:1">
      <c r="A1714" s="149" t="s">
        <v>3658</v>
      </c>
    </row>
    <row r="1715" spans="1:1">
      <c r="A1715" s="149" t="s">
        <v>3659</v>
      </c>
    </row>
    <row r="1716" spans="1:1">
      <c r="A1716" s="149" t="s">
        <v>3660</v>
      </c>
    </row>
    <row r="1717" spans="1:1">
      <c r="A1717" s="149" t="s">
        <v>3661</v>
      </c>
    </row>
    <row r="1718" spans="1:1">
      <c r="A1718" s="149" t="s">
        <v>3662</v>
      </c>
    </row>
    <row r="1719" spans="1:1">
      <c r="A1719" s="149" t="s">
        <v>3663</v>
      </c>
    </row>
    <row r="1720" spans="1:1">
      <c r="A1720" s="149" t="s">
        <v>3664</v>
      </c>
    </row>
    <row r="1721" spans="1:1">
      <c r="A1721" s="149" t="s">
        <v>3665</v>
      </c>
    </row>
    <row r="1722" spans="1:1">
      <c r="A1722" s="149" t="s">
        <v>3666</v>
      </c>
    </row>
    <row r="1723" spans="1:1">
      <c r="A1723" s="149" t="s">
        <v>3667</v>
      </c>
    </row>
    <row r="1724" spans="1:1">
      <c r="A1724" s="149" t="s">
        <v>3668</v>
      </c>
    </row>
    <row r="1725" spans="1:1">
      <c r="A1725" s="149" t="s">
        <v>3669</v>
      </c>
    </row>
    <row r="1726" spans="1:1">
      <c r="A1726" s="149" t="s">
        <v>3670</v>
      </c>
    </row>
    <row r="1727" spans="1:1">
      <c r="A1727" s="149" t="s">
        <v>3671</v>
      </c>
    </row>
    <row r="1728" spans="1:1">
      <c r="A1728" s="149" t="s">
        <v>3672</v>
      </c>
    </row>
    <row r="1729" spans="1:1">
      <c r="A1729" s="149" t="s">
        <v>3673</v>
      </c>
    </row>
    <row r="1730" spans="1:1">
      <c r="A1730" s="149" t="s">
        <v>3674</v>
      </c>
    </row>
    <row r="1731" spans="1:1">
      <c r="A1731" s="149" t="s">
        <v>3675</v>
      </c>
    </row>
    <row r="1732" spans="1:1">
      <c r="A1732" s="149" t="s">
        <v>3676</v>
      </c>
    </row>
    <row r="1733" spans="1:1">
      <c r="A1733" s="149" t="s">
        <v>3677</v>
      </c>
    </row>
    <row r="1734" spans="1:1">
      <c r="A1734" s="149" t="s">
        <v>3678</v>
      </c>
    </row>
    <row r="1735" spans="1:1">
      <c r="A1735" s="149" t="s">
        <v>3679</v>
      </c>
    </row>
    <row r="1736" spans="1:1">
      <c r="A1736" s="149" t="s">
        <v>3680</v>
      </c>
    </row>
    <row r="1737" spans="1:1">
      <c r="A1737" s="149" t="s">
        <v>3681</v>
      </c>
    </row>
    <row r="1738" spans="1:1">
      <c r="A1738" s="149" t="s">
        <v>3682</v>
      </c>
    </row>
    <row r="1739" spans="1:1">
      <c r="A1739" s="149" t="s">
        <v>3683</v>
      </c>
    </row>
    <row r="1740" spans="1:1">
      <c r="A1740" s="149" t="s">
        <v>3684</v>
      </c>
    </row>
    <row r="1741" spans="1:1">
      <c r="A1741" s="149" t="s">
        <v>3685</v>
      </c>
    </row>
    <row r="1742" spans="1:1">
      <c r="A1742" s="149" t="s">
        <v>3686</v>
      </c>
    </row>
    <row r="1743" spans="1:1">
      <c r="A1743" s="149" t="s">
        <v>3687</v>
      </c>
    </row>
    <row r="1744" spans="1:1">
      <c r="A1744" s="149" t="s">
        <v>3688</v>
      </c>
    </row>
    <row r="1745" spans="1:1">
      <c r="A1745" s="149" t="s">
        <v>3689</v>
      </c>
    </row>
    <row r="1746" spans="1:1">
      <c r="A1746" s="149" t="s">
        <v>3690</v>
      </c>
    </row>
    <row r="1747" spans="1:1">
      <c r="A1747" s="149" t="s">
        <v>3691</v>
      </c>
    </row>
    <row r="1748" spans="1:1">
      <c r="A1748" s="149" t="s">
        <v>3692</v>
      </c>
    </row>
    <row r="1749" spans="1:1">
      <c r="A1749" s="149" t="s">
        <v>3693</v>
      </c>
    </row>
    <row r="1750" spans="1:1">
      <c r="A1750" s="149" t="s">
        <v>3694</v>
      </c>
    </row>
    <row r="1751" spans="1:1">
      <c r="A1751" s="149" t="s">
        <v>3695</v>
      </c>
    </row>
    <row r="1752" spans="1:1">
      <c r="A1752" s="149" t="s">
        <v>3696</v>
      </c>
    </row>
    <row r="1753" spans="1:1">
      <c r="A1753" s="149" t="s">
        <v>3697</v>
      </c>
    </row>
    <row r="1754" spans="1:1">
      <c r="A1754" s="149" t="s">
        <v>3698</v>
      </c>
    </row>
    <row r="1755" spans="1:1">
      <c r="A1755" s="149" t="s">
        <v>3699</v>
      </c>
    </row>
    <row r="1756" spans="1:1">
      <c r="A1756" s="149" t="s">
        <v>3700</v>
      </c>
    </row>
    <row r="1757" spans="1:1">
      <c r="A1757" s="149" t="s">
        <v>3701</v>
      </c>
    </row>
    <row r="1758" spans="1:1">
      <c r="A1758" s="149" t="s">
        <v>3702</v>
      </c>
    </row>
    <row r="1759" spans="1:1">
      <c r="A1759" s="149" t="s">
        <v>3703</v>
      </c>
    </row>
    <row r="1760" spans="1:1">
      <c r="A1760" s="149" t="s">
        <v>3704</v>
      </c>
    </row>
    <row r="1761" spans="1:1">
      <c r="A1761" s="149" t="s">
        <v>3705</v>
      </c>
    </row>
    <row r="1762" spans="1:1">
      <c r="A1762" s="149" t="s">
        <v>3706</v>
      </c>
    </row>
    <row r="1763" spans="1:1">
      <c r="A1763" s="149" t="s">
        <v>3707</v>
      </c>
    </row>
    <row r="1764" spans="1:1">
      <c r="A1764" s="149" t="s">
        <v>3708</v>
      </c>
    </row>
    <row r="1765" spans="1:1">
      <c r="A1765" s="149" t="s">
        <v>3709</v>
      </c>
    </row>
    <row r="1766" spans="1:1">
      <c r="A1766" s="149" t="s">
        <v>3710</v>
      </c>
    </row>
    <row r="1767" spans="1:1">
      <c r="A1767" s="149" t="s">
        <v>3711</v>
      </c>
    </row>
    <row r="1768" spans="1:1">
      <c r="A1768" s="149" t="s">
        <v>3712</v>
      </c>
    </row>
    <row r="1769" spans="1:1">
      <c r="A1769" s="149" t="s">
        <v>3713</v>
      </c>
    </row>
    <row r="1770" spans="1:1">
      <c r="A1770" s="149" t="s">
        <v>3714</v>
      </c>
    </row>
    <row r="1771" spans="1:1">
      <c r="A1771" s="149" t="s">
        <v>3715</v>
      </c>
    </row>
    <row r="1772" spans="1:1">
      <c r="A1772" s="149" t="s">
        <v>3716</v>
      </c>
    </row>
    <row r="1773" spans="1:1">
      <c r="A1773" s="149" t="s">
        <v>3717</v>
      </c>
    </row>
    <row r="1774" spans="1:1">
      <c r="A1774" s="149" t="s">
        <v>3718</v>
      </c>
    </row>
    <row r="1775" spans="1:1">
      <c r="A1775" s="149" t="s">
        <v>3719</v>
      </c>
    </row>
    <row r="1776" spans="1:1">
      <c r="A1776" s="149" t="s">
        <v>3720</v>
      </c>
    </row>
    <row r="1777" spans="1:1">
      <c r="A1777" s="149" t="s">
        <v>3721</v>
      </c>
    </row>
    <row r="1778" spans="1:1">
      <c r="A1778" s="149" t="s">
        <v>3722</v>
      </c>
    </row>
    <row r="1779" spans="1:1">
      <c r="A1779" s="149" t="s">
        <v>3723</v>
      </c>
    </row>
    <row r="1780" spans="1:1">
      <c r="A1780" s="149" t="s">
        <v>3724</v>
      </c>
    </row>
    <row r="1781" spans="1:1">
      <c r="A1781" s="149" t="s">
        <v>3725</v>
      </c>
    </row>
    <row r="1782" spans="1:1">
      <c r="A1782" s="149" t="s">
        <v>3726</v>
      </c>
    </row>
    <row r="1783" spans="1:1">
      <c r="A1783" s="149" t="s">
        <v>3727</v>
      </c>
    </row>
    <row r="1784" spans="1:1">
      <c r="A1784" s="149" t="s">
        <v>3728</v>
      </c>
    </row>
    <row r="1785" spans="1:1">
      <c r="A1785" s="149" t="s">
        <v>3729</v>
      </c>
    </row>
    <row r="1786" spans="1:1">
      <c r="A1786" s="149" t="s">
        <v>3730</v>
      </c>
    </row>
    <row r="1787" spans="1:1">
      <c r="A1787" s="149" t="s">
        <v>3731</v>
      </c>
    </row>
    <row r="1788" spans="1:1">
      <c r="A1788" s="149" t="s">
        <v>3732</v>
      </c>
    </row>
    <row r="1789" spans="1:1">
      <c r="A1789" s="149" t="s">
        <v>3733</v>
      </c>
    </row>
    <row r="1790" spans="1:1">
      <c r="A1790" s="149" t="s">
        <v>3734</v>
      </c>
    </row>
    <row r="1791" spans="1:1">
      <c r="A1791" s="149" t="s">
        <v>3735</v>
      </c>
    </row>
    <row r="1792" spans="1:1">
      <c r="A1792" s="149" t="s">
        <v>3736</v>
      </c>
    </row>
    <row r="1793" spans="1:1">
      <c r="A1793" s="149" t="s">
        <v>3737</v>
      </c>
    </row>
    <row r="1794" spans="1:1">
      <c r="A1794" s="149" t="s">
        <v>3738</v>
      </c>
    </row>
    <row r="1795" spans="1:1">
      <c r="A1795" s="149" t="s">
        <v>3739</v>
      </c>
    </row>
    <row r="1796" spans="1:1">
      <c r="A1796" s="149" t="s">
        <v>3740</v>
      </c>
    </row>
    <row r="1797" spans="1:1">
      <c r="A1797" s="149" t="s">
        <v>3741</v>
      </c>
    </row>
    <row r="1798" spans="1:1">
      <c r="A1798" s="149" t="s">
        <v>3742</v>
      </c>
    </row>
    <row r="1799" spans="1:1">
      <c r="A1799" s="149" t="s">
        <v>3743</v>
      </c>
    </row>
    <row r="1800" spans="1:1">
      <c r="A1800" s="149" t="s">
        <v>3744</v>
      </c>
    </row>
    <row r="1801" spans="1:1">
      <c r="A1801" s="149" t="s">
        <v>3745</v>
      </c>
    </row>
    <row r="1802" spans="1:1">
      <c r="A1802" s="149" t="s">
        <v>3746</v>
      </c>
    </row>
    <row r="1803" spans="1:1">
      <c r="A1803" s="149" t="s">
        <v>3747</v>
      </c>
    </row>
    <row r="1804" spans="1:1">
      <c r="A1804" s="149" t="s">
        <v>3748</v>
      </c>
    </row>
    <row r="1805" spans="1:1">
      <c r="A1805" s="149" t="s">
        <v>3749</v>
      </c>
    </row>
    <row r="1806" spans="1:1">
      <c r="A1806" s="149" t="s">
        <v>3750</v>
      </c>
    </row>
    <row r="1807" spans="1:1">
      <c r="A1807" s="149" t="s">
        <v>3751</v>
      </c>
    </row>
    <row r="1808" spans="1:1">
      <c r="A1808" s="149" t="s">
        <v>3752</v>
      </c>
    </row>
    <row r="1809" spans="1:1">
      <c r="A1809" s="149" t="s">
        <v>3753</v>
      </c>
    </row>
    <row r="1810" spans="1:1">
      <c r="A1810" s="149" t="s">
        <v>3754</v>
      </c>
    </row>
    <row r="1811" spans="1:1">
      <c r="A1811" s="149" t="s">
        <v>3755</v>
      </c>
    </row>
    <row r="1812" spans="1:1">
      <c r="A1812" s="149" t="s">
        <v>3756</v>
      </c>
    </row>
    <row r="1813" spans="1:1">
      <c r="A1813" s="149" t="s">
        <v>3757</v>
      </c>
    </row>
    <row r="1814" spans="1:1">
      <c r="A1814" s="149" t="s">
        <v>3758</v>
      </c>
    </row>
    <row r="1815" spans="1:1">
      <c r="A1815" s="149" t="s">
        <v>3759</v>
      </c>
    </row>
    <row r="1816" spans="1:1">
      <c r="A1816" s="149" t="s">
        <v>3760</v>
      </c>
    </row>
    <row r="1817" spans="1:1">
      <c r="A1817" s="149" t="s">
        <v>3761</v>
      </c>
    </row>
    <row r="1818" spans="1:1">
      <c r="A1818" s="149" t="s">
        <v>3762</v>
      </c>
    </row>
    <row r="1819" spans="1:1">
      <c r="A1819" s="149" t="s">
        <v>3763</v>
      </c>
    </row>
    <row r="1820" spans="1:1">
      <c r="A1820" s="149" t="s">
        <v>3764</v>
      </c>
    </row>
    <row r="1821" spans="1:1">
      <c r="A1821" s="149" t="s">
        <v>3765</v>
      </c>
    </row>
    <row r="1822" spans="1:1">
      <c r="A1822" s="149" t="s">
        <v>3766</v>
      </c>
    </row>
    <row r="1823" spans="1:1">
      <c r="A1823" s="149" t="s">
        <v>3767</v>
      </c>
    </row>
    <row r="1824" spans="1:1">
      <c r="A1824" s="149" t="s">
        <v>3768</v>
      </c>
    </row>
    <row r="1825" spans="1:1">
      <c r="A1825" s="149" t="s">
        <v>3769</v>
      </c>
    </row>
    <row r="1826" spans="1:1">
      <c r="A1826" s="149" t="s">
        <v>3770</v>
      </c>
    </row>
    <row r="1827" spans="1:1">
      <c r="A1827" s="149" t="s">
        <v>3771</v>
      </c>
    </row>
    <row r="1828" spans="1:1">
      <c r="A1828" s="149" t="s">
        <v>3772</v>
      </c>
    </row>
    <row r="1829" spans="1:1">
      <c r="A1829" s="149" t="s">
        <v>3773</v>
      </c>
    </row>
    <row r="1830" spans="1:1">
      <c r="A1830" s="149" t="s">
        <v>3774</v>
      </c>
    </row>
    <row r="1831" spans="1:1">
      <c r="A1831" s="149" t="s">
        <v>3775</v>
      </c>
    </row>
    <row r="1832" spans="1:1">
      <c r="A1832" s="149" t="s">
        <v>3776</v>
      </c>
    </row>
    <row r="1833" spans="1:1">
      <c r="A1833" s="149" t="s">
        <v>3777</v>
      </c>
    </row>
    <row r="1834" spans="1:1">
      <c r="A1834" s="149" t="s">
        <v>3778</v>
      </c>
    </row>
    <row r="1835" spans="1:1">
      <c r="A1835" s="149" t="s">
        <v>3779</v>
      </c>
    </row>
    <row r="1836" spans="1:1">
      <c r="A1836" s="149" t="s">
        <v>3780</v>
      </c>
    </row>
    <row r="1837" spans="1:1">
      <c r="A1837" s="149" t="s">
        <v>3781</v>
      </c>
    </row>
    <row r="1838" spans="1:1">
      <c r="A1838" s="149" t="s">
        <v>3782</v>
      </c>
    </row>
    <row r="1839" spans="1:1">
      <c r="A1839" s="149" t="s">
        <v>3783</v>
      </c>
    </row>
    <row r="1840" spans="1:1">
      <c r="A1840" s="149" t="s">
        <v>3784</v>
      </c>
    </row>
    <row r="1841" spans="1:1">
      <c r="A1841" s="149" t="s">
        <v>3785</v>
      </c>
    </row>
    <row r="1842" spans="1:1">
      <c r="A1842" s="149" t="s">
        <v>3786</v>
      </c>
    </row>
    <row r="1843" spans="1:1">
      <c r="A1843" s="149" t="s">
        <v>3787</v>
      </c>
    </row>
    <row r="1844" spans="1:1">
      <c r="A1844" s="149" t="s">
        <v>3788</v>
      </c>
    </row>
    <row r="1845" spans="1:1">
      <c r="A1845" s="149" t="s">
        <v>3789</v>
      </c>
    </row>
    <row r="1846" spans="1:1">
      <c r="A1846" s="149" t="s">
        <v>3790</v>
      </c>
    </row>
    <row r="1847" spans="1:1">
      <c r="A1847" s="149" t="s">
        <v>3791</v>
      </c>
    </row>
    <row r="1848" spans="1:1">
      <c r="A1848" s="149" t="s">
        <v>3792</v>
      </c>
    </row>
    <row r="1849" spans="1:1">
      <c r="A1849" s="149" t="s">
        <v>3793</v>
      </c>
    </row>
    <row r="1850" spans="1:1">
      <c r="A1850" s="149" t="s">
        <v>3794</v>
      </c>
    </row>
    <row r="1851" spans="1:1">
      <c r="A1851" s="149" t="s">
        <v>3795</v>
      </c>
    </row>
    <row r="1852" spans="1:1">
      <c r="A1852" s="149" t="s">
        <v>3796</v>
      </c>
    </row>
    <row r="1853" spans="1:1">
      <c r="A1853" s="149" t="s">
        <v>3797</v>
      </c>
    </row>
    <row r="1854" spans="1:1">
      <c r="A1854" s="149" t="s">
        <v>3798</v>
      </c>
    </row>
    <row r="1855" spans="1:1">
      <c r="A1855" s="149" t="s">
        <v>3799</v>
      </c>
    </row>
    <row r="1856" spans="1:1">
      <c r="A1856" s="149" t="s">
        <v>3800</v>
      </c>
    </row>
    <row r="1857" spans="1:1">
      <c r="A1857" s="149" t="s">
        <v>3801</v>
      </c>
    </row>
    <row r="1858" spans="1:1">
      <c r="A1858" s="149" t="s">
        <v>3802</v>
      </c>
    </row>
    <row r="1859" spans="1:1">
      <c r="A1859" s="149" t="s">
        <v>3803</v>
      </c>
    </row>
    <row r="1860" spans="1:1">
      <c r="A1860" s="149" t="s">
        <v>3804</v>
      </c>
    </row>
    <row r="1861" spans="1:1">
      <c r="A1861" s="149" t="s">
        <v>3805</v>
      </c>
    </row>
    <row r="1862" spans="1:1">
      <c r="A1862" s="149" t="s">
        <v>3806</v>
      </c>
    </row>
    <row r="1863" spans="1:1">
      <c r="A1863" s="149" t="s">
        <v>3807</v>
      </c>
    </row>
    <row r="1864" spans="1:1">
      <c r="A1864" s="149" t="s">
        <v>3808</v>
      </c>
    </row>
    <row r="1865" spans="1:1">
      <c r="A1865" s="149" t="s">
        <v>3809</v>
      </c>
    </row>
    <row r="1866" spans="1:1">
      <c r="A1866" s="149" t="s">
        <v>3810</v>
      </c>
    </row>
    <row r="1867" spans="1:1">
      <c r="A1867" s="149" t="s">
        <v>3811</v>
      </c>
    </row>
    <row r="1868" spans="1:1">
      <c r="A1868" s="149" t="s">
        <v>3812</v>
      </c>
    </row>
    <row r="1869" spans="1:1">
      <c r="A1869" s="149" t="s">
        <v>3813</v>
      </c>
    </row>
    <row r="1870" spans="1:1">
      <c r="A1870" s="149" t="s">
        <v>3814</v>
      </c>
    </row>
    <row r="1871" spans="1:1">
      <c r="A1871" s="149" t="s">
        <v>3815</v>
      </c>
    </row>
    <row r="1872" spans="1:1">
      <c r="A1872" s="149" t="s">
        <v>3816</v>
      </c>
    </row>
    <row r="1873" spans="1:1">
      <c r="A1873" s="149" t="s">
        <v>3817</v>
      </c>
    </row>
    <row r="1874" spans="1:1">
      <c r="A1874" s="149" t="s">
        <v>3818</v>
      </c>
    </row>
    <row r="1875" spans="1:1">
      <c r="A1875" s="149" t="s">
        <v>3819</v>
      </c>
    </row>
    <row r="1876" spans="1:1">
      <c r="A1876" s="149" t="s">
        <v>3820</v>
      </c>
    </row>
    <row r="1877" spans="1:1">
      <c r="A1877" s="149" t="s">
        <v>3821</v>
      </c>
    </row>
    <row r="1878" spans="1:1">
      <c r="A1878" s="149" t="s">
        <v>3822</v>
      </c>
    </row>
    <row r="1879" spans="1:1">
      <c r="A1879" s="149" t="s">
        <v>3823</v>
      </c>
    </row>
    <row r="1880" spans="1:1">
      <c r="A1880" s="149" t="s">
        <v>3824</v>
      </c>
    </row>
    <row r="1881" spans="1:1">
      <c r="A1881" s="149" t="s">
        <v>3825</v>
      </c>
    </row>
    <row r="1882" spans="1:1">
      <c r="A1882" s="149" t="s">
        <v>3826</v>
      </c>
    </row>
    <row r="1883" spans="1:1">
      <c r="A1883" s="149" t="s">
        <v>3827</v>
      </c>
    </row>
    <row r="1884" spans="1:1">
      <c r="A1884" s="149" t="s">
        <v>3828</v>
      </c>
    </row>
    <row r="1885" spans="1:1">
      <c r="A1885" s="149" t="s">
        <v>3829</v>
      </c>
    </row>
    <row r="1886" spans="1:1">
      <c r="A1886" s="149" t="s">
        <v>3830</v>
      </c>
    </row>
    <row r="1887" spans="1:1">
      <c r="A1887" s="149" t="s">
        <v>3831</v>
      </c>
    </row>
    <row r="1888" spans="1:1">
      <c r="A1888" s="149" t="s">
        <v>3832</v>
      </c>
    </row>
    <row r="1889" spans="1:1">
      <c r="A1889" s="149" t="s">
        <v>3833</v>
      </c>
    </row>
    <row r="1890" spans="1:1">
      <c r="A1890" s="149" t="s">
        <v>3834</v>
      </c>
    </row>
    <row r="1891" spans="1:1">
      <c r="A1891" s="149" t="s">
        <v>3835</v>
      </c>
    </row>
    <row r="1892" spans="1:1">
      <c r="A1892" s="149" t="s">
        <v>3836</v>
      </c>
    </row>
    <row r="1893" spans="1:1">
      <c r="A1893" s="149" t="s">
        <v>3837</v>
      </c>
    </row>
    <row r="1894" spans="1:1">
      <c r="A1894" s="149" t="s">
        <v>3838</v>
      </c>
    </row>
    <row r="1895" spans="1:1">
      <c r="A1895" s="149" t="s">
        <v>3839</v>
      </c>
    </row>
    <row r="1896" spans="1:1">
      <c r="A1896" s="149" t="s">
        <v>3840</v>
      </c>
    </row>
    <row r="1897" spans="1:1">
      <c r="A1897" s="149" t="s">
        <v>3841</v>
      </c>
    </row>
    <row r="1898" spans="1:1">
      <c r="A1898" s="149" t="s">
        <v>3842</v>
      </c>
    </row>
    <row r="1899" spans="1:1">
      <c r="A1899" s="149" t="s">
        <v>3843</v>
      </c>
    </row>
    <row r="1900" spans="1:1">
      <c r="A1900" s="149" t="s">
        <v>3844</v>
      </c>
    </row>
    <row r="1901" spans="1:1">
      <c r="A1901" s="149" t="s">
        <v>3845</v>
      </c>
    </row>
    <row r="1902" spans="1:1">
      <c r="A1902" s="149" t="s">
        <v>3846</v>
      </c>
    </row>
    <row r="1903" spans="1:1">
      <c r="A1903" s="149" t="s">
        <v>3847</v>
      </c>
    </row>
    <row r="1904" spans="1:1">
      <c r="A1904" s="149" t="s">
        <v>3848</v>
      </c>
    </row>
    <row r="1905" spans="1:1">
      <c r="A1905" s="149" t="s">
        <v>3849</v>
      </c>
    </row>
    <row r="1906" spans="1:1">
      <c r="A1906" s="149" t="s">
        <v>3850</v>
      </c>
    </row>
    <row r="1907" spans="1:1">
      <c r="A1907" s="149" t="s">
        <v>3851</v>
      </c>
    </row>
    <row r="1908" spans="1:1">
      <c r="A1908" s="149" t="s">
        <v>3852</v>
      </c>
    </row>
    <row r="1909" spans="1:1">
      <c r="A1909" s="149" t="s">
        <v>3853</v>
      </c>
    </row>
    <row r="1910" spans="1:1">
      <c r="A1910" s="149" t="s">
        <v>3854</v>
      </c>
    </row>
    <row r="1911" spans="1:1">
      <c r="A1911" s="149" t="s">
        <v>3855</v>
      </c>
    </row>
    <row r="1912" spans="1:1">
      <c r="A1912" s="149" t="s">
        <v>3856</v>
      </c>
    </row>
    <row r="1913" spans="1:1">
      <c r="A1913" s="149" t="s">
        <v>3857</v>
      </c>
    </row>
    <row r="1914" spans="1:1">
      <c r="A1914" s="149" t="s">
        <v>3858</v>
      </c>
    </row>
    <row r="1915" spans="1:1">
      <c r="A1915" s="149" t="s">
        <v>3859</v>
      </c>
    </row>
    <row r="1916" spans="1:1">
      <c r="A1916" s="149" t="s">
        <v>3860</v>
      </c>
    </row>
    <row r="1917" spans="1:1">
      <c r="A1917" s="149" t="s">
        <v>3861</v>
      </c>
    </row>
    <row r="1918" spans="1:1">
      <c r="A1918" s="149" t="s">
        <v>3862</v>
      </c>
    </row>
    <row r="1919" spans="1:1">
      <c r="A1919" s="149" t="s">
        <v>3863</v>
      </c>
    </row>
    <row r="1920" spans="1:1">
      <c r="A1920" s="149" t="s">
        <v>3864</v>
      </c>
    </row>
    <row r="1921" spans="1:1">
      <c r="A1921" s="149" t="s">
        <v>3865</v>
      </c>
    </row>
    <row r="1922" spans="1:1">
      <c r="A1922" s="149" t="s">
        <v>3866</v>
      </c>
    </row>
    <row r="1923" spans="1:1">
      <c r="A1923" s="149" t="s">
        <v>3867</v>
      </c>
    </row>
    <row r="1924" spans="1:1">
      <c r="A1924" s="149" t="s">
        <v>3868</v>
      </c>
    </row>
    <row r="1925" spans="1:1">
      <c r="A1925" s="149" t="s">
        <v>3869</v>
      </c>
    </row>
    <row r="1926" spans="1:1">
      <c r="A1926" s="149" t="s">
        <v>3870</v>
      </c>
    </row>
    <row r="1927" spans="1:1">
      <c r="A1927" s="149" t="s">
        <v>3871</v>
      </c>
    </row>
    <row r="1928" spans="1:1">
      <c r="A1928" s="149" t="s">
        <v>3872</v>
      </c>
    </row>
    <row r="1929" spans="1:1">
      <c r="A1929" s="149" t="s">
        <v>3873</v>
      </c>
    </row>
    <row r="1930" spans="1:1">
      <c r="A1930" s="149" t="s">
        <v>3874</v>
      </c>
    </row>
    <row r="1931" spans="1:1">
      <c r="A1931" s="149" t="s">
        <v>3875</v>
      </c>
    </row>
    <row r="1932" spans="1:1">
      <c r="A1932" s="149" t="s">
        <v>3876</v>
      </c>
    </row>
    <row r="1933" spans="1:1">
      <c r="A1933" s="149" t="s">
        <v>3877</v>
      </c>
    </row>
    <row r="1934" spans="1:1">
      <c r="A1934" s="149" t="s">
        <v>3878</v>
      </c>
    </row>
    <row r="1935" spans="1:1">
      <c r="A1935" s="149" t="s">
        <v>3879</v>
      </c>
    </row>
    <row r="1936" spans="1:1">
      <c r="A1936" s="149" t="s">
        <v>3880</v>
      </c>
    </row>
    <row r="1937" spans="1:1">
      <c r="A1937" s="149" t="s">
        <v>3881</v>
      </c>
    </row>
    <row r="1938" spans="1:1">
      <c r="A1938" s="149" t="s">
        <v>3882</v>
      </c>
    </row>
    <row r="1939" spans="1:1">
      <c r="A1939" s="149" t="s">
        <v>3883</v>
      </c>
    </row>
    <row r="1940" spans="1:1">
      <c r="A1940" s="149" t="s">
        <v>3884</v>
      </c>
    </row>
    <row r="1941" spans="1:1">
      <c r="A1941" s="149" t="s">
        <v>3885</v>
      </c>
    </row>
    <row r="1942" spans="1:1">
      <c r="A1942" s="149" t="s">
        <v>3886</v>
      </c>
    </row>
    <row r="1943" spans="1:1">
      <c r="A1943" s="149" t="s">
        <v>3887</v>
      </c>
    </row>
    <row r="1944" spans="1:1">
      <c r="A1944" s="149" t="s">
        <v>3888</v>
      </c>
    </row>
    <row r="1945" spans="1:1">
      <c r="A1945" s="149" t="s">
        <v>3889</v>
      </c>
    </row>
    <row r="1946" spans="1:1">
      <c r="A1946" s="149" t="s">
        <v>3890</v>
      </c>
    </row>
    <row r="1947" spans="1:1">
      <c r="A1947" s="149" t="s">
        <v>3891</v>
      </c>
    </row>
    <row r="1948" spans="1:1">
      <c r="A1948" s="149" t="s">
        <v>3892</v>
      </c>
    </row>
    <row r="1949" spans="1:1">
      <c r="A1949" s="149" t="s">
        <v>3893</v>
      </c>
    </row>
    <row r="1950" spans="1:1">
      <c r="A1950" s="149" t="s">
        <v>3894</v>
      </c>
    </row>
    <row r="1951" spans="1:1">
      <c r="A1951" s="149" t="s">
        <v>3895</v>
      </c>
    </row>
    <row r="1952" spans="1:1">
      <c r="A1952" s="149" t="s">
        <v>3896</v>
      </c>
    </row>
    <row r="1953" spans="1:1">
      <c r="A1953" s="149" t="s">
        <v>3897</v>
      </c>
    </row>
    <row r="1954" spans="1:1">
      <c r="A1954" s="149" t="s">
        <v>3898</v>
      </c>
    </row>
    <row r="1955" spans="1:1">
      <c r="A1955" s="149" t="s">
        <v>3899</v>
      </c>
    </row>
    <row r="1956" spans="1:1">
      <c r="A1956" s="149" t="s">
        <v>3900</v>
      </c>
    </row>
    <row r="1957" spans="1:1">
      <c r="A1957" s="149" t="s">
        <v>3901</v>
      </c>
    </row>
    <row r="1958" spans="1:1">
      <c r="A1958" s="149" t="s">
        <v>3902</v>
      </c>
    </row>
    <row r="1959" spans="1:1">
      <c r="A1959" s="149" t="s">
        <v>3903</v>
      </c>
    </row>
    <row r="1960" spans="1:1">
      <c r="A1960" s="149" t="s">
        <v>3904</v>
      </c>
    </row>
    <row r="1961" spans="1:1">
      <c r="A1961" s="149" t="s">
        <v>3905</v>
      </c>
    </row>
    <row r="1962" spans="1:1">
      <c r="A1962" s="149" t="s">
        <v>3906</v>
      </c>
    </row>
    <row r="1963" spans="1:1">
      <c r="A1963" s="149" t="s">
        <v>3907</v>
      </c>
    </row>
    <row r="1964" spans="1:1">
      <c r="A1964" s="149" t="s">
        <v>3908</v>
      </c>
    </row>
    <row r="1965" spans="1:1">
      <c r="A1965" s="149" t="s">
        <v>3909</v>
      </c>
    </row>
    <row r="1966" spans="1:1">
      <c r="A1966" s="149" t="s">
        <v>3910</v>
      </c>
    </row>
    <row r="1967" spans="1:1">
      <c r="A1967" s="149" t="s">
        <v>3911</v>
      </c>
    </row>
    <row r="1968" spans="1:1">
      <c r="A1968" s="149" t="s">
        <v>3912</v>
      </c>
    </row>
    <row r="1969" spans="1:1">
      <c r="A1969" s="149" t="s">
        <v>3913</v>
      </c>
    </row>
    <row r="1970" spans="1:1">
      <c r="A1970" s="149" t="s">
        <v>3914</v>
      </c>
    </row>
    <row r="1971" spans="1:1">
      <c r="A1971" s="149" t="s">
        <v>3915</v>
      </c>
    </row>
    <row r="1972" spans="1:1">
      <c r="A1972" s="149" t="s">
        <v>3916</v>
      </c>
    </row>
    <row r="1973" spans="1:1">
      <c r="A1973" s="149" t="s">
        <v>3917</v>
      </c>
    </row>
    <row r="1974" spans="1:1">
      <c r="A1974" s="149" t="s">
        <v>3918</v>
      </c>
    </row>
    <row r="1975" spans="1:1">
      <c r="A1975" s="149" t="s">
        <v>3919</v>
      </c>
    </row>
    <row r="1976" spans="1:1">
      <c r="A1976" s="149" t="s">
        <v>3920</v>
      </c>
    </row>
    <row r="1977" spans="1:1">
      <c r="A1977" s="149" t="s">
        <v>3921</v>
      </c>
    </row>
    <row r="1978" spans="1:1">
      <c r="A1978" s="149" t="s">
        <v>3922</v>
      </c>
    </row>
    <row r="1979" spans="1:1">
      <c r="A1979" s="149" t="s">
        <v>3923</v>
      </c>
    </row>
    <row r="1980" spans="1:1">
      <c r="A1980" s="149" t="s">
        <v>3924</v>
      </c>
    </row>
    <row r="1981" spans="1:1">
      <c r="A1981" s="149" t="s">
        <v>3925</v>
      </c>
    </row>
    <row r="1982" spans="1:1">
      <c r="A1982" s="149" t="s">
        <v>3926</v>
      </c>
    </row>
    <row r="1983" spans="1:1">
      <c r="A1983" s="149" t="s">
        <v>3927</v>
      </c>
    </row>
    <row r="1984" spans="1:1">
      <c r="A1984" s="149" t="s">
        <v>3928</v>
      </c>
    </row>
    <row r="1985" spans="1:1">
      <c r="A1985" s="149" t="s">
        <v>3929</v>
      </c>
    </row>
    <row r="1986" spans="1:1">
      <c r="A1986" s="149" t="s">
        <v>3930</v>
      </c>
    </row>
    <row r="1987" spans="1:1">
      <c r="A1987" s="149" t="s">
        <v>3931</v>
      </c>
    </row>
    <row r="1988" spans="1:1">
      <c r="A1988" s="149" t="s">
        <v>3932</v>
      </c>
    </row>
    <row r="1989" spans="1:1">
      <c r="A1989" s="149" t="s">
        <v>3933</v>
      </c>
    </row>
    <row r="1990" spans="1:1">
      <c r="A1990" s="149" t="s">
        <v>3934</v>
      </c>
    </row>
    <row r="1991" spans="1:1">
      <c r="A1991" s="149" t="s">
        <v>3935</v>
      </c>
    </row>
    <row r="1992" spans="1:1">
      <c r="A1992" s="149" t="s">
        <v>3936</v>
      </c>
    </row>
    <row r="1993" spans="1:1">
      <c r="A1993" s="149" t="s">
        <v>3937</v>
      </c>
    </row>
    <row r="1994" spans="1:1">
      <c r="A1994" s="149" t="s">
        <v>3938</v>
      </c>
    </row>
    <row r="1995" spans="1:1">
      <c r="A1995" s="149" t="s">
        <v>3939</v>
      </c>
    </row>
    <row r="1996" spans="1:1">
      <c r="A1996" s="149" t="s">
        <v>3940</v>
      </c>
    </row>
    <row r="1997" spans="1:1">
      <c r="A1997" s="149" t="s">
        <v>3941</v>
      </c>
    </row>
    <row r="1998" spans="1:1">
      <c r="A1998" s="149" t="s">
        <v>3942</v>
      </c>
    </row>
    <row r="1999" spans="1:1">
      <c r="A1999" s="149" t="s">
        <v>3943</v>
      </c>
    </row>
    <row r="2000" spans="1:1">
      <c r="A2000" s="149" t="s">
        <v>3944</v>
      </c>
    </row>
    <row r="2001" spans="1:1">
      <c r="A2001" s="149" t="s">
        <v>3945</v>
      </c>
    </row>
    <row r="2002" spans="1:1">
      <c r="A2002" s="149" t="s">
        <v>3946</v>
      </c>
    </row>
    <row r="2003" spans="1:1">
      <c r="A2003" s="149" t="s">
        <v>3947</v>
      </c>
    </row>
    <row r="2004" spans="1:1">
      <c r="A2004" s="149" t="s">
        <v>3948</v>
      </c>
    </row>
    <row r="2005" spans="1:1">
      <c r="A2005" s="149" t="s">
        <v>3949</v>
      </c>
    </row>
    <row r="2006" spans="1:1">
      <c r="A2006" s="149" t="s">
        <v>3950</v>
      </c>
    </row>
    <row r="2007" spans="1:1">
      <c r="A2007" s="149" t="s">
        <v>3951</v>
      </c>
    </row>
    <row r="2008" spans="1:1">
      <c r="A2008" s="149" t="s">
        <v>3952</v>
      </c>
    </row>
    <row r="2009" spans="1:1">
      <c r="A2009" s="149" t="s">
        <v>3953</v>
      </c>
    </row>
    <row r="2010" spans="1:1">
      <c r="A2010" s="149" t="s">
        <v>3954</v>
      </c>
    </row>
    <row r="2011" spans="1:1">
      <c r="A2011" s="149" t="s">
        <v>3955</v>
      </c>
    </row>
    <row r="2012" spans="1:1">
      <c r="A2012" s="149" t="s">
        <v>3956</v>
      </c>
    </row>
    <row r="2013" spans="1:1">
      <c r="A2013" s="149" t="s">
        <v>3957</v>
      </c>
    </row>
    <row r="2014" spans="1:1">
      <c r="A2014" s="149" t="s">
        <v>3958</v>
      </c>
    </row>
    <row r="2015" spans="1:1">
      <c r="A2015" s="149" t="s">
        <v>3959</v>
      </c>
    </row>
    <row r="2016" spans="1:1">
      <c r="A2016" s="149" t="s">
        <v>3960</v>
      </c>
    </row>
    <row r="2017" spans="1:1">
      <c r="A2017" s="149" t="s">
        <v>3961</v>
      </c>
    </row>
    <row r="2018" spans="1:1">
      <c r="A2018" s="149" t="s">
        <v>3962</v>
      </c>
    </row>
    <row r="2019" spans="1:1">
      <c r="A2019" s="149" t="s">
        <v>3963</v>
      </c>
    </row>
    <row r="2020" spans="1:1">
      <c r="A2020" s="149" t="s">
        <v>3964</v>
      </c>
    </row>
    <row r="2021" spans="1:1">
      <c r="A2021" s="149" t="s">
        <v>3965</v>
      </c>
    </row>
    <row r="2022" spans="1:1">
      <c r="A2022" s="149" t="s">
        <v>3966</v>
      </c>
    </row>
    <row r="2023" spans="1:1">
      <c r="A2023" s="149" t="s">
        <v>3967</v>
      </c>
    </row>
    <row r="2024" spans="1:1">
      <c r="A2024" s="149" t="s">
        <v>3968</v>
      </c>
    </row>
    <row r="2025" spans="1:1">
      <c r="A2025" s="149" t="s">
        <v>3969</v>
      </c>
    </row>
    <row r="2026" spans="1:1">
      <c r="A2026" s="149" t="s">
        <v>3970</v>
      </c>
    </row>
    <row r="2027" spans="1:1">
      <c r="A2027" s="149" t="s">
        <v>3971</v>
      </c>
    </row>
    <row r="2028" spans="1:1">
      <c r="A2028" s="149" t="s">
        <v>3972</v>
      </c>
    </row>
    <row r="2029" spans="1:1">
      <c r="A2029" s="149" t="s">
        <v>3973</v>
      </c>
    </row>
    <row r="2030" spans="1:1">
      <c r="A2030" s="149" t="s">
        <v>3974</v>
      </c>
    </row>
    <row r="2031" spans="1:1">
      <c r="A2031" s="149" t="s">
        <v>3975</v>
      </c>
    </row>
    <row r="2032" spans="1:1">
      <c r="A2032" s="149" t="s">
        <v>3976</v>
      </c>
    </row>
    <row r="2033" spans="1:1">
      <c r="A2033" s="149" t="s">
        <v>3977</v>
      </c>
    </row>
    <row r="2034" spans="1:1">
      <c r="A2034" s="149" t="s">
        <v>3978</v>
      </c>
    </row>
    <row r="2035" spans="1:1">
      <c r="A2035" s="149" t="s">
        <v>3979</v>
      </c>
    </row>
    <row r="2036" spans="1:1">
      <c r="A2036" s="149" t="s">
        <v>3980</v>
      </c>
    </row>
    <row r="2037" spans="1:1">
      <c r="A2037" s="149" t="s">
        <v>3981</v>
      </c>
    </row>
    <row r="2038" spans="1:1">
      <c r="A2038" s="149" t="s">
        <v>3982</v>
      </c>
    </row>
    <row r="2039" spans="1:1">
      <c r="A2039" s="149" t="s">
        <v>3983</v>
      </c>
    </row>
    <row r="2040" spans="1:1">
      <c r="A2040" s="149" t="s">
        <v>3984</v>
      </c>
    </row>
    <row r="2041" spans="1:1">
      <c r="A2041" s="149" t="s">
        <v>3985</v>
      </c>
    </row>
    <row r="2042" spans="1:1">
      <c r="A2042" s="149" t="s">
        <v>3986</v>
      </c>
    </row>
    <row r="2043" spans="1:1">
      <c r="A2043" s="149" t="s">
        <v>3987</v>
      </c>
    </row>
    <row r="2044" spans="1:1">
      <c r="A2044" s="149" t="s">
        <v>3988</v>
      </c>
    </row>
    <row r="2045" spans="1:1">
      <c r="A2045" s="149" t="s">
        <v>3989</v>
      </c>
    </row>
    <row r="2046" spans="1:1">
      <c r="A2046" s="149" t="s">
        <v>3990</v>
      </c>
    </row>
    <row r="2047" spans="1:1">
      <c r="A2047" s="149" t="s">
        <v>3991</v>
      </c>
    </row>
    <row r="2048" spans="1:1">
      <c r="A2048" s="149" t="s">
        <v>3992</v>
      </c>
    </row>
    <row r="2049" spans="1:1">
      <c r="A2049" s="149" t="s">
        <v>3993</v>
      </c>
    </row>
    <row r="2050" spans="1:1">
      <c r="A2050" s="149" t="s">
        <v>3994</v>
      </c>
    </row>
    <row r="2051" spans="1:1">
      <c r="A2051" s="149" t="s">
        <v>3995</v>
      </c>
    </row>
    <row r="2052" spans="1:1">
      <c r="A2052" s="149" t="s">
        <v>3996</v>
      </c>
    </row>
    <row r="2053" spans="1:1">
      <c r="A2053" s="149" t="s">
        <v>3997</v>
      </c>
    </row>
    <row r="2054" spans="1:1">
      <c r="A2054" s="149" t="s">
        <v>3998</v>
      </c>
    </row>
    <row r="2055" spans="1:1">
      <c r="A2055" s="149" t="s">
        <v>3999</v>
      </c>
    </row>
    <row r="2056" spans="1:1">
      <c r="A2056" s="149" t="s">
        <v>4000</v>
      </c>
    </row>
    <row r="2057" spans="1:1">
      <c r="A2057" s="149" t="s">
        <v>4001</v>
      </c>
    </row>
    <row r="2058" spans="1:1">
      <c r="A2058" s="149" t="s">
        <v>4002</v>
      </c>
    </row>
    <row r="2059" spans="1:1">
      <c r="A2059" s="149" t="s">
        <v>4003</v>
      </c>
    </row>
    <row r="2060" spans="1:1">
      <c r="A2060" s="149" t="s">
        <v>4004</v>
      </c>
    </row>
    <row r="2061" spans="1:1">
      <c r="A2061" s="149" t="s">
        <v>4005</v>
      </c>
    </row>
    <row r="2062" spans="1:1">
      <c r="A2062" s="149" t="s">
        <v>4006</v>
      </c>
    </row>
    <row r="2063" spans="1:1">
      <c r="A2063" s="149" t="s">
        <v>4007</v>
      </c>
    </row>
    <row r="2064" spans="1:1">
      <c r="A2064" s="149" t="s">
        <v>4008</v>
      </c>
    </row>
    <row r="2065" spans="1:1">
      <c r="A2065" s="149" t="s">
        <v>4009</v>
      </c>
    </row>
    <row r="2066" spans="1:1">
      <c r="A2066" s="149" t="s">
        <v>4010</v>
      </c>
    </row>
    <row r="2067" spans="1:1">
      <c r="A2067" s="149" t="s">
        <v>4011</v>
      </c>
    </row>
    <row r="2068" spans="1:1">
      <c r="A2068" s="149" t="s">
        <v>4012</v>
      </c>
    </row>
    <row r="2069" spans="1:1">
      <c r="A2069" s="149" t="s">
        <v>4013</v>
      </c>
    </row>
    <row r="2070" spans="1:1">
      <c r="A2070" s="149" t="s">
        <v>4014</v>
      </c>
    </row>
    <row r="2071" spans="1:1">
      <c r="A2071" s="149" t="s">
        <v>4015</v>
      </c>
    </row>
    <row r="2072" spans="1:1">
      <c r="A2072" s="149" t="s">
        <v>4016</v>
      </c>
    </row>
    <row r="2073" spans="1:1">
      <c r="A2073" s="149" t="s">
        <v>4017</v>
      </c>
    </row>
    <row r="2074" spans="1:1">
      <c r="A2074" s="149" t="s">
        <v>4018</v>
      </c>
    </row>
    <row r="2075" spans="1:1">
      <c r="A2075" s="149" t="s">
        <v>4019</v>
      </c>
    </row>
    <row r="2076" spans="1:1">
      <c r="A2076" s="149" t="s">
        <v>4020</v>
      </c>
    </row>
    <row r="2077" spans="1:1">
      <c r="A2077" s="149" t="s">
        <v>4021</v>
      </c>
    </row>
    <row r="2078" spans="1:1">
      <c r="A2078" s="149" t="s">
        <v>4022</v>
      </c>
    </row>
    <row r="2079" spans="1:1">
      <c r="A2079" s="149" t="s">
        <v>4023</v>
      </c>
    </row>
    <row r="2080" spans="1:1">
      <c r="A2080" s="149" t="s">
        <v>4024</v>
      </c>
    </row>
    <row r="2081" spans="1:1">
      <c r="A2081" s="149" t="s">
        <v>4025</v>
      </c>
    </row>
    <row r="2082" spans="1:1">
      <c r="A2082" s="149" t="s">
        <v>4026</v>
      </c>
    </row>
    <row r="2083" spans="1:1">
      <c r="A2083" s="149" t="s">
        <v>4027</v>
      </c>
    </row>
    <row r="2084" spans="1:1">
      <c r="A2084" s="149" t="s">
        <v>4028</v>
      </c>
    </row>
    <row r="2085" spans="1:1">
      <c r="A2085" s="149" t="s">
        <v>4029</v>
      </c>
    </row>
    <row r="2086" spans="1:1">
      <c r="A2086" s="149" t="s">
        <v>4030</v>
      </c>
    </row>
    <row r="2087" spans="1:1">
      <c r="A2087" s="149" t="s">
        <v>4031</v>
      </c>
    </row>
    <row r="2088" spans="1:1">
      <c r="A2088" s="149" t="s">
        <v>4032</v>
      </c>
    </row>
    <row r="2089" spans="1:1">
      <c r="A2089" s="149" t="s">
        <v>4033</v>
      </c>
    </row>
    <row r="2090" spans="1:1">
      <c r="A2090" s="149" t="s">
        <v>4034</v>
      </c>
    </row>
    <row r="2091" spans="1:1">
      <c r="A2091" s="149" t="s">
        <v>4035</v>
      </c>
    </row>
    <row r="2092" spans="1:1">
      <c r="A2092" s="149" t="s">
        <v>4036</v>
      </c>
    </row>
    <row r="2093" spans="1:1">
      <c r="A2093" s="149" t="s">
        <v>4037</v>
      </c>
    </row>
    <row r="2094" spans="1:1">
      <c r="A2094" s="149" t="s">
        <v>4038</v>
      </c>
    </row>
    <row r="2095" spans="1:1">
      <c r="A2095" s="149" t="s">
        <v>4039</v>
      </c>
    </row>
    <row r="2096" spans="1:1">
      <c r="A2096" s="149" t="s">
        <v>4040</v>
      </c>
    </row>
    <row r="2097" spans="1:1">
      <c r="A2097" s="149" t="s">
        <v>4041</v>
      </c>
    </row>
    <row r="2098" spans="1:1">
      <c r="A2098" s="149" t="s">
        <v>4042</v>
      </c>
    </row>
    <row r="2099" spans="1:1">
      <c r="A2099" s="149" t="s">
        <v>4043</v>
      </c>
    </row>
    <row r="2100" spans="1:1">
      <c r="A2100" s="149" t="s">
        <v>4044</v>
      </c>
    </row>
    <row r="2101" spans="1:1">
      <c r="A2101" s="149" t="s">
        <v>4045</v>
      </c>
    </row>
    <row r="2102" spans="1:1">
      <c r="A2102" s="149" t="s">
        <v>4046</v>
      </c>
    </row>
    <row r="2103" spans="1:1">
      <c r="A2103" s="149" t="s">
        <v>4047</v>
      </c>
    </row>
    <row r="2104" spans="1:1">
      <c r="A2104" s="149" t="s">
        <v>4048</v>
      </c>
    </row>
    <row r="2105" spans="1:1">
      <c r="A2105" s="149" t="s">
        <v>4049</v>
      </c>
    </row>
    <row r="2106" spans="1:1">
      <c r="A2106" s="149" t="s">
        <v>4050</v>
      </c>
    </row>
    <row r="2107" spans="1:1">
      <c r="A2107" s="149" t="s">
        <v>4051</v>
      </c>
    </row>
    <row r="2108" spans="1:1">
      <c r="A2108" s="149" t="s">
        <v>4052</v>
      </c>
    </row>
    <row r="2109" spans="1:1">
      <c r="A2109" s="149" t="s">
        <v>4053</v>
      </c>
    </row>
    <row r="2110" spans="1:1">
      <c r="A2110" s="149" t="s">
        <v>4054</v>
      </c>
    </row>
    <row r="2111" spans="1:1">
      <c r="A2111" s="149" t="s">
        <v>4055</v>
      </c>
    </row>
    <row r="2112" spans="1:1">
      <c r="A2112" s="149" t="s">
        <v>4056</v>
      </c>
    </row>
    <row r="2113" spans="1:1">
      <c r="A2113" s="149" t="s">
        <v>4057</v>
      </c>
    </row>
    <row r="2114" spans="1:1">
      <c r="A2114" s="149" t="s">
        <v>4058</v>
      </c>
    </row>
    <row r="2115" spans="1:1">
      <c r="A2115" s="149" t="s">
        <v>4059</v>
      </c>
    </row>
    <row r="2116" spans="1:1">
      <c r="A2116" s="149" t="s">
        <v>4060</v>
      </c>
    </row>
    <row r="2117" spans="1:1">
      <c r="A2117" s="149" t="s">
        <v>4061</v>
      </c>
    </row>
    <row r="2118" spans="1:1">
      <c r="A2118" s="149" t="s">
        <v>4062</v>
      </c>
    </row>
    <row r="2119" spans="1:1">
      <c r="A2119" s="149" t="s">
        <v>4063</v>
      </c>
    </row>
    <row r="2120" spans="1:1">
      <c r="A2120" s="149" t="s">
        <v>4064</v>
      </c>
    </row>
    <row r="2121" spans="1:1">
      <c r="A2121" s="149" t="s">
        <v>4065</v>
      </c>
    </row>
    <row r="2122" spans="1:1">
      <c r="A2122" s="149" t="s">
        <v>4066</v>
      </c>
    </row>
    <row r="2123" spans="1:1">
      <c r="A2123" s="149" t="s">
        <v>4067</v>
      </c>
    </row>
    <row r="2124" spans="1:1">
      <c r="A2124" s="149" t="s">
        <v>4068</v>
      </c>
    </row>
    <row r="2125" spans="1:1">
      <c r="A2125" s="149" t="s">
        <v>4069</v>
      </c>
    </row>
    <row r="2126" spans="1:1">
      <c r="A2126" s="149" t="s">
        <v>4070</v>
      </c>
    </row>
    <row r="2127" spans="1:1">
      <c r="A2127" s="149" t="s">
        <v>4071</v>
      </c>
    </row>
    <row r="2128" spans="1:1">
      <c r="A2128" s="149" t="s">
        <v>4072</v>
      </c>
    </row>
    <row r="2129" spans="1:1">
      <c r="A2129" s="149" t="s">
        <v>4073</v>
      </c>
    </row>
    <row r="2130" spans="1:1">
      <c r="A2130" s="149" t="s">
        <v>4074</v>
      </c>
    </row>
    <row r="2131" spans="1:1">
      <c r="A2131" s="149" t="s">
        <v>4075</v>
      </c>
    </row>
    <row r="2132" spans="1:1">
      <c r="A2132" s="149" t="s">
        <v>4076</v>
      </c>
    </row>
    <row r="2133" spans="1:1">
      <c r="A2133" s="149" t="s">
        <v>4077</v>
      </c>
    </row>
    <row r="2134" spans="1:1">
      <c r="A2134" s="149" t="s">
        <v>4078</v>
      </c>
    </row>
    <row r="2135" spans="1:1">
      <c r="A2135" s="149" t="s">
        <v>4079</v>
      </c>
    </row>
    <row r="2136" spans="1:1">
      <c r="A2136" s="149" t="s">
        <v>4080</v>
      </c>
    </row>
    <row r="2137" spans="1:1">
      <c r="A2137" s="149" t="s">
        <v>4081</v>
      </c>
    </row>
    <row r="2138" spans="1:1">
      <c r="A2138" s="149" t="s">
        <v>4082</v>
      </c>
    </row>
    <row r="2139" spans="1:1">
      <c r="A2139" s="149" t="s">
        <v>4083</v>
      </c>
    </row>
    <row r="2140" spans="1:1">
      <c r="A2140" s="149" t="s">
        <v>4084</v>
      </c>
    </row>
    <row r="2141" spans="1:1">
      <c r="A2141" s="149" t="s">
        <v>4085</v>
      </c>
    </row>
    <row r="2142" spans="1:1">
      <c r="A2142" s="149" t="s">
        <v>4086</v>
      </c>
    </row>
    <row r="2143" spans="1:1">
      <c r="A2143" s="149" t="s">
        <v>4087</v>
      </c>
    </row>
    <row r="2144" spans="1:1">
      <c r="A2144" s="149" t="s">
        <v>4088</v>
      </c>
    </row>
    <row r="2145" spans="1:1">
      <c r="A2145" s="149" t="s">
        <v>4089</v>
      </c>
    </row>
    <row r="2146" spans="1:1">
      <c r="A2146" s="149" t="s">
        <v>4090</v>
      </c>
    </row>
    <row r="2147" spans="1:1">
      <c r="A2147" s="149" t="s">
        <v>4091</v>
      </c>
    </row>
    <row r="2148" spans="1:1">
      <c r="A2148" s="149" t="s">
        <v>4092</v>
      </c>
    </row>
    <row r="2149" spans="1:1">
      <c r="A2149" s="149" t="s">
        <v>4093</v>
      </c>
    </row>
    <row r="2150" spans="1:1">
      <c r="A2150" s="149" t="s">
        <v>4094</v>
      </c>
    </row>
    <row r="2151" spans="1:1">
      <c r="A2151" s="149" t="s">
        <v>4095</v>
      </c>
    </row>
    <row r="2152" spans="1:1">
      <c r="A2152" s="149" t="s">
        <v>4096</v>
      </c>
    </row>
    <row r="2153" spans="1:1">
      <c r="A2153" s="149" t="s">
        <v>4097</v>
      </c>
    </row>
    <row r="2154" spans="1:1">
      <c r="A2154" s="149" t="s">
        <v>4098</v>
      </c>
    </row>
    <row r="2155" spans="1:1">
      <c r="A2155" s="149" t="s">
        <v>4099</v>
      </c>
    </row>
    <row r="2156" spans="1:1">
      <c r="A2156" s="149" t="s">
        <v>4100</v>
      </c>
    </row>
    <row r="2157" spans="1:1">
      <c r="A2157" s="149" t="s">
        <v>4101</v>
      </c>
    </row>
    <row r="2158" spans="1:1">
      <c r="A2158" s="149" t="s">
        <v>4102</v>
      </c>
    </row>
    <row r="2159" spans="1:1">
      <c r="A2159" s="149" t="s">
        <v>4103</v>
      </c>
    </row>
    <row r="2160" spans="1:1">
      <c r="A2160" s="149" t="s">
        <v>4104</v>
      </c>
    </row>
    <row r="2161" spans="1:1">
      <c r="A2161" s="149" t="s">
        <v>4105</v>
      </c>
    </row>
    <row r="2162" spans="1:1">
      <c r="A2162" s="149" t="s">
        <v>4106</v>
      </c>
    </row>
    <row r="2163" spans="1:1">
      <c r="A2163" s="149" t="s">
        <v>4107</v>
      </c>
    </row>
    <row r="2164" spans="1:1">
      <c r="A2164" s="149" t="s">
        <v>4108</v>
      </c>
    </row>
    <row r="2165" spans="1:1">
      <c r="A2165" s="149" t="s">
        <v>4109</v>
      </c>
    </row>
    <row r="2166" spans="1:1">
      <c r="A2166" s="149" t="s">
        <v>4110</v>
      </c>
    </row>
    <row r="2167" spans="1:1">
      <c r="A2167" s="149" t="s">
        <v>4111</v>
      </c>
    </row>
    <row r="2168" spans="1:1">
      <c r="A2168" s="149" t="s">
        <v>4112</v>
      </c>
    </row>
    <row r="2169" spans="1:1">
      <c r="A2169" s="149" t="s">
        <v>4113</v>
      </c>
    </row>
    <row r="2170" spans="1:1">
      <c r="A2170" s="149" t="s">
        <v>4114</v>
      </c>
    </row>
    <row r="2171" spans="1:1">
      <c r="A2171" s="149" t="s">
        <v>4115</v>
      </c>
    </row>
    <row r="2172" spans="1:1">
      <c r="A2172" s="149" t="s">
        <v>4116</v>
      </c>
    </row>
    <row r="2173" spans="1:1">
      <c r="A2173" s="149" t="s">
        <v>4117</v>
      </c>
    </row>
    <row r="2174" spans="1:1">
      <c r="A2174" s="149" t="s">
        <v>4118</v>
      </c>
    </row>
    <row r="2175" spans="1:1">
      <c r="A2175" s="149" t="s">
        <v>4119</v>
      </c>
    </row>
    <row r="2176" spans="1:1">
      <c r="A2176" s="149" t="s">
        <v>4120</v>
      </c>
    </row>
    <row r="2177" spans="1:1">
      <c r="A2177" s="149" t="s">
        <v>4121</v>
      </c>
    </row>
    <row r="2178" spans="1:1">
      <c r="A2178" s="149" t="s">
        <v>4122</v>
      </c>
    </row>
    <row r="2179" spans="1:1">
      <c r="A2179" s="149" t="s">
        <v>4123</v>
      </c>
    </row>
    <row r="2180" spans="1:1">
      <c r="A2180" s="149" t="s">
        <v>4124</v>
      </c>
    </row>
    <row r="2181" spans="1:1">
      <c r="A2181" s="149" t="s">
        <v>4125</v>
      </c>
    </row>
    <row r="2182" spans="1:1">
      <c r="A2182" s="149" t="s">
        <v>4126</v>
      </c>
    </row>
    <row r="2183" spans="1:1">
      <c r="A2183" s="149" t="s">
        <v>4127</v>
      </c>
    </row>
    <row r="2184" spans="1:1">
      <c r="A2184" s="149" t="s">
        <v>4128</v>
      </c>
    </row>
    <row r="2185" spans="1:1">
      <c r="A2185" s="149" t="s">
        <v>4129</v>
      </c>
    </row>
    <row r="2186" spans="1:1">
      <c r="A2186" s="149" t="s">
        <v>4130</v>
      </c>
    </row>
    <row r="2187" spans="1:1">
      <c r="A2187" s="149" t="s">
        <v>4131</v>
      </c>
    </row>
    <row r="2188" spans="1:1">
      <c r="A2188" s="149" t="s">
        <v>4132</v>
      </c>
    </row>
    <row r="2189" spans="1:1">
      <c r="A2189" s="149" t="s">
        <v>4133</v>
      </c>
    </row>
    <row r="2190" spans="1:1">
      <c r="A2190" s="149" t="s">
        <v>4134</v>
      </c>
    </row>
    <row r="2191" spans="1:1">
      <c r="A2191" s="149" t="s">
        <v>4135</v>
      </c>
    </row>
    <row r="2192" spans="1:1">
      <c r="A2192" s="149" t="s">
        <v>4136</v>
      </c>
    </row>
    <row r="2193" spans="1:1">
      <c r="A2193" s="149" t="s">
        <v>4137</v>
      </c>
    </row>
    <row r="2194" spans="1:1">
      <c r="A2194" s="149" t="s">
        <v>4138</v>
      </c>
    </row>
    <row r="2195" spans="1:1">
      <c r="A2195" s="149" t="s">
        <v>4139</v>
      </c>
    </row>
    <row r="2196" spans="1:1">
      <c r="A2196" s="149" t="s">
        <v>4140</v>
      </c>
    </row>
    <row r="2197" spans="1:1">
      <c r="A2197" s="149" t="s">
        <v>4141</v>
      </c>
    </row>
    <row r="2198" spans="1:1">
      <c r="A2198" s="149" t="s">
        <v>4142</v>
      </c>
    </row>
    <row r="2199" spans="1:1">
      <c r="A2199" s="149" t="s">
        <v>4143</v>
      </c>
    </row>
    <row r="2200" spans="1:1">
      <c r="A2200" s="149" t="s">
        <v>4144</v>
      </c>
    </row>
    <row r="2201" spans="1:1">
      <c r="A2201" s="149" t="s">
        <v>4145</v>
      </c>
    </row>
    <row r="2202" spans="1:1">
      <c r="A2202" s="149" t="s">
        <v>4146</v>
      </c>
    </row>
    <row r="2203" spans="1:1">
      <c r="A2203" s="149" t="s">
        <v>4147</v>
      </c>
    </row>
    <row r="2204" spans="1:1">
      <c r="A2204" s="149" t="s">
        <v>4148</v>
      </c>
    </row>
    <row r="2205" spans="1:1">
      <c r="A2205" s="149" t="s">
        <v>4149</v>
      </c>
    </row>
    <row r="2206" spans="1:1">
      <c r="A2206" s="149" t="s">
        <v>4150</v>
      </c>
    </row>
    <row r="2207" spans="1:1">
      <c r="A2207" s="149" t="s">
        <v>4151</v>
      </c>
    </row>
    <row r="2208" spans="1:1">
      <c r="A2208" s="149" t="s">
        <v>4152</v>
      </c>
    </row>
    <row r="2209" spans="1:1">
      <c r="A2209" s="149" t="s">
        <v>4153</v>
      </c>
    </row>
    <row r="2210" spans="1:1">
      <c r="A2210" s="149" t="s">
        <v>4154</v>
      </c>
    </row>
    <row r="2211" spans="1:1">
      <c r="A2211" s="149" t="s">
        <v>4155</v>
      </c>
    </row>
    <row r="2212" spans="1:1">
      <c r="A2212" s="149" t="s">
        <v>4156</v>
      </c>
    </row>
    <row r="2213" spans="1:1">
      <c r="A2213" s="149" t="s">
        <v>4157</v>
      </c>
    </row>
    <row r="2214" spans="1:1">
      <c r="A2214" s="149" t="s">
        <v>4158</v>
      </c>
    </row>
    <row r="2215" spans="1:1">
      <c r="A2215" s="149" t="s">
        <v>4159</v>
      </c>
    </row>
    <row r="2216" spans="1:1">
      <c r="A2216" s="149" t="s">
        <v>4160</v>
      </c>
    </row>
    <row r="2217" spans="1:1">
      <c r="A2217" s="149" t="s">
        <v>4161</v>
      </c>
    </row>
    <row r="2218" spans="1:1">
      <c r="A2218" s="149" t="s">
        <v>4162</v>
      </c>
    </row>
    <row r="2219" spans="1:1">
      <c r="A2219" s="149" t="s">
        <v>4163</v>
      </c>
    </row>
    <row r="2220" spans="1:1">
      <c r="A2220" s="149" t="s">
        <v>4164</v>
      </c>
    </row>
    <row r="2221" spans="1:1">
      <c r="A2221" s="149" t="s">
        <v>4165</v>
      </c>
    </row>
    <row r="2222" spans="1:1">
      <c r="A2222" s="149" t="s">
        <v>4166</v>
      </c>
    </row>
    <row r="2223" spans="1:1">
      <c r="A2223" s="149" t="s">
        <v>4167</v>
      </c>
    </row>
    <row r="2224" spans="1:1">
      <c r="A2224" s="149" t="s">
        <v>4168</v>
      </c>
    </row>
    <row r="2225" spans="1:1">
      <c r="A2225" s="149" t="s">
        <v>4169</v>
      </c>
    </row>
    <row r="2226" spans="1:1">
      <c r="A2226" s="149" t="s">
        <v>4170</v>
      </c>
    </row>
    <row r="2227" spans="1:1">
      <c r="A2227" s="149" t="s">
        <v>4171</v>
      </c>
    </row>
    <row r="2228" spans="1:1">
      <c r="A2228" s="149" t="s">
        <v>4172</v>
      </c>
    </row>
    <row r="2229" spans="1:1">
      <c r="A2229" s="149" t="s">
        <v>4173</v>
      </c>
    </row>
    <row r="2230" spans="1:1">
      <c r="A2230" s="149" t="s">
        <v>4174</v>
      </c>
    </row>
    <row r="2231" spans="1:1">
      <c r="A2231" s="149" t="s">
        <v>4175</v>
      </c>
    </row>
    <row r="2232" spans="1:1">
      <c r="A2232" s="149" t="s">
        <v>4176</v>
      </c>
    </row>
    <row r="2233" spans="1:1">
      <c r="A2233" s="149" t="s">
        <v>4177</v>
      </c>
    </row>
    <row r="2234" spans="1:1">
      <c r="A2234" s="149" t="s">
        <v>4178</v>
      </c>
    </row>
    <row r="2235" spans="1:1">
      <c r="A2235" s="149" t="s">
        <v>4179</v>
      </c>
    </row>
    <row r="2236" spans="1:1">
      <c r="A2236" s="149" t="s">
        <v>4180</v>
      </c>
    </row>
    <row r="2237" spans="1:1">
      <c r="A2237" s="149" t="s">
        <v>4181</v>
      </c>
    </row>
    <row r="2238" spans="1:1">
      <c r="A2238" s="149" t="s">
        <v>4182</v>
      </c>
    </row>
    <row r="2239" spans="1:1">
      <c r="A2239" s="149" t="s">
        <v>4183</v>
      </c>
    </row>
    <row r="2240" spans="1:1">
      <c r="A2240" s="149" t="s">
        <v>4184</v>
      </c>
    </row>
    <row r="2241" spans="1:1">
      <c r="A2241" s="149" t="s">
        <v>4185</v>
      </c>
    </row>
    <row r="2242" spans="1:1">
      <c r="A2242" s="149" t="s">
        <v>4186</v>
      </c>
    </row>
    <row r="2243" spans="1:1">
      <c r="A2243" s="149" t="s">
        <v>4187</v>
      </c>
    </row>
    <row r="2244" spans="1:1">
      <c r="A2244" s="149" t="s">
        <v>4188</v>
      </c>
    </row>
    <row r="2245" spans="1:1">
      <c r="A2245" s="149" t="s">
        <v>4189</v>
      </c>
    </row>
    <row r="2246" spans="1:1">
      <c r="A2246" s="149" t="s">
        <v>4190</v>
      </c>
    </row>
    <row r="2247" spans="1:1">
      <c r="A2247" s="149" t="s">
        <v>4191</v>
      </c>
    </row>
    <row r="2248" spans="1:1">
      <c r="A2248" s="149" t="s">
        <v>4192</v>
      </c>
    </row>
    <row r="2249" spans="1:1">
      <c r="A2249" s="149" t="s">
        <v>4193</v>
      </c>
    </row>
    <row r="2250" spans="1:1">
      <c r="A2250" s="149" t="s">
        <v>4194</v>
      </c>
    </row>
    <row r="2251" spans="1:1">
      <c r="A2251" s="149" t="s">
        <v>4195</v>
      </c>
    </row>
    <row r="2252" spans="1:1">
      <c r="A2252" s="149" t="s">
        <v>4196</v>
      </c>
    </row>
    <row r="2253" spans="1:1">
      <c r="A2253" s="149" t="s">
        <v>4197</v>
      </c>
    </row>
    <row r="2254" spans="1:1">
      <c r="A2254" s="149" t="s">
        <v>4198</v>
      </c>
    </row>
    <row r="2255" spans="1:1">
      <c r="A2255" s="149" t="s">
        <v>4199</v>
      </c>
    </row>
    <row r="2256" spans="1:1">
      <c r="A2256" s="149" t="s">
        <v>4200</v>
      </c>
    </row>
    <row r="2257" spans="1:1">
      <c r="A2257" s="149" t="s">
        <v>4201</v>
      </c>
    </row>
    <row r="2258" spans="1:1">
      <c r="A2258" s="149" t="s">
        <v>4202</v>
      </c>
    </row>
    <row r="2259" spans="1:1">
      <c r="A2259" s="149" t="s">
        <v>4203</v>
      </c>
    </row>
    <row r="2260" spans="1:1">
      <c r="A2260" s="149" t="s">
        <v>4204</v>
      </c>
    </row>
    <row r="2261" spans="1:1">
      <c r="A2261" s="149" t="s">
        <v>4205</v>
      </c>
    </row>
    <row r="2262" spans="1:1">
      <c r="A2262" s="149" t="s">
        <v>4206</v>
      </c>
    </row>
    <row r="2263" spans="1:1">
      <c r="A2263" s="149" t="s">
        <v>4207</v>
      </c>
    </row>
    <row r="2264" spans="1:1">
      <c r="A2264" s="149" t="s">
        <v>4208</v>
      </c>
    </row>
    <row r="2265" spans="1:1">
      <c r="A2265" s="149" t="s">
        <v>4209</v>
      </c>
    </row>
    <row r="2266" spans="1:1">
      <c r="A2266" s="149" t="s">
        <v>4210</v>
      </c>
    </row>
    <row r="2267" spans="1:1">
      <c r="A2267" s="149" t="s">
        <v>4211</v>
      </c>
    </row>
    <row r="2268" spans="1:1">
      <c r="A2268" s="149" t="s">
        <v>4212</v>
      </c>
    </row>
    <row r="2269" spans="1:1">
      <c r="A2269" s="149" t="s">
        <v>4213</v>
      </c>
    </row>
    <row r="2270" spans="1:1">
      <c r="A2270" s="149" t="s">
        <v>4214</v>
      </c>
    </row>
    <row r="2271" spans="1:1">
      <c r="A2271" s="149" t="s">
        <v>4215</v>
      </c>
    </row>
    <row r="2272" spans="1:1">
      <c r="A2272" s="149" t="s">
        <v>4216</v>
      </c>
    </row>
    <row r="2273" spans="1:1">
      <c r="A2273" s="149" t="s">
        <v>4217</v>
      </c>
    </row>
    <row r="2274" spans="1:1">
      <c r="A2274" s="149" t="s">
        <v>4218</v>
      </c>
    </row>
    <row r="2275" spans="1:1">
      <c r="A2275" s="149" t="s">
        <v>4219</v>
      </c>
    </row>
    <row r="2276" spans="1:1">
      <c r="A2276" s="149" t="s">
        <v>4220</v>
      </c>
    </row>
    <row r="2277" spans="1:1">
      <c r="A2277" s="149" t="s">
        <v>4221</v>
      </c>
    </row>
    <row r="2278" spans="1:1">
      <c r="A2278" s="149" t="s">
        <v>4222</v>
      </c>
    </row>
    <row r="2279" spans="1:1">
      <c r="A2279" s="149" t="s">
        <v>4223</v>
      </c>
    </row>
    <row r="2280" spans="1:1">
      <c r="A2280" s="149" t="s">
        <v>4224</v>
      </c>
    </row>
    <row r="2281" spans="1:1">
      <c r="A2281" s="149" t="s">
        <v>4225</v>
      </c>
    </row>
    <row r="2282" spans="1:1">
      <c r="A2282" s="149" t="s">
        <v>4226</v>
      </c>
    </row>
    <row r="2283" spans="1:1">
      <c r="A2283" s="149" t="s">
        <v>4227</v>
      </c>
    </row>
    <row r="2284" spans="1:1">
      <c r="A2284" s="149" t="s">
        <v>4228</v>
      </c>
    </row>
    <row r="2285" spans="1:1">
      <c r="A2285" s="149" t="s">
        <v>4229</v>
      </c>
    </row>
    <row r="2286" spans="1:1">
      <c r="A2286" s="149" t="s">
        <v>4230</v>
      </c>
    </row>
    <row r="2287" spans="1:1">
      <c r="A2287" s="149" t="s">
        <v>4231</v>
      </c>
    </row>
    <row r="2288" spans="1:1">
      <c r="A2288" s="149" t="s">
        <v>4232</v>
      </c>
    </row>
    <row r="2289" spans="1:1">
      <c r="A2289" s="149" t="s">
        <v>4233</v>
      </c>
    </row>
    <row r="2290" spans="1:1">
      <c r="A2290" s="149" t="s">
        <v>4234</v>
      </c>
    </row>
    <row r="2291" spans="1:1">
      <c r="A2291" s="149" t="s">
        <v>4235</v>
      </c>
    </row>
    <row r="2292" spans="1:1">
      <c r="A2292" s="149" t="s">
        <v>4236</v>
      </c>
    </row>
    <row r="2293" spans="1:1">
      <c r="A2293" s="149" t="s">
        <v>4237</v>
      </c>
    </row>
    <row r="2294" spans="1:1">
      <c r="A2294" s="149" t="s">
        <v>4238</v>
      </c>
    </row>
    <row r="2295" spans="1:1">
      <c r="A2295" s="149" t="s">
        <v>4239</v>
      </c>
    </row>
    <row r="2296" spans="1:1">
      <c r="A2296" s="149" t="s">
        <v>4240</v>
      </c>
    </row>
    <row r="2297" spans="1:1">
      <c r="A2297" s="149" t="s">
        <v>4241</v>
      </c>
    </row>
    <row r="2298" spans="1:1">
      <c r="A2298" s="149" t="s">
        <v>4242</v>
      </c>
    </row>
    <row r="2299" spans="1:1">
      <c r="A2299" s="149" t="s">
        <v>4243</v>
      </c>
    </row>
    <row r="2300" spans="1:1">
      <c r="A2300" s="149" t="s">
        <v>4244</v>
      </c>
    </row>
    <row r="2301" spans="1:1">
      <c r="A2301" s="149" t="s">
        <v>4245</v>
      </c>
    </row>
    <row r="2302" spans="1:1">
      <c r="A2302" s="149" t="s">
        <v>4246</v>
      </c>
    </row>
    <row r="2303" spans="1:1">
      <c r="A2303" s="149" t="s">
        <v>4247</v>
      </c>
    </row>
    <row r="2304" spans="1:1">
      <c r="A2304" s="149" t="s">
        <v>4248</v>
      </c>
    </row>
    <row r="2305" spans="1:1">
      <c r="A2305" s="149" t="s">
        <v>4249</v>
      </c>
    </row>
    <row r="2306" spans="1:1">
      <c r="A2306" s="149" t="s">
        <v>4250</v>
      </c>
    </row>
    <row r="2307" spans="1:1">
      <c r="A2307" s="149" t="s">
        <v>4251</v>
      </c>
    </row>
    <row r="2308" spans="1:1">
      <c r="A2308" s="149" t="s">
        <v>4252</v>
      </c>
    </row>
    <row r="2309" spans="1:1">
      <c r="A2309" s="149" t="s">
        <v>4253</v>
      </c>
    </row>
    <row r="2310" spans="1:1">
      <c r="A2310" s="149" t="s">
        <v>4254</v>
      </c>
    </row>
    <row r="2311" spans="1:1">
      <c r="A2311" s="149" t="s">
        <v>4255</v>
      </c>
    </row>
    <row r="2312" spans="1:1">
      <c r="A2312" s="149" t="s">
        <v>4256</v>
      </c>
    </row>
    <row r="2313" spans="1:1">
      <c r="A2313" s="149" t="s">
        <v>4257</v>
      </c>
    </row>
    <row r="2314" spans="1:1">
      <c r="A2314" s="149" t="s">
        <v>4258</v>
      </c>
    </row>
    <row r="2315" spans="1:1">
      <c r="A2315" s="149" t="s">
        <v>4259</v>
      </c>
    </row>
    <row r="2316" spans="1:1">
      <c r="A2316" s="149" t="s">
        <v>4260</v>
      </c>
    </row>
    <row r="2317" spans="1:1">
      <c r="A2317" s="149" t="s">
        <v>4261</v>
      </c>
    </row>
    <row r="2318" spans="1:1">
      <c r="A2318" s="149" t="s">
        <v>4262</v>
      </c>
    </row>
    <row r="2319" spans="1:1">
      <c r="A2319" s="149" t="s">
        <v>4263</v>
      </c>
    </row>
    <row r="2320" spans="1:1">
      <c r="A2320" s="149" t="s">
        <v>4264</v>
      </c>
    </row>
    <row r="2321" spans="1:1">
      <c r="A2321" s="149" t="s">
        <v>4265</v>
      </c>
    </row>
    <row r="2322" spans="1:1">
      <c r="A2322" s="149" t="s">
        <v>4266</v>
      </c>
    </row>
    <row r="2323" spans="1:1">
      <c r="A2323" s="149" t="s">
        <v>4267</v>
      </c>
    </row>
    <row r="2324" spans="1:1">
      <c r="A2324" s="149" t="s">
        <v>4268</v>
      </c>
    </row>
    <row r="2325" spans="1:1">
      <c r="A2325" s="149" t="s">
        <v>4269</v>
      </c>
    </row>
    <row r="2326" spans="1:1">
      <c r="A2326" s="149" t="s">
        <v>4270</v>
      </c>
    </row>
    <row r="2327" spans="1:1">
      <c r="A2327" s="149" t="s">
        <v>4271</v>
      </c>
    </row>
    <row r="2328" spans="1:1">
      <c r="A2328" s="149" t="s">
        <v>4272</v>
      </c>
    </row>
    <row r="2329" spans="1:1">
      <c r="A2329" s="149" t="s">
        <v>4273</v>
      </c>
    </row>
    <row r="2330" spans="1:1">
      <c r="A2330" s="149" t="s">
        <v>4274</v>
      </c>
    </row>
    <row r="2331" spans="1:1">
      <c r="A2331" s="149" t="s">
        <v>4275</v>
      </c>
    </row>
    <row r="2332" spans="1:1">
      <c r="A2332" s="149" t="s">
        <v>4276</v>
      </c>
    </row>
    <row r="2333" spans="1:1">
      <c r="A2333" s="149" t="s">
        <v>4277</v>
      </c>
    </row>
    <row r="2334" spans="1:1">
      <c r="A2334" s="149" t="s">
        <v>4278</v>
      </c>
    </row>
    <row r="2335" spans="1:1">
      <c r="A2335" s="149" t="s">
        <v>4279</v>
      </c>
    </row>
    <row r="2336" spans="1:1">
      <c r="A2336" s="149" t="s">
        <v>4280</v>
      </c>
    </row>
    <row r="2337" spans="1:1">
      <c r="A2337" s="149" t="s">
        <v>4281</v>
      </c>
    </row>
    <row r="2338" spans="1:1">
      <c r="A2338" s="149" t="s">
        <v>4282</v>
      </c>
    </row>
    <row r="2339" spans="1:1">
      <c r="A2339" s="149" t="s">
        <v>4283</v>
      </c>
    </row>
    <row r="2340" spans="1:1">
      <c r="A2340" s="149" t="s">
        <v>4284</v>
      </c>
    </row>
    <row r="2341" spans="1:1">
      <c r="A2341" s="149" t="s">
        <v>4285</v>
      </c>
    </row>
    <row r="2342" spans="1:1">
      <c r="A2342" s="149" t="s">
        <v>4286</v>
      </c>
    </row>
    <row r="2343" spans="1:1">
      <c r="A2343" s="149" t="s">
        <v>4287</v>
      </c>
    </row>
    <row r="2344" spans="1:1">
      <c r="A2344" s="149" t="s">
        <v>4288</v>
      </c>
    </row>
    <row r="2345" spans="1:1">
      <c r="A2345" s="149" t="s">
        <v>4289</v>
      </c>
    </row>
    <row r="2346" spans="1:1">
      <c r="A2346" s="149" t="s">
        <v>4290</v>
      </c>
    </row>
    <row r="2347" spans="1:1">
      <c r="A2347" s="149" t="s">
        <v>4291</v>
      </c>
    </row>
    <row r="2348" spans="1:1">
      <c r="A2348" s="149" t="s">
        <v>4292</v>
      </c>
    </row>
    <row r="2349" spans="1:1">
      <c r="A2349" s="149" t="s">
        <v>4293</v>
      </c>
    </row>
    <row r="2350" spans="1:1">
      <c r="A2350" s="149" t="s">
        <v>4294</v>
      </c>
    </row>
    <row r="2351" spans="1:1">
      <c r="A2351" s="149" t="s">
        <v>4295</v>
      </c>
    </row>
    <row r="2352" spans="1:1">
      <c r="A2352" s="149" t="s">
        <v>4296</v>
      </c>
    </row>
    <row r="2353" spans="1:1">
      <c r="A2353" s="149" t="s">
        <v>4297</v>
      </c>
    </row>
    <row r="2354" spans="1:1">
      <c r="A2354" s="149" t="s">
        <v>4298</v>
      </c>
    </row>
    <row r="2355" spans="1:1">
      <c r="A2355" s="149" t="s">
        <v>4299</v>
      </c>
    </row>
    <row r="2356" spans="1:1">
      <c r="A2356" s="149" t="s">
        <v>4300</v>
      </c>
    </row>
    <row r="2357" spans="1:1">
      <c r="A2357" s="149" t="s">
        <v>4301</v>
      </c>
    </row>
    <row r="2358" spans="1:1">
      <c r="A2358" s="149" t="s">
        <v>4302</v>
      </c>
    </row>
    <row r="2359" spans="1:1">
      <c r="A2359" s="149" t="s">
        <v>4303</v>
      </c>
    </row>
    <row r="2360" spans="1:1">
      <c r="A2360" s="149" t="s">
        <v>4304</v>
      </c>
    </row>
    <row r="2361" spans="1:1">
      <c r="A2361" s="149" t="s">
        <v>4305</v>
      </c>
    </row>
    <row r="2362" spans="1:1">
      <c r="A2362" s="149" t="s">
        <v>4306</v>
      </c>
    </row>
    <row r="2363" spans="1:1">
      <c r="A2363" s="149" t="s">
        <v>4307</v>
      </c>
    </row>
    <row r="2364" spans="1:1">
      <c r="A2364" s="149" t="s">
        <v>4308</v>
      </c>
    </row>
    <row r="2365" spans="1:1">
      <c r="A2365" s="149" t="s">
        <v>4309</v>
      </c>
    </row>
    <row r="2366" spans="1:1">
      <c r="A2366" s="149" t="s">
        <v>4310</v>
      </c>
    </row>
    <row r="2367" spans="1:1">
      <c r="A2367" s="149" t="s">
        <v>4311</v>
      </c>
    </row>
    <row r="2368" spans="1:1">
      <c r="A2368" s="149" t="s">
        <v>4312</v>
      </c>
    </row>
    <row r="2369" spans="1:1">
      <c r="A2369" s="149" t="s">
        <v>4313</v>
      </c>
    </row>
    <row r="2370" spans="1:1">
      <c r="A2370" s="149" t="s">
        <v>4314</v>
      </c>
    </row>
    <row r="2371" spans="1:1">
      <c r="A2371" s="149" t="s">
        <v>4315</v>
      </c>
    </row>
    <row r="2372" spans="1:1">
      <c r="A2372" s="149" t="s">
        <v>4316</v>
      </c>
    </row>
    <row r="2373" spans="1:1">
      <c r="A2373" s="149" t="s">
        <v>4317</v>
      </c>
    </row>
    <row r="2374" spans="1:1">
      <c r="A2374" s="149" t="s">
        <v>4318</v>
      </c>
    </row>
    <row r="2375" spans="1:1">
      <c r="A2375" s="149" t="s">
        <v>4319</v>
      </c>
    </row>
    <row r="2376" spans="1:1">
      <c r="A2376" s="149" t="s">
        <v>4320</v>
      </c>
    </row>
    <row r="2377" spans="1:1">
      <c r="A2377" s="149" t="s">
        <v>4321</v>
      </c>
    </row>
    <row r="2378" spans="1:1">
      <c r="A2378" s="149" t="s">
        <v>4322</v>
      </c>
    </row>
    <row r="2379" spans="1:1">
      <c r="A2379" s="149" t="s">
        <v>4323</v>
      </c>
    </row>
    <row r="2380" spans="1:1">
      <c r="A2380" s="149" t="s">
        <v>4324</v>
      </c>
    </row>
    <row r="2381" spans="1:1">
      <c r="A2381" s="149" t="s">
        <v>4325</v>
      </c>
    </row>
    <row r="2382" spans="1:1">
      <c r="A2382" s="149" t="s">
        <v>4326</v>
      </c>
    </row>
    <row r="2383" spans="1:1">
      <c r="A2383" s="149" t="s">
        <v>4327</v>
      </c>
    </row>
    <row r="2384" spans="1:1">
      <c r="A2384" s="149" t="s">
        <v>4328</v>
      </c>
    </row>
    <row r="2385" spans="1:1">
      <c r="A2385" s="149" t="s">
        <v>4329</v>
      </c>
    </row>
    <row r="2386" spans="1:1">
      <c r="A2386" s="149" t="s">
        <v>4330</v>
      </c>
    </row>
    <row r="2387" spans="1:1">
      <c r="A2387" s="149" t="s">
        <v>4331</v>
      </c>
    </row>
    <row r="2388" spans="1:1">
      <c r="A2388" s="149" t="s">
        <v>4332</v>
      </c>
    </row>
    <row r="2389" spans="1:1">
      <c r="A2389" s="149" t="s">
        <v>4333</v>
      </c>
    </row>
    <row r="2390" spans="1:1">
      <c r="A2390" s="149" t="s">
        <v>4334</v>
      </c>
    </row>
    <row r="2391" spans="1:1">
      <c r="A2391" s="149" t="s">
        <v>4335</v>
      </c>
    </row>
    <row r="2392" spans="1:1">
      <c r="A2392" s="149" t="s">
        <v>4336</v>
      </c>
    </row>
    <row r="2393" spans="1:1">
      <c r="A2393" s="149" t="s">
        <v>4337</v>
      </c>
    </row>
    <row r="2394" spans="1:1">
      <c r="A2394" s="149" t="s">
        <v>4338</v>
      </c>
    </row>
    <row r="2395" spans="1:1">
      <c r="A2395" s="149" t="s">
        <v>4339</v>
      </c>
    </row>
    <row r="2396" spans="1:1">
      <c r="A2396" s="149" t="s">
        <v>4340</v>
      </c>
    </row>
    <row r="2397" spans="1:1">
      <c r="A2397" s="149" t="s">
        <v>4341</v>
      </c>
    </row>
    <row r="2398" spans="1:1">
      <c r="A2398" s="149" t="s">
        <v>4342</v>
      </c>
    </row>
    <row r="2399" spans="1:1">
      <c r="A2399" s="149" t="s">
        <v>4343</v>
      </c>
    </row>
    <row r="2400" spans="1:1">
      <c r="A2400" s="149" t="s">
        <v>4344</v>
      </c>
    </row>
    <row r="2401" spans="1:1">
      <c r="A2401" s="149" t="s">
        <v>4345</v>
      </c>
    </row>
    <row r="2402" spans="1:1">
      <c r="A2402" s="149" t="s">
        <v>4346</v>
      </c>
    </row>
    <row r="2403" spans="1:1">
      <c r="A2403" s="149" t="s">
        <v>4347</v>
      </c>
    </row>
    <row r="2404" spans="1:1">
      <c r="A2404" s="149" t="s">
        <v>4348</v>
      </c>
    </row>
    <row r="2405" spans="1:1">
      <c r="A2405" s="149" t="s">
        <v>4349</v>
      </c>
    </row>
    <row r="2406" spans="1:1">
      <c r="A2406" s="149" t="s">
        <v>4350</v>
      </c>
    </row>
    <row r="2407" spans="1:1">
      <c r="A2407" s="149" t="s">
        <v>4351</v>
      </c>
    </row>
    <row r="2408" spans="1:1">
      <c r="A2408" s="149" t="s">
        <v>4352</v>
      </c>
    </row>
    <row r="2409" spans="1:1">
      <c r="A2409" s="149" t="s">
        <v>4353</v>
      </c>
    </row>
    <row r="2410" spans="1:1">
      <c r="A2410" s="149" t="s">
        <v>4354</v>
      </c>
    </row>
    <row r="2411" spans="1:1">
      <c r="A2411" s="149" t="s">
        <v>4355</v>
      </c>
    </row>
    <row r="2412" spans="1:1">
      <c r="A2412" s="149" t="s">
        <v>4356</v>
      </c>
    </row>
    <row r="2413" spans="1:1">
      <c r="A2413" s="149" t="s">
        <v>4357</v>
      </c>
    </row>
    <row r="2414" spans="1:1">
      <c r="A2414" s="149" t="s">
        <v>4358</v>
      </c>
    </row>
    <row r="2415" spans="1:1">
      <c r="A2415" s="149" t="s">
        <v>4359</v>
      </c>
    </row>
    <row r="2416" spans="1:1">
      <c r="A2416" s="149" t="s">
        <v>4360</v>
      </c>
    </row>
    <row r="2417" spans="1:1">
      <c r="A2417" s="149" t="s">
        <v>4361</v>
      </c>
    </row>
    <row r="2418" spans="1:1">
      <c r="A2418" s="149" t="s">
        <v>4362</v>
      </c>
    </row>
    <row r="2419" spans="1:1">
      <c r="A2419" s="149" t="s">
        <v>4363</v>
      </c>
    </row>
    <row r="2420" spans="1:1">
      <c r="A2420" s="149" t="s">
        <v>4364</v>
      </c>
    </row>
    <row r="2421" spans="1:1">
      <c r="A2421" s="149" t="s">
        <v>4365</v>
      </c>
    </row>
    <row r="2422" spans="1:1">
      <c r="A2422" s="149" t="s">
        <v>4366</v>
      </c>
    </row>
    <row r="2423" spans="1:1">
      <c r="A2423" s="149" t="s">
        <v>4367</v>
      </c>
    </row>
    <row r="2424" spans="1:1">
      <c r="A2424" s="149" t="s">
        <v>4368</v>
      </c>
    </row>
    <row r="2425" spans="1:1">
      <c r="A2425" s="149" t="s">
        <v>4369</v>
      </c>
    </row>
    <row r="2426" spans="1:1">
      <c r="A2426" s="149" t="s">
        <v>4370</v>
      </c>
    </row>
    <row r="2427" spans="1:1">
      <c r="A2427" s="149" t="s">
        <v>4371</v>
      </c>
    </row>
    <row r="2428" spans="1:1">
      <c r="A2428" s="149" t="s">
        <v>4372</v>
      </c>
    </row>
    <row r="2429" spans="1:1">
      <c r="A2429" s="149" t="s">
        <v>4373</v>
      </c>
    </row>
    <row r="2430" spans="1:1">
      <c r="A2430" s="149" t="s">
        <v>4374</v>
      </c>
    </row>
    <row r="2431" spans="1:1">
      <c r="A2431" s="149" t="s">
        <v>4375</v>
      </c>
    </row>
    <row r="2432" spans="1:1">
      <c r="A2432" s="149" t="s">
        <v>4376</v>
      </c>
    </row>
    <row r="2433" spans="1:1">
      <c r="A2433" s="149" t="s">
        <v>4377</v>
      </c>
    </row>
    <row r="2434" spans="1:1">
      <c r="A2434" s="149" t="s">
        <v>4378</v>
      </c>
    </row>
    <row r="2435" spans="1:1">
      <c r="A2435" s="149" t="s">
        <v>4379</v>
      </c>
    </row>
    <row r="2436" spans="1:1">
      <c r="A2436" s="149" t="s">
        <v>4380</v>
      </c>
    </row>
    <row r="2437" spans="1:1">
      <c r="A2437" s="149" t="s">
        <v>4381</v>
      </c>
    </row>
    <row r="2438" spans="1:1">
      <c r="A2438" s="149" t="s">
        <v>4382</v>
      </c>
    </row>
    <row r="2439" spans="1:1">
      <c r="A2439" s="149" t="s">
        <v>4383</v>
      </c>
    </row>
    <row r="2440" spans="1:1">
      <c r="A2440" s="149" t="s">
        <v>4384</v>
      </c>
    </row>
    <row r="2441" spans="1:1">
      <c r="A2441" s="149" t="s">
        <v>4385</v>
      </c>
    </row>
    <row r="2442" spans="1:1">
      <c r="A2442" s="149" t="s">
        <v>4386</v>
      </c>
    </row>
    <row r="2443" spans="1:1">
      <c r="A2443" s="149" t="s">
        <v>4387</v>
      </c>
    </row>
    <row r="2444" spans="1:1">
      <c r="A2444" s="149" t="s">
        <v>4388</v>
      </c>
    </row>
    <row r="2445" spans="1:1">
      <c r="A2445" s="149" t="s">
        <v>4389</v>
      </c>
    </row>
    <row r="2446" spans="1:1">
      <c r="A2446" s="149" t="s">
        <v>4390</v>
      </c>
    </row>
    <row r="2447" spans="1:1">
      <c r="A2447" s="149" t="s">
        <v>4391</v>
      </c>
    </row>
    <row r="2448" spans="1:1">
      <c r="A2448" s="149" t="s">
        <v>4392</v>
      </c>
    </row>
    <row r="2449" spans="1:1">
      <c r="A2449" s="149" t="s">
        <v>4393</v>
      </c>
    </row>
    <row r="2450" spans="1:1">
      <c r="A2450" s="149" t="s">
        <v>4394</v>
      </c>
    </row>
    <row r="2451" spans="1:1">
      <c r="A2451" s="149" t="s">
        <v>4395</v>
      </c>
    </row>
    <row r="2452" spans="1:1">
      <c r="A2452" s="149" t="s">
        <v>4396</v>
      </c>
    </row>
    <row r="2453" spans="1:1">
      <c r="A2453" s="149" t="s">
        <v>4397</v>
      </c>
    </row>
    <row r="2454" spans="1:1">
      <c r="A2454" s="149" t="s">
        <v>4398</v>
      </c>
    </row>
    <row r="2455" spans="1:1">
      <c r="A2455" s="149" t="s">
        <v>4399</v>
      </c>
    </row>
    <row r="2456" spans="1:1">
      <c r="A2456" s="149" t="s">
        <v>4400</v>
      </c>
    </row>
    <row r="2457" spans="1:1">
      <c r="A2457" s="149" t="s">
        <v>4401</v>
      </c>
    </row>
    <row r="2458" spans="1:1">
      <c r="A2458" s="149" t="s">
        <v>4402</v>
      </c>
    </row>
    <row r="2459" spans="1:1">
      <c r="A2459" s="149" t="s">
        <v>4403</v>
      </c>
    </row>
    <row r="2460" spans="1:1">
      <c r="A2460" s="149" t="s">
        <v>4404</v>
      </c>
    </row>
    <row r="2461" spans="1:1">
      <c r="A2461" s="149" t="s">
        <v>4405</v>
      </c>
    </row>
    <row r="2462" spans="1:1">
      <c r="A2462" s="149" t="s">
        <v>4406</v>
      </c>
    </row>
    <row r="2463" spans="1:1">
      <c r="A2463" s="149" t="s">
        <v>4407</v>
      </c>
    </row>
    <row r="2464" spans="1:1">
      <c r="A2464" s="149" t="s">
        <v>4408</v>
      </c>
    </row>
    <row r="2465" spans="1:1">
      <c r="A2465" s="149" t="s">
        <v>4409</v>
      </c>
    </row>
    <row r="2466" spans="1:1">
      <c r="A2466" s="149" t="s">
        <v>4410</v>
      </c>
    </row>
    <row r="2467" spans="1:1">
      <c r="A2467" s="149" t="s">
        <v>4411</v>
      </c>
    </row>
    <row r="2468" spans="1:1">
      <c r="A2468" s="149" t="s">
        <v>4412</v>
      </c>
    </row>
    <row r="2469" spans="1:1">
      <c r="A2469" s="149" t="s">
        <v>4413</v>
      </c>
    </row>
    <row r="2470" spans="1:1">
      <c r="A2470" s="149" t="s">
        <v>4414</v>
      </c>
    </row>
    <row r="2471" spans="1:1">
      <c r="A2471" s="149" t="s">
        <v>4415</v>
      </c>
    </row>
    <row r="2472" spans="1:1">
      <c r="A2472" s="149" t="s">
        <v>4416</v>
      </c>
    </row>
    <row r="2473" spans="1:1">
      <c r="A2473" s="149" t="s">
        <v>4417</v>
      </c>
    </row>
    <row r="2474" spans="1:1">
      <c r="A2474" s="149" t="s">
        <v>4418</v>
      </c>
    </row>
    <row r="2475" spans="1:1">
      <c r="A2475" s="149" t="s">
        <v>4419</v>
      </c>
    </row>
    <row r="2476" spans="1:1">
      <c r="A2476" s="149" t="s">
        <v>4420</v>
      </c>
    </row>
    <row r="2477" spans="1:1">
      <c r="A2477" s="149" t="s">
        <v>4421</v>
      </c>
    </row>
    <row r="2478" spans="1:1">
      <c r="A2478" s="149" t="s">
        <v>4422</v>
      </c>
    </row>
    <row r="2479" spans="1:1">
      <c r="A2479" s="149" t="s">
        <v>4423</v>
      </c>
    </row>
    <row r="2480" spans="1:1">
      <c r="A2480" s="149" t="s">
        <v>4424</v>
      </c>
    </row>
    <row r="2481" spans="1:1">
      <c r="A2481" s="149" t="s">
        <v>4425</v>
      </c>
    </row>
    <row r="2482" spans="1:1">
      <c r="A2482" s="149" t="s">
        <v>4426</v>
      </c>
    </row>
    <row r="2483" spans="1:1">
      <c r="A2483" s="149" t="s">
        <v>4427</v>
      </c>
    </row>
    <row r="2484" spans="1:1">
      <c r="A2484" s="149" t="s">
        <v>4428</v>
      </c>
    </row>
    <row r="2485" spans="1:1">
      <c r="A2485" s="149" t="s">
        <v>4429</v>
      </c>
    </row>
    <row r="2486" spans="1:1">
      <c r="A2486" s="149" t="s">
        <v>4430</v>
      </c>
    </row>
    <row r="2487" spans="1:1">
      <c r="A2487" s="149" t="s">
        <v>4431</v>
      </c>
    </row>
    <row r="2488" spans="1:1">
      <c r="A2488" s="149" t="s">
        <v>4432</v>
      </c>
    </row>
    <row r="2489" spans="1:1">
      <c r="A2489" s="149" t="s">
        <v>4433</v>
      </c>
    </row>
    <row r="2490" spans="1:1">
      <c r="A2490" s="149" t="s">
        <v>4434</v>
      </c>
    </row>
    <row r="2491" spans="1:1">
      <c r="A2491" s="149" t="s">
        <v>4435</v>
      </c>
    </row>
    <row r="2492" spans="1:1">
      <c r="A2492" s="149" t="s">
        <v>4436</v>
      </c>
    </row>
    <row r="2493" spans="1:1">
      <c r="A2493" s="149" t="s">
        <v>4437</v>
      </c>
    </row>
    <row r="2494" spans="1:1">
      <c r="A2494" s="149" t="s">
        <v>4438</v>
      </c>
    </row>
    <row r="2495" spans="1:1">
      <c r="A2495" s="149" t="s">
        <v>4439</v>
      </c>
    </row>
    <row r="2496" spans="1:1">
      <c r="A2496" s="149" t="s">
        <v>4440</v>
      </c>
    </row>
    <row r="2497" spans="1:1">
      <c r="A2497" s="149" t="s">
        <v>4441</v>
      </c>
    </row>
    <row r="2498" spans="1:1">
      <c r="A2498" s="149" t="s">
        <v>4442</v>
      </c>
    </row>
    <row r="2499" spans="1:1">
      <c r="A2499" s="149" t="s">
        <v>4443</v>
      </c>
    </row>
    <row r="2500" spans="1:1">
      <c r="A2500" s="149" t="s">
        <v>4444</v>
      </c>
    </row>
    <row r="2501" spans="1:1">
      <c r="A2501" s="149" t="s">
        <v>4445</v>
      </c>
    </row>
    <row r="2502" spans="1:1">
      <c r="A2502" s="149" t="s">
        <v>4446</v>
      </c>
    </row>
    <row r="2503" spans="1:1">
      <c r="A2503" s="149" t="s">
        <v>4447</v>
      </c>
    </row>
    <row r="2504" spans="1:1">
      <c r="A2504" s="149" t="s">
        <v>4448</v>
      </c>
    </row>
    <row r="2505" spans="1:1">
      <c r="A2505" s="149" t="s">
        <v>4449</v>
      </c>
    </row>
    <row r="2506" spans="1:1">
      <c r="A2506" s="149" t="s">
        <v>4450</v>
      </c>
    </row>
    <row r="2507" spans="1:1">
      <c r="A2507" s="149" t="s">
        <v>4451</v>
      </c>
    </row>
    <row r="2508" spans="1:1">
      <c r="A2508" s="149" t="s">
        <v>4452</v>
      </c>
    </row>
    <row r="2509" spans="1:1">
      <c r="A2509" s="149" t="s">
        <v>4453</v>
      </c>
    </row>
    <row r="2510" spans="1:1">
      <c r="A2510" s="149" t="s">
        <v>4454</v>
      </c>
    </row>
    <row r="2511" spans="1:1">
      <c r="A2511" s="149" t="s">
        <v>4455</v>
      </c>
    </row>
    <row r="2512" spans="1:1">
      <c r="A2512" s="149" t="s">
        <v>4456</v>
      </c>
    </row>
    <row r="2513" spans="1:1">
      <c r="A2513" s="149" t="s">
        <v>4457</v>
      </c>
    </row>
    <row r="2514" spans="1:1">
      <c r="A2514" s="149" t="s">
        <v>4458</v>
      </c>
    </row>
    <row r="2515" spans="1:1">
      <c r="A2515" s="149" t="s">
        <v>4459</v>
      </c>
    </row>
    <row r="2516" spans="1:1">
      <c r="A2516" s="149" t="s">
        <v>4460</v>
      </c>
    </row>
    <row r="2517" spans="1:1">
      <c r="A2517" s="149" t="s">
        <v>4461</v>
      </c>
    </row>
    <row r="2518" spans="1:1">
      <c r="A2518" s="149" t="s">
        <v>4462</v>
      </c>
    </row>
    <row r="2519" spans="1:1">
      <c r="A2519" s="149" t="s">
        <v>4463</v>
      </c>
    </row>
    <row r="2520" spans="1:1">
      <c r="A2520" s="149" t="s">
        <v>4464</v>
      </c>
    </row>
    <row r="2521" spans="1:1">
      <c r="A2521" s="149" t="s">
        <v>4465</v>
      </c>
    </row>
    <row r="2522" spans="1:1">
      <c r="A2522" s="149" t="s">
        <v>4466</v>
      </c>
    </row>
    <row r="2523" spans="1:1">
      <c r="A2523" s="149" t="s">
        <v>4467</v>
      </c>
    </row>
    <row r="2524" spans="1:1">
      <c r="A2524" s="149" t="s">
        <v>4468</v>
      </c>
    </row>
    <row r="2525" spans="1:1">
      <c r="A2525" s="149" t="s">
        <v>4469</v>
      </c>
    </row>
    <row r="2526" spans="1:1">
      <c r="A2526" s="149" t="s">
        <v>4470</v>
      </c>
    </row>
    <row r="2527" spans="1:1">
      <c r="A2527" s="149" t="s">
        <v>4471</v>
      </c>
    </row>
    <row r="2528" spans="1:1">
      <c r="A2528" s="149" t="s">
        <v>4472</v>
      </c>
    </row>
    <row r="2529" spans="1:1">
      <c r="A2529" s="149" t="s">
        <v>4473</v>
      </c>
    </row>
    <row r="2530" spans="1:1">
      <c r="A2530" s="149" t="s">
        <v>4474</v>
      </c>
    </row>
    <row r="2531" spans="1:1">
      <c r="A2531" s="149" t="s">
        <v>4475</v>
      </c>
    </row>
    <row r="2532" spans="1:1">
      <c r="A2532" s="149" t="s">
        <v>4476</v>
      </c>
    </row>
    <row r="2533" spans="1:1">
      <c r="A2533" s="149" t="s">
        <v>4477</v>
      </c>
    </row>
    <row r="2534" spans="1:1">
      <c r="A2534" s="149" t="s">
        <v>4478</v>
      </c>
    </row>
    <row r="2535" spans="1:1">
      <c r="A2535" s="149" t="s">
        <v>4479</v>
      </c>
    </row>
    <row r="2536" spans="1:1">
      <c r="A2536" s="149" t="s">
        <v>4480</v>
      </c>
    </row>
    <row r="2537" spans="1:1">
      <c r="A2537" s="149" t="s">
        <v>4481</v>
      </c>
    </row>
    <row r="2538" spans="1:1">
      <c r="A2538" s="149" t="s">
        <v>4482</v>
      </c>
    </row>
    <row r="2539" spans="1:1">
      <c r="A2539" s="149" t="s">
        <v>4483</v>
      </c>
    </row>
    <row r="2540" spans="1:1">
      <c r="A2540" s="149" t="s">
        <v>4484</v>
      </c>
    </row>
    <row r="2541" spans="1:1">
      <c r="A2541" s="149" t="s">
        <v>4485</v>
      </c>
    </row>
    <row r="2542" spans="1:1">
      <c r="A2542" s="149" t="s">
        <v>4486</v>
      </c>
    </row>
    <row r="2543" spans="1:1">
      <c r="A2543" s="149" t="s">
        <v>4487</v>
      </c>
    </row>
    <row r="2544" spans="1:1">
      <c r="A2544" s="149" t="s">
        <v>4488</v>
      </c>
    </row>
    <row r="2545" spans="1:1">
      <c r="A2545" s="149" t="s">
        <v>4489</v>
      </c>
    </row>
    <row r="2546" spans="1:1">
      <c r="A2546" s="149" t="s">
        <v>4490</v>
      </c>
    </row>
    <row r="2547" spans="1:1">
      <c r="A2547" s="149" t="s">
        <v>4491</v>
      </c>
    </row>
    <row r="2548" spans="1:1">
      <c r="A2548" s="149" t="s">
        <v>4492</v>
      </c>
    </row>
    <row r="2549" spans="1:1">
      <c r="A2549" s="149" t="s">
        <v>4493</v>
      </c>
    </row>
    <row r="2550" spans="1:1">
      <c r="A2550" s="149" t="s">
        <v>4494</v>
      </c>
    </row>
    <row r="2551" spans="1:1">
      <c r="A2551" s="149" t="s">
        <v>4495</v>
      </c>
    </row>
    <row r="2552" spans="1:1">
      <c r="A2552" s="149" t="s">
        <v>4496</v>
      </c>
    </row>
    <row r="2553" spans="1:1">
      <c r="A2553" s="149" t="s">
        <v>4497</v>
      </c>
    </row>
    <row r="2554" spans="1:1">
      <c r="A2554" s="149" t="s">
        <v>4498</v>
      </c>
    </row>
    <row r="2555" spans="1:1">
      <c r="A2555" s="149" t="s">
        <v>4499</v>
      </c>
    </row>
    <row r="2556" spans="1:1">
      <c r="A2556" s="149" t="s">
        <v>4500</v>
      </c>
    </row>
    <row r="2557" spans="1:1">
      <c r="A2557" s="149" t="s">
        <v>4501</v>
      </c>
    </row>
    <row r="2558" spans="1:1">
      <c r="A2558" s="149" t="s">
        <v>4502</v>
      </c>
    </row>
    <row r="2559" spans="1:1">
      <c r="A2559" s="149" t="s">
        <v>4503</v>
      </c>
    </row>
    <row r="2560" spans="1:1">
      <c r="A2560" s="149" t="s">
        <v>4504</v>
      </c>
    </row>
    <row r="2561" spans="1:1">
      <c r="A2561" s="149" t="s">
        <v>4505</v>
      </c>
    </row>
    <row r="2562" spans="1:1">
      <c r="A2562" s="149" t="s">
        <v>4506</v>
      </c>
    </row>
    <row r="2563" spans="1:1">
      <c r="A2563" s="149" t="s">
        <v>4507</v>
      </c>
    </row>
    <row r="2564" spans="1:1">
      <c r="A2564" s="149" t="s">
        <v>4508</v>
      </c>
    </row>
    <row r="2565" spans="1:1">
      <c r="A2565" s="149" t="s">
        <v>4509</v>
      </c>
    </row>
    <row r="2566" spans="1:1">
      <c r="A2566" s="149" t="s">
        <v>4510</v>
      </c>
    </row>
    <row r="2567" spans="1:1">
      <c r="A2567" s="149" t="s">
        <v>4511</v>
      </c>
    </row>
    <row r="2568" spans="1:1">
      <c r="A2568" s="149" t="s">
        <v>4512</v>
      </c>
    </row>
    <row r="2569" spans="1:1">
      <c r="A2569" s="149" t="s">
        <v>4513</v>
      </c>
    </row>
    <row r="2570" spans="1:1">
      <c r="A2570" s="149" t="s">
        <v>4514</v>
      </c>
    </row>
    <row r="2571" spans="1:1">
      <c r="A2571" s="149" t="s">
        <v>4515</v>
      </c>
    </row>
    <row r="2572" spans="1:1">
      <c r="A2572" s="149" t="s">
        <v>4516</v>
      </c>
    </row>
    <row r="2573" spans="1:1">
      <c r="A2573" s="149" t="s">
        <v>4517</v>
      </c>
    </row>
    <row r="2574" spans="1:1">
      <c r="A2574" s="149" t="s">
        <v>4518</v>
      </c>
    </row>
    <row r="2575" spans="1:1">
      <c r="A2575" s="149" t="s">
        <v>4519</v>
      </c>
    </row>
    <row r="2576" spans="1:1">
      <c r="A2576" s="149" t="s">
        <v>4520</v>
      </c>
    </row>
    <row r="2577" spans="1:1">
      <c r="A2577" s="149" t="s">
        <v>4521</v>
      </c>
    </row>
    <row r="2578" spans="1:1">
      <c r="A2578" s="149" t="s">
        <v>4522</v>
      </c>
    </row>
    <row r="2579" spans="1:1">
      <c r="A2579" s="149" t="s">
        <v>4523</v>
      </c>
    </row>
    <row r="2580" spans="1:1">
      <c r="A2580" s="149" t="s">
        <v>4524</v>
      </c>
    </row>
    <row r="2581" spans="1:1">
      <c r="A2581" s="149" t="s">
        <v>4525</v>
      </c>
    </row>
    <row r="2582" spans="1:1">
      <c r="A2582" s="149" t="s">
        <v>4526</v>
      </c>
    </row>
    <row r="2583" spans="1:1">
      <c r="A2583" s="149" t="s">
        <v>4527</v>
      </c>
    </row>
    <row r="2584" spans="1:1">
      <c r="A2584" s="149" t="s">
        <v>4528</v>
      </c>
    </row>
    <row r="2585" spans="1:1">
      <c r="A2585" s="149" t="s">
        <v>4529</v>
      </c>
    </row>
    <row r="2586" spans="1:1">
      <c r="A2586" s="149" t="s">
        <v>4530</v>
      </c>
    </row>
    <row r="2587" spans="1:1">
      <c r="A2587" s="149" t="s">
        <v>4531</v>
      </c>
    </row>
    <row r="2588" spans="1:1">
      <c r="A2588" s="149" t="s">
        <v>4532</v>
      </c>
    </row>
    <row r="2589" spans="1:1">
      <c r="A2589" s="149" t="s">
        <v>4533</v>
      </c>
    </row>
    <row r="2590" spans="1:1">
      <c r="A2590" s="149" t="s">
        <v>4534</v>
      </c>
    </row>
    <row r="2591" spans="1:1">
      <c r="A2591" s="149" t="s">
        <v>4535</v>
      </c>
    </row>
    <row r="2592" spans="1:1">
      <c r="A2592" s="149" t="s">
        <v>4536</v>
      </c>
    </row>
    <row r="2593" spans="1:1">
      <c r="A2593" s="149" t="s">
        <v>4537</v>
      </c>
    </row>
    <row r="2594" spans="1:1">
      <c r="A2594" s="149" t="s">
        <v>4538</v>
      </c>
    </row>
    <row r="2595" spans="1:1">
      <c r="A2595" s="149" t="s">
        <v>4539</v>
      </c>
    </row>
    <row r="2596" spans="1:1">
      <c r="A2596" s="149" t="s">
        <v>4540</v>
      </c>
    </row>
    <row r="2597" spans="1:1">
      <c r="A2597" s="149" t="s">
        <v>4541</v>
      </c>
    </row>
    <row r="2598" spans="1:1">
      <c r="A2598" s="149" t="s">
        <v>4542</v>
      </c>
    </row>
    <row r="2599" spans="1:1">
      <c r="A2599" s="149" t="s">
        <v>4543</v>
      </c>
    </row>
    <row r="2600" spans="1:1">
      <c r="A2600" s="149" t="s">
        <v>4544</v>
      </c>
    </row>
    <row r="2601" spans="1:1">
      <c r="A2601" s="149" t="s">
        <v>4545</v>
      </c>
    </row>
    <row r="2602" spans="1:1">
      <c r="A2602" s="149" t="s">
        <v>4546</v>
      </c>
    </row>
    <row r="2603" spans="1:1">
      <c r="A2603" s="149" t="s">
        <v>4547</v>
      </c>
    </row>
    <row r="2604" spans="1:1">
      <c r="A2604" s="149" t="s">
        <v>4548</v>
      </c>
    </row>
    <row r="2605" spans="1:1">
      <c r="A2605" s="149" t="s">
        <v>4549</v>
      </c>
    </row>
    <row r="2606" spans="1:1">
      <c r="A2606" s="149" t="s">
        <v>4550</v>
      </c>
    </row>
    <row r="2607" spans="1:1">
      <c r="A2607" s="149" t="s">
        <v>4551</v>
      </c>
    </row>
    <row r="2608" spans="1:1">
      <c r="A2608" s="149" t="s">
        <v>4552</v>
      </c>
    </row>
    <row r="2609" spans="1:1">
      <c r="A2609" s="149" t="s">
        <v>4553</v>
      </c>
    </row>
    <row r="2610" spans="1:1">
      <c r="A2610" s="149" t="s">
        <v>4554</v>
      </c>
    </row>
    <row r="2611" spans="1:1">
      <c r="A2611" s="149" t="s">
        <v>4555</v>
      </c>
    </row>
    <row r="2612" spans="1:1">
      <c r="A2612" s="149" t="s">
        <v>4556</v>
      </c>
    </row>
    <row r="2613" spans="1:1">
      <c r="A2613" s="149" t="s">
        <v>4557</v>
      </c>
    </row>
    <row r="2614" spans="1:1">
      <c r="A2614" s="149" t="s">
        <v>4558</v>
      </c>
    </row>
    <row r="2615" spans="1:1">
      <c r="A2615" s="149" t="s">
        <v>4559</v>
      </c>
    </row>
    <row r="2616" spans="1:1">
      <c r="A2616" s="149" t="s">
        <v>4560</v>
      </c>
    </row>
    <row r="2617" spans="1:1">
      <c r="A2617" s="149" t="s">
        <v>4561</v>
      </c>
    </row>
    <row r="2618" spans="1:1">
      <c r="A2618" s="149" t="s">
        <v>4562</v>
      </c>
    </row>
    <row r="2619" spans="1:1">
      <c r="A2619" s="149" t="s">
        <v>4563</v>
      </c>
    </row>
    <row r="2620" spans="1:1">
      <c r="A2620" s="149" t="s">
        <v>4564</v>
      </c>
    </row>
    <row r="2621" spans="1:1">
      <c r="A2621" s="149" t="s">
        <v>4565</v>
      </c>
    </row>
    <row r="2622" spans="1:1">
      <c r="A2622" s="149" t="s">
        <v>4566</v>
      </c>
    </row>
    <row r="2623" spans="1:1">
      <c r="A2623" s="149" t="s">
        <v>4567</v>
      </c>
    </row>
    <row r="2624" spans="1:1">
      <c r="A2624" s="149" t="s">
        <v>4568</v>
      </c>
    </row>
    <row r="2625" spans="1:1">
      <c r="A2625" s="149" t="s">
        <v>4569</v>
      </c>
    </row>
    <row r="2626" spans="1:1">
      <c r="A2626" s="149" t="s">
        <v>4570</v>
      </c>
    </row>
    <row r="2627" spans="1:1">
      <c r="A2627" s="149" t="s">
        <v>4571</v>
      </c>
    </row>
    <row r="2628" spans="1:1">
      <c r="A2628" s="149" t="s">
        <v>4572</v>
      </c>
    </row>
    <row r="2629" spans="1:1">
      <c r="A2629" s="149" t="s">
        <v>4573</v>
      </c>
    </row>
    <row r="2630" spans="1:1">
      <c r="A2630" s="149" t="s">
        <v>4574</v>
      </c>
    </row>
    <row r="2631" spans="1:1">
      <c r="A2631" s="149" t="s">
        <v>4575</v>
      </c>
    </row>
    <row r="2632" spans="1:1">
      <c r="A2632" s="149" t="s">
        <v>4576</v>
      </c>
    </row>
    <row r="2633" spans="1:1">
      <c r="A2633" s="149" t="s">
        <v>4577</v>
      </c>
    </row>
    <row r="2634" spans="1:1">
      <c r="A2634" s="149" t="s">
        <v>4578</v>
      </c>
    </row>
    <row r="2635" spans="1:1">
      <c r="A2635" s="149" t="s">
        <v>4579</v>
      </c>
    </row>
    <row r="2636" spans="1:1">
      <c r="A2636" s="149" t="s">
        <v>4580</v>
      </c>
    </row>
    <row r="2637" spans="1:1">
      <c r="A2637" s="149" t="s">
        <v>4581</v>
      </c>
    </row>
    <row r="2638" spans="1:1">
      <c r="A2638" s="149" t="s">
        <v>4582</v>
      </c>
    </row>
    <row r="2639" spans="1:1">
      <c r="A2639" s="149" t="s">
        <v>4583</v>
      </c>
    </row>
    <row r="2640" spans="1:1">
      <c r="A2640" s="149" t="s">
        <v>4584</v>
      </c>
    </row>
    <row r="2641" spans="1:1">
      <c r="A2641" s="149" t="s">
        <v>4585</v>
      </c>
    </row>
    <row r="2642" spans="1:1">
      <c r="A2642" s="149" t="s">
        <v>4586</v>
      </c>
    </row>
    <row r="2643" spans="1:1">
      <c r="A2643" s="149" t="s">
        <v>4587</v>
      </c>
    </row>
    <row r="2644" spans="1:1">
      <c r="A2644" s="149" t="s">
        <v>4588</v>
      </c>
    </row>
    <row r="2645" spans="1:1">
      <c r="A2645" s="149" t="s">
        <v>4589</v>
      </c>
    </row>
    <row r="2646" spans="1:1">
      <c r="A2646" s="149" t="s">
        <v>4590</v>
      </c>
    </row>
    <row r="2647" spans="1:1">
      <c r="A2647" s="149" t="s">
        <v>4591</v>
      </c>
    </row>
    <row r="2648" spans="1:1">
      <c r="A2648" s="149" t="s">
        <v>4592</v>
      </c>
    </row>
    <row r="2649" spans="1:1">
      <c r="A2649" s="149" t="s">
        <v>4593</v>
      </c>
    </row>
    <row r="2650" spans="1:1">
      <c r="A2650" s="149" t="s">
        <v>4594</v>
      </c>
    </row>
    <row r="2651" spans="1:1">
      <c r="A2651" s="149" t="s">
        <v>4595</v>
      </c>
    </row>
    <row r="2652" spans="1:1">
      <c r="A2652" s="149" t="s">
        <v>4596</v>
      </c>
    </row>
    <row r="2653" spans="1:1">
      <c r="A2653" s="149" t="s">
        <v>4597</v>
      </c>
    </row>
    <row r="2654" spans="1:1">
      <c r="A2654" s="149" t="s">
        <v>4598</v>
      </c>
    </row>
    <row r="2655" spans="1:1">
      <c r="A2655" s="149" t="s">
        <v>4599</v>
      </c>
    </row>
    <row r="2656" spans="1:1">
      <c r="A2656" s="149" t="s">
        <v>4600</v>
      </c>
    </row>
    <row r="2657" spans="1:1">
      <c r="A2657" s="149" t="s">
        <v>4601</v>
      </c>
    </row>
    <row r="2658" spans="1:1">
      <c r="A2658" s="149" t="s">
        <v>4602</v>
      </c>
    </row>
    <row r="2659" spans="1:1">
      <c r="A2659" s="149" t="s">
        <v>4603</v>
      </c>
    </row>
    <row r="2660" spans="1:1">
      <c r="A2660" s="149" t="s">
        <v>4604</v>
      </c>
    </row>
    <row r="2661" spans="1:1">
      <c r="A2661" s="149" t="s">
        <v>4605</v>
      </c>
    </row>
    <row r="2662" spans="1:1">
      <c r="A2662" s="149" t="s">
        <v>4606</v>
      </c>
    </row>
    <row r="2663" spans="1:1">
      <c r="A2663" s="149" t="s">
        <v>4607</v>
      </c>
    </row>
    <row r="2664" spans="1:1">
      <c r="A2664" s="149" t="s">
        <v>4608</v>
      </c>
    </row>
    <row r="2665" spans="1:1">
      <c r="A2665" s="149" t="s">
        <v>4609</v>
      </c>
    </row>
    <row r="2666" spans="1:1">
      <c r="A2666" s="149" t="s">
        <v>4610</v>
      </c>
    </row>
    <row r="2667" spans="1:1">
      <c r="A2667" s="149" t="s">
        <v>4611</v>
      </c>
    </row>
    <row r="2668" spans="1:1">
      <c r="A2668" s="149" t="s">
        <v>4612</v>
      </c>
    </row>
    <row r="2669" spans="1:1">
      <c r="A2669" s="149" t="s">
        <v>4613</v>
      </c>
    </row>
    <row r="2670" spans="1:1">
      <c r="A2670" s="149" t="s">
        <v>4614</v>
      </c>
    </row>
    <row r="2671" spans="1:1">
      <c r="A2671" s="149" t="s">
        <v>4615</v>
      </c>
    </row>
    <row r="2672" spans="1:1">
      <c r="A2672" s="149" t="s">
        <v>4616</v>
      </c>
    </row>
    <row r="2673" spans="1:1">
      <c r="A2673" s="149" t="s">
        <v>4617</v>
      </c>
    </row>
    <row r="2674" spans="1:1">
      <c r="A2674" s="149" t="s">
        <v>4618</v>
      </c>
    </row>
    <row r="2675" spans="1:1">
      <c r="A2675" s="149" t="s">
        <v>4619</v>
      </c>
    </row>
    <row r="2676" spans="1:1">
      <c r="A2676" s="149" t="s">
        <v>4620</v>
      </c>
    </row>
    <row r="2677" spans="1:1">
      <c r="A2677" s="149" t="s">
        <v>4621</v>
      </c>
    </row>
    <row r="2678" spans="1:1">
      <c r="A2678" s="149" t="s">
        <v>4622</v>
      </c>
    </row>
    <row r="2679" spans="1:1">
      <c r="A2679" s="149" t="s">
        <v>4623</v>
      </c>
    </row>
    <row r="2680" spans="1:1">
      <c r="A2680" s="149" t="s">
        <v>4624</v>
      </c>
    </row>
    <row r="2681" spans="1:1">
      <c r="A2681" s="149" t="s">
        <v>4625</v>
      </c>
    </row>
    <row r="2682" spans="1:1">
      <c r="A2682" s="149" t="s">
        <v>4626</v>
      </c>
    </row>
    <row r="2683" spans="1:1">
      <c r="A2683" s="149" t="s">
        <v>4627</v>
      </c>
    </row>
    <row r="2684" spans="1:1">
      <c r="A2684" s="149" t="s">
        <v>4628</v>
      </c>
    </row>
    <row r="2685" spans="1:1">
      <c r="A2685" s="149" t="s">
        <v>4629</v>
      </c>
    </row>
    <row r="2686" spans="1:1">
      <c r="A2686" s="149" t="s">
        <v>4630</v>
      </c>
    </row>
    <row r="2687" spans="1:1">
      <c r="A2687" s="149" t="s">
        <v>4631</v>
      </c>
    </row>
    <row r="2688" spans="1:1">
      <c r="A2688" s="149" t="s">
        <v>4632</v>
      </c>
    </row>
    <row r="2689" spans="1:1">
      <c r="A2689" s="149" t="s">
        <v>4633</v>
      </c>
    </row>
    <row r="2690" spans="1:1">
      <c r="A2690" s="149" t="s">
        <v>4634</v>
      </c>
    </row>
    <row r="2691" spans="1:1">
      <c r="A2691" s="149" t="s">
        <v>4635</v>
      </c>
    </row>
    <row r="2692" spans="1:1">
      <c r="A2692" s="149" t="s">
        <v>4636</v>
      </c>
    </row>
    <row r="2693" spans="1:1">
      <c r="A2693" s="149" t="s">
        <v>4637</v>
      </c>
    </row>
    <row r="2694" spans="1:1">
      <c r="A2694" s="149" t="s">
        <v>4638</v>
      </c>
    </row>
    <row r="2695" spans="1:1">
      <c r="A2695" s="149" t="s">
        <v>4639</v>
      </c>
    </row>
    <row r="2696" spans="1:1">
      <c r="A2696" s="149" t="s">
        <v>4640</v>
      </c>
    </row>
    <row r="2697" spans="1:1">
      <c r="A2697" s="149" t="s">
        <v>4641</v>
      </c>
    </row>
    <row r="2698" spans="1:1">
      <c r="A2698" s="149" t="s">
        <v>4642</v>
      </c>
    </row>
    <row r="2699" spans="1:1">
      <c r="A2699" s="149" t="s">
        <v>4643</v>
      </c>
    </row>
    <row r="2700" spans="1:1">
      <c r="A2700" s="149" t="s">
        <v>4644</v>
      </c>
    </row>
    <row r="2701" spans="1:1">
      <c r="A2701" s="149" t="s">
        <v>4645</v>
      </c>
    </row>
    <row r="2702" spans="1:1">
      <c r="A2702" s="149" t="s">
        <v>4646</v>
      </c>
    </row>
    <row r="2703" spans="1:1">
      <c r="A2703" s="149" t="s">
        <v>4647</v>
      </c>
    </row>
    <row r="2704" spans="1:1">
      <c r="A2704" s="149" t="s">
        <v>4648</v>
      </c>
    </row>
    <row r="2705" spans="1:1">
      <c r="A2705" s="149" t="s">
        <v>4649</v>
      </c>
    </row>
    <row r="2706" spans="1:1">
      <c r="A2706" s="149" t="s">
        <v>4650</v>
      </c>
    </row>
    <row r="2707" spans="1:1">
      <c r="A2707" s="149" t="s">
        <v>4651</v>
      </c>
    </row>
    <row r="2708" spans="1:1">
      <c r="A2708" s="149" t="s">
        <v>4652</v>
      </c>
    </row>
    <row r="2709" spans="1:1">
      <c r="A2709" s="149" t="s">
        <v>4653</v>
      </c>
    </row>
    <row r="2710" spans="1:1">
      <c r="A2710" s="149" t="s">
        <v>4654</v>
      </c>
    </row>
    <row r="2711" spans="1:1">
      <c r="A2711" s="149" t="s">
        <v>4655</v>
      </c>
    </row>
    <row r="2712" spans="1:1">
      <c r="A2712" s="149" t="s">
        <v>4656</v>
      </c>
    </row>
    <row r="2713" spans="1:1">
      <c r="A2713" s="149" t="s">
        <v>4657</v>
      </c>
    </row>
    <row r="2714" spans="1:1">
      <c r="A2714" s="149" t="s">
        <v>4658</v>
      </c>
    </row>
    <row r="2715" spans="1:1">
      <c r="A2715" s="149" t="s">
        <v>4659</v>
      </c>
    </row>
    <row r="2716" spans="1:1">
      <c r="A2716" s="149" t="s">
        <v>4660</v>
      </c>
    </row>
    <row r="2717" spans="1:1">
      <c r="A2717" s="149" t="s">
        <v>4661</v>
      </c>
    </row>
    <row r="2718" spans="1:1">
      <c r="A2718" s="149" t="s">
        <v>4662</v>
      </c>
    </row>
    <row r="2719" spans="1:1">
      <c r="A2719" s="149" t="s">
        <v>4663</v>
      </c>
    </row>
    <row r="2720" spans="1:1">
      <c r="A2720" s="149" t="s">
        <v>4664</v>
      </c>
    </row>
    <row r="2721" spans="1:1">
      <c r="A2721" s="149" t="s">
        <v>4665</v>
      </c>
    </row>
    <row r="2722" spans="1:1">
      <c r="A2722" s="149" t="s">
        <v>4666</v>
      </c>
    </row>
    <row r="2723" spans="1:1">
      <c r="A2723" s="149" t="s">
        <v>4667</v>
      </c>
    </row>
    <row r="2724" spans="1:1">
      <c r="A2724" s="149" t="s">
        <v>4668</v>
      </c>
    </row>
    <row r="2725" spans="1:1">
      <c r="A2725" s="149" t="s">
        <v>4669</v>
      </c>
    </row>
    <row r="2726" spans="1:1">
      <c r="A2726" s="149" t="s">
        <v>4670</v>
      </c>
    </row>
    <row r="2727" spans="1:1">
      <c r="A2727" s="149" t="s">
        <v>4671</v>
      </c>
    </row>
    <row r="2728" spans="1:1">
      <c r="A2728" s="149" t="s">
        <v>4672</v>
      </c>
    </row>
    <row r="2729" spans="1:1">
      <c r="A2729" s="149" t="s">
        <v>4673</v>
      </c>
    </row>
    <row r="2730" spans="1:1">
      <c r="A2730" s="149" t="s">
        <v>4674</v>
      </c>
    </row>
    <row r="2731" spans="1:1">
      <c r="A2731" s="149" t="s">
        <v>4675</v>
      </c>
    </row>
    <row r="2732" spans="1:1">
      <c r="A2732" s="149" t="s">
        <v>4676</v>
      </c>
    </row>
    <row r="2733" spans="1:1">
      <c r="A2733" s="149" t="s">
        <v>4677</v>
      </c>
    </row>
    <row r="2734" spans="1:1">
      <c r="A2734" s="149" t="s">
        <v>4678</v>
      </c>
    </row>
    <row r="2735" spans="1:1">
      <c r="A2735" s="149" t="s">
        <v>4679</v>
      </c>
    </row>
    <row r="2736" spans="1:1">
      <c r="A2736" s="149" t="s">
        <v>4680</v>
      </c>
    </row>
    <row r="2737" spans="1:1">
      <c r="A2737" s="149" t="s">
        <v>4681</v>
      </c>
    </row>
    <row r="2738" spans="1:1">
      <c r="A2738" s="149" t="s">
        <v>4682</v>
      </c>
    </row>
    <row r="2739" spans="1:1">
      <c r="A2739" s="149" t="s">
        <v>4683</v>
      </c>
    </row>
    <row r="2740" spans="1:1">
      <c r="A2740" s="149" t="s">
        <v>4684</v>
      </c>
    </row>
    <row r="2741" spans="1:1">
      <c r="A2741" s="149" t="s">
        <v>4685</v>
      </c>
    </row>
    <row r="2742" spans="1:1">
      <c r="A2742" s="149" t="s">
        <v>4686</v>
      </c>
    </row>
    <row r="2743" spans="1:1">
      <c r="A2743" s="149" t="s">
        <v>4687</v>
      </c>
    </row>
    <row r="2744" spans="1:1">
      <c r="A2744" s="149" t="s">
        <v>4688</v>
      </c>
    </row>
    <row r="2745" spans="1:1">
      <c r="A2745" s="149" t="s">
        <v>4689</v>
      </c>
    </row>
    <row r="2746" spans="1:1">
      <c r="A2746" s="149" t="s">
        <v>4690</v>
      </c>
    </row>
    <row r="2747" spans="1:1">
      <c r="A2747" s="149" t="s">
        <v>4691</v>
      </c>
    </row>
    <row r="2748" spans="1:1">
      <c r="A2748" s="149" t="s">
        <v>4692</v>
      </c>
    </row>
    <row r="2749" spans="1:1">
      <c r="A2749" s="149" t="s">
        <v>4693</v>
      </c>
    </row>
    <row r="2750" spans="1:1">
      <c r="A2750" s="149" t="s">
        <v>4694</v>
      </c>
    </row>
    <row r="2751" spans="1:1">
      <c r="A2751" s="149" t="s">
        <v>4695</v>
      </c>
    </row>
    <row r="2752" spans="1:1">
      <c r="A2752" s="149" t="s">
        <v>4696</v>
      </c>
    </row>
    <row r="2753" spans="1:1">
      <c r="A2753" s="149" t="s">
        <v>4697</v>
      </c>
    </row>
    <row r="2754" spans="1:1">
      <c r="A2754" s="149" t="s">
        <v>4698</v>
      </c>
    </row>
    <row r="2755" spans="1:1">
      <c r="A2755" s="149" t="s">
        <v>4699</v>
      </c>
    </row>
    <row r="2756" spans="1:1">
      <c r="A2756" s="149" t="s">
        <v>4700</v>
      </c>
    </row>
    <row r="2757" spans="1:1">
      <c r="A2757" s="149" t="s">
        <v>4701</v>
      </c>
    </row>
    <row r="2758" spans="1:1">
      <c r="A2758" s="149" t="s">
        <v>4702</v>
      </c>
    </row>
    <row r="2759" spans="1:1">
      <c r="A2759" s="149" t="s">
        <v>4703</v>
      </c>
    </row>
    <row r="2760" spans="1:1">
      <c r="A2760" s="149" t="s">
        <v>4704</v>
      </c>
    </row>
    <row r="2761" spans="1:1">
      <c r="A2761" s="149" t="s">
        <v>4705</v>
      </c>
    </row>
    <row r="2762" spans="1:1">
      <c r="A2762" s="149" t="s">
        <v>4706</v>
      </c>
    </row>
    <row r="2763" spans="1:1">
      <c r="A2763" s="149" t="s">
        <v>4707</v>
      </c>
    </row>
    <row r="2764" spans="1:1">
      <c r="A2764" s="149" t="s">
        <v>4708</v>
      </c>
    </row>
    <row r="2765" spans="1:1">
      <c r="A2765" s="149" t="s">
        <v>4709</v>
      </c>
    </row>
    <row r="2766" spans="1:1">
      <c r="A2766" s="149" t="s">
        <v>4710</v>
      </c>
    </row>
    <row r="2767" spans="1:1">
      <c r="A2767" s="149" t="s">
        <v>4711</v>
      </c>
    </row>
    <row r="2768" spans="1:1">
      <c r="A2768" s="149" t="s">
        <v>4712</v>
      </c>
    </row>
    <row r="2769" spans="1:1">
      <c r="A2769" s="149" t="s">
        <v>4713</v>
      </c>
    </row>
    <row r="2770" spans="1:1">
      <c r="A2770" s="149" t="s">
        <v>4714</v>
      </c>
    </row>
    <row r="2771" spans="1:1">
      <c r="A2771" s="149" t="s">
        <v>4715</v>
      </c>
    </row>
    <row r="2772" spans="1:1">
      <c r="A2772" s="149" t="s">
        <v>4716</v>
      </c>
    </row>
    <row r="2773" spans="1:1">
      <c r="A2773" s="149" t="s">
        <v>4717</v>
      </c>
    </row>
    <row r="2774" spans="1:1">
      <c r="A2774" s="149" t="s">
        <v>4718</v>
      </c>
    </row>
    <row r="2775" spans="1:1">
      <c r="A2775" s="149" t="s">
        <v>4719</v>
      </c>
    </row>
    <row r="2776" spans="1:1">
      <c r="A2776" s="149" t="s">
        <v>4720</v>
      </c>
    </row>
    <row r="2777" spans="1:1">
      <c r="A2777" s="149" t="s">
        <v>4721</v>
      </c>
    </row>
    <row r="2778" spans="1:1">
      <c r="A2778" s="149" t="s">
        <v>4722</v>
      </c>
    </row>
    <row r="2779" spans="1:1">
      <c r="A2779" s="149" t="s">
        <v>4723</v>
      </c>
    </row>
    <row r="2780" spans="1:1">
      <c r="A2780" s="149" t="s">
        <v>4724</v>
      </c>
    </row>
    <row r="2781" spans="1:1">
      <c r="A2781" s="149" t="s">
        <v>4725</v>
      </c>
    </row>
    <row r="2782" spans="1:1">
      <c r="A2782" s="149" t="s">
        <v>4726</v>
      </c>
    </row>
    <row r="2783" spans="1:1">
      <c r="A2783" s="149" t="s">
        <v>4727</v>
      </c>
    </row>
    <row r="2784" spans="1:1">
      <c r="A2784" s="149" t="s">
        <v>4728</v>
      </c>
    </row>
    <row r="2785" spans="1:1">
      <c r="A2785" s="149" t="s">
        <v>4729</v>
      </c>
    </row>
    <row r="2786" spans="1:1">
      <c r="A2786" s="149" t="s">
        <v>4730</v>
      </c>
    </row>
    <row r="2787" spans="1:1">
      <c r="A2787" s="149" t="s">
        <v>4731</v>
      </c>
    </row>
    <row r="2788" spans="1:1">
      <c r="A2788" s="149" t="s">
        <v>4732</v>
      </c>
    </row>
    <row r="2789" spans="1:1">
      <c r="A2789" s="149" t="s">
        <v>4733</v>
      </c>
    </row>
    <row r="2790" spans="1:1">
      <c r="A2790" s="149" t="s">
        <v>4734</v>
      </c>
    </row>
    <row r="2791" spans="1:1">
      <c r="A2791" s="149" t="s">
        <v>4735</v>
      </c>
    </row>
    <row r="2792" spans="1:1">
      <c r="A2792" s="149" t="s">
        <v>4736</v>
      </c>
    </row>
    <row r="2793" spans="1:1">
      <c r="A2793" s="149" t="s">
        <v>4737</v>
      </c>
    </row>
    <row r="2794" spans="1:1">
      <c r="A2794" s="149" t="s">
        <v>4738</v>
      </c>
    </row>
    <row r="2795" spans="1:1">
      <c r="A2795" s="149" t="s">
        <v>4739</v>
      </c>
    </row>
    <row r="2796" spans="1:1">
      <c r="A2796" s="149" t="s">
        <v>4740</v>
      </c>
    </row>
    <row r="2797" spans="1:1">
      <c r="A2797" s="149" t="s">
        <v>4741</v>
      </c>
    </row>
    <row r="2798" spans="1:1">
      <c r="A2798" s="149" t="s">
        <v>4742</v>
      </c>
    </row>
    <row r="2799" spans="1:1">
      <c r="A2799" s="149" t="s">
        <v>4743</v>
      </c>
    </row>
    <row r="2800" spans="1:1">
      <c r="A2800" s="149" t="s">
        <v>4744</v>
      </c>
    </row>
    <row r="2801" spans="1:1">
      <c r="A2801" s="149" t="s">
        <v>4745</v>
      </c>
    </row>
    <row r="2802" spans="1:1">
      <c r="A2802" s="149" t="s">
        <v>4746</v>
      </c>
    </row>
    <row r="2803" spans="1:1">
      <c r="A2803" s="149" t="s">
        <v>4747</v>
      </c>
    </row>
    <row r="2804" spans="1:1">
      <c r="A2804" s="149" t="s">
        <v>4748</v>
      </c>
    </row>
    <row r="2805" spans="1:1">
      <c r="A2805" s="149" t="s">
        <v>4749</v>
      </c>
    </row>
    <row r="2806" spans="1:1">
      <c r="A2806" s="149" t="s">
        <v>4750</v>
      </c>
    </row>
    <row r="2807" spans="1:1">
      <c r="A2807" s="149" t="s">
        <v>4751</v>
      </c>
    </row>
    <row r="2808" spans="1:1">
      <c r="A2808" s="149" t="s">
        <v>4752</v>
      </c>
    </row>
    <row r="2809" spans="1:1">
      <c r="A2809" s="149" t="s">
        <v>4753</v>
      </c>
    </row>
    <row r="2810" spans="1:1">
      <c r="A2810" s="149" t="s">
        <v>4754</v>
      </c>
    </row>
    <row r="2811" spans="1:1">
      <c r="A2811" s="149" t="s">
        <v>4755</v>
      </c>
    </row>
    <row r="2812" spans="1:1">
      <c r="A2812" s="149" t="s">
        <v>4756</v>
      </c>
    </row>
    <row r="2813" spans="1:1">
      <c r="A2813" s="149" t="s">
        <v>4757</v>
      </c>
    </row>
    <row r="2814" spans="1:1">
      <c r="A2814" s="149" t="s">
        <v>4758</v>
      </c>
    </row>
    <row r="2815" spans="1:1">
      <c r="A2815" s="149" t="s">
        <v>4759</v>
      </c>
    </row>
    <row r="2816" spans="1:1">
      <c r="A2816" s="149" t="s">
        <v>4760</v>
      </c>
    </row>
    <row r="2817" spans="1:1">
      <c r="A2817" s="149" t="s">
        <v>4761</v>
      </c>
    </row>
    <row r="2818" spans="1:1">
      <c r="A2818" s="149" t="s">
        <v>4762</v>
      </c>
    </row>
    <row r="2819" spans="1:1">
      <c r="A2819" s="149" t="s">
        <v>4763</v>
      </c>
    </row>
    <row r="2820" spans="1:1">
      <c r="A2820" s="149" t="s">
        <v>4764</v>
      </c>
    </row>
    <row r="2821" spans="1:1">
      <c r="A2821" s="149" t="s">
        <v>4765</v>
      </c>
    </row>
    <row r="2822" spans="1:1">
      <c r="A2822" s="149" t="s">
        <v>4766</v>
      </c>
    </row>
    <row r="2823" spans="1:1">
      <c r="A2823" s="149" t="s">
        <v>4767</v>
      </c>
    </row>
    <row r="2824" spans="1:1">
      <c r="A2824" s="149" t="s">
        <v>4768</v>
      </c>
    </row>
    <row r="2825" spans="1:1">
      <c r="A2825" s="149" t="s">
        <v>4769</v>
      </c>
    </row>
    <row r="2826" spans="1:1">
      <c r="A2826" s="149" t="s">
        <v>4770</v>
      </c>
    </row>
    <row r="2827" spans="1:1">
      <c r="A2827" s="149" t="s">
        <v>4771</v>
      </c>
    </row>
    <row r="2828" spans="1:1">
      <c r="A2828" s="149" t="s">
        <v>4772</v>
      </c>
    </row>
    <row r="2829" spans="1:1">
      <c r="A2829" s="149" t="s">
        <v>4773</v>
      </c>
    </row>
    <row r="2830" spans="1:1">
      <c r="A2830" s="149" t="s">
        <v>4774</v>
      </c>
    </row>
    <row r="2831" spans="1:1">
      <c r="A2831" s="149" t="s">
        <v>4775</v>
      </c>
    </row>
    <row r="2832" spans="1:1">
      <c r="A2832" s="149" t="s">
        <v>4776</v>
      </c>
    </row>
    <row r="2833" spans="1:1">
      <c r="A2833" s="149" t="s">
        <v>4777</v>
      </c>
    </row>
    <row r="2834" spans="1:1">
      <c r="A2834" s="149" t="s">
        <v>4778</v>
      </c>
    </row>
    <row r="2835" spans="1:1">
      <c r="A2835" s="149" t="s">
        <v>4779</v>
      </c>
    </row>
    <row r="2836" spans="1:1">
      <c r="A2836" s="149" t="s">
        <v>4780</v>
      </c>
    </row>
    <row r="2837" spans="1:1">
      <c r="A2837" s="149" t="s">
        <v>4781</v>
      </c>
    </row>
    <row r="2838" spans="1:1">
      <c r="A2838" s="149" t="s">
        <v>4782</v>
      </c>
    </row>
    <row r="2839" spans="1:1">
      <c r="A2839" s="149" t="s">
        <v>4783</v>
      </c>
    </row>
    <row r="2840" spans="1:1">
      <c r="A2840" s="149" t="s">
        <v>4784</v>
      </c>
    </row>
    <row r="2841" spans="1:1">
      <c r="A2841" s="149" t="s">
        <v>4785</v>
      </c>
    </row>
    <row r="2842" spans="1:1">
      <c r="A2842" s="149" t="s">
        <v>4786</v>
      </c>
    </row>
    <row r="2843" spans="1:1">
      <c r="A2843" s="149" t="s">
        <v>4787</v>
      </c>
    </row>
    <row r="2844" spans="1:1">
      <c r="A2844" s="149" t="s">
        <v>4788</v>
      </c>
    </row>
    <row r="2845" spans="1:1">
      <c r="A2845" s="149" t="s">
        <v>4789</v>
      </c>
    </row>
    <row r="2846" spans="1:1">
      <c r="A2846" s="149" t="s">
        <v>4790</v>
      </c>
    </row>
    <row r="2847" spans="1:1">
      <c r="A2847" s="149" t="s">
        <v>4791</v>
      </c>
    </row>
    <row r="2848" spans="1:1">
      <c r="A2848" s="149" t="s">
        <v>4792</v>
      </c>
    </row>
    <row r="2849" spans="1:1">
      <c r="A2849" s="149" t="s">
        <v>4793</v>
      </c>
    </row>
    <row r="2850" spans="1:1">
      <c r="A2850" s="149" t="s">
        <v>4794</v>
      </c>
    </row>
    <row r="2851" spans="1:1">
      <c r="A2851" s="149" t="s">
        <v>4795</v>
      </c>
    </row>
    <row r="2852" spans="1:1">
      <c r="A2852" s="149" t="s">
        <v>4796</v>
      </c>
    </row>
    <row r="2853" spans="1:1">
      <c r="A2853" s="149" t="s">
        <v>4797</v>
      </c>
    </row>
    <row r="2854" spans="1:1">
      <c r="A2854" s="149" t="s">
        <v>4798</v>
      </c>
    </row>
    <row r="2855" spans="1:1">
      <c r="A2855" s="149" t="s">
        <v>4799</v>
      </c>
    </row>
    <row r="2856" spans="1:1">
      <c r="A2856" s="149" t="s">
        <v>4800</v>
      </c>
    </row>
    <row r="2857" spans="1:1">
      <c r="A2857" s="149" t="s">
        <v>4801</v>
      </c>
    </row>
    <row r="2858" spans="1:1">
      <c r="A2858" s="149" t="s">
        <v>4802</v>
      </c>
    </row>
    <row r="2859" spans="1:1">
      <c r="A2859" s="149" t="s">
        <v>4803</v>
      </c>
    </row>
    <row r="2860" spans="1:1">
      <c r="A2860" s="149" t="s">
        <v>4804</v>
      </c>
    </row>
    <row r="2861" spans="1:1">
      <c r="A2861" s="149" t="s">
        <v>4805</v>
      </c>
    </row>
    <row r="2862" spans="1:1">
      <c r="A2862" s="149" t="s">
        <v>4806</v>
      </c>
    </row>
    <row r="2863" spans="1:1">
      <c r="A2863" s="149" t="s">
        <v>4807</v>
      </c>
    </row>
    <row r="2864" spans="1:1">
      <c r="A2864" s="149" t="s">
        <v>4808</v>
      </c>
    </row>
    <row r="2865" spans="1:1">
      <c r="A2865" s="149" t="s">
        <v>4809</v>
      </c>
    </row>
    <row r="2866" spans="1:1">
      <c r="A2866" s="149" t="s">
        <v>4810</v>
      </c>
    </row>
    <row r="2867" spans="1:1">
      <c r="A2867" s="149" t="s">
        <v>4811</v>
      </c>
    </row>
    <row r="2868" spans="1:1">
      <c r="A2868" s="149" t="s">
        <v>4812</v>
      </c>
    </row>
    <row r="2869" spans="1:1">
      <c r="A2869" s="149" t="s">
        <v>4813</v>
      </c>
    </row>
    <row r="2870" spans="1:1">
      <c r="A2870" s="149" t="s">
        <v>4814</v>
      </c>
    </row>
    <row r="2871" spans="1:1">
      <c r="A2871" s="149" t="s">
        <v>4815</v>
      </c>
    </row>
    <row r="2872" spans="1:1">
      <c r="A2872" s="149" t="s">
        <v>4816</v>
      </c>
    </row>
    <row r="2873" spans="1:1">
      <c r="A2873" s="149" t="s">
        <v>4817</v>
      </c>
    </row>
    <row r="2874" spans="1:1">
      <c r="A2874" s="149" t="s">
        <v>4818</v>
      </c>
    </row>
    <row r="2875" spans="1:1">
      <c r="A2875" s="149" t="s">
        <v>4819</v>
      </c>
    </row>
    <row r="2876" spans="1:1">
      <c r="A2876" s="149" t="s">
        <v>4820</v>
      </c>
    </row>
    <row r="2877" spans="1:1">
      <c r="A2877" s="149" t="s">
        <v>4821</v>
      </c>
    </row>
    <row r="2878" spans="1:1">
      <c r="A2878" s="149" t="s">
        <v>4822</v>
      </c>
    </row>
    <row r="2879" spans="1:1">
      <c r="A2879" s="149" t="s">
        <v>4823</v>
      </c>
    </row>
    <row r="2880" spans="1:1">
      <c r="A2880" s="149" t="s">
        <v>4824</v>
      </c>
    </row>
    <row r="2881" spans="1:1">
      <c r="A2881" s="149" t="s">
        <v>4825</v>
      </c>
    </row>
    <row r="2882" spans="1:1">
      <c r="A2882" s="149" t="s">
        <v>4826</v>
      </c>
    </row>
    <row r="2883" spans="1:1">
      <c r="A2883" s="149" t="s">
        <v>4827</v>
      </c>
    </row>
    <row r="2884" spans="1:1">
      <c r="A2884" s="149" t="s">
        <v>4828</v>
      </c>
    </row>
    <row r="2885" spans="1:1">
      <c r="A2885" s="149" t="s">
        <v>4829</v>
      </c>
    </row>
    <row r="2886" spans="1:1">
      <c r="A2886" s="149" t="s">
        <v>4830</v>
      </c>
    </row>
    <row r="2887" spans="1:1">
      <c r="A2887" s="149" t="s">
        <v>4831</v>
      </c>
    </row>
    <row r="2888" spans="1:1">
      <c r="A2888" s="149" t="s">
        <v>4832</v>
      </c>
    </row>
    <row r="2889" spans="1:1">
      <c r="A2889" s="149" t="s">
        <v>4833</v>
      </c>
    </row>
    <row r="2890" spans="1:1">
      <c r="A2890" s="149" t="s">
        <v>4834</v>
      </c>
    </row>
    <row r="2891" spans="1:1">
      <c r="A2891" s="149" t="s">
        <v>4835</v>
      </c>
    </row>
    <row r="2892" spans="1:1">
      <c r="A2892" s="149" t="s">
        <v>4836</v>
      </c>
    </row>
    <row r="2893" spans="1:1">
      <c r="A2893" s="149" t="s">
        <v>4837</v>
      </c>
    </row>
    <row r="2894" spans="1:1">
      <c r="A2894" s="149" t="s">
        <v>4838</v>
      </c>
    </row>
    <row r="2895" spans="1:1">
      <c r="A2895" s="149" t="s">
        <v>4839</v>
      </c>
    </row>
    <row r="2896" spans="1:1">
      <c r="A2896" s="149" t="s">
        <v>4840</v>
      </c>
    </row>
    <row r="2897" spans="1:1">
      <c r="A2897" s="149" t="s">
        <v>4841</v>
      </c>
    </row>
    <row r="2898" spans="1:1">
      <c r="A2898" s="149" t="s">
        <v>4842</v>
      </c>
    </row>
    <row r="2899" spans="1:1">
      <c r="A2899" s="149" t="s">
        <v>4843</v>
      </c>
    </row>
    <row r="2900" spans="1:1">
      <c r="A2900" s="149" t="s">
        <v>4844</v>
      </c>
    </row>
    <row r="2901" spans="1:1">
      <c r="A2901" s="149" t="s">
        <v>4845</v>
      </c>
    </row>
    <row r="2902" spans="1:1">
      <c r="A2902" s="149" t="s">
        <v>4846</v>
      </c>
    </row>
    <row r="2903" spans="1:1">
      <c r="A2903" s="149" t="s">
        <v>4847</v>
      </c>
    </row>
    <row r="2904" spans="1:1">
      <c r="A2904" s="149" t="s">
        <v>4848</v>
      </c>
    </row>
    <row r="2905" spans="1:1">
      <c r="A2905" s="149" t="s">
        <v>4849</v>
      </c>
    </row>
    <row r="2906" spans="1:1">
      <c r="A2906" s="149" t="s">
        <v>4850</v>
      </c>
    </row>
    <row r="2907" spans="1:1">
      <c r="A2907" s="149" t="s">
        <v>4851</v>
      </c>
    </row>
    <row r="2908" spans="1:1">
      <c r="A2908" s="149" t="s">
        <v>4852</v>
      </c>
    </row>
    <row r="2909" spans="1:1">
      <c r="A2909" s="149" t="s">
        <v>4853</v>
      </c>
    </row>
    <row r="2910" spans="1:1">
      <c r="A2910" s="149" t="s">
        <v>4854</v>
      </c>
    </row>
    <row r="2911" spans="1:1">
      <c r="A2911" s="149" t="s">
        <v>4855</v>
      </c>
    </row>
    <row r="2912" spans="1:1">
      <c r="A2912" s="149" t="s">
        <v>4856</v>
      </c>
    </row>
    <row r="2913" spans="1:1">
      <c r="A2913" s="149" t="s">
        <v>4857</v>
      </c>
    </row>
    <row r="2914" spans="1:1">
      <c r="A2914" s="149" t="s">
        <v>4858</v>
      </c>
    </row>
    <row r="2915" spans="1:1">
      <c r="A2915" s="149" t="s">
        <v>4859</v>
      </c>
    </row>
    <row r="2916" spans="1:1">
      <c r="A2916" s="149" t="s">
        <v>4860</v>
      </c>
    </row>
    <row r="2917" spans="1:1">
      <c r="A2917" s="149" t="s">
        <v>4861</v>
      </c>
    </row>
    <row r="2918" spans="1:1">
      <c r="A2918" s="149" t="s">
        <v>4862</v>
      </c>
    </row>
    <row r="2919" spans="1:1">
      <c r="A2919" s="149" t="s">
        <v>4863</v>
      </c>
    </row>
    <row r="2920" spans="1:1">
      <c r="A2920" s="149" t="s">
        <v>4864</v>
      </c>
    </row>
    <row r="2921" spans="1:1">
      <c r="A2921" s="149" t="s">
        <v>4865</v>
      </c>
    </row>
    <row r="2922" spans="1:1">
      <c r="A2922" s="149" t="s">
        <v>4866</v>
      </c>
    </row>
    <row r="2923" spans="1:1">
      <c r="A2923" s="149" t="s">
        <v>4867</v>
      </c>
    </row>
    <row r="2924" spans="1:1">
      <c r="A2924" s="149" t="s">
        <v>4868</v>
      </c>
    </row>
    <row r="2925" spans="1:1">
      <c r="A2925" s="149" t="s">
        <v>4869</v>
      </c>
    </row>
    <row r="2926" spans="1:1">
      <c r="A2926" s="149" t="s">
        <v>4870</v>
      </c>
    </row>
    <row r="2927" spans="1:1">
      <c r="A2927" s="149" t="s">
        <v>4871</v>
      </c>
    </row>
    <row r="2928" spans="1:1">
      <c r="A2928" s="149" t="s">
        <v>4872</v>
      </c>
    </row>
    <row r="2929" spans="1:1">
      <c r="A2929" s="149" t="s">
        <v>4873</v>
      </c>
    </row>
    <row r="2930" spans="1:1">
      <c r="A2930" s="149" t="s">
        <v>4874</v>
      </c>
    </row>
    <row r="2931" spans="1:1">
      <c r="A2931" s="149" t="s">
        <v>4875</v>
      </c>
    </row>
    <row r="2932" spans="1:1">
      <c r="A2932" s="149" t="s">
        <v>4876</v>
      </c>
    </row>
    <row r="2933" spans="1:1">
      <c r="A2933" s="149" t="s">
        <v>4877</v>
      </c>
    </row>
    <row r="2934" spans="1:1">
      <c r="A2934" s="149" t="s">
        <v>4878</v>
      </c>
    </row>
    <row r="2935" spans="1:1">
      <c r="A2935" s="149" t="s">
        <v>4879</v>
      </c>
    </row>
    <row r="2936" spans="1:1">
      <c r="A2936" s="149" t="s">
        <v>4880</v>
      </c>
    </row>
    <row r="2937" spans="1:1">
      <c r="A2937" s="149" t="s">
        <v>4881</v>
      </c>
    </row>
    <row r="2938" spans="1:1">
      <c r="A2938" s="149" t="s">
        <v>4882</v>
      </c>
    </row>
    <row r="2939" spans="1:1">
      <c r="A2939" s="149" t="s">
        <v>4883</v>
      </c>
    </row>
    <row r="2940" spans="1:1">
      <c r="A2940" s="149" t="s">
        <v>4884</v>
      </c>
    </row>
    <row r="2941" spans="1:1">
      <c r="A2941" s="149" t="s">
        <v>4885</v>
      </c>
    </row>
    <row r="2942" spans="1:1">
      <c r="A2942" s="149" t="s">
        <v>4886</v>
      </c>
    </row>
    <row r="2943" spans="1:1">
      <c r="A2943" s="149" t="s">
        <v>4887</v>
      </c>
    </row>
    <row r="2944" spans="1:1">
      <c r="A2944" s="149" t="s">
        <v>4888</v>
      </c>
    </row>
    <row r="2945" spans="1:1">
      <c r="A2945" s="149" t="s">
        <v>4889</v>
      </c>
    </row>
    <row r="2946" spans="1:1">
      <c r="A2946" s="149" t="s">
        <v>4890</v>
      </c>
    </row>
    <row r="2947" spans="1:1">
      <c r="A2947" s="149" t="s">
        <v>4891</v>
      </c>
    </row>
    <row r="2948" spans="1:1">
      <c r="A2948" s="149" t="s">
        <v>4892</v>
      </c>
    </row>
    <row r="2949" spans="1:1">
      <c r="A2949" s="149" t="s">
        <v>4893</v>
      </c>
    </row>
    <row r="2950" spans="1:1">
      <c r="A2950" s="149" t="s">
        <v>4894</v>
      </c>
    </row>
    <row r="2951" spans="1:1">
      <c r="A2951" s="149" t="s">
        <v>4895</v>
      </c>
    </row>
    <row r="2952" spans="1:1">
      <c r="A2952" s="149" t="s">
        <v>4896</v>
      </c>
    </row>
    <row r="2953" spans="1:1">
      <c r="A2953" s="149" t="s">
        <v>4897</v>
      </c>
    </row>
    <row r="2954" spans="1:1">
      <c r="A2954" s="149" t="s">
        <v>4898</v>
      </c>
    </row>
    <row r="2955" spans="1:1">
      <c r="A2955" s="149" t="s">
        <v>4899</v>
      </c>
    </row>
    <row r="2956" spans="1:1">
      <c r="A2956" s="149" t="s">
        <v>4900</v>
      </c>
    </row>
    <row r="2957" spans="1:1">
      <c r="A2957" s="149" t="s">
        <v>4901</v>
      </c>
    </row>
    <row r="2958" spans="1:1">
      <c r="A2958" s="149" t="s">
        <v>4902</v>
      </c>
    </row>
    <row r="2959" spans="1:1">
      <c r="A2959" s="149" t="s">
        <v>4903</v>
      </c>
    </row>
    <row r="2960" spans="1:1">
      <c r="A2960" s="149" t="s">
        <v>4904</v>
      </c>
    </row>
    <row r="2961" spans="1:1">
      <c r="A2961" s="149" t="s">
        <v>4905</v>
      </c>
    </row>
    <row r="2962" spans="1:1">
      <c r="A2962" s="149" t="s">
        <v>4906</v>
      </c>
    </row>
    <row r="2963" spans="1:1">
      <c r="A2963" s="149" t="s">
        <v>4907</v>
      </c>
    </row>
    <row r="2964" spans="1:1">
      <c r="A2964" s="149" t="s">
        <v>4908</v>
      </c>
    </row>
    <row r="2965" spans="1:1">
      <c r="A2965" s="149" t="s">
        <v>4909</v>
      </c>
    </row>
    <row r="2966" spans="1:1">
      <c r="A2966" s="149" t="s">
        <v>4910</v>
      </c>
    </row>
    <row r="2967" spans="1:1">
      <c r="A2967" s="149" t="s">
        <v>4911</v>
      </c>
    </row>
    <row r="2968" spans="1:1">
      <c r="A2968" s="149" t="s">
        <v>4912</v>
      </c>
    </row>
    <row r="2969" spans="1:1">
      <c r="A2969" s="149" t="s">
        <v>4913</v>
      </c>
    </row>
    <row r="2970" spans="1:1">
      <c r="A2970" s="149" t="s">
        <v>4914</v>
      </c>
    </row>
    <row r="2971" spans="1:1">
      <c r="A2971" s="149" t="s">
        <v>4915</v>
      </c>
    </row>
    <row r="2972" spans="1:1">
      <c r="A2972" s="149" t="s">
        <v>4916</v>
      </c>
    </row>
    <row r="2973" spans="1:1">
      <c r="A2973" s="149" t="s">
        <v>4917</v>
      </c>
    </row>
    <row r="2974" spans="1:1">
      <c r="A2974" s="149" t="s">
        <v>4918</v>
      </c>
    </row>
    <row r="2975" spans="1:1">
      <c r="A2975" s="149" t="s">
        <v>4919</v>
      </c>
    </row>
    <row r="2976" spans="1:1">
      <c r="A2976" s="149" t="s">
        <v>4920</v>
      </c>
    </row>
    <row r="2977" spans="1:1">
      <c r="A2977" s="149" t="s">
        <v>4921</v>
      </c>
    </row>
    <row r="2978" spans="1:1">
      <c r="A2978" s="149" t="s">
        <v>4922</v>
      </c>
    </row>
    <row r="2979" spans="1:1">
      <c r="A2979" s="149" t="s">
        <v>4923</v>
      </c>
    </row>
    <row r="2980" spans="1:1">
      <c r="A2980" s="149" t="s">
        <v>4924</v>
      </c>
    </row>
    <row r="2981" spans="1:1">
      <c r="A2981" s="149" t="s">
        <v>4925</v>
      </c>
    </row>
    <row r="2982" spans="1:1">
      <c r="A2982" s="149" t="s">
        <v>4926</v>
      </c>
    </row>
    <row r="2983" spans="1:1">
      <c r="A2983" s="149" t="s">
        <v>4927</v>
      </c>
    </row>
    <row r="2984" spans="1:1">
      <c r="A2984" s="149" t="s">
        <v>4928</v>
      </c>
    </row>
    <row r="2985" spans="1:1">
      <c r="A2985" s="149" t="s">
        <v>4929</v>
      </c>
    </row>
    <row r="2986" spans="1:1">
      <c r="A2986" s="149" t="s">
        <v>4930</v>
      </c>
    </row>
    <row r="2987" spans="1:1">
      <c r="A2987" s="149" t="s">
        <v>4931</v>
      </c>
    </row>
    <row r="2988" spans="1:1">
      <c r="A2988" s="149" t="s">
        <v>4932</v>
      </c>
    </row>
    <row r="2989" spans="1:1">
      <c r="A2989" s="149" t="s">
        <v>4933</v>
      </c>
    </row>
    <row r="2990" spans="1:1">
      <c r="A2990" s="149" t="s">
        <v>4934</v>
      </c>
    </row>
    <row r="2991" spans="1:1">
      <c r="A2991" s="149" t="s">
        <v>4935</v>
      </c>
    </row>
    <row r="2992" spans="1:1">
      <c r="A2992" s="149" t="s">
        <v>4936</v>
      </c>
    </row>
    <row r="2993" spans="1:1">
      <c r="A2993" s="149" t="s">
        <v>4937</v>
      </c>
    </row>
    <row r="2994" spans="1:1">
      <c r="A2994" s="149" t="s">
        <v>4938</v>
      </c>
    </row>
    <row r="2995" spans="1:1">
      <c r="A2995" s="149" t="s">
        <v>4939</v>
      </c>
    </row>
    <row r="2996" spans="1:1">
      <c r="A2996" s="149" t="s">
        <v>4940</v>
      </c>
    </row>
    <row r="2997" spans="1:1">
      <c r="A2997" s="149" t="s">
        <v>4941</v>
      </c>
    </row>
    <row r="2998" spans="1:1">
      <c r="A2998" s="149" t="s">
        <v>4942</v>
      </c>
    </row>
    <row r="2999" spans="1:1">
      <c r="A2999" s="149" t="s">
        <v>4943</v>
      </c>
    </row>
    <row r="3000" spans="1:1">
      <c r="A3000" s="149" t="s">
        <v>4944</v>
      </c>
    </row>
    <row r="3001" spans="1:1">
      <c r="A3001" s="149" t="s">
        <v>4945</v>
      </c>
    </row>
    <row r="3002" spans="1:1">
      <c r="A3002" s="149" t="s">
        <v>4946</v>
      </c>
    </row>
    <row r="3003" spans="1:1">
      <c r="A3003" s="149" t="s">
        <v>4947</v>
      </c>
    </row>
    <row r="3004" spans="1:1">
      <c r="A3004" s="149" t="s">
        <v>4948</v>
      </c>
    </row>
    <row r="3005" spans="1:1">
      <c r="A3005" s="149" t="s">
        <v>4949</v>
      </c>
    </row>
    <row r="3006" spans="1:1">
      <c r="A3006" s="149" t="s">
        <v>4950</v>
      </c>
    </row>
    <row r="3007" spans="1:1">
      <c r="A3007" s="149" t="s">
        <v>4951</v>
      </c>
    </row>
    <row r="3008" spans="1:1">
      <c r="A3008" s="149" t="s">
        <v>4952</v>
      </c>
    </row>
    <row r="3009" spans="1:1">
      <c r="A3009" s="149" t="s">
        <v>4953</v>
      </c>
    </row>
    <row r="3010" spans="1:1">
      <c r="A3010" s="149" t="s">
        <v>4954</v>
      </c>
    </row>
    <row r="3011" spans="1:1">
      <c r="A3011" s="149" t="s">
        <v>4955</v>
      </c>
    </row>
    <row r="3012" spans="1:1">
      <c r="A3012" s="149" t="s">
        <v>4956</v>
      </c>
    </row>
    <row r="3013" spans="1:1">
      <c r="A3013" s="149" t="s">
        <v>4957</v>
      </c>
    </row>
    <row r="3014" spans="1:1">
      <c r="A3014" s="149" t="s">
        <v>4958</v>
      </c>
    </row>
    <row r="3015" spans="1:1">
      <c r="A3015" s="149" t="s">
        <v>4959</v>
      </c>
    </row>
    <row r="3016" spans="1:1">
      <c r="A3016" s="149" t="s">
        <v>4960</v>
      </c>
    </row>
    <row r="3017" spans="1:1">
      <c r="A3017" s="149" t="s">
        <v>4961</v>
      </c>
    </row>
    <row r="3018" spans="1:1">
      <c r="A3018" s="149" t="s">
        <v>4962</v>
      </c>
    </row>
    <row r="3019" spans="1:1">
      <c r="A3019" s="149" t="s">
        <v>4963</v>
      </c>
    </row>
    <row r="3020" spans="1:1">
      <c r="A3020" s="149" t="s">
        <v>4964</v>
      </c>
    </row>
    <row r="3021" spans="1:1">
      <c r="A3021" s="149" t="s">
        <v>4965</v>
      </c>
    </row>
    <row r="3022" spans="1:1">
      <c r="A3022" s="149" t="s">
        <v>4966</v>
      </c>
    </row>
    <row r="3023" spans="1:1">
      <c r="A3023" s="149" t="s">
        <v>4967</v>
      </c>
    </row>
    <row r="3024" spans="1:1">
      <c r="A3024" s="149" t="s">
        <v>4968</v>
      </c>
    </row>
    <row r="3025" spans="1:1">
      <c r="A3025" s="149" t="s">
        <v>4969</v>
      </c>
    </row>
    <row r="3026" spans="1:1">
      <c r="A3026" s="149" t="s">
        <v>4970</v>
      </c>
    </row>
    <row r="3027" spans="1:1">
      <c r="A3027" s="149" t="s">
        <v>4971</v>
      </c>
    </row>
    <row r="3028" spans="1:1">
      <c r="A3028" s="149" t="s">
        <v>4972</v>
      </c>
    </row>
    <row r="3029" spans="1:1">
      <c r="A3029" s="149" t="s">
        <v>4973</v>
      </c>
    </row>
    <row r="3030" spans="1:1">
      <c r="A3030" s="149" t="s">
        <v>4974</v>
      </c>
    </row>
    <row r="3031" spans="1:1">
      <c r="A3031" s="149" t="s">
        <v>4975</v>
      </c>
    </row>
    <row r="3032" spans="1:1">
      <c r="A3032" s="149" t="s">
        <v>4976</v>
      </c>
    </row>
    <row r="3033" spans="1:1">
      <c r="A3033" s="149" t="s">
        <v>4977</v>
      </c>
    </row>
    <row r="3034" spans="1:1">
      <c r="A3034" s="149" t="s">
        <v>4978</v>
      </c>
    </row>
    <row r="3035" spans="1:1">
      <c r="A3035" s="149" t="s">
        <v>4979</v>
      </c>
    </row>
    <row r="3036" spans="1:1">
      <c r="A3036" s="149" t="s">
        <v>4980</v>
      </c>
    </row>
    <row r="3037" spans="1:1">
      <c r="A3037" s="149" t="s">
        <v>4981</v>
      </c>
    </row>
    <row r="3038" spans="1:1">
      <c r="A3038" s="149" t="s">
        <v>4982</v>
      </c>
    </row>
    <row r="3039" spans="1:1">
      <c r="A3039" s="149" t="s">
        <v>4983</v>
      </c>
    </row>
    <row r="3040" spans="1:1">
      <c r="A3040" s="149" t="s">
        <v>4984</v>
      </c>
    </row>
    <row r="3041" spans="1:1">
      <c r="A3041" s="149" t="s">
        <v>4985</v>
      </c>
    </row>
    <row r="3042" spans="1:1">
      <c r="A3042" s="149" t="s">
        <v>4986</v>
      </c>
    </row>
    <row r="3043" spans="1:1">
      <c r="A3043" s="149" t="s">
        <v>4987</v>
      </c>
    </row>
    <row r="3044" spans="1:1">
      <c r="A3044" s="149" t="s">
        <v>4988</v>
      </c>
    </row>
    <row r="3045" spans="1:1">
      <c r="A3045" s="149" t="s">
        <v>4989</v>
      </c>
    </row>
    <row r="3046" spans="1:1">
      <c r="A3046" s="149" t="s">
        <v>4990</v>
      </c>
    </row>
    <row r="3047" spans="1:1">
      <c r="A3047" s="149" t="s">
        <v>4991</v>
      </c>
    </row>
    <row r="3048" spans="1:1">
      <c r="A3048" s="149" t="s">
        <v>4992</v>
      </c>
    </row>
    <row r="3049" spans="1:1">
      <c r="A3049" s="149" t="s">
        <v>4993</v>
      </c>
    </row>
    <row r="3050" spans="1:1">
      <c r="A3050" s="149" t="s">
        <v>4994</v>
      </c>
    </row>
    <row r="3051" spans="1:1">
      <c r="A3051" s="149" t="s">
        <v>4995</v>
      </c>
    </row>
    <row r="3052" spans="1:1">
      <c r="A3052" s="149" t="s">
        <v>4996</v>
      </c>
    </row>
    <row r="3053" spans="1:1">
      <c r="A3053" s="149" t="s">
        <v>4997</v>
      </c>
    </row>
    <row r="3054" spans="1:1">
      <c r="A3054" s="149" t="s">
        <v>4998</v>
      </c>
    </row>
    <row r="3055" spans="1:1">
      <c r="A3055" s="149" t="s">
        <v>4999</v>
      </c>
    </row>
    <row r="3056" spans="1:1">
      <c r="A3056" s="149" t="s">
        <v>5000</v>
      </c>
    </row>
    <row r="3057" spans="1:1">
      <c r="A3057" s="149" t="s">
        <v>5001</v>
      </c>
    </row>
    <row r="3058" spans="1:1">
      <c r="A3058" s="149" t="s">
        <v>5002</v>
      </c>
    </row>
    <row r="3059" spans="1:1">
      <c r="A3059" s="149" t="s">
        <v>5003</v>
      </c>
    </row>
    <row r="3060" spans="1:1">
      <c r="A3060" s="149" t="s">
        <v>5004</v>
      </c>
    </row>
    <row r="3061" spans="1:1">
      <c r="A3061" s="149" t="s">
        <v>5005</v>
      </c>
    </row>
    <row r="3062" spans="1:1">
      <c r="A3062" s="149" t="s">
        <v>5006</v>
      </c>
    </row>
    <row r="3063" spans="1:1">
      <c r="A3063" s="149" t="s">
        <v>5007</v>
      </c>
    </row>
    <row r="3064" spans="1:1">
      <c r="A3064" s="149" t="s">
        <v>5008</v>
      </c>
    </row>
    <row r="3065" spans="1:1">
      <c r="A3065" s="149" t="s">
        <v>5009</v>
      </c>
    </row>
    <row r="3066" spans="1:1">
      <c r="A3066" s="149" t="s">
        <v>5010</v>
      </c>
    </row>
    <row r="3067" spans="1:1">
      <c r="A3067" s="149" t="s">
        <v>5011</v>
      </c>
    </row>
    <row r="3068" spans="1:1">
      <c r="A3068" s="149" t="s">
        <v>5012</v>
      </c>
    </row>
    <row r="3069" spans="1:1">
      <c r="A3069" s="149" t="s">
        <v>5013</v>
      </c>
    </row>
    <row r="3070" spans="1:1">
      <c r="A3070" s="149" t="s">
        <v>5014</v>
      </c>
    </row>
    <row r="3071" spans="1:1">
      <c r="A3071" s="149" t="s">
        <v>5015</v>
      </c>
    </row>
    <row r="3072" spans="1:1">
      <c r="A3072" s="149" t="s">
        <v>5016</v>
      </c>
    </row>
    <row r="3073" spans="1:1">
      <c r="A3073" s="149" t="s">
        <v>5017</v>
      </c>
    </row>
    <row r="3074" spans="1:1">
      <c r="A3074" s="149" t="s">
        <v>5018</v>
      </c>
    </row>
    <row r="3075" spans="1:1">
      <c r="A3075" s="149" t="s">
        <v>5019</v>
      </c>
    </row>
    <row r="3076" spans="1:1">
      <c r="A3076" s="149" t="s">
        <v>5020</v>
      </c>
    </row>
    <row r="3077" spans="1:1">
      <c r="A3077" s="149" t="s">
        <v>5021</v>
      </c>
    </row>
    <row r="3078" spans="1:1">
      <c r="A3078" s="149" t="s">
        <v>5022</v>
      </c>
    </row>
    <row r="3079" spans="1:1">
      <c r="A3079" s="149" t="s">
        <v>5023</v>
      </c>
    </row>
    <row r="3080" spans="1:1">
      <c r="A3080" s="149" t="s">
        <v>5024</v>
      </c>
    </row>
    <row r="3081" spans="1:1">
      <c r="A3081" s="149" t="s">
        <v>5025</v>
      </c>
    </row>
    <row r="3082" spans="1:1">
      <c r="A3082" s="149" t="s">
        <v>5026</v>
      </c>
    </row>
    <row r="3083" spans="1:1">
      <c r="A3083" s="149" t="s">
        <v>5027</v>
      </c>
    </row>
    <row r="3084" spans="1:1">
      <c r="A3084" s="149" t="s">
        <v>5028</v>
      </c>
    </row>
    <row r="3085" spans="1:1">
      <c r="A3085" s="149" t="s">
        <v>5029</v>
      </c>
    </row>
    <row r="3086" spans="1:1">
      <c r="A3086" s="149" t="s">
        <v>5030</v>
      </c>
    </row>
    <row r="3087" spans="1:1">
      <c r="A3087" s="149" t="s">
        <v>5031</v>
      </c>
    </row>
    <row r="3088" spans="1:1">
      <c r="A3088" s="149" t="s">
        <v>5032</v>
      </c>
    </row>
    <row r="3089" spans="1:1">
      <c r="A3089" s="149" t="s">
        <v>5033</v>
      </c>
    </row>
    <row r="3090" spans="1:1">
      <c r="A3090" s="149" t="s">
        <v>5034</v>
      </c>
    </row>
    <row r="3091" spans="1:1">
      <c r="A3091" s="149" t="s">
        <v>5035</v>
      </c>
    </row>
    <row r="3092" spans="1:1">
      <c r="A3092" s="149" t="s">
        <v>5036</v>
      </c>
    </row>
    <row r="3093" spans="1:1">
      <c r="A3093" s="149" t="s">
        <v>5037</v>
      </c>
    </row>
    <row r="3094" spans="1:1">
      <c r="A3094" s="149" t="s">
        <v>5038</v>
      </c>
    </row>
    <row r="3095" spans="1:1">
      <c r="A3095" s="149" t="s">
        <v>5039</v>
      </c>
    </row>
    <row r="3096" spans="1:1">
      <c r="A3096" s="149" t="s">
        <v>5040</v>
      </c>
    </row>
    <row r="3097" spans="1:1">
      <c r="A3097" s="149" t="s">
        <v>5041</v>
      </c>
    </row>
    <row r="3098" spans="1:1">
      <c r="A3098" s="149" t="s">
        <v>5042</v>
      </c>
    </row>
    <row r="3099" spans="1:1">
      <c r="A3099" s="149" t="s">
        <v>5043</v>
      </c>
    </row>
    <row r="3100" spans="1:1">
      <c r="A3100" s="149" t="s">
        <v>5044</v>
      </c>
    </row>
    <row r="3101" spans="1:1">
      <c r="A3101" s="149" t="s">
        <v>5045</v>
      </c>
    </row>
    <row r="3102" spans="1:1">
      <c r="A3102" s="149" t="s">
        <v>5046</v>
      </c>
    </row>
    <row r="3103" spans="1:1">
      <c r="A3103" s="149" t="s">
        <v>5047</v>
      </c>
    </row>
    <row r="3104" spans="1:1">
      <c r="A3104" s="149" t="s">
        <v>5048</v>
      </c>
    </row>
    <row r="3105" spans="1:1">
      <c r="A3105" s="149" t="s">
        <v>5049</v>
      </c>
    </row>
    <row r="3106" spans="1:1">
      <c r="A3106" s="149" t="s">
        <v>5050</v>
      </c>
    </row>
    <row r="3107" spans="1:1">
      <c r="A3107" s="149" t="s">
        <v>5051</v>
      </c>
    </row>
    <row r="3108" spans="1:1">
      <c r="A3108" s="149" t="s">
        <v>5052</v>
      </c>
    </row>
    <row r="3109" spans="1:1">
      <c r="A3109" s="149" t="s">
        <v>5053</v>
      </c>
    </row>
    <row r="3110" spans="1:1">
      <c r="A3110" s="149" t="s">
        <v>5054</v>
      </c>
    </row>
    <row r="3111" spans="1:1">
      <c r="A3111" s="149" t="s">
        <v>5055</v>
      </c>
    </row>
    <row r="3112" spans="1:1">
      <c r="A3112" s="149" t="s">
        <v>5056</v>
      </c>
    </row>
    <row r="3113" spans="1:1">
      <c r="A3113" s="149" t="s">
        <v>5057</v>
      </c>
    </row>
    <row r="3114" spans="1:1">
      <c r="A3114" s="149" t="s">
        <v>5058</v>
      </c>
    </row>
    <row r="3115" spans="1:1">
      <c r="A3115" s="149" t="s">
        <v>5059</v>
      </c>
    </row>
    <row r="3116" spans="1:1">
      <c r="A3116" s="149" t="s">
        <v>5060</v>
      </c>
    </row>
    <row r="3117" spans="1:1">
      <c r="A3117" s="149" t="s">
        <v>5061</v>
      </c>
    </row>
    <row r="3118" spans="1:1">
      <c r="A3118" s="149" t="s">
        <v>5062</v>
      </c>
    </row>
    <row r="3119" spans="1:1">
      <c r="A3119" s="149" t="s">
        <v>5063</v>
      </c>
    </row>
    <row r="3120" spans="1:1">
      <c r="A3120" s="149" t="s">
        <v>5064</v>
      </c>
    </row>
    <row r="3121" spans="1:1">
      <c r="A3121" s="149" t="s">
        <v>5065</v>
      </c>
    </row>
    <row r="3122" spans="1:1">
      <c r="A3122" s="149" t="s">
        <v>5066</v>
      </c>
    </row>
    <row r="3123" spans="1:1">
      <c r="A3123" s="149" t="s">
        <v>5067</v>
      </c>
    </row>
    <row r="3124" spans="1:1">
      <c r="A3124" s="149" t="s">
        <v>5068</v>
      </c>
    </row>
    <row r="3125" spans="1:1">
      <c r="A3125" s="149" t="s">
        <v>5069</v>
      </c>
    </row>
    <row r="3126" spans="1:1">
      <c r="A3126" s="149" t="s">
        <v>5070</v>
      </c>
    </row>
    <row r="3127" spans="1:1">
      <c r="A3127" s="149" t="s">
        <v>5071</v>
      </c>
    </row>
    <row r="3128" spans="1:1">
      <c r="A3128" s="149" t="s">
        <v>5072</v>
      </c>
    </row>
    <row r="3129" spans="1:1">
      <c r="A3129" s="149" t="s">
        <v>5073</v>
      </c>
    </row>
    <row r="3130" spans="1:1">
      <c r="A3130" s="149" t="s">
        <v>5074</v>
      </c>
    </row>
    <row r="3131" spans="1:1">
      <c r="A3131" s="149" t="s">
        <v>5075</v>
      </c>
    </row>
    <row r="3132" spans="1:1">
      <c r="A3132" s="149" t="s">
        <v>5076</v>
      </c>
    </row>
    <row r="3133" spans="1:1">
      <c r="A3133" s="149" t="s">
        <v>5077</v>
      </c>
    </row>
    <row r="3134" spans="1:1">
      <c r="A3134" s="149" t="s">
        <v>5078</v>
      </c>
    </row>
    <row r="3135" spans="1:1">
      <c r="A3135" s="149" t="s">
        <v>5079</v>
      </c>
    </row>
    <row r="3136" spans="1:1">
      <c r="A3136" s="149" t="s">
        <v>5080</v>
      </c>
    </row>
    <row r="3137" spans="1:1">
      <c r="A3137" s="149" t="s">
        <v>5081</v>
      </c>
    </row>
    <row r="3138" spans="1:1">
      <c r="A3138" s="149" t="s">
        <v>5082</v>
      </c>
    </row>
    <row r="3139" spans="1:1">
      <c r="A3139" s="149" t="s">
        <v>5083</v>
      </c>
    </row>
    <row r="3140" spans="1:1">
      <c r="A3140" s="149" t="s">
        <v>5084</v>
      </c>
    </row>
    <row r="3141" spans="1:1">
      <c r="A3141" s="149" t="s">
        <v>5085</v>
      </c>
    </row>
    <row r="3142" spans="1:1">
      <c r="A3142" s="149" t="s">
        <v>5086</v>
      </c>
    </row>
    <row r="3143" spans="1:1">
      <c r="A3143" s="149" t="s">
        <v>5087</v>
      </c>
    </row>
    <row r="3144" spans="1:1">
      <c r="A3144" s="149" t="s">
        <v>5088</v>
      </c>
    </row>
    <row r="3145" spans="1:1">
      <c r="A3145" s="149" t="s">
        <v>5089</v>
      </c>
    </row>
    <row r="3146" spans="1:1">
      <c r="A3146" s="149" t="s">
        <v>5090</v>
      </c>
    </row>
    <row r="3147" spans="1:1">
      <c r="A3147" s="149" t="s">
        <v>5091</v>
      </c>
    </row>
    <row r="3148" spans="1:1">
      <c r="A3148" s="149" t="s">
        <v>5092</v>
      </c>
    </row>
    <row r="3149" spans="1:1">
      <c r="A3149" s="149" t="s">
        <v>5093</v>
      </c>
    </row>
    <row r="3150" spans="1:1">
      <c r="A3150" s="149" t="s">
        <v>5094</v>
      </c>
    </row>
    <row r="3151" spans="1:1">
      <c r="A3151" s="149" t="s">
        <v>5095</v>
      </c>
    </row>
    <row r="3152" spans="1:1">
      <c r="A3152" s="149" t="s">
        <v>5096</v>
      </c>
    </row>
    <row r="3153" spans="1:1">
      <c r="A3153" s="149" t="s">
        <v>5097</v>
      </c>
    </row>
    <row r="3154" spans="1:1">
      <c r="A3154" s="149" t="s">
        <v>5098</v>
      </c>
    </row>
    <row r="3155" spans="1:1">
      <c r="A3155" s="149" t="s">
        <v>5099</v>
      </c>
    </row>
    <row r="3156" spans="1:1">
      <c r="A3156" s="149" t="s">
        <v>5100</v>
      </c>
    </row>
    <row r="3157" spans="1:1">
      <c r="A3157" s="149" t="s">
        <v>5101</v>
      </c>
    </row>
    <row r="3158" spans="1:1">
      <c r="A3158" s="149" t="s">
        <v>5102</v>
      </c>
    </row>
    <row r="3159" spans="1:1">
      <c r="A3159" s="149" t="s">
        <v>5103</v>
      </c>
    </row>
    <row r="3160" spans="1:1">
      <c r="A3160" s="149" t="s">
        <v>5104</v>
      </c>
    </row>
    <row r="3161" spans="1:1">
      <c r="A3161" s="149" t="s">
        <v>5105</v>
      </c>
    </row>
    <row r="3162" spans="1:1">
      <c r="A3162" s="149" t="s">
        <v>5106</v>
      </c>
    </row>
    <row r="3163" spans="1:1">
      <c r="A3163" s="149" t="s">
        <v>5107</v>
      </c>
    </row>
    <row r="3164" spans="1:1">
      <c r="A3164" s="149" t="s">
        <v>5108</v>
      </c>
    </row>
    <row r="3165" spans="1:1">
      <c r="A3165" s="149" t="s">
        <v>5109</v>
      </c>
    </row>
    <row r="3166" spans="1:1">
      <c r="A3166" s="149" t="s">
        <v>5110</v>
      </c>
    </row>
    <row r="3167" spans="1:1">
      <c r="A3167" s="149" t="s">
        <v>5111</v>
      </c>
    </row>
    <row r="3168" spans="1:1">
      <c r="A3168" s="149" t="s">
        <v>5112</v>
      </c>
    </row>
    <row r="3169" spans="1:1">
      <c r="A3169" s="149" t="s">
        <v>5113</v>
      </c>
    </row>
    <row r="3170" spans="1:1">
      <c r="A3170" s="149" t="s">
        <v>5114</v>
      </c>
    </row>
    <row r="3171" spans="1:1">
      <c r="A3171" s="149" t="s">
        <v>5115</v>
      </c>
    </row>
    <row r="3172" spans="1:1">
      <c r="A3172" s="149" t="s">
        <v>5116</v>
      </c>
    </row>
    <row r="3173" spans="1:1">
      <c r="A3173" s="149" t="s">
        <v>5117</v>
      </c>
    </row>
    <row r="3174" spans="1:1">
      <c r="A3174" s="149" t="s">
        <v>5118</v>
      </c>
    </row>
    <row r="3175" spans="1:1">
      <c r="A3175" s="149" t="s">
        <v>5119</v>
      </c>
    </row>
    <row r="3176" spans="1:1">
      <c r="A3176" s="149" t="s">
        <v>5120</v>
      </c>
    </row>
    <row r="3177" spans="1:1">
      <c r="A3177" s="149" t="s">
        <v>5121</v>
      </c>
    </row>
    <row r="3178" spans="1:1">
      <c r="A3178" s="149" t="s">
        <v>5122</v>
      </c>
    </row>
    <row r="3179" spans="1:1">
      <c r="A3179" s="149" t="s">
        <v>5123</v>
      </c>
    </row>
    <row r="3180" spans="1:1">
      <c r="A3180" s="149" t="s">
        <v>5124</v>
      </c>
    </row>
    <row r="3181" spans="1:1">
      <c r="A3181" s="149" t="s">
        <v>5125</v>
      </c>
    </row>
    <row r="3182" spans="1:1">
      <c r="A3182" s="149" t="s">
        <v>5126</v>
      </c>
    </row>
    <row r="3183" spans="1:1">
      <c r="A3183" s="149" t="s">
        <v>5127</v>
      </c>
    </row>
    <row r="3184" spans="1:1">
      <c r="A3184" s="149" t="s">
        <v>5128</v>
      </c>
    </row>
    <row r="3185" spans="1:1">
      <c r="A3185" s="149" t="s">
        <v>5129</v>
      </c>
    </row>
    <row r="3186" spans="1:1">
      <c r="A3186" s="149" t="s">
        <v>5130</v>
      </c>
    </row>
    <row r="3187" spans="1:1">
      <c r="A3187" s="149" t="s">
        <v>5131</v>
      </c>
    </row>
    <row r="3188" spans="1:1">
      <c r="A3188" s="149" t="s">
        <v>5132</v>
      </c>
    </row>
    <row r="3189" spans="1:1">
      <c r="A3189" s="149" t="s">
        <v>5133</v>
      </c>
    </row>
    <row r="3190" spans="1:1">
      <c r="A3190" s="149" t="s">
        <v>5134</v>
      </c>
    </row>
    <row r="3191" spans="1:1">
      <c r="A3191" s="149" t="s">
        <v>5135</v>
      </c>
    </row>
    <row r="3192" spans="1:1">
      <c r="A3192" s="149" t="s">
        <v>5136</v>
      </c>
    </row>
    <row r="3193" spans="1:1">
      <c r="A3193" s="149" t="s">
        <v>5137</v>
      </c>
    </row>
    <row r="3194" spans="1:1">
      <c r="A3194" s="149" t="s">
        <v>5138</v>
      </c>
    </row>
    <row r="3195" spans="1:1">
      <c r="A3195" s="149" t="s">
        <v>5139</v>
      </c>
    </row>
    <row r="3196" spans="1:1">
      <c r="A3196" s="149" t="s">
        <v>5140</v>
      </c>
    </row>
    <row r="3197" spans="1:1">
      <c r="A3197" s="149" t="s">
        <v>5141</v>
      </c>
    </row>
    <row r="3198" spans="1:1">
      <c r="A3198" s="149" t="s">
        <v>5142</v>
      </c>
    </row>
    <row r="3199" spans="1:1">
      <c r="A3199" s="149" t="s">
        <v>5143</v>
      </c>
    </row>
    <row r="3200" spans="1:1">
      <c r="A3200" s="149" t="s">
        <v>5144</v>
      </c>
    </row>
    <row r="3201" spans="1:1">
      <c r="A3201" s="149" t="s">
        <v>5145</v>
      </c>
    </row>
    <row r="3202" spans="1:1">
      <c r="A3202" s="149" t="s">
        <v>5146</v>
      </c>
    </row>
    <row r="3203" spans="1:1">
      <c r="A3203" s="149" t="s">
        <v>5147</v>
      </c>
    </row>
    <row r="3204" spans="1:1">
      <c r="A3204" s="149" t="s">
        <v>5148</v>
      </c>
    </row>
    <row r="3205" spans="1:1">
      <c r="A3205" s="149" t="s">
        <v>5149</v>
      </c>
    </row>
    <row r="3206" spans="1:1">
      <c r="A3206" s="149" t="s">
        <v>5150</v>
      </c>
    </row>
    <row r="3207" spans="1:1">
      <c r="A3207" s="149" t="s">
        <v>5151</v>
      </c>
    </row>
    <row r="3208" spans="1:1">
      <c r="A3208" s="149" t="s">
        <v>5152</v>
      </c>
    </row>
    <row r="3209" spans="1:1">
      <c r="A3209" s="149" t="s">
        <v>5153</v>
      </c>
    </row>
    <row r="3210" spans="1:1">
      <c r="A3210" s="149" t="s">
        <v>5154</v>
      </c>
    </row>
    <row r="3211" spans="1:1">
      <c r="A3211" s="149" t="s">
        <v>5155</v>
      </c>
    </row>
    <row r="3212" spans="1:1">
      <c r="A3212" s="149" t="s">
        <v>5156</v>
      </c>
    </row>
    <row r="3213" spans="1:1">
      <c r="A3213" s="149" t="s">
        <v>5157</v>
      </c>
    </row>
    <row r="3214" spans="1:1">
      <c r="A3214" s="149" t="s">
        <v>5158</v>
      </c>
    </row>
    <row r="3215" spans="1:1">
      <c r="A3215" s="149" t="s">
        <v>5159</v>
      </c>
    </row>
    <row r="3216" spans="1:1">
      <c r="A3216" s="149" t="s">
        <v>5160</v>
      </c>
    </row>
    <row r="3217" spans="1:1">
      <c r="A3217" s="149" t="s">
        <v>5161</v>
      </c>
    </row>
    <row r="3218" spans="1:1">
      <c r="A3218" s="149" t="s">
        <v>5162</v>
      </c>
    </row>
    <row r="3219" spans="1:1">
      <c r="A3219" s="149" t="s">
        <v>5163</v>
      </c>
    </row>
    <row r="3220" spans="1:1">
      <c r="A3220" s="149" t="s">
        <v>5164</v>
      </c>
    </row>
    <row r="3221" spans="1:1">
      <c r="A3221" s="149" t="s">
        <v>5165</v>
      </c>
    </row>
    <row r="3222" spans="1:1">
      <c r="A3222" s="149" t="s">
        <v>5166</v>
      </c>
    </row>
    <row r="3223" spans="1:1">
      <c r="A3223" s="149" t="s">
        <v>5167</v>
      </c>
    </row>
    <row r="3224" spans="1:1">
      <c r="A3224" s="149" t="s">
        <v>5168</v>
      </c>
    </row>
    <row r="3225" spans="1:1">
      <c r="A3225" s="149" t="s">
        <v>5169</v>
      </c>
    </row>
    <row r="3226" spans="1:1">
      <c r="A3226" s="149" t="s">
        <v>5170</v>
      </c>
    </row>
    <row r="3227" spans="1:1">
      <c r="A3227" s="149" t="s">
        <v>5171</v>
      </c>
    </row>
    <row r="3228" spans="1:1">
      <c r="A3228" s="149" t="s">
        <v>5172</v>
      </c>
    </row>
    <row r="3229" spans="1:1">
      <c r="A3229" s="149" t="s">
        <v>5173</v>
      </c>
    </row>
    <row r="3230" spans="1:1">
      <c r="A3230" s="149" t="s">
        <v>5174</v>
      </c>
    </row>
    <row r="3231" spans="1:1">
      <c r="A3231" s="149" t="s">
        <v>5175</v>
      </c>
    </row>
    <row r="3232" spans="1:1">
      <c r="A3232" s="149" t="s">
        <v>5176</v>
      </c>
    </row>
    <row r="3233" spans="1:1">
      <c r="A3233" s="149" t="s">
        <v>5177</v>
      </c>
    </row>
    <row r="3234" spans="1:1">
      <c r="A3234" s="149" t="s">
        <v>5178</v>
      </c>
    </row>
    <row r="3235" spans="1:1">
      <c r="A3235" s="149" t="s">
        <v>5179</v>
      </c>
    </row>
    <row r="3236" spans="1:1">
      <c r="A3236" s="149" t="s">
        <v>5180</v>
      </c>
    </row>
    <row r="3237" spans="1:1">
      <c r="A3237" s="149" t="s">
        <v>5181</v>
      </c>
    </row>
    <row r="3238" spans="1:1">
      <c r="A3238" s="149" t="s">
        <v>5182</v>
      </c>
    </row>
    <row r="3239" spans="1:1">
      <c r="A3239" s="149" t="s">
        <v>5183</v>
      </c>
    </row>
    <row r="3240" spans="1:1">
      <c r="A3240" s="149" t="s">
        <v>5184</v>
      </c>
    </row>
    <row r="3241" spans="1:1">
      <c r="A3241" s="149" t="s">
        <v>5185</v>
      </c>
    </row>
    <row r="3242" spans="1:1">
      <c r="A3242" s="149" t="s">
        <v>5186</v>
      </c>
    </row>
    <row r="3243" spans="1:1">
      <c r="A3243" s="149" t="s">
        <v>5187</v>
      </c>
    </row>
    <row r="3244" spans="1:1">
      <c r="A3244" s="149" t="s">
        <v>5188</v>
      </c>
    </row>
    <row r="3245" spans="1:1">
      <c r="A3245" s="149" t="s">
        <v>5189</v>
      </c>
    </row>
    <row r="3246" spans="1:1">
      <c r="A3246" s="149" t="s">
        <v>5190</v>
      </c>
    </row>
    <row r="3247" spans="1:1">
      <c r="A3247" s="149" t="s">
        <v>5191</v>
      </c>
    </row>
    <row r="3248" spans="1:1">
      <c r="A3248" s="149" t="s">
        <v>5192</v>
      </c>
    </row>
    <row r="3249" spans="1:1">
      <c r="A3249" s="149" t="s">
        <v>5193</v>
      </c>
    </row>
    <row r="3250" spans="1:1">
      <c r="A3250" s="149" t="s">
        <v>5194</v>
      </c>
    </row>
    <row r="3251" spans="1:1">
      <c r="A3251" s="149" t="s">
        <v>5195</v>
      </c>
    </row>
    <row r="3252" spans="1:1">
      <c r="A3252" s="149" t="s">
        <v>5196</v>
      </c>
    </row>
    <row r="3253" spans="1:1">
      <c r="A3253" s="149" t="s">
        <v>5197</v>
      </c>
    </row>
    <row r="3254" spans="1:1">
      <c r="A3254" s="149" t="s">
        <v>5198</v>
      </c>
    </row>
    <row r="3255" spans="1:1">
      <c r="A3255" s="149" t="s">
        <v>5199</v>
      </c>
    </row>
    <row r="3256" spans="1:1">
      <c r="A3256" s="149" t="s">
        <v>5200</v>
      </c>
    </row>
    <row r="3257" spans="1:1">
      <c r="A3257" s="149" t="s">
        <v>5201</v>
      </c>
    </row>
    <row r="3258" spans="1:1">
      <c r="A3258" s="149" t="s">
        <v>5202</v>
      </c>
    </row>
    <row r="3259" spans="1:1">
      <c r="A3259" s="149" t="s">
        <v>5203</v>
      </c>
    </row>
    <row r="3260" spans="1:1">
      <c r="A3260" s="149" t="s">
        <v>5204</v>
      </c>
    </row>
    <row r="3261" spans="1:1">
      <c r="A3261" s="149" t="s">
        <v>5205</v>
      </c>
    </row>
    <row r="3262" spans="1:1">
      <c r="A3262" s="149" t="s">
        <v>5206</v>
      </c>
    </row>
    <row r="3263" spans="1:1">
      <c r="A3263" s="149" t="s">
        <v>5207</v>
      </c>
    </row>
    <row r="3264" spans="1:1">
      <c r="A3264" s="149" t="s">
        <v>5208</v>
      </c>
    </row>
    <row r="3265" spans="1:1">
      <c r="A3265" s="149" t="s">
        <v>5209</v>
      </c>
    </row>
    <row r="3266" spans="1:1">
      <c r="A3266" s="149" t="s">
        <v>5210</v>
      </c>
    </row>
    <row r="3267" spans="1:1">
      <c r="A3267" s="149" t="s">
        <v>5211</v>
      </c>
    </row>
    <row r="3268" spans="1:1">
      <c r="A3268" s="149" t="s">
        <v>5212</v>
      </c>
    </row>
    <row r="3269" spans="1:1">
      <c r="A3269" s="149" t="s">
        <v>5213</v>
      </c>
    </row>
    <row r="3270" spans="1:1">
      <c r="A3270" s="149" t="s">
        <v>5214</v>
      </c>
    </row>
    <row r="3271" spans="1:1">
      <c r="A3271" s="149" t="s">
        <v>5215</v>
      </c>
    </row>
    <row r="3272" spans="1:1">
      <c r="A3272" s="149" t="s">
        <v>5216</v>
      </c>
    </row>
    <row r="3273" spans="1:1">
      <c r="A3273" s="149" t="s">
        <v>5217</v>
      </c>
    </row>
    <row r="3274" spans="1:1">
      <c r="A3274" s="149" t="s">
        <v>5218</v>
      </c>
    </row>
    <row r="3275" spans="1:1">
      <c r="A3275" s="149" t="s">
        <v>5219</v>
      </c>
    </row>
    <row r="3276" spans="1:1">
      <c r="A3276" s="149" t="s">
        <v>5220</v>
      </c>
    </row>
    <row r="3277" spans="1:1">
      <c r="A3277" s="149" t="s">
        <v>5221</v>
      </c>
    </row>
    <row r="3278" spans="1:1">
      <c r="A3278" s="149" t="s">
        <v>5222</v>
      </c>
    </row>
    <row r="3279" spans="1:1">
      <c r="A3279" s="149" t="s">
        <v>5223</v>
      </c>
    </row>
    <row r="3280" spans="1:1">
      <c r="A3280" s="149" t="s">
        <v>5224</v>
      </c>
    </row>
    <row r="3281" spans="1:1">
      <c r="A3281" s="149" t="s">
        <v>5225</v>
      </c>
    </row>
    <row r="3282" spans="1:1">
      <c r="A3282" s="149" t="s">
        <v>5226</v>
      </c>
    </row>
    <row r="3283" spans="1:1">
      <c r="A3283" s="149" t="s">
        <v>5227</v>
      </c>
    </row>
    <row r="3284" spans="1:1">
      <c r="A3284" s="149" t="s">
        <v>5228</v>
      </c>
    </row>
    <row r="3285" spans="1:1">
      <c r="A3285" s="149" t="s">
        <v>5229</v>
      </c>
    </row>
    <row r="3286" spans="1:1">
      <c r="A3286" s="149" t="s">
        <v>5230</v>
      </c>
    </row>
    <row r="3287" spans="1:1">
      <c r="A3287" s="149" t="s">
        <v>5231</v>
      </c>
    </row>
    <row r="3288" spans="1:1">
      <c r="A3288" s="149" t="s">
        <v>5232</v>
      </c>
    </row>
    <row r="3289" spans="1:1">
      <c r="A3289" s="149" t="s">
        <v>5233</v>
      </c>
    </row>
    <row r="3290" spans="1:1">
      <c r="A3290" s="149" t="s">
        <v>5234</v>
      </c>
    </row>
    <row r="3291" spans="1:1">
      <c r="A3291" s="149" t="s">
        <v>5235</v>
      </c>
    </row>
    <row r="3292" spans="1:1">
      <c r="A3292" s="149" t="s">
        <v>5236</v>
      </c>
    </row>
    <row r="3293" spans="1:1">
      <c r="A3293" s="149" t="s">
        <v>5237</v>
      </c>
    </row>
    <row r="3294" spans="1:1">
      <c r="A3294" s="149" t="s">
        <v>5238</v>
      </c>
    </row>
    <row r="3295" spans="1:1">
      <c r="A3295" s="149" t="s">
        <v>5239</v>
      </c>
    </row>
    <row r="3296" spans="1:1">
      <c r="A3296" s="149" t="s">
        <v>5240</v>
      </c>
    </row>
    <row r="3297" spans="1:1">
      <c r="A3297" s="149" t="s">
        <v>5241</v>
      </c>
    </row>
    <row r="3298" spans="1:1">
      <c r="A3298" s="149" t="s">
        <v>5242</v>
      </c>
    </row>
    <row r="3299" spans="1:1">
      <c r="A3299" s="149" t="s">
        <v>5243</v>
      </c>
    </row>
    <row r="3300" spans="1:1">
      <c r="A3300" s="149" t="s">
        <v>5244</v>
      </c>
    </row>
    <row r="3301" spans="1:1">
      <c r="A3301" s="149" t="s">
        <v>5245</v>
      </c>
    </row>
    <row r="3302" spans="1:1">
      <c r="A3302" s="149" t="s">
        <v>5246</v>
      </c>
    </row>
    <row r="3303" spans="1:1">
      <c r="A3303" s="149" t="s">
        <v>5247</v>
      </c>
    </row>
    <row r="3304" spans="1:1">
      <c r="A3304" s="149" t="s">
        <v>5248</v>
      </c>
    </row>
    <row r="3305" spans="1:1">
      <c r="A3305" s="149" t="s">
        <v>5249</v>
      </c>
    </row>
    <row r="3306" spans="1:1">
      <c r="A3306" s="149" t="s">
        <v>5250</v>
      </c>
    </row>
    <row r="3307" spans="1:1">
      <c r="A3307" s="149" t="s">
        <v>5251</v>
      </c>
    </row>
    <row r="3308" spans="1:1">
      <c r="A3308" s="149" t="s">
        <v>5252</v>
      </c>
    </row>
    <row r="3309" spans="1:1">
      <c r="A3309" s="149" t="s">
        <v>5253</v>
      </c>
    </row>
    <row r="3310" spans="1:1">
      <c r="A3310" s="149" t="s">
        <v>5254</v>
      </c>
    </row>
    <row r="3311" spans="1:1">
      <c r="A3311" s="149" t="s">
        <v>5255</v>
      </c>
    </row>
    <row r="3312" spans="1:1">
      <c r="A3312" s="149" t="s">
        <v>5256</v>
      </c>
    </row>
    <row r="3313" spans="1:1">
      <c r="A3313" s="149" t="s">
        <v>5257</v>
      </c>
    </row>
    <row r="3314" spans="1:1">
      <c r="A3314" s="149" t="s">
        <v>5258</v>
      </c>
    </row>
    <row r="3315" spans="1:1">
      <c r="A3315" s="149" t="s">
        <v>5259</v>
      </c>
    </row>
    <row r="3316" spans="1:1">
      <c r="A3316" s="149" t="s">
        <v>5260</v>
      </c>
    </row>
    <row r="3317" spans="1:1">
      <c r="A3317" s="149" t="s">
        <v>5261</v>
      </c>
    </row>
    <row r="3318" spans="1:1">
      <c r="A3318" s="149" t="s">
        <v>5262</v>
      </c>
    </row>
    <row r="3319" spans="1:1">
      <c r="A3319" s="149" t="s">
        <v>5263</v>
      </c>
    </row>
    <row r="3320" spans="1:1">
      <c r="A3320" s="149" t="s">
        <v>5264</v>
      </c>
    </row>
    <row r="3321" spans="1:1">
      <c r="A3321" s="149" t="s">
        <v>5265</v>
      </c>
    </row>
    <row r="3322" spans="1:1">
      <c r="A3322" s="149" t="s">
        <v>5266</v>
      </c>
    </row>
    <row r="3323" spans="1:1">
      <c r="A3323" s="149" t="s">
        <v>5267</v>
      </c>
    </row>
    <row r="3324" spans="1:1">
      <c r="A3324" s="149" t="s">
        <v>5268</v>
      </c>
    </row>
    <row r="3325" spans="1:1">
      <c r="A3325" s="149" t="s">
        <v>5269</v>
      </c>
    </row>
    <row r="3326" spans="1:1">
      <c r="A3326" s="149" t="s">
        <v>5270</v>
      </c>
    </row>
    <row r="3327" spans="1:1">
      <c r="A3327" s="149" t="s">
        <v>5271</v>
      </c>
    </row>
    <row r="3328" spans="1:1">
      <c r="A3328" s="149" t="s">
        <v>5272</v>
      </c>
    </row>
    <row r="3329" spans="1:1">
      <c r="A3329" s="149" t="s">
        <v>5273</v>
      </c>
    </row>
    <row r="3330" spans="1:1">
      <c r="A3330" s="149" t="s">
        <v>5274</v>
      </c>
    </row>
    <row r="3331" spans="1:1">
      <c r="A3331" s="149" t="s">
        <v>5275</v>
      </c>
    </row>
    <row r="3332" spans="1:1">
      <c r="A3332" s="149" t="s">
        <v>5276</v>
      </c>
    </row>
    <row r="3333" spans="1:1">
      <c r="A3333" s="149" t="s">
        <v>5277</v>
      </c>
    </row>
    <row r="3334" spans="1:1">
      <c r="A3334" s="149" t="s">
        <v>5278</v>
      </c>
    </row>
    <row r="3335" spans="1:1">
      <c r="A3335" s="149" t="s">
        <v>5279</v>
      </c>
    </row>
    <row r="3336" spans="1:1">
      <c r="A3336" s="149" t="s">
        <v>5280</v>
      </c>
    </row>
    <row r="3337" spans="1:1">
      <c r="A3337" s="149" t="s">
        <v>5281</v>
      </c>
    </row>
    <row r="3338" spans="1:1">
      <c r="A3338" s="149" t="s">
        <v>5282</v>
      </c>
    </row>
    <row r="3339" spans="1:1">
      <c r="A3339" s="149" t="s">
        <v>5283</v>
      </c>
    </row>
    <row r="3340" spans="1:1">
      <c r="A3340" s="149" t="s">
        <v>5284</v>
      </c>
    </row>
    <row r="3341" spans="1:1">
      <c r="A3341" s="149" t="s">
        <v>5285</v>
      </c>
    </row>
    <row r="3342" spans="1:1">
      <c r="A3342" s="149" t="s">
        <v>5286</v>
      </c>
    </row>
    <row r="3343" spans="1:1">
      <c r="A3343" s="149" t="s">
        <v>5287</v>
      </c>
    </row>
    <row r="3344" spans="1:1">
      <c r="A3344" s="149" t="s">
        <v>5288</v>
      </c>
    </row>
    <row r="3345" spans="1:1">
      <c r="A3345" s="149" t="s">
        <v>5289</v>
      </c>
    </row>
    <row r="3346" spans="1:1">
      <c r="A3346" s="149" t="s">
        <v>5290</v>
      </c>
    </row>
    <row r="3347" spans="1:1">
      <c r="A3347" s="149" t="s">
        <v>5291</v>
      </c>
    </row>
    <row r="3348" spans="1:1">
      <c r="A3348" s="149" t="s">
        <v>5292</v>
      </c>
    </row>
    <row r="3349" spans="1:1">
      <c r="A3349" s="149" t="s">
        <v>5293</v>
      </c>
    </row>
    <row r="3350" spans="1:1">
      <c r="A3350" s="149" t="s">
        <v>5294</v>
      </c>
    </row>
    <row r="3351" spans="1:1">
      <c r="A3351" s="149" t="s">
        <v>5295</v>
      </c>
    </row>
    <row r="3352" spans="1:1">
      <c r="A3352" s="149" t="s">
        <v>5296</v>
      </c>
    </row>
    <row r="3353" spans="1:1">
      <c r="A3353" s="149" t="s">
        <v>5297</v>
      </c>
    </row>
    <row r="3354" spans="1:1">
      <c r="A3354" s="149" t="s">
        <v>5298</v>
      </c>
    </row>
    <row r="3355" spans="1:1">
      <c r="A3355" s="149" t="s">
        <v>5299</v>
      </c>
    </row>
    <row r="3356" spans="1:1">
      <c r="A3356" s="149" t="s">
        <v>5300</v>
      </c>
    </row>
    <row r="3357" spans="1:1">
      <c r="A3357" s="149" t="s">
        <v>5301</v>
      </c>
    </row>
    <row r="3358" spans="1:1">
      <c r="A3358" s="149" t="s">
        <v>5302</v>
      </c>
    </row>
    <row r="3359" spans="1:1">
      <c r="A3359" s="149" t="s">
        <v>5303</v>
      </c>
    </row>
    <row r="3360" spans="1:1">
      <c r="A3360" s="149" t="s">
        <v>5304</v>
      </c>
    </row>
    <row r="3361" spans="1:1">
      <c r="A3361" s="149" t="s">
        <v>5305</v>
      </c>
    </row>
    <row r="3362" spans="1:1">
      <c r="A3362" s="149" t="s">
        <v>5306</v>
      </c>
    </row>
    <row r="3363" spans="1:1">
      <c r="A3363" s="149" t="s">
        <v>5307</v>
      </c>
    </row>
    <row r="3364" spans="1:1">
      <c r="A3364" s="149" t="s">
        <v>5308</v>
      </c>
    </row>
    <row r="3365" spans="1:1">
      <c r="A3365" s="149" t="s">
        <v>5309</v>
      </c>
    </row>
    <row r="3366" spans="1:1">
      <c r="A3366" s="149" t="s">
        <v>5310</v>
      </c>
    </row>
    <row r="3367" spans="1:1">
      <c r="A3367" s="149" t="s">
        <v>5311</v>
      </c>
    </row>
    <row r="3368" spans="1:1">
      <c r="A3368" s="149" t="s">
        <v>5312</v>
      </c>
    </row>
    <row r="3369" spans="1:1">
      <c r="A3369" s="149" t="s">
        <v>5313</v>
      </c>
    </row>
    <row r="3370" spans="1:1">
      <c r="A3370" s="149" t="s">
        <v>5314</v>
      </c>
    </row>
    <row r="3371" spans="1:1">
      <c r="A3371" s="149" t="s">
        <v>5315</v>
      </c>
    </row>
    <row r="3372" spans="1:1">
      <c r="A3372" s="149" t="s">
        <v>5316</v>
      </c>
    </row>
    <row r="3373" spans="1:1">
      <c r="A3373" s="149" t="s">
        <v>5317</v>
      </c>
    </row>
    <row r="3374" spans="1:1">
      <c r="A3374" s="149" t="s">
        <v>5318</v>
      </c>
    </row>
    <row r="3375" spans="1:1">
      <c r="A3375" s="149" t="s">
        <v>5319</v>
      </c>
    </row>
    <row r="3376" spans="1:1">
      <c r="A3376" s="149" t="s">
        <v>5320</v>
      </c>
    </row>
    <row r="3377" spans="1:1">
      <c r="A3377" s="149" t="s">
        <v>5321</v>
      </c>
    </row>
    <row r="3378" spans="1:1">
      <c r="A3378" s="149" t="s">
        <v>5322</v>
      </c>
    </row>
    <row r="3379" spans="1:1">
      <c r="A3379" s="149" t="s">
        <v>5323</v>
      </c>
    </row>
    <row r="3380" spans="1:1">
      <c r="A3380" s="149" t="s">
        <v>5324</v>
      </c>
    </row>
    <row r="3381" spans="1:1">
      <c r="A3381" s="149" t="s">
        <v>5325</v>
      </c>
    </row>
    <row r="3382" spans="1:1">
      <c r="A3382" s="149" t="s">
        <v>5326</v>
      </c>
    </row>
    <row r="3383" spans="1:1">
      <c r="A3383" s="149" t="s">
        <v>5327</v>
      </c>
    </row>
    <row r="3384" spans="1:1">
      <c r="A3384" s="149" t="s">
        <v>5328</v>
      </c>
    </row>
    <row r="3385" spans="1:1">
      <c r="A3385" s="149" t="s">
        <v>5329</v>
      </c>
    </row>
    <row r="3386" spans="1:1">
      <c r="A3386" s="149" t="s">
        <v>5330</v>
      </c>
    </row>
    <row r="3387" spans="1:1">
      <c r="A3387" s="149" t="s">
        <v>5331</v>
      </c>
    </row>
    <row r="3388" spans="1:1">
      <c r="A3388" s="149" t="s">
        <v>5332</v>
      </c>
    </row>
    <row r="3389" spans="1:1">
      <c r="A3389" s="149" t="s">
        <v>5333</v>
      </c>
    </row>
    <row r="3390" spans="1:1">
      <c r="A3390" s="149" t="s">
        <v>5334</v>
      </c>
    </row>
    <row r="3391" spans="1:1">
      <c r="A3391" s="149" t="s">
        <v>5335</v>
      </c>
    </row>
    <row r="3392" spans="1:1">
      <c r="A3392" s="149" t="s">
        <v>5336</v>
      </c>
    </row>
    <row r="3393" spans="1:1">
      <c r="A3393" s="149" t="s">
        <v>5337</v>
      </c>
    </row>
    <row r="3394" spans="1:1">
      <c r="A3394" s="149" t="s">
        <v>5338</v>
      </c>
    </row>
    <row r="3395" spans="1:1">
      <c r="A3395" s="149" t="s">
        <v>5339</v>
      </c>
    </row>
    <row r="3396" spans="1:1">
      <c r="A3396" s="149" t="s">
        <v>5340</v>
      </c>
    </row>
    <row r="3397" spans="1:1">
      <c r="A3397" s="149" t="s">
        <v>5341</v>
      </c>
    </row>
    <row r="3398" spans="1:1">
      <c r="A3398" s="149" t="s">
        <v>5342</v>
      </c>
    </row>
    <row r="3399" spans="1:1">
      <c r="A3399" s="149" t="s">
        <v>5343</v>
      </c>
    </row>
    <row r="3400" spans="1:1">
      <c r="A3400" s="149" t="s">
        <v>5344</v>
      </c>
    </row>
    <row r="3401" spans="1:1">
      <c r="A3401" s="149" t="s">
        <v>5345</v>
      </c>
    </row>
    <row r="3402" spans="1:1">
      <c r="A3402" s="149" t="s">
        <v>5346</v>
      </c>
    </row>
    <row r="3403" spans="1:1">
      <c r="A3403" s="149" t="s">
        <v>5347</v>
      </c>
    </row>
    <row r="3404" spans="1:1">
      <c r="A3404" s="149" t="s">
        <v>5348</v>
      </c>
    </row>
    <row r="3405" spans="1:1">
      <c r="A3405" s="149" t="s">
        <v>5349</v>
      </c>
    </row>
    <row r="3406" spans="1:1">
      <c r="A3406" s="149" t="s">
        <v>5350</v>
      </c>
    </row>
    <row r="3407" spans="1:1">
      <c r="A3407" s="149" t="s">
        <v>5351</v>
      </c>
    </row>
    <row r="3408" spans="1:1">
      <c r="A3408" s="149" t="s">
        <v>5352</v>
      </c>
    </row>
    <row r="3409" spans="1:1">
      <c r="A3409" s="149" t="s">
        <v>5353</v>
      </c>
    </row>
    <row r="3410" spans="1:1">
      <c r="A3410" s="149" t="s">
        <v>5354</v>
      </c>
    </row>
    <row r="3411" spans="1:1">
      <c r="A3411" s="149" t="s">
        <v>5355</v>
      </c>
    </row>
    <row r="3412" spans="1:1">
      <c r="A3412" s="149" t="s">
        <v>5356</v>
      </c>
    </row>
    <row r="3413" spans="1:1">
      <c r="A3413" s="149" t="s">
        <v>5357</v>
      </c>
    </row>
    <row r="3414" spans="1:1">
      <c r="A3414" s="149" t="s">
        <v>5358</v>
      </c>
    </row>
    <row r="3415" spans="1:1">
      <c r="A3415" s="149" t="s">
        <v>5359</v>
      </c>
    </row>
    <row r="3416" spans="1:1">
      <c r="A3416" s="149" t="s">
        <v>5360</v>
      </c>
    </row>
    <row r="3417" spans="1:1">
      <c r="A3417" s="149" t="s">
        <v>5361</v>
      </c>
    </row>
    <row r="3418" spans="1:1">
      <c r="A3418" s="149" t="s">
        <v>5362</v>
      </c>
    </row>
    <row r="3419" spans="1:1">
      <c r="A3419" s="149" t="s">
        <v>5363</v>
      </c>
    </row>
    <row r="3420" spans="1:1">
      <c r="A3420" s="149" t="s">
        <v>5364</v>
      </c>
    </row>
    <row r="3421" spans="1:1">
      <c r="A3421" s="149" t="s">
        <v>5365</v>
      </c>
    </row>
    <row r="3422" spans="1:1">
      <c r="A3422" s="149" t="s">
        <v>5366</v>
      </c>
    </row>
    <row r="3423" spans="1:1">
      <c r="A3423" s="149" t="s">
        <v>5367</v>
      </c>
    </row>
    <row r="3424" spans="1:1">
      <c r="A3424" s="149" t="s">
        <v>5368</v>
      </c>
    </row>
    <row r="3425" spans="1:1">
      <c r="A3425" s="149" t="s">
        <v>5369</v>
      </c>
    </row>
    <row r="3426" spans="1:1">
      <c r="A3426" s="149" t="s">
        <v>5370</v>
      </c>
    </row>
    <row r="3427" spans="1:1">
      <c r="A3427" s="149" t="s">
        <v>5371</v>
      </c>
    </row>
    <row r="3428" spans="1:1">
      <c r="A3428" s="149" t="s">
        <v>5372</v>
      </c>
    </row>
    <row r="3429" spans="1:1">
      <c r="A3429" s="149" t="s">
        <v>5373</v>
      </c>
    </row>
    <row r="3430" spans="1:1">
      <c r="A3430" s="149" t="s">
        <v>5374</v>
      </c>
    </row>
    <row r="3431" spans="1:1">
      <c r="A3431" s="149" t="s">
        <v>5375</v>
      </c>
    </row>
    <row r="3432" spans="1:1">
      <c r="A3432" s="149" t="s">
        <v>5376</v>
      </c>
    </row>
    <row r="3433" spans="1:1">
      <c r="A3433" s="149" t="s">
        <v>5377</v>
      </c>
    </row>
    <row r="3434" spans="1:1">
      <c r="A3434" s="149" t="s">
        <v>5378</v>
      </c>
    </row>
    <row r="3435" spans="1:1">
      <c r="A3435" s="149" t="s">
        <v>5379</v>
      </c>
    </row>
    <row r="3436" spans="1:1">
      <c r="A3436" s="149" t="s">
        <v>5380</v>
      </c>
    </row>
    <row r="3437" spans="1:1">
      <c r="A3437" s="149" t="s">
        <v>5381</v>
      </c>
    </row>
    <row r="3438" spans="1:1">
      <c r="A3438" s="149" t="s">
        <v>5382</v>
      </c>
    </row>
    <row r="3439" spans="1:1">
      <c r="A3439" s="149" t="s">
        <v>5383</v>
      </c>
    </row>
    <row r="3440" spans="1:1">
      <c r="A3440" s="149" t="s">
        <v>5384</v>
      </c>
    </row>
    <row r="3441" spans="1:1">
      <c r="A3441" s="149" t="s">
        <v>5385</v>
      </c>
    </row>
    <row r="3442" spans="1:1">
      <c r="A3442" s="149" t="s">
        <v>5386</v>
      </c>
    </row>
    <row r="3443" spans="1:1">
      <c r="A3443" s="149" t="s">
        <v>5387</v>
      </c>
    </row>
    <row r="3444" spans="1:1">
      <c r="A3444" s="149" t="s">
        <v>5388</v>
      </c>
    </row>
    <row r="3445" spans="1:1">
      <c r="A3445" s="149" t="s">
        <v>5389</v>
      </c>
    </row>
    <row r="3446" spans="1:1">
      <c r="A3446" s="149" t="s">
        <v>5390</v>
      </c>
    </row>
    <row r="3447" spans="1:1">
      <c r="A3447" s="149" t="s">
        <v>5391</v>
      </c>
    </row>
    <row r="3448" spans="1:1">
      <c r="A3448" s="149" t="s">
        <v>5392</v>
      </c>
    </row>
    <row r="3449" spans="1:1">
      <c r="A3449" s="149" t="s">
        <v>5393</v>
      </c>
    </row>
    <row r="3450" spans="1:1">
      <c r="A3450" s="149" t="s">
        <v>5394</v>
      </c>
    </row>
    <row r="3451" spans="1:1">
      <c r="A3451" s="149" t="s">
        <v>5395</v>
      </c>
    </row>
    <row r="3452" spans="1:1">
      <c r="A3452" s="149" t="s">
        <v>5396</v>
      </c>
    </row>
    <row r="3453" spans="1:1">
      <c r="A3453" s="149" t="s">
        <v>5397</v>
      </c>
    </row>
    <row r="3454" spans="1:1">
      <c r="A3454" s="149" t="s">
        <v>5398</v>
      </c>
    </row>
    <row r="3455" spans="1:1">
      <c r="A3455" s="149" t="s">
        <v>5399</v>
      </c>
    </row>
    <row r="3456" spans="1:1">
      <c r="A3456" s="149" t="s">
        <v>5400</v>
      </c>
    </row>
    <row r="3457" spans="1:1">
      <c r="A3457" s="149" t="s">
        <v>5401</v>
      </c>
    </row>
    <row r="3458" spans="1:1">
      <c r="A3458" s="149" t="s">
        <v>5402</v>
      </c>
    </row>
    <row r="3459" spans="1:1">
      <c r="A3459" s="149" t="s">
        <v>5403</v>
      </c>
    </row>
    <row r="3460" spans="1:1">
      <c r="A3460" s="149" t="s">
        <v>5404</v>
      </c>
    </row>
    <row r="3461" spans="1:1">
      <c r="A3461" s="149" t="s">
        <v>5405</v>
      </c>
    </row>
    <row r="3462" spans="1:1">
      <c r="A3462" s="149" t="s">
        <v>5406</v>
      </c>
    </row>
    <row r="3463" spans="1:1">
      <c r="A3463" s="149" t="s">
        <v>5407</v>
      </c>
    </row>
    <row r="3464" spans="1:1">
      <c r="A3464" s="149" t="s">
        <v>5408</v>
      </c>
    </row>
    <row r="3465" spans="1:1">
      <c r="A3465" s="149" t="s">
        <v>5409</v>
      </c>
    </row>
    <row r="3466" spans="1:1">
      <c r="A3466" s="149" t="s">
        <v>5410</v>
      </c>
    </row>
    <row r="3467" spans="1:1">
      <c r="A3467" s="149" t="s">
        <v>5411</v>
      </c>
    </row>
    <row r="3468" spans="1:1">
      <c r="A3468" s="149" t="s">
        <v>5412</v>
      </c>
    </row>
    <row r="3469" spans="1:1">
      <c r="A3469" s="149" t="s">
        <v>5413</v>
      </c>
    </row>
    <row r="3470" spans="1:1">
      <c r="A3470" s="149" t="s">
        <v>5414</v>
      </c>
    </row>
    <row r="3471" spans="1:1">
      <c r="A3471" s="149" t="s">
        <v>5415</v>
      </c>
    </row>
    <row r="3472" spans="1:1">
      <c r="A3472" s="149" t="s">
        <v>5416</v>
      </c>
    </row>
    <row r="3473" spans="1:1">
      <c r="A3473" s="149" t="s">
        <v>5417</v>
      </c>
    </row>
    <row r="3474" spans="1:1">
      <c r="A3474" s="149" t="s">
        <v>5418</v>
      </c>
    </row>
    <row r="3475" spans="1:1">
      <c r="A3475" s="149" t="s">
        <v>5419</v>
      </c>
    </row>
    <row r="3476" spans="1:1">
      <c r="A3476" s="149" t="s">
        <v>5420</v>
      </c>
    </row>
    <row r="3477" spans="1:1">
      <c r="A3477" s="149" t="s">
        <v>5421</v>
      </c>
    </row>
    <row r="3478" spans="1:1">
      <c r="A3478" s="149" t="s">
        <v>5422</v>
      </c>
    </row>
    <row r="3479" spans="1:1">
      <c r="A3479" s="149" t="s">
        <v>5423</v>
      </c>
    </row>
    <row r="3480" spans="1:1">
      <c r="A3480" s="149" t="s">
        <v>5424</v>
      </c>
    </row>
    <row r="3481" spans="1:1">
      <c r="A3481" s="149" t="s">
        <v>5425</v>
      </c>
    </row>
    <row r="3482" spans="1:1">
      <c r="A3482" s="149" t="s">
        <v>5426</v>
      </c>
    </row>
    <row r="3483" spans="1:1">
      <c r="A3483" s="149" t="s">
        <v>5427</v>
      </c>
    </row>
    <row r="3484" spans="1:1">
      <c r="A3484" s="149" t="s">
        <v>5428</v>
      </c>
    </row>
    <row r="3485" spans="1:1">
      <c r="A3485" s="149" t="s">
        <v>5429</v>
      </c>
    </row>
    <row r="3486" spans="1:1">
      <c r="A3486" s="149" t="s">
        <v>5430</v>
      </c>
    </row>
    <row r="3487" spans="1:1">
      <c r="A3487" s="149" t="s">
        <v>5431</v>
      </c>
    </row>
    <row r="3488" spans="1:1">
      <c r="A3488" s="149" t="s">
        <v>5432</v>
      </c>
    </row>
    <row r="3489" spans="1:1">
      <c r="A3489" s="149" t="s">
        <v>5433</v>
      </c>
    </row>
    <row r="3490" spans="1:1">
      <c r="A3490" s="149" t="s">
        <v>5434</v>
      </c>
    </row>
    <row r="3491" spans="1:1">
      <c r="A3491" s="149" t="s">
        <v>5435</v>
      </c>
    </row>
    <row r="3492" spans="1:1">
      <c r="A3492" s="149" t="s">
        <v>5436</v>
      </c>
    </row>
    <row r="3493" spans="1:1">
      <c r="A3493" s="149" t="s">
        <v>5437</v>
      </c>
    </row>
    <row r="3494" spans="1:1">
      <c r="A3494" s="149" t="s">
        <v>5438</v>
      </c>
    </row>
    <row r="3495" spans="1:1">
      <c r="A3495" s="149" t="s">
        <v>5439</v>
      </c>
    </row>
    <row r="3496" spans="1:1">
      <c r="A3496" s="149" t="s">
        <v>5440</v>
      </c>
    </row>
    <row r="3497" spans="1:1">
      <c r="A3497" s="149" t="s">
        <v>5441</v>
      </c>
    </row>
    <row r="3498" spans="1:1">
      <c r="A3498" s="149" t="s">
        <v>5442</v>
      </c>
    </row>
    <row r="3499" spans="1:1">
      <c r="A3499" s="149" t="s">
        <v>5443</v>
      </c>
    </row>
    <row r="3500" spans="1:1">
      <c r="A3500" s="149" t="s">
        <v>5444</v>
      </c>
    </row>
    <row r="3501" spans="1:1">
      <c r="A3501" s="149" t="s">
        <v>5445</v>
      </c>
    </row>
    <row r="3502" spans="1:1">
      <c r="A3502" s="149" t="s">
        <v>5446</v>
      </c>
    </row>
    <row r="3503" spans="1:1">
      <c r="A3503" s="149" t="s">
        <v>5447</v>
      </c>
    </row>
    <row r="3504" spans="1:1">
      <c r="A3504" s="149" t="s">
        <v>5448</v>
      </c>
    </row>
    <row r="3505" spans="1:1">
      <c r="A3505" s="149" t="s">
        <v>5449</v>
      </c>
    </row>
    <row r="3506" spans="1:1">
      <c r="A3506" s="149" t="s">
        <v>5450</v>
      </c>
    </row>
    <row r="3507" spans="1:1">
      <c r="A3507" s="149" t="s">
        <v>5451</v>
      </c>
    </row>
    <row r="3508" spans="1:1">
      <c r="A3508" s="149" t="s">
        <v>5452</v>
      </c>
    </row>
    <row r="3509" spans="1:1">
      <c r="A3509" s="149" t="s">
        <v>5453</v>
      </c>
    </row>
    <row r="3510" spans="1:1">
      <c r="A3510" s="149" t="s">
        <v>5454</v>
      </c>
    </row>
    <row r="3511" spans="1:1">
      <c r="A3511" s="149" t="s">
        <v>5455</v>
      </c>
    </row>
    <row r="3512" spans="1:1">
      <c r="A3512" s="149" t="s">
        <v>5456</v>
      </c>
    </row>
    <row r="3513" spans="1:1">
      <c r="A3513" s="149" t="s">
        <v>5457</v>
      </c>
    </row>
    <row r="3514" spans="1:1">
      <c r="A3514" s="149" t="s">
        <v>5458</v>
      </c>
    </row>
    <row r="3515" spans="1:1">
      <c r="A3515" s="149" t="s">
        <v>5459</v>
      </c>
    </row>
    <row r="3516" spans="1:1">
      <c r="A3516" s="149" t="s">
        <v>5460</v>
      </c>
    </row>
    <row r="3517" spans="1:1">
      <c r="A3517" s="149" t="s">
        <v>5461</v>
      </c>
    </row>
    <row r="3518" spans="1:1">
      <c r="A3518" s="149" t="s">
        <v>5462</v>
      </c>
    </row>
    <row r="3519" spans="1:1">
      <c r="A3519" s="149" t="s">
        <v>5463</v>
      </c>
    </row>
    <row r="3520" spans="1:1">
      <c r="A3520" s="149" t="s">
        <v>5464</v>
      </c>
    </row>
    <row r="3521" spans="1:1">
      <c r="A3521" s="149" t="s">
        <v>5465</v>
      </c>
    </row>
    <row r="3522" spans="1:1">
      <c r="A3522" s="149" t="s">
        <v>5466</v>
      </c>
    </row>
    <row r="3523" spans="1:1">
      <c r="A3523" s="149" t="s">
        <v>5467</v>
      </c>
    </row>
    <row r="3524" spans="1:1">
      <c r="A3524" s="149" t="s">
        <v>5468</v>
      </c>
    </row>
    <row r="3525" spans="1:1">
      <c r="A3525" s="149" t="s">
        <v>5469</v>
      </c>
    </row>
    <row r="3526" spans="1:1">
      <c r="A3526" s="149" t="s">
        <v>5470</v>
      </c>
    </row>
    <row r="3527" spans="1:1">
      <c r="A3527" s="149" t="s">
        <v>5471</v>
      </c>
    </row>
    <row r="3528" spans="1:1">
      <c r="A3528" s="149" t="s">
        <v>5472</v>
      </c>
    </row>
    <row r="3529" spans="1:1">
      <c r="A3529" s="149" t="s">
        <v>5473</v>
      </c>
    </row>
    <row r="3530" spans="1:1">
      <c r="A3530" s="149" t="s">
        <v>5474</v>
      </c>
    </row>
    <row r="3531" spans="1:1">
      <c r="A3531" s="149" t="s">
        <v>5475</v>
      </c>
    </row>
    <row r="3532" spans="1:1">
      <c r="A3532" s="149" t="s">
        <v>5476</v>
      </c>
    </row>
    <row r="3533" spans="1:1">
      <c r="A3533" s="149" t="s">
        <v>5477</v>
      </c>
    </row>
    <row r="3534" spans="1:1">
      <c r="A3534" s="149" t="s">
        <v>5478</v>
      </c>
    </row>
    <row r="3535" spans="1:1">
      <c r="A3535" s="149" t="s">
        <v>5479</v>
      </c>
    </row>
    <row r="3536" spans="1:1">
      <c r="A3536" s="149" t="s">
        <v>5480</v>
      </c>
    </row>
    <row r="3537" spans="1:1">
      <c r="A3537" s="149" t="s">
        <v>5481</v>
      </c>
    </row>
    <row r="3538" spans="1:1">
      <c r="A3538" s="149" t="s">
        <v>5482</v>
      </c>
    </row>
    <row r="3539" spans="1:1">
      <c r="A3539" s="149" t="s">
        <v>5483</v>
      </c>
    </row>
    <row r="3540" spans="1:1">
      <c r="A3540" s="149" t="s">
        <v>5484</v>
      </c>
    </row>
    <row r="3541" spans="1:1">
      <c r="A3541" s="149" t="s">
        <v>5485</v>
      </c>
    </row>
    <row r="3542" spans="1:1">
      <c r="A3542" s="149" t="s">
        <v>5486</v>
      </c>
    </row>
    <row r="3543" spans="1:1">
      <c r="A3543" s="149" t="s">
        <v>5487</v>
      </c>
    </row>
    <row r="3544" spans="1:1">
      <c r="A3544" s="149" t="s">
        <v>5488</v>
      </c>
    </row>
    <row r="3545" spans="1:1">
      <c r="A3545" s="149" t="s">
        <v>5489</v>
      </c>
    </row>
    <row r="3546" spans="1:1">
      <c r="A3546" s="149" t="s">
        <v>5490</v>
      </c>
    </row>
    <row r="3547" spans="1:1">
      <c r="A3547" s="149" t="s">
        <v>5491</v>
      </c>
    </row>
    <row r="3548" spans="1:1">
      <c r="A3548" s="149" t="s">
        <v>5492</v>
      </c>
    </row>
    <row r="3549" spans="1:1">
      <c r="A3549" s="149" t="s">
        <v>5493</v>
      </c>
    </row>
    <row r="3550" spans="1:1">
      <c r="A3550" s="149" t="s">
        <v>5494</v>
      </c>
    </row>
    <row r="3551" spans="1:1">
      <c r="A3551" s="149" t="s">
        <v>5495</v>
      </c>
    </row>
    <row r="3552" spans="1:1">
      <c r="A3552" s="149" t="s">
        <v>5496</v>
      </c>
    </row>
    <row r="3553" spans="1:1">
      <c r="A3553" s="149" t="s">
        <v>5497</v>
      </c>
    </row>
    <row r="3554" spans="1:1">
      <c r="A3554" s="149" t="s">
        <v>5498</v>
      </c>
    </row>
    <row r="3555" spans="1:1">
      <c r="A3555" s="149" t="s">
        <v>5499</v>
      </c>
    </row>
    <row r="3556" spans="1:1">
      <c r="A3556" s="149" t="s">
        <v>5500</v>
      </c>
    </row>
    <row r="3557" spans="1:1">
      <c r="A3557" s="149" t="s">
        <v>5501</v>
      </c>
    </row>
    <row r="3558" spans="1:1">
      <c r="A3558" s="149" t="s">
        <v>5502</v>
      </c>
    </row>
    <row r="3559" spans="1:1">
      <c r="A3559" s="149" t="s">
        <v>5503</v>
      </c>
    </row>
    <row r="3560" spans="1:1">
      <c r="A3560" s="149" t="s">
        <v>5504</v>
      </c>
    </row>
    <row r="3561" spans="1:1">
      <c r="A3561" s="149" t="s">
        <v>5505</v>
      </c>
    </row>
    <row r="3562" spans="1:1">
      <c r="A3562" s="149" t="s">
        <v>5506</v>
      </c>
    </row>
    <row r="3563" spans="1:1">
      <c r="A3563" s="149" t="s">
        <v>5507</v>
      </c>
    </row>
    <row r="3564" spans="1:1">
      <c r="A3564" s="149" t="s">
        <v>5508</v>
      </c>
    </row>
    <row r="3565" spans="1:1">
      <c r="A3565" s="149" t="s">
        <v>5509</v>
      </c>
    </row>
    <row r="3566" spans="1:1">
      <c r="A3566" s="149" t="s">
        <v>5510</v>
      </c>
    </row>
    <row r="3567" spans="1:1">
      <c r="A3567" s="149" t="s">
        <v>5511</v>
      </c>
    </row>
    <row r="3568" spans="1:1">
      <c r="A3568" s="149" t="s">
        <v>5512</v>
      </c>
    </row>
    <row r="3569" spans="1:1">
      <c r="A3569" s="149" t="s">
        <v>5513</v>
      </c>
    </row>
    <row r="3570" spans="1:1">
      <c r="A3570" s="149" t="s">
        <v>5514</v>
      </c>
    </row>
    <row r="3571" spans="1:1">
      <c r="A3571" s="149" t="s">
        <v>5515</v>
      </c>
    </row>
    <row r="3572" spans="1:1">
      <c r="A3572" s="149" t="s">
        <v>5516</v>
      </c>
    </row>
    <row r="3573" spans="1:1">
      <c r="A3573" s="149" t="s">
        <v>5517</v>
      </c>
    </row>
    <row r="3574" spans="1:1">
      <c r="A3574" s="149" t="s">
        <v>5518</v>
      </c>
    </row>
    <row r="3575" spans="1:1">
      <c r="A3575" s="149" t="s">
        <v>5519</v>
      </c>
    </row>
    <row r="3576" spans="1:1">
      <c r="A3576" s="149" t="s">
        <v>5520</v>
      </c>
    </row>
    <row r="3577" spans="1:1">
      <c r="A3577" s="149" t="s">
        <v>5521</v>
      </c>
    </row>
    <row r="3578" spans="1:1">
      <c r="A3578" s="149" t="s">
        <v>5522</v>
      </c>
    </row>
    <row r="3579" spans="1:1">
      <c r="A3579" s="149" t="s">
        <v>5523</v>
      </c>
    </row>
    <row r="3580" spans="1:1">
      <c r="A3580" s="149" t="s">
        <v>5524</v>
      </c>
    </row>
    <row r="3581" spans="1:1">
      <c r="A3581" s="149" t="s">
        <v>5525</v>
      </c>
    </row>
    <row r="3582" spans="1:1">
      <c r="A3582" s="149" t="s">
        <v>5526</v>
      </c>
    </row>
    <row r="3583" spans="1:1">
      <c r="A3583" s="149" t="s">
        <v>5527</v>
      </c>
    </row>
    <row r="3584" spans="1:1">
      <c r="A3584" s="149" t="s">
        <v>5528</v>
      </c>
    </row>
    <row r="3585" spans="1:1">
      <c r="A3585" s="149" t="s">
        <v>5529</v>
      </c>
    </row>
    <row r="3586" spans="1:1">
      <c r="A3586" s="149" t="s">
        <v>5530</v>
      </c>
    </row>
    <row r="3587" spans="1:1">
      <c r="A3587" s="149" t="s">
        <v>5531</v>
      </c>
    </row>
    <row r="3588" spans="1:1">
      <c r="A3588" s="149" t="s">
        <v>5532</v>
      </c>
    </row>
    <row r="3589" spans="1:1">
      <c r="A3589" s="149" t="s">
        <v>5533</v>
      </c>
    </row>
    <row r="3590" spans="1:1">
      <c r="A3590" s="149" t="s">
        <v>5534</v>
      </c>
    </row>
    <row r="3591" spans="1:1">
      <c r="A3591" s="149" t="s">
        <v>5535</v>
      </c>
    </row>
    <row r="3592" spans="1:1">
      <c r="A3592" s="149" t="s">
        <v>5536</v>
      </c>
    </row>
    <row r="3593" spans="1:1">
      <c r="A3593" s="149" t="s">
        <v>5537</v>
      </c>
    </row>
    <row r="3594" spans="1:1">
      <c r="A3594" s="149" t="s">
        <v>5538</v>
      </c>
    </row>
    <row r="3595" spans="1:1">
      <c r="A3595" s="149" t="s">
        <v>5539</v>
      </c>
    </row>
    <row r="3596" spans="1:1">
      <c r="A3596" s="149" t="s">
        <v>5540</v>
      </c>
    </row>
    <row r="3597" spans="1:1">
      <c r="A3597" s="149" t="s">
        <v>5541</v>
      </c>
    </row>
    <row r="3598" spans="1:1">
      <c r="A3598" s="149" t="s">
        <v>5542</v>
      </c>
    </row>
    <row r="3599" spans="1:1">
      <c r="A3599" s="149" t="s">
        <v>5543</v>
      </c>
    </row>
    <row r="3600" spans="1:1">
      <c r="A3600" s="149" t="s">
        <v>5544</v>
      </c>
    </row>
    <row r="3601" spans="1:1">
      <c r="A3601" s="149" t="s">
        <v>5545</v>
      </c>
    </row>
    <row r="3602" spans="1:1">
      <c r="A3602" s="149" t="s">
        <v>5546</v>
      </c>
    </row>
    <row r="3603" spans="1:1">
      <c r="A3603" s="149" t="s">
        <v>5547</v>
      </c>
    </row>
    <row r="3604" spans="1:1">
      <c r="A3604" s="149" t="s">
        <v>5548</v>
      </c>
    </row>
    <row r="3605" spans="1:1">
      <c r="A3605" s="149" t="s">
        <v>5549</v>
      </c>
    </row>
    <row r="3606" spans="1:1">
      <c r="A3606" s="149" t="s">
        <v>5550</v>
      </c>
    </row>
    <row r="3607" spans="1:1">
      <c r="A3607" s="149" t="s">
        <v>5551</v>
      </c>
    </row>
    <row r="3608" spans="1:1">
      <c r="A3608" s="149" t="s">
        <v>5552</v>
      </c>
    </row>
    <row r="3609" spans="1:1">
      <c r="A3609" s="149" t="s">
        <v>5553</v>
      </c>
    </row>
    <row r="3610" spans="1:1">
      <c r="A3610" s="149" t="s">
        <v>5554</v>
      </c>
    </row>
    <row r="3611" spans="1:1">
      <c r="A3611" s="149" t="s">
        <v>5555</v>
      </c>
    </row>
    <row r="3612" spans="1:1">
      <c r="A3612" s="149" t="s">
        <v>5556</v>
      </c>
    </row>
    <row r="3613" spans="1:1">
      <c r="A3613" s="149" t="s">
        <v>5557</v>
      </c>
    </row>
    <row r="3614" spans="1:1">
      <c r="A3614" s="149" t="s">
        <v>5558</v>
      </c>
    </row>
    <row r="3615" spans="1:1">
      <c r="A3615" s="149" t="s">
        <v>5559</v>
      </c>
    </row>
    <row r="3616" spans="1:1">
      <c r="A3616" s="149" t="s">
        <v>5560</v>
      </c>
    </row>
    <row r="3617" spans="1:1">
      <c r="A3617" s="149" t="s">
        <v>5561</v>
      </c>
    </row>
    <row r="3618" spans="1:1">
      <c r="A3618" s="149" t="s">
        <v>5562</v>
      </c>
    </row>
    <row r="3619" spans="1:1">
      <c r="A3619" s="149" t="s">
        <v>5563</v>
      </c>
    </row>
    <row r="3620" spans="1:1">
      <c r="A3620" s="149" t="s">
        <v>5564</v>
      </c>
    </row>
    <row r="3621" spans="1:1">
      <c r="A3621" s="149" t="s">
        <v>5565</v>
      </c>
    </row>
    <row r="3622" spans="1:1">
      <c r="A3622" s="149" t="s">
        <v>5566</v>
      </c>
    </row>
    <row r="3623" spans="1:1">
      <c r="A3623" s="149" t="s">
        <v>5567</v>
      </c>
    </row>
    <row r="3624" spans="1:1">
      <c r="A3624" s="149" t="s">
        <v>5568</v>
      </c>
    </row>
    <row r="3625" spans="1:1">
      <c r="A3625" s="149" t="s">
        <v>5569</v>
      </c>
    </row>
    <row r="3626" spans="1:1">
      <c r="A3626" s="149" t="s">
        <v>5570</v>
      </c>
    </row>
    <row r="3627" spans="1:1">
      <c r="A3627" s="149" t="s">
        <v>5571</v>
      </c>
    </row>
    <row r="3628" spans="1:1">
      <c r="A3628" s="149" t="s">
        <v>5572</v>
      </c>
    </row>
    <row r="3629" spans="1:1">
      <c r="A3629" s="149" t="s">
        <v>5573</v>
      </c>
    </row>
    <row r="3630" spans="1:1">
      <c r="A3630" s="149" t="s">
        <v>5574</v>
      </c>
    </row>
    <row r="3631" spans="1:1">
      <c r="A3631" s="149" t="s">
        <v>5575</v>
      </c>
    </row>
    <row r="3632" spans="1:1">
      <c r="A3632" s="149" t="s">
        <v>5576</v>
      </c>
    </row>
    <row r="3633" spans="1:1">
      <c r="A3633" s="149" t="s">
        <v>5577</v>
      </c>
    </row>
    <row r="3634" spans="1:1">
      <c r="A3634" s="149" t="s">
        <v>5578</v>
      </c>
    </row>
    <row r="3635" spans="1:1">
      <c r="A3635" s="149" t="s">
        <v>5579</v>
      </c>
    </row>
    <row r="3636" spans="1:1">
      <c r="A3636" s="149" t="s">
        <v>5580</v>
      </c>
    </row>
    <row r="3637" spans="1:1">
      <c r="A3637" s="149" t="s">
        <v>5581</v>
      </c>
    </row>
    <row r="3638" spans="1:1">
      <c r="A3638" s="149" t="s">
        <v>5582</v>
      </c>
    </row>
    <row r="3639" spans="1:1">
      <c r="A3639" s="149" t="s">
        <v>5583</v>
      </c>
    </row>
    <row r="3640" spans="1:1">
      <c r="A3640" s="149" t="s">
        <v>5584</v>
      </c>
    </row>
    <row r="3641" spans="1:1">
      <c r="A3641" s="149" t="s">
        <v>5585</v>
      </c>
    </row>
    <row r="3642" spans="1:1">
      <c r="A3642" s="149" t="s">
        <v>5586</v>
      </c>
    </row>
    <row r="3643" spans="1:1">
      <c r="A3643" s="149" t="s">
        <v>5587</v>
      </c>
    </row>
    <row r="3644" spans="1:1">
      <c r="A3644" s="149" t="s">
        <v>5588</v>
      </c>
    </row>
    <row r="3645" spans="1:1">
      <c r="A3645" s="149" t="s">
        <v>5589</v>
      </c>
    </row>
    <row r="3646" spans="1:1">
      <c r="A3646" s="149" t="s">
        <v>5590</v>
      </c>
    </row>
    <row r="3647" spans="1:1">
      <c r="A3647" s="149" t="s">
        <v>5591</v>
      </c>
    </row>
    <row r="3648" spans="1:1">
      <c r="A3648" s="149" t="s">
        <v>5592</v>
      </c>
    </row>
    <row r="3649" spans="1:1">
      <c r="A3649" s="149" t="s">
        <v>5593</v>
      </c>
    </row>
    <row r="3650" spans="1:1">
      <c r="A3650" s="149" t="s">
        <v>5594</v>
      </c>
    </row>
    <row r="3651" spans="1:1">
      <c r="A3651" s="149" t="s">
        <v>5595</v>
      </c>
    </row>
    <row r="3652" spans="1:1">
      <c r="A3652" s="149" t="s">
        <v>5596</v>
      </c>
    </row>
    <row r="3653" spans="1:1">
      <c r="A3653" s="149" t="s">
        <v>5597</v>
      </c>
    </row>
    <row r="3654" spans="1:1">
      <c r="A3654" s="149" t="s">
        <v>5598</v>
      </c>
    </row>
    <row r="3655" spans="1:1">
      <c r="A3655" s="149" t="s">
        <v>5599</v>
      </c>
    </row>
    <row r="3656" spans="1:1">
      <c r="A3656" s="149" t="s">
        <v>5600</v>
      </c>
    </row>
    <row r="3657" spans="1:1">
      <c r="A3657" s="149" t="s">
        <v>5601</v>
      </c>
    </row>
    <row r="3658" spans="1:1">
      <c r="A3658" s="149" t="s">
        <v>5602</v>
      </c>
    </row>
    <row r="3659" spans="1:1">
      <c r="A3659" s="149" t="s">
        <v>5603</v>
      </c>
    </row>
    <row r="3660" spans="1:1">
      <c r="A3660" s="149" t="s">
        <v>5604</v>
      </c>
    </row>
    <row r="3661" spans="1:1">
      <c r="A3661" s="149" t="s">
        <v>5605</v>
      </c>
    </row>
    <row r="3662" spans="1:1">
      <c r="A3662" s="149" t="s">
        <v>5606</v>
      </c>
    </row>
    <row r="3663" spans="1:1">
      <c r="A3663" s="149" t="s">
        <v>5607</v>
      </c>
    </row>
    <row r="3664" spans="1:1">
      <c r="A3664" s="149" t="s">
        <v>5608</v>
      </c>
    </row>
    <row r="3665" spans="1:1">
      <c r="A3665" s="149" t="s">
        <v>5609</v>
      </c>
    </row>
    <row r="3666" spans="1:1">
      <c r="A3666" s="149" t="s">
        <v>5610</v>
      </c>
    </row>
    <row r="3667" spans="1:1">
      <c r="A3667" s="149" t="s">
        <v>5611</v>
      </c>
    </row>
    <row r="3668" spans="1:1">
      <c r="A3668" s="149" t="s">
        <v>5612</v>
      </c>
    </row>
    <row r="3669" spans="1:1">
      <c r="A3669" s="149" t="s">
        <v>5613</v>
      </c>
    </row>
    <row r="3670" spans="1:1">
      <c r="A3670" s="149" t="s">
        <v>5614</v>
      </c>
    </row>
    <row r="3671" spans="1:1">
      <c r="A3671" s="149" t="s">
        <v>5615</v>
      </c>
    </row>
    <row r="3672" spans="1:1">
      <c r="A3672" s="149" t="s">
        <v>5616</v>
      </c>
    </row>
    <row r="3673" spans="1:1">
      <c r="A3673" s="149" t="s">
        <v>5617</v>
      </c>
    </row>
    <row r="3674" spans="1:1">
      <c r="A3674" s="149" t="s">
        <v>5618</v>
      </c>
    </row>
    <row r="3675" spans="1:1">
      <c r="A3675" s="149" t="s">
        <v>5619</v>
      </c>
    </row>
    <row r="3676" spans="1:1">
      <c r="A3676" s="149" t="s">
        <v>5620</v>
      </c>
    </row>
    <row r="3677" spans="1:1">
      <c r="A3677" s="149" t="s">
        <v>5621</v>
      </c>
    </row>
    <row r="3678" spans="1:1">
      <c r="A3678" s="149" t="s">
        <v>5622</v>
      </c>
    </row>
    <row r="3679" spans="1:1">
      <c r="A3679" s="149" t="s">
        <v>5623</v>
      </c>
    </row>
    <row r="3680" spans="1:1">
      <c r="A3680" s="149" t="s">
        <v>5624</v>
      </c>
    </row>
    <row r="3681" spans="1:1">
      <c r="A3681" s="149" t="s">
        <v>5625</v>
      </c>
    </row>
    <row r="3682" spans="1:1">
      <c r="A3682" s="149" t="s">
        <v>5626</v>
      </c>
    </row>
    <row r="3683" spans="1:1">
      <c r="A3683" s="149" t="s">
        <v>5627</v>
      </c>
    </row>
    <row r="3684" spans="1:1">
      <c r="A3684" s="149" t="s">
        <v>5628</v>
      </c>
    </row>
    <row r="3685" spans="1:1">
      <c r="A3685" s="149" t="s">
        <v>5629</v>
      </c>
    </row>
    <row r="3686" spans="1:1">
      <c r="A3686" s="149" t="s">
        <v>5630</v>
      </c>
    </row>
    <row r="3687" spans="1:1">
      <c r="A3687" s="149" t="s">
        <v>5631</v>
      </c>
    </row>
    <row r="3688" spans="1:1">
      <c r="A3688" s="149" t="s">
        <v>5632</v>
      </c>
    </row>
    <row r="3689" spans="1:1">
      <c r="A3689" s="149" t="s">
        <v>5633</v>
      </c>
    </row>
    <row r="3690" spans="1:1">
      <c r="A3690" s="149" t="s">
        <v>5634</v>
      </c>
    </row>
    <row r="3691" spans="1:1">
      <c r="A3691" s="149" t="s">
        <v>5635</v>
      </c>
    </row>
    <row r="3692" spans="1:1">
      <c r="A3692" s="149" t="s">
        <v>5636</v>
      </c>
    </row>
    <row r="3693" spans="1:1">
      <c r="A3693" s="149" t="s">
        <v>5637</v>
      </c>
    </row>
    <row r="3694" spans="1:1">
      <c r="A3694" s="149" t="s">
        <v>5638</v>
      </c>
    </row>
    <row r="3695" spans="1:1">
      <c r="A3695" s="149" t="s">
        <v>5639</v>
      </c>
    </row>
    <row r="3696" spans="1:1">
      <c r="A3696" s="149" t="s">
        <v>5640</v>
      </c>
    </row>
    <row r="3697" spans="1:1">
      <c r="A3697" s="149" t="s">
        <v>5641</v>
      </c>
    </row>
    <row r="3698" spans="1:1">
      <c r="A3698" s="149" t="s">
        <v>5642</v>
      </c>
    </row>
    <row r="3699" spans="1:1">
      <c r="A3699" s="149" t="s">
        <v>5643</v>
      </c>
    </row>
    <row r="3700" spans="1:1">
      <c r="A3700" s="149" t="s">
        <v>5644</v>
      </c>
    </row>
    <row r="3701" spans="1:1">
      <c r="A3701" s="149" t="s">
        <v>5645</v>
      </c>
    </row>
    <row r="3702" spans="1:1">
      <c r="A3702" s="149" t="s">
        <v>5646</v>
      </c>
    </row>
    <row r="3703" spans="1:1">
      <c r="A3703" s="149" t="s">
        <v>5647</v>
      </c>
    </row>
    <row r="3704" spans="1:1">
      <c r="A3704" s="149" t="s">
        <v>5648</v>
      </c>
    </row>
    <row r="3705" spans="1:1">
      <c r="A3705" s="149" t="s">
        <v>5649</v>
      </c>
    </row>
    <row r="3706" spans="1:1">
      <c r="A3706" s="149" t="s">
        <v>5650</v>
      </c>
    </row>
    <row r="3707" spans="1:1">
      <c r="A3707" s="149" t="s">
        <v>5651</v>
      </c>
    </row>
    <row r="3708" spans="1:1">
      <c r="A3708" s="149" t="s">
        <v>5652</v>
      </c>
    </row>
    <row r="3709" spans="1:1">
      <c r="A3709" s="149" t="s">
        <v>5653</v>
      </c>
    </row>
    <row r="3710" spans="1:1">
      <c r="A3710" s="149" t="s">
        <v>5654</v>
      </c>
    </row>
    <row r="3711" spans="1:1">
      <c r="A3711" s="149" t="s">
        <v>5655</v>
      </c>
    </row>
    <row r="3712" spans="1:1">
      <c r="A3712" s="149" t="s">
        <v>5656</v>
      </c>
    </row>
    <row r="3713" spans="1:1">
      <c r="A3713" s="149" t="s">
        <v>5657</v>
      </c>
    </row>
    <row r="3714" spans="1:1">
      <c r="A3714" s="149" t="s">
        <v>5658</v>
      </c>
    </row>
    <row r="3715" spans="1:1">
      <c r="A3715" s="149" t="s">
        <v>5659</v>
      </c>
    </row>
    <row r="3716" spans="1:1">
      <c r="A3716" s="149" t="s">
        <v>5660</v>
      </c>
    </row>
    <row r="3717" spans="1:1">
      <c r="A3717" s="149" t="s">
        <v>5661</v>
      </c>
    </row>
    <row r="3718" spans="1:1">
      <c r="A3718" s="149" t="s">
        <v>5662</v>
      </c>
    </row>
    <row r="3719" spans="1:1">
      <c r="A3719" s="149" t="s">
        <v>5663</v>
      </c>
    </row>
    <row r="3720" spans="1:1">
      <c r="A3720" s="149" t="s">
        <v>5664</v>
      </c>
    </row>
    <row r="3721" spans="1:1">
      <c r="A3721" s="149" t="s">
        <v>5665</v>
      </c>
    </row>
    <row r="3722" spans="1:1">
      <c r="A3722" s="149" t="s">
        <v>5666</v>
      </c>
    </row>
    <row r="3723" spans="1:1">
      <c r="A3723" s="149" t="s">
        <v>5667</v>
      </c>
    </row>
    <row r="3724" spans="1:1">
      <c r="A3724" s="149" t="s">
        <v>5668</v>
      </c>
    </row>
    <row r="3725" spans="1:1">
      <c r="A3725" s="149" t="s">
        <v>5669</v>
      </c>
    </row>
    <row r="3726" spans="1:1">
      <c r="A3726" s="149" t="s">
        <v>5670</v>
      </c>
    </row>
    <row r="3727" spans="1:1">
      <c r="A3727" s="149" t="s">
        <v>5671</v>
      </c>
    </row>
    <row r="3728" spans="1:1">
      <c r="A3728" s="149" t="s">
        <v>5672</v>
      </c>
    </row>
    <row r="3729" spans="1:1">
      <c r="A3729" s="149" t="s">
        <v>5673</v>
      </c>
    </row>
    <row r="3730" spans="1:1">
      <c r="A3730" s="149" t="s">
        <v>5674</v>
      </c>
    </row>
    <row r="3731" spans="1:1">
      <c r="A3731" s="149" t="s">
        <v>5675</v>
      </c>
    </row>
    <row r="3732" spans="1:1">
      <c r="A3732" s="149" t="s">
        <v>5676</v>
      </c>
    </row>
    <row r="3733" spans="1:1">
      <c r="A3733" s="149" t="s">
        <v>5677</v>
      </c>
    </row>
    <row r="3734" spans="1:1">
      <c r="A3734" s="149" t="s">
        <v>5678</v>
      </c>
    </row>
    <row r="3735" spans="1:1">
      <c r="A3735" s="149" t="s">
        <v>5679</v>
      </c>
    </row>
    <row r="3736" spans="1:1">
      <c r="A3736" s="149" t="s">
        <v>5680</v>
      </c>
    </row>
    <row r="3737" spans="1:1">
      <c r="A3737" s="149" t="s">
        <v>5681</v>
      </c>
    </row>
    <row r="3738" spans="1:1">
      <c r="A3738" s="149" t="s">
        <v>5682</v>
      </c>
    </row>
    <row r="3739" spans="1:1">
      <c r="A3739" s="149" t="s">
        <v>5683</v>
      </c>
    </row>
    <row r="3740" spans="1:1">
      <c r="A3740" s="149" t="s">
        <v>5684</v>
      </c>
    </row>
    <row r="3741" spans="1:1">
      <c r="A3741" s="149" t="s">
        <v>5685</v>
      </c>
    </row>
    <row r="3742" spans="1:1">
      <c r="A3742" s="149" t="s">
        <v>5686</v>
      </c>
    </row>
    <row r="3743" spans="1:1">
      <c r="A3743" s="149" t="s">
        <v>5687</v>
      </c>
    </row>
    <row r="3744" spans="1:1">
      <c r="A3744" s="149" t="s">
        <v>5688</v>
      </c>
    </row>
    <row r="3745" spans="1:1">
      <c r="A3745" s="149" t="s">
        <v>5689</v>
      </c>
    </row>
    <row r="3746" spans="1:1">
      <c r="A3746" s="149" t="s">
        <v>5690</v>
      </c>
    </row>
    <row r="3747" spans="1:1">
      <c r="A3747" s="149" t="s">
        <v>5691</v>
      </c>
    </row>
    <row r="3748" spans="1:1">
      <c r="A3748" s="149" t="s">
        <v>5692</v>
      </c>
    </row>
    <row r="3749" spans="1:1">
      <c r="A3749" s="149" t="s">
        <v>5693</v>
      </c>
    </row>
    <row r="3750" spans="1:1">
      <c r="A3750" s="149" t="s">
        <v>5694</v>
      </c>
    </row>
    <row r="3751" spans="1:1">
      <c r="A3751" s="149" t="s">
        <v>5695</v>
      </c>
    </row>
    <row r="3752" spans="1:1">
      <c r="A3752" s="149" t="s">
        <v>5696</v>
      </c>
    </row>
    <row r="3753" spans="1:1">
      <c r="A3753" s="149" t="s">
        <v>5697</v>
      </c>
    </row>
    <row r="3754" spans="1:1">
      <c r="A3754" s="149" t="s">
        <v>5698</v>
      </c>
    </row>
    <row r="3755" spans="1:1">
      <c r="A3755" s="149" t="s">
        <v>5699</v>
      </c>
    </row>
    <row r="3756" spans="1:1">
      <c r="A3756" s="149" t="s">
        <v>5700</v>
      </c>
    </row>
    <row r="3757" spans="1:1">
      <c r="A3757" s="149" t="s">
        <v>5701</v>
      </c>
    </row>
    <row r="3758" spans="1:1">
      <c r="A3758" s="149" t="s">
        <v>5702</v>
      </c>
    </row>
    <row r="3759" spans="1:1">
      <c r="A3759" s="149" t="s">
        <v>5703</v>
      </c>
    </row>
    <row r="3760" spans="1:1">
      <c r="A3760" s="149" t="s">
        <v>5704</v>
      </c>
    </row>
    <row r="3761" spans="1:1">
      <c r="A3761" s="149" t="s">
        <v>5705</v>
      </c>
    </row>
    <row r="3762" spans="1:1">
      <c r="A3762" s="149" t="s">
        <v>5706</v>
      </c>
    </row>
    <row r="3763" spans="1:1">
      <c r="A3763" s="149" t="s">
        <v>5707</v>
      </c>
    </row>
    <row r="3764" spans="1:1">
      <c r="A3764" s="149" t="s">
        <v>5708</v>
      </c>
    </row>
    <row r="3765" spans="1:1">
      <c r="A3765" s="149" t="s">
        <v>5709</v>
      </c>
    </row>
    <row r="3766" spans="1:1">
      <c r="A3766" s="149" t="s">
        <v>5710</v>
      </c>
    </row>
    <row r="3767" spans="1:1">
      <c r="A3767" s="149" t="s">
        <v>5711</v>
      </c>
    </row>
    <row r="3768" spans="1:1">
      <c r="A3768" s="149" t="s">
        <v>5712</v>
      </c>
    </row>
    <row r="3769" spans="1:1">
      <c r="A3769" s="149" t="s">
        <v>5713</v>
      </c>
    </row>
    <row r="3770" spans="1:1">
      <c r="A3770" s="149" t="s">
        <v>5714</v>
      </c>
    </row>
    <row r="3771" spans="1:1">
      <c r="A3771" s="149" t="s">
        <v>5715</v>
      </c>
    </row>
    <row r="3772" spans="1:1">
      <c r="A3772" s="149" t="s">
        <v>5716</v>
      </c>
    </row>
    <row r="3773" spans="1:1">
      <c r="A3773" s="149" t="s">
        <v>5717</v>
      </c>
    </row>
    <row r="3774" spans="1:1">
      <c r="A3774" s="149" t="s">
        <v>5718</v>
      </c>
    </row>
    <row r="3775" spans="1:1">
      <c r="A3775" s="149" t="s">
        <v>5719</v>
      </c>
    </row>
    <row r="3776" spans="1:1">
      <c r="A3776" s="149" t="s">
        <v>5720</v>
      </c>
    </row>
    <row r="3777" spans="1:1">
      <c r="A3777" s="149" t="s">
        <v>5721</v>
      </c>
    </row>
    <row r="3778" spans="1:1">
      <c r="A3778" s="149" t="s">
        <v>5722</v>
      </c>
    </row>
    <row r="3779" spans="1:1">
      <c r="A3779" s="149" t="s">
        <v>5723</v>
      </c>
    </row>
    <row r="3780" spans="1:1">
      <c r="A3780" s="149" t="s">
        <v>5724</v>
      </c>
    </row>
    <row r="3781" spans="1:1">
      <c r="A3781" s="149" t="s">
        <v>5725</v>
      </c>
    </row>
    <row r="3782" spans="1:1">
      <c r="A3782" s="149" t="s">
        <v>5726</v>
      </c>
    </row>
    <row r="3783" spans="1:1">
      <c r="A3783" s="149" t="s">
        <v>5727</v>
      </c>
    </row>
    <row r="3784" spans="1:1">
      <c r="A3784" s="149" t="s">
        <v>5728</v>
      </c>
    </row>
    <row r="3785" spans="1:1">
      <c r="A3785" s="149" t="s">
        <v>5729</v>
      </c>
    </row>
    <row r="3786" spans="1:1">
      <c r="A3786" s="149" t="s">
        <v>5730</v>
      </c>
    </row>
    <row r="3787" spans="1:1">
      <c r="A3787" s="149" t="s">
        <v>5731</v>
      </c>
    </row>
    <row r="3788" spans="1:1">
      <c r="A3788" s="149" t="s">
        <v>5732</v>
      </c>
    </row>
    <row r="3789" spans="1:1">
      <c r="A3789" s="149" t="s">
        <v>5733</v>
      </c>
    </row>
    <row r="3790" spans="1:1">
      <c r="A3790" s="149" t="s">
        <v>5734</v>
      </c>
    </row>
    <row r="3791" spans="1:1">
      <c r="A3791" s="149" t="s">
        <v>5735</v>
      </c>
    </row>
    <row r="3792" spans="1:1">
      <c r="A3792" s="149" t="s">
        <v>5736</v>
      </c>
    </row>
    <row r="3793" spans="1:1">
      <c r="A3793" s="149" t="s">
        <v>5737</v>
      </c>
    </row>
    <row r="3794" spans="1:1">
      <c r="A3794" s="149" t="s">
        <v>5738</v>
      </c>
    </row>
    <row r="3795" spans="1:1">
      <c r="A3795" s="149" t="s">
        <v>5739</v>
      </c>
    </row>
    <row r="3796" spans="1:1">
      <c r="A3796" s="149" t="s">
        <v>5740</v>
      </c>
    </row>
    <row r="3797" spans="1:1">
      <c r="A3797" s="149" t="s">
        <v>5741</v>
      </c>
    </row>
    <row r="3798" spans="1:1">
      <c r="A3798" s="149" t="s">
        <v>5742</v>
      </c>
    </row>
    <row r="3799" spans="1:1">
      <c r="A3799" s="149" t="s">
        <v>5743</v>
      </c>
    </row>
    <row r="3800" spans="1:1">
      <c r="A3800" s="149" t="s">
        <v>5744</v>
      </c>
    </row>
    <row r="3801" spans="1:1">
      <c r="A3801" s="149" t="s">
        <v>5745</v>
      </c>
    </row>
    <row r="3802" spans="1:1">
      <c r="A3802" s="149" t="s">
        <v>5746</v>
      </c>
    </row>
    <row r="3803" spans="1:1">
      <c r="A3803" s="149" t="s">
        <v>5747</v>
      </c>
    </row>
    <row r="3804" spans="1:1">
      <c r="A3804" s="149" t="s">
        <v>5748</v>
      </c>
    </row>
    <row r="3805" spans="1:1">
      <c r="A3805" s="149" t="s">
        <v>5749</v>
      </c>
    </row>
    <row r="3806" spans="1:1">
      <c r="A3806" s="149" t="s">
        <v>5750</v>
      </c>
    </row>
    <row r="3807" spans="1:1">
      <c r="A3807" s="149" t="s">
        <v>5751</v>
      </c>
    </row>
    <row r="3808" spans="1:1">
      <c r="A3808" s="149" t="s">
        <v>5752</v>
      </c>
    </row>
    <row r="3809" spans="1:1">
      <c r="A3809" s="149" t="s">
        <v>5753</v>
      </c>
    </row>
    <row r="3810" spans="1:1">
      <c r="A3810" s="149" t="s">
        <v>5754</v>
      </c>
    </row>
    <row r="3811" spans="1:1">
      <c r="A3811" s="149" t="s">
        <v>5755</v>
      </c>
    </row>
    <row r="3812" spans="1:1">
      <c r="A3812" s="149" t="s">
        <v>5756</v>
      </c>
    </row>
    <row r="3813" spans="1:1">
      <c r="A3813" s="149" t="s">
        <v>5757</v>
      </c>
    </row>
    <row r="3814" spans="1:1">
      <c r="A3814" s="149" t="s">
        <v>5758</v>
      </c>
    </row>
    <row r="3815" spans="1:1">
      <c r="A3815" s="149" t="s">
        <v>5759</v>
      </c>
    </row>
    <row r="3816" spans="1:1">
      <c r="A3816" s="149" t="s">
        <v>5760</v>
      </c>
    </row>
    <row r="3817" spans="1:1">
      <c r="A3817" s="149" t="s">
        <v>5761</v>
      </c>
    </row>
    <row r="3818" spans="1:1">
      <c r="A3818" s="149" t="s">
        <v>5762</v>
      </c>
    </row>
    <row r="3819" spans="1:1">
      <c r="A3819" s="149" t="s">
        <v>5763</v>
      </c>
    </row>
    <row r="3820" spans="1:1">
      <c r="A3820" s="149" t="s">
        <v>5764</v>
      </c>
    </row>
    <row r="3821" spans="1:1">
      <c r="A3821" s="149" t="s">
        <v>5765</v>
      </c>
    </row>
    <row r="3822" spans="1:1">
      <c r="A3822" s="149" t="s">
        <v>5766</v>
      </c>
    </row>
    <row r="3823" spans="1:1">
      <c r="A3823" s="149" t="s">
        <v>5767</v>
      </c>
    </row>
    <row r="3824" spans="1:1">
      <c r="A3824" s="149" t="s">
        <v>5768</v>
      </c>
    </row>
    <row r="3825" spans="1:1">
      <c r="A3825" s="149" t="s">
        <v>5769</v>
      </c>
    </row>
    <row r="3826" spans="1:1">
      <c r="A3826" s="149" t="s">
        <v>5770</v>
      </c>
    </row>
    <row r="3827" spans="1:1">
      <c r="A3827" s="149" t="s">
        <v>5771</v>
      </c>
    </row>
    <row r="3828" spans="1:1">
      <c r="A3828" s="149" t="s">
        <v>5772</v>
      </c>
    </row>
    <row r="3829" spans="1:1">
      <c r="A3829" s="149" t="s">
        <v>5773</v>
      </c>
    </row>
    <row r="3830" spans="1:1">
      <c r="A3830" s="149" t="s">
        <v>5774</v>
      </c>
    </row>
    <row r="3831" spans="1:1">
      <c r="A3831" s="149" t="s">
        <v>5775</v>
      </c>
    </row>
    <row r="3832" spans="1:1">
      <c r="A3832" s="149" t="s">
        <v>5776</v>
      </c>
    </row>
    <row r="3833" spans="1:1">
      <c r="A3833" s="149" t="s">
        <v>5777</v>
      </c>
    </row>
    <row r="3834" spans="1:1">
      <c r="A3834" s="149" t="s">
        <v>5778</v>
      </c>
    </row>
    <row r="3835" spans="1:1">
      <c r="A3835" s="149" t="s">
        <v>5779</v>
      </c>
    </row>
    <row r="3836" spans="1:1">
      <c r="A3836" s="149" t="s">
        <v>5780</v>
      </c>
    </row>
    <row r="3837" spans="1:1">
      <c r="A3837" s="149" t="s">
        <v>5781</v>
      </c>
    </row>
    <row r="3838" spans="1:1">
      <c r="A3838" s="149" t="s">
        <v>5782</v>
      </c>
    </row>
    <row r="3839" spans="1:1">
      <c r="A3839" s="149" t="s">
        <v>5783</v>
      </c>
    </row>
    <row r="3840" spans="1:1">
      <c r="A3840" s="149" t="s">
        <v>5784</v>
      </c>
    </row>
    <row r="3841" spans="1:1">
      <c r="A3841" s="149" t="s">
        <v>5785</v>
      </c>
    </row>
    <row r="3842" spans="1:1">
      <c r="A3842" s="149" t="s">
        <v>5786</v>
      </c>
    </row>
    <row r="3843" spans="1:1">
      <c r="A3843" s="149" t="s">
        <v>5787</v>
      </c>
    </row>
    <row r="3844" spans="1:1">
      <c r="A3844" s="149" t="s">
        <v>5788</v>
      </c>
    </row>
    <row r="3845" spans="1:1">
      <c r="A3845" s="149" t="s">
        <v>5789</v>
      </c>
    </row>
    <row r="3846" spans="1:1">
      <c r="A3846" s="149" t="s">
        <v>5790</v>
      </c>
    </row>
    <row r="3847" spans="1:1">
      <c r="A3847" s="149" t="s">
        <v>5791</v>
      </c>
    </row>
    <row r="3848" spans="1:1">
      <c r="A3848" s="149" t="s">
        <v>5792</v>
      </c>
    </row>
    <row r="3849" spans="1:1">
      <c r="A3849" s="149" t="s">
        <v>5793</v>
      </c>
    </row>
    <row r="3850" spans="1:1">
      <c r="A3850" s="149" t="s">
        <v>5794</v>
      </c>
    </row>
    <row r="3851" spans="1:1">
      <c r="A3851" s="149" t="s">
        <v>5795</v>
      </c>
    </row>
    <row r="3852" spans="1:1">
      <c r="A3852" s="149" t="s">
        <v>5796</v>
      </c>
    </row>
    <row r="3853" spans="1:1">
      <c r="A3853" s="149" t="s">
        <v>5797</v>
      </c>
    </row>
    <row r="3854" spans="1:1">
      <c r="A3854" s="149" t="s">
        <v>5798</v>
      </c>
    </row>
    <row r="3855" spans="1:1">
      <c r="A3855" s="149" t="s">
        <v>5799</v>
      </c>
    </row>
    <row r="3856" spans="1:1">
      <c r="A3856" s="149" t="s">
        <v>5800</v>
      </c>
    </row>
    <row r="3857" spans="1:1">
      <c r="A3857" s="149" t="s">
        <v>5801</v>
      </c>
    </row>
    <row r="3858" spans="1:1">
      <c r="A3858" s="149" t="s">
        <v>5802</v>
      </c>
    </row>
    <row r="3859" spans="1:1">
      <c r="A3859" s="149" t="s">
        <v>5803</v>
      </c>
    </row>
    <row r="3860" spans="1:1">
      <c r="A3860" s="149" t="s">
        <v>5804</v>
      </c>
    </row>
    <row r="3861" spans="1:1">
      <c r="A3861" s="149" t="s">
        <v>5805</v>
      </c>
    </row>
    <row r="3862" spans="1:1">
      <c r="A3862" s="149" t="s">
        <v>5806</v>
      </c>
    </row>
    <row r="3863" spans="1:1">
      <c r="A3863" s="149" t="s">
        <v>5807</v>
      </c>
    </row>
    <row r="3864" spans="1:1">
      <c r="A3864" s="149" t="s">
        <v>5808</v>
      </c>
    </row>
    <row r="3865" spans="1:1">
      <c r="A3865" s="149" t="s">
        <v>5809</v>
      </c>
    </row>
    <row r="3866" spans="1:1">
      <c r="A3866" s="149" t="s">
        <v>5810</v>
      </c>
    </row>
    <row r="3867" spans="1:1">
      <c r="A3867" s="149" t="s">
        <v>5811</v>
      </c>
    </row>
    <row r="3868" spans="1:1">
      <c r="A3868" s="149" t="s">
        <v>5812</v>
      </c>
    </row>
    <row r="3869" spans="1:1">
      <c r="A3869" s="149" t="s">
        <v>5813</v>
      </c>
    </row>
    <row r="3870" spans="1:1">
      <c r="A3870" s="149" t="s">
        <v>5814</v>
      </c>
    </row>
    <row r="3871" spans="1:1">
      <c r="A3871" s="149" t="s">
        <v>5815</v>
      </c>
    </row>
    <row r="3872" spans="1:1">
      <c r="A3872" s="149" t="s">
        <v>5816</v>
      </c>
    </row>
    <row r="3873" spans="1:1">
      <c r="A3873" s="149" t="s">
        <v>5817</v>
      </c>
    </row>
    <row r="3874" spans="1:1">
      <c r="A3874" s="149" t="s">
        <v>5818</v>
      </c>
    </row>
    <row r="3875" spans="1:1">
      <c r="A3875" s="149" t="s">
        <v>5819</v>
      </c>
    </row>
    <row r="3876" spans="1:1">
      <c r="A3876" s="149" t="s">
        <v>5820</v>
      </c>
    </row>
    <row r="3877" spans="1:1">
      <c r="A3877" s="149" t="s">
        <v>5821</v>
      </c>
    </row>
    <row r="3878" spans="1:1">
      <c r="A3878" s="149" t="s">
        <v>5822</v>
      </c>
    </row>
    <row r="3879" spans="1:1">
      <c r="A3879" s="149" t="s">
        <v>5823</v>
      </c>
    </row>
    <row r="3880" spans="1:1">
      <c r="A3880" s="149" t="s">
        <v>5824</v>
      </c>
    </row>
    <row r="3881" spans="1:1">
      <c r="A3881" s="149" t="s">
        <v>5825</v>
      </c>
    </row>
    <row r="3882" spans="1:1">
      <c r="A3882" s="149" t="s">
        <v>5826</v>
      </c>
    </row>
    <row r="3883" spans="1:1">
      <c r="A3883" s="149" t="s">
        <v>5827</v>
      </c>
    </row>
    <row r="3884" spans="1:1">
      <c r="A3884" s="149" t="s">
        <v>5828</v>
      </c>
    </row>
    <row r="3885" spans="1:1">
      <c r="A3885" s="149" t="s">
        <v>5829</v>
      </c>
    </row>
    <row r="3886" spans="1:1">
      <c r="A3886" s="149" t="s">
        <v>5830</v>
      </c>
    </row>
    <row r="3887" spans="1:1">
      <c r="A3887" s="149" t="s">
        <v>5831</v>
      </c>
    </row>
    <row r="3888" spans="1:1">
      <c r="A3888" s="149" t="s">
        <v>5832</v>
      </c>
    </row>
    <row r="3889" spans="1:1">
      <c r="A3889" s="149" t="s">
        <v>5833</v>
      </c>
    </row>
    <row r="3890" spans="1:1">
      <c r="A3890" s="149" t="s">
        <v>5834</v>
      </c>
    </row>
    <row r="3891" spans="1:1">
      <c r="A3891" s="149" t="s">
        <v>5835</v>
      </c>
    </row>
    <row r="3892" spans="1:1">
      <c r="A3892" s="149" t="s">
        <v>5836</v>
      </c>
    </row>
    <row r="3893" spans="1:1">
      <c r="A3893" s="149" t="s">
        <v>5837</v>
      </c>
    </row>
    <row r="3894" spans="1:1">
      <c r="A3894" s="149" t="s">
        <v>5838</v>
      </c>
    </row>
    <row r="3895" spans="1:1">
      <c r="A3895" s="149" t="s">
        <v>5839</v>
      </c>
    </row>
    <row r="3896" spans="1:1">
      <c r="A3896" s="149" t="s">
        <v>5840</v>
      </c>
    </row>
    <row r="3897" spans="1:1">
      <c r="A3897" s="149" t="s">
        <v>5841</v>
      </c>
    </row>
    <row r="3898" spans="1:1">
      <c r="A3898" s="149" t="s">
        <v>5842</v>
      </c>
    </row>
    <row r="3899" spans="1:1">
      <c r="A3899" s="149" t="s">
        <v>5843</v>
      </c>
    </row>
    <row r="3900" spans="1:1">
      <c r="A3900" s="149" t="s">
        <v>5844</v>
      </c>
    </row>
    <row r="3901" spans="1:1">
      <c r="A3901" s="149" t="s">
        <v>5845</v>
      </c>
    </row>
    <row r="3902" spans="1:1">
      <c r="A3902" s="149" t="s">
        <v>5846</v>
      </c>
    </row>
    <row r="3903" spans="1:1">
      <c r="A3903" s="149" t="s">
        <v>5847</v>
      </c>
    </row>
    <row r="3904" spans="1:1">
      <c r="A3904" s="149" t="s">
        <v>5848</v>
      </c>
    </row>
    <row r="3905" spans="1:1">
      <c r="A3905" s="149" t="s">
        <v>5849</v>
      </c>
    </row>
    <row r="3906" spans="1:1">
      <c r="A3906" s="149" t="s">
        <v>5850</v>
      </c>
    </row>
    <row r="3907" spans="1:1">
      <c r="A3907" s="149" t="s">
        <v>5851</v>
      </c>
    </row>
    <row r="3908" spans="1:1">
      <c r="A3908" s="149" t="s">
        <v>5852</v>
      </c>
    </row>
    <row r="3909" spans="1:1">
      <c r="A3909" s="149" t="s">
        <v>5853</v>
      </c>
    </row>
    <row r="3910" spans="1:1">
      <c r="A3910" s="149" t="s">
        <v>5854</v>
      </c>
    </row>
    <row r="3911" spans="1:1">
      <c r="A3911" s="149" t="s">
        <v>5855</v>
      </c>
    </row>
    <row r="3912" spans="1:1">
      <c r="A3912" s="149" t="s">
        <v>5856</v>
      </c>
    </row>
    <row r="3913" spans="1:1">
      <c r="A3913" s="149" t="s">
        <v>5857</v>
      </c>
    </row>
    <row r="3914" spans="1:1">
      <c r="A3914" s="149" t="s">
        <v>5858</v>
      </c>
    </row>
    <row r="3915" spans="1:1">
      <c r="A3915" s="149" t="s">
        <v>5859</v>
      </c>
    </row>
    <row r="3916" spans="1:1">
      <c r="A3916" s="149" t="s">
        <v>5860</v>
      </c>
    </row>
    <row r="3917" spans="1:1">
      <c r="A3917" s="149" t="s">
        <v>5861</v>
      </c>
    </row>
    <row r="3918" spans="1:1">
      <c r="A3918" s="149" t="s">
        <v>5862</v>
      </c>
    </row>
    <row r="3919" spans="1:1">
      <c r="A3919" s="149" t="s">
        <v>5863</v>
      </c>
    </row>
    <row r="3920" spans="1:1">
      <c r="A3920" s="149" t="s">
        <v>5864</v>
      </c>
    </row>
    <row r="3921" spans="1:1">
      <c r="A3921" s="149" t="s">
        <v>5865</v>
      </c>
    </row>
    <row r="3922" spans="1:1">
      <c r="A3922" s="149" t="s">
        <v>5866</v>
      </c>
    </row>
    <row r="3923" spans="1:1">
      <c r="A3923" s="149" t="s">
        <v>5867</v>
      </c>
    </row>
    <row r="3924" spans="1:1">
      <c r="A3924" s="149" t="s">
        <v>5868</v>
      </c>
    </row>
    <row r="3925" spans="1:1">
      <c r="A3925" s="149" t="s">
        <v>5869</v>
      </c>
    </row>
    <row r="3926" spans="1:1">
      <c r="A3926" s="149" t="s">
        <v>5870</v>
      </c>
    </row>
    <row r="3927" spans="1:1">
      <c r="A3927" s="149" t="s">
        <v>5871</v>
      </c>
    </row>
    <row r="3928" spans="1:1">
      <c r="A3928" s="149" t="s">
        <v>5872</v>
      </c>
    </row>
    <row r="3929" spans="1:1">
      <c r="A3929" s="149" t="s">
        <v>5873</v>
      </c>
    </row>
    <row r="3930" spans="1:1">
      <c r="A3930" s="149" t="s">
        <v>5874</v>
      </c>
    </row>
    <row r="3931" spans="1:1">
      <c r="A3931" s="149" t="s">
        <v>5875</v>
      </c>
    </row>
    <row r="3932" spans="1:1">
      <c r="A3932" s="149" t="s">
        <v>5876</v>
      </c>
    </row>
    <row r="3933" spans="1:1">
      <c r="A3933" s="149" t="s">
        <v>5877</v>
      </c>
    </row>
    <row r="3934" spans="1:1">
      <c r="A3934" s="149" t="s">
        <v>5878</v>
      </c>
    </row>
    <row r="3935" spans="1:1">
      <c r="A3935" s="149" t="s">
        <v>5879</v>
      </c>
    </row>
    <row r="3936" spans="1:1">
      <c r="A3936" s="149" t="s">
        <v>5880</v>
      </c>
    </row>
    <row r="3937" spans="1:1">
      <c r="A3937" s="149" t="s">
        <v>5881</v>
      </c>
    </row>
    <row r="3938" spans="1:1">
      <c r="A3938" s="149" t="s">
        <v>5882</v>
      </c>
    </row>
    <row r="3939" spans="1:1">
      <c r="A3939" s="149" t="s">
        <v>5883</v>
      </c>
    </row>
    <row r="3940" spans="1:1">
      <c r="A3940" s="149" t="s">
        <v>5884</v>
      </c>
    </row>
    <row r="3941" spans="1:1">
      <c r="A3941" s="149" t="s">
        <v>5885</v>
      </c>
    </row>
    <row r="3942" spans="1:1">
      <c r="A3942" s="149" t="s">
        <v>5886</v>
      </c>
    </row>
    <row r="3943" spans="1:1">
      <c r="A3943" s="149" t="s">
        <v>5887</v>
      </c>
    </row>
    <row r="3944" spans="1:1">
      <c r="A3944" s="149" t="s">
        <v>5888</v>
      </c>
    </row>
    <row r="3945" spans="1:1">
      <c r="A3945" s="149" t="s">
        <v>5889</v>
      </c>
    </row>
    <row r="3946" spans="1:1">
      <c r="A3946" s="149" t="s">
        <v>5890</v>
      </c>
    </row>
    <row r="3947" spans="1:1">
      <c r="A3947" s="149" t="s">
        <v>5891</v>
      </c>
    </row>
    <row r="3948" spans="1:1">
      <c r="A3948" s="149" t="s">
        <v>5892</v>
      </c>
    </row>
    <row r="3949" spans="1:1">
      <c r="A3949" s="149" t="s">
        <v>5893</v>
      </c>
    </row>
    <row r="3950" spans="1:1">
      <c r="A3950" s="149" t="s">
        <v>5894</v>
      </c>
    </row>
    <row r="3951" spans="1:1">
      <c r="A3951" s="149" t="s">
        <v>5895</v>
      </c>
    </row>
    <row r="3952" spans="1:1">
      <c r="A3952" s="149" t="s">
        <v>5896</v>
      </c>
    </row>
    <row r="3953" spans="1:1">
      <c r="A3953" s="149" t="s">
        <v>5897</v>
      </c>
    </row>
    <row r="3954" spans="1:1">
      <c r="A3954" s="149" t="s">
        <v>5898</v>
      </c>
    </row>
    <row r="3955" spans="1:1">
      <c r="A3955" s="149" t="s">
        <v>5899</v>
      </c>
    </row>
    <row r="3956" spans="1:1">
      <c r="A3956" s="149" t="s">
        <v>5900</v>
      </c>
    </row>
    <row r="3957" spans="1:1">
      <c r="A3957" s="149" t="s">
        <v>5901</v>
      </c>
    </row>
    <row r="3958" spans="1:1">
      <c r="A3958" s="149" t="s">
        <v>5902</v>
      </c>
    </row>
    <row r="3959" spans="1:1">
      <c r="A3959" s="149" t="s">
        <v>5903</v>
      </c>
    </row>
    <row r="3960" spans="1:1">
      <c r="A3960" s="149" t="s">
        <v>5904</v>
      </c>
    </row>
    <row r="3961" spans="1:1">
      <c r="A3961" s="149" t="s">
        <v>5905</v>
      </c>
    </row>
    <row r="3962" spans="1:1">
      <c r="A3962" s="149" t="s">
        <v>5906</v>
      </c>
    </row>
    <row r="3963" spans="1:1">
      <c r="A3963" s="149" t="s">
        <v>5907</v>
      </c>
    </row>
    <row r="3964" spans="1:1">
      <c r="A3964" s="149" t="s">
        <v>5908</v>
      </c>
    </row>
    <row r="3965" spans="1:1">
      <c r="A3965" s="149" t="s">
        <v>5909</v>
      </c>
    </row>
    <row r="3966" spans="1:1">
      <c r="A3966" s="149" t="s">
        <v>5910</v>
      </c>
    </row>
    <row r="3967" spans="1:1">
      <c r="A3967" s="149" t="s">
        <v>5911</v>
      </c>
    </row>
    <row r="3968" spans="1:1">
      <c r="A3968" s="149" t="s">
        <v>5912</v>
      </c>
    </row>
    <row r="3969" spans="1:1">
      <c r="A3969" s="149" t="s">
        <v>5913</v>
      </c>
    </row>
    <row r="3970" spans="1:1">
      <c r="A3970" s="149" t="s">
        <v>5914</v>
      </c>
    </row>
    <row r="3971" spans="1:1">
      <c r="A3971" s="149" t="s">
        <v>5915</v>
      </c>
    </row>
    <row r="3972" spans="1:1">
      <c r="A3972" s="149" t="s">
        <v>5916</v>
      </c>
    </row>
    <row r="3973" spans="1:1">
      <c r="A3973" s="149" t="s">
        <v>5917</v>
      </c>
    </row>
    <row r="3974" spans="1:1">
      <c r="A3974" s="149" t="s">
        <v>5918</v>
      </c>
    </row>
    <row r="3975" spans="1:1">
      <c r="A3975" s="149" t="s">
        <v>5919</v>
      </c>
    </row>
    <row r="3976" spans="1:1">
      <c r="A3976" s="149" t="s">
        <v>5920</v>
      </c>
    </row>
    <row r="3977" spans="1:1">
      <c r="A3977" s="149" t="s">
        <v>5921</v>
      </c>
    </row>
    <row r="3978" spans="1:1">
      <c r="A3978" s="149" t="s">
        <v>5922</v>
      </c>
    </row>
    <row r="3979" spans="1:1">
      <c r="A3979" s="149" t="s">
        <v>5923</v>
      </c>
    </row>
    <row r="3980" spans="1:1">
      <c r="A3980" s="149" t="s">
        <v>5924</v>
      </c>
    </row>
    <row r="3981" spans="1:1">
      <c r="A3981" s="149" t="s">
        <v>5925</v>
      </c>
    </row>
    <row r="3982" spans="1:1">
      <c r="A3982" s="149" t="s">
        <v>5926</v>
      </c>
    </row>
    <row r="3983" spans="1:1">
      <c r="A3983" s="149" t="s">
        <v>5927</v>
      </c>
    </row>
    <row r="3984" spans="1:1">
      <c r="A3984" s="149" t="s">
        <v>5928</v>
      </c>
    </row>
    <row r="3985" spans="1:1">
      <c r="A3985" s="149" t="s">
        <v>5929</v>
      </c>
    </row>
    <row r="3986" spans="1:1">
      <c r="A3986" s="149" t="s">
        <v>5930</v>
      </c>
    </row>
    <row r="3987" spans="1:1">
      <c r="A3987" s="149" t="s">
        <v>5931</v>
      </c>
    </row>
    <row r="3988" spans="1:1">
      <c r="A3988" s="149" t="s">
        <v>5932</v>
      </c>
    </row>
    <row r="3989" spans="1:1">
      <c r="A3989" s="149" t="s">
        <v>5933</v>
      </c>
    </row>
    <row r="3990" spans="1:1">
      <c r="A3990" s="149" t="s">
        <v>5934</v>
      </c>
    </row>
    <row r="3991" spans="1:1">
      <c r="A3991" s="149" t="s">
        <v>5935</v>
      </c>
    </row>
    <row r="3992" spans="1:1">
      <c r="A3992" s="149" t="s">
        <v>5936</v>
      </c>
    </row>
    <row r="3993" spans="1:1">
      <c r="A3993" s="149" t="s">
        <v>5937</v>
      </c>
    </row>
    <row r="3994" spans="1:1">
      <c r="A3994" s="149" t="s">
        <v>5938</v>
      </c>
    </row>
    <row r="3995" spans="1:1">
      <c r="A3995" s="149" t="s">
        <v>5939</v>
      </c>
    </row>
    <row r="3996" spans="1:1">
      <c r="A3996" s="149" t="s">
        <v>5940</v>
      </c>
    </row>
    <row r="3997" spans="1:1">
      <c r="A3997" s="149" t="s">
        <v>5941</v>
      </c>
    </row>
    <row r="3998" spans="1:1">
      <c r="A3998" s="149" t="s">
        <v>5942</v>
      </c>
    </row>
    <row r="3999" spans="1:1">
      <c r="A3999" s="149" t="s">
        <v>5943</v>
      </c>
    </row>
    <row r="4000" spans="1:1">
      <c r="A4000" s="149" t="s">
        <v>5944</v>
      </c>
    </row>
    <row r="4001" spans="1:1">
      <c r="A4001" s="149" t="s">
        <v>5945</v>
      </c>
    </row>
    <row r="4002" spans="1:1">
      <c r="A4002" s="149" t="s">
        <v>5946</v>
      </c>
    </row>
    <row r="4003" spans="1:1">
      <c r="A4003" s="149" t="s">
        <v>5947</v>
      </c>
    </row>
    <row r="4004" spans="1:1">
      <c r="A4004" s="149" t="s">
        <v>5948</v>
      </c>
    </row>
    <row r="4005" spans="1:1">
      <c r="A4005" s="149" t="s">
        <v>5949</v>
      </c>
    </row>
    <row r="4006" spans="1:1">
      <c r="A4006" s="149" t="s">
        <v>5950</v>
      </c>
    </row>
    <row r="4007" spans="1:1">
      <c r="A4007" s="149" t="s">
        <v>5951</v>
      </c>
    </row>
    <row r="4008" spans="1:1">
      <c r="A4008" s="149" t="s">
        <v>5952</v>
      </c>
    </row>
    <row r="4009" spans="1:1">
      <c r="A4009" s="149" t="s">
        <v>5953</v>
      </c>
    </row>
    <row r="4010" spans="1:1">
      <c r="A4010" s="149" t="s">
        <v>5954</v>
      </c>
    </row>
    <row r="4011" spans="1:1">
      <c r="A4011" s="149" t="s">
        <v>5955</v>
      </c>
    </row>
    <row r="4012" spans="1:1">
      <c r="A4012" s="149" t="s">
        <v>5956</v>
      </c>
    </row>
    <row r="4013" spans="1:1">
      <c r="A4013" s="149" t="s">
        <v>5957</v>
      </c>
    </row>
    <row r="4014" spans="1:1">
      <c r="A4014" s="149" t="s">
        <v>5958</v>
      </c>
    </row>
    <row r="4015" spans="1:1">
      <c r="A4015" s="149" t="s">
        <v>5959</v>
      </c>
    </row>
    <row r="4016" spans="1:1">
      <c r="A4016" s="149" t="s">
        <v>5960</v>
      </c>
    </row>
    <row r="4017" spans="1:1">
      <c r="A4017" s="149" t="s">
        <v>5961</v>
      </c>
    </row>
    <row r="4018" spans="1:1">
      <c r="A4018" s="149" t="s">
        <v>5962</v>
      </c>
    </row>
    <row r="4019" spans="1:1">
      <c r="A4019" s="149" t="s">
        <v>5963</v>
      </c>
    </row>
    <row r="4020" spans="1:1">
      <c r="A4020" s="149" t="s">
        <v>5964</v>
      </c>
    </row>
    <row r="4021" spans="1:1">
      <c r="A4021" s="149" t="s">
        <v>5965</v>
      </c>
    </row>
    <row r="4022" spans="1:1">
      <c r="A4022" s="149" t="s">
        <v>5966</v>
      </c>
    </row>
    <row r="4023" spans="1:1">
      <c r="A4023" s="149" t="s">
        <v>5967</v>
      </c>
    </row>
    <row r="4024" spans="1:1">
      <c r="A4024" s="149" t="s">
        <v>5968</v>
      </c>
    </row>
    <row r="4025" spans="1:1">
      <c r="A4025" s="149" t="s">
        <v>5969</v>
      </c>
    </row>
    <row r="4026" spans="1:1">
      <c r="A4026" s="149" t="s">
        <v>5970</v>
      </c>
    </row>
    <row r="4027" spans="1:1">
      <c r="A4027" s="149" t="s">
        <v>5971</v>
      </c>
    </row>
    <row r="4028" spans="1:1">
      <c r="A4028" s="149" t="s">
        <v>5972</v>
      </c>
    </row>
    <row r="4029" spans="1:1">
      <c r="A4029" s="149" t="s">
        <v>5973</v>
      </c>
    </row>
    <row r="4030" spans="1:1">
      <c r="A4030" s="149" t="s">
        <v>5974</v>
      </c>
    </row>
    <row r="4031" spans="1:1">
      <c r="A4031" s="149" t="s">
        <v>5975</v>
      </c>
    </row>
    <row r="4032" spans="1:1">
      <c r="A4032" s="149" t="s">
        <v>5976</v>
      </c>
    </row>
    <row r="4033" spans="1:1">
      <c r="A4033" s="149" t="s">
        <v>5977</v>
      </c>
    </row>
    <row r="4034" spans="1:1">
      <c r="A4034" s="149" t="s">
        <v>5978</v>
      </c>
    </row>
    <row r="4035" spans="1:1">
      <c r="A4035" s="149" t="s">
        <v>5979</v>
      </c>
    </row>
    <row r="4036" spans="1:1">
      <c r="A4036" s="149" t="s">
        <v>5980</v>
      </c>
    </row>
    <row r="4037" spans="1:1">
      <c r="A4037" s="149" t="s">
        <v>5981</v>
      </c>
    </row>
    <row r="4038" spans="1:1">
      <c r="A4038" s="149" t="s">
        <v>5982</v>
      </c>
    </row>
    <row r="4039" spans="1:1">
      <c r="A4039" s="149" t="s">
        <v>5983</v>
      </c>
    </row>
    <row r="4040" spans="1:1">
      <c r="A4040" s="149" t="s">
        <v>5984</v>
      </c>
    </row>
    <row r="4041" spans="1:1">
      <c r="A4041" s="149" t="s">
        <v>5985</v>
      </c>
    </row>
    <row r="4042" spans="1:1">
      <c r="A4042" s="149" t="s">
        <v>5986</v>
      </c>
    </row>
    <row r="4043" spans="1:1">
      <c r="A4043" s="149" t="s">
        <v>5987</v>
      </c>
    </row>
    <row r="4044" spans="1:1">
      <c r="A4044" s="149" t="s">
        <v>5988</v>
      </c>
    </row>
    <row r="4045" spans="1:1">
      <c r="A4045" s="149" t="s">
        <v>5989</v>
      </c>
    </row>
    <row r="4046" spans="1:1">
      <c r="A4046" s="149" t="s">
        <v>5990</v>
      </c>
    </row>
    <row r="4047" spans="1:1">
      <c r="A4047" s="149" t="s">
        <v>5991</v>
      </c>
    </row>
    <row r="4048" spans="1:1">
      <c r="A4048" s="149" t="s">
        <v>5992</v>
      </c>
    </row>
    <row r="4049" spans="1:1">
      <c r="A4049" s="149" t="s">
        <v>5993</v>
      </c>
    </row>
    <row r="4050" spans="1:1">
      <c r="A4050" s="149" t="s">
        <v>5994</v>
      </c>
    </row>
    <row r="4051" spans="1:1">
      <c r="A4051" s="149" t="s">
        <v>5995</v>
      </c>
    </row>
    <row r="4052" spans="1:1">
      <c r="A4052" s="149" t="s">
        <v>5996</v>
      </c>
    </row>
    <row r="4053" spans="1:1">
      <c r="A4053" s="149" t="s">
        <v>5997</v>
      </c>
    </row>
    <row r="4054" spans="1:1">
      <c r="A4054" s="149" t="s">
        <v>5998</v>
      </c>
    </row>
    <row r="4055" spans="1:1">
      <c r="A4055" s="149" t="s">
        <v>5999</v>
      </c>
    </row>
    <row r="4056" spans="1:1">
      <c r="A4056" s="149" t="s">
        <v>6000</v>
      </c>
    </row>
    <row r="4057" spans="1:1">
      <c r="A4057" s="149" t="s">
        <v>6001</v>
      </c>
    </row>
    <row r="4058" spans="1:1">
      <c r="A4058" s="149" t="s">
        <v>6002</v>
      </c>
    </row>
    <row r="4059" spans="1:1">
      <c r="A4059" s="149" t="s">
        <v>6003</v>
      </c>
    </row>
    <row r="4060" spans="1:1">
      <c r="A4060" s="149" t="s">
        <v>6004</v>
      </c>
    </row>
    <row r="4061" spans="1:1">
      <c r="A4061" s="149" t="s">
        <v>6005</v>
      </c>
    </row>
    <row r="4062" spans="1:1">
      <c r="A4062" s="149" t="s">
        <v>6006</v>
      </c>
    </row>
    <row r="4063" spans="1:1">
      <c r="A4063" s="149" t="s">
        <v>6007</v>
      </c>
    </row>
    <row r="4064" spans="1:1">
      <c r="A4064" s="149" t="s">
        <v>6008</v>
      </c>
    </row>
    <row r="4065" spans="1:1">
      <c r="A4065" s="149" t="s">
        <v>6009</v>
      </c>
    </row>
    <row r="4066" spans="1:1">
      <c r="A4066" s="149" t="s">
        <v>6010</v>
      </c>
    </row>
    <row r="4067" spans="1:1">
      <c r="A4067" s="149" t="s">
        <v>6011</v>
      </c>
    </row>
    <row r="4068" spans="1:1">
      <c r="A4068" s="149" t="s">
        <v>6012</v>
      </c>
    </row>
    <row r="4069" spans="1:1">
      <c r="A4069" s="149" t="s">
        <v>6013</v>
      </c>
    </row>
    <row r="4070" spans="1:1">
      <c r="A4070" s="149" t="s">
        <v>6014</v>
      </c>
    </row>
    <row r="4071" spans="1:1">
      <c r="A4071" s="149" t="s">
        <v>6015</v>
      </c>
    </row>
    <row r="4072" spans="1:1">
      <c r="A4072" s="149" t="s">
        <v>6016</v>
      </c>
    </row>
    <row r="4073" spans="1:1">
      <c r="A4073" s="149" t="s">
        <v>6017</v>
      </c>
    </row>
    <row r="4074" spans="1:1">
      <c r="A4074" s="149" t="s">
        <v>6018</v>
      </c>
    </row>
    <row r="4075" spans="1:1">
      <c r="A4075" s="149" t="s">
        <v>6019</v>
      </c>
    </row>
    <row r="4076" spans="1:1">
      <c r="A4076" s="149" t="s">
        <v>6020</v>
      </c>
    </row>
    <row r="4077" spans="1:1">
      <c r="A4077" s="149" t="s">
        <v>6021</v>
      </c>
    </row>
    <row r="4078" spans="1:1">
      <c r="A4078" s="149" t="s">
        <v>6022</v>
      </c>
    </row>
    <row r="4079" spans="1:1">
      <c r="A4079" s="149" t="s">
        <v>6023</v>
      </c>
    </row>
    <row r="4080" spans="1:1">
      <c r="A4080" s="149" t="s">
        <v>6024</v>
      </c>
    </row>
    <row r="4081" spans="1:1">
      <c r="A4081" s="149" t="s">
        <v>6025</v>
      </c>
    </row>
    <row r="4082" spans="1:1">
      <c r="A4082" s="149" t="s">
        <v>6026</v>
      </c>
    </row>
    <row r="4083" spans="1:1">
      <c r="A4083" s="149" t="s">
        <v>6027</v>
      </c>
    </row>
    <row r="4084" spans="1:1">
      <c r="A4084" s="149" t="s">
        <v>6028</v>
      </c>
    </row>
    <row r="4085" spans="1:1">
      <c r="A4085" s="149" t="s">
        <v>6029</v>
      </c>
    </row>
    <row r="4086" spans="1:1">
      <c r="A4086" s="149" t="s">
        <v>6030</v>
      </c>
    </row>
    <row r="4087" spans="1:1">
      <c r="A4087" s="149" t="s">
        <v>6031</v>
      </c>
    </row>
    <row r="4088" spans="1:1">
      <c r="A4088" s="149" t="s">
        <v>6032</v>
      </c>
    </row>
    <row r="4089" spans="1:1">
      <c r="A4089" s="149" t="s">
        <v>6033</v>
      </c>
    </row>
    <row r="4090" spans="1:1">
      <c r="A4090" s="149" t="s">
        <v>6034</v>
      </c>
    </row>
    <row r="4091" spans="1:1">
      <c r="A4091" s="149" t="s">
        <v>6035</v>
      </c>
    </row>
    <row r="4092" spans="1:1">
      <c r="A4092" s="149" t="s">
        <v>6036</v>
      </c>
    </row>
    <row r="4093" spans="1:1">
      <c r="A4093" s="149" t="s">
        <v>6037</v>
      </c>
    </row>
    <row r="4094" spans="1:1">
      <c r="A4094" s="149" t="s">
        <v>6038</v>
      </c>
    </row>
    <row r="4095" spans="1:1">
      <c r="A4095" s="149" t="s">
        <v>6039</v>
      </c>
    </row>
    <row r="4096" spans="1:1">
      <c r="A4096" s="149" t="s">
        <v>6040</v>
      </c>
    </row>
    <row r="4097" spans="1:1">
      <c r="A4097" s="149" t="s">
        <v>6041</v>
      </c>
    </row>
    <row r="4098" spans="1:1">
      <c r="A4098" s="149" t="s">
        <v>6042</v>
      </c>
    </row>
    <row r="4099" spans="1:1">
      <c r="A4099" s="149" t="s">
        <v>6043</v>
      </c>
    </row>
    <row r="4100" spans="1:1">
      <c r="A4100" s="149" t="s">
        <v>6044</v>
      </c>
    </row>
    <row r="4101" spans="1:1">
      <c r="A4101" s="149" t="s">
        <v>6045</v>
      </c>
    </row>
    <row r="4102" spans="1:1">
      <c r="A4102" s="149" t="s">
        <v>6046</v>
      </c>
    </row>
    <row r="4103" spans="1:1">
      <c r="A4103" s="149" t="s">
        <v>6047</v>
      </c>
    </row>
    <row r="4104" spans="1:1">
      <c r="A4104" s="149" t="s">
        <v>6048</v>
      </c>
    </row>
    <row r="4105" spans="1:1">
      <c r="A4105" s="149" t="s">
        <v>6049</v>
      </c>
    </row>
    <row r="4106" spans="1:1">
      <c r="A4106" s="149" t="s">
        <v>6050</v>
      </c>
    </row>
    <row r="4107" spans="1:1">
      <c r="A4107" s="149" t="s">
        <v>6051</v>
      </c>
    </row>
    <row r="4108" spans="1:1">
      <c r="A4108" s="149" t="s">
        <v>6052</v>
      </c>
    </row>
    <row r="4109" spans="1:1">
      <c r="A4109" s="149" t="s">
        <v>6053</v>
      </c>
    </row>
    <row r="4110" spans="1:1">
      <c r="A4110" s="149" t="s">
        <v>6054</v>
      </c>
    </row>
    <row r="4111" spans="1:1">
      <c r="A4111" s="149" t="s">
        <v>6055</v>
      </c>
    </row>
    <row r="4112" spans="1:1">
      <c r="A4112" s="149" t="s">
        <v>6056</v>
      </c>
    </row>
    <row r="4113" spans="1:1">
      <c r="A4113" s="149" t="s">
        <v>6057</v>
      </c>
    </row>
    <row r="4114" spans="1:1">
      <c r="A4114" s="149" t="s">
        <v>6058</v>
      </c>
    </row>
    <row r="4115" spans="1:1">
      <c r="A4115" s="149" t="s">
        <v>6059</v>
      </c>
    </row>
    <row r="4116" spans="1:1">
      <c r="A4116" s="149" t="s">
        <v>6060</v>
      </c>
    </row>
    <row r="4117" spans="1:1">
      <c r="A4117" s="149" t="s">
        <v>6061</v>
      </c>
    </row>
    <row r="4118" spans="1:1">
      <c r="A4118" s="149" t="s">
        <v>6062</v>
      </c>
    </row>
    <row r="4119" spans="1:1">
      <c r="A4119" s="149" t="s">
        <v>6063</v>
      </c>
    </row>
    <row r="4120" spans="1:1">
      <c r="A4120" s="149" t="s">
        <v>6064</v>
      </c>
    </row>
    <row r="4121" spans="1:1">
      <c r="A4121" s="149" t="s">
        <v>6065</v>
      </c>
    </row>
    <row r="4122" spans="1:1">
      <c r="A4122" s="149" t="s">
        <v>6066</v>
      </c>
    </row>
    <row r="4123" spans="1:1">
      <c r="A4123" s="149" t="s">
        <v>6067</v>
      </c>
    </row>
    <row r="4124" spans="1:1">
      <c r="A4124" s="149" t="s">
        <v>6068</v>
      </c>
    </row>
    <row r="4125" spans="1:1">
      <c r="A4125" s="149" t="s">
        <v>6069</v>
      </c>
    </row>
    <row r="4126" spans="1:1">
      <c r="A4126" s="149" t="s">
        <v>6070</v>
      </c>
    </row>
    <row r="4127" spans="1:1">
      <c r="A4127" s="149" t="s">
        <v>6071</v>
      </c>
    </row>
    <row r="4128" spans="1:1">
      <c r="A4128" s="149" t="s">
        <v>6072</v>
      </c>
    </row>
    <row r="4129" spans="1:1">
      <c r="A4129" s="149" t="s">
        <v>6073</v>
      </c>
    </row>
    <row r="4130" spans="1:1">
      <c r="A4130" s="149" t="s">
        <v>6074</v>
      </c>
    </row>
    <row r="4131" spans="1:1">
      <c r="A4131" s="149" t="s">
        <v>6075</v>
      </c>
    </row>
    <row r="4132" spans="1:1">
      <c r="A4132" s="149" t="s">
        <v>6076</v>
      </c>
    </row>
    <row r="4133" spans="1:1">
      <c r="A4133" s="149" t="s">
        <v>6077</v>
      </c>
    </row>
    <row r="4134" spans="1:1">
      <c r="A4134" s="149" t="s">
        <v>6078</v>
      </c>
    </row>
    <row r="4135" spans="1:1">
      <c r="A4135" s="149" t="s">
        <v>6079</v>
      </c>
    </row>
    <row r="4136" spans="1:1">
      <c r="A4136" s="149" t="s">
        <v>6080</v>
      </c>
    </row>
    <row r="4137" spans="1:1">
      <c r="A4137" s="149" t="s">
        <v>6081</v>
      </c>
    </row>
    <row r="4138" spans="1:1">
      <c r="A4138" s="149" t="s">
        <v>6082</v>
      </c>
    </row>
    <row r="4139" spans="1:1">
      <c r="A4139" s="149" t="s">
        <v>6083</v>
      </c>
    </row>
    <row r="4140" spans="1:1">
      <c r="A4140" s="149" t="s">
        <v>6084</v>
      </c>
    </row>
    <row r="4141" spans="1:1">
      <c r="A4141" s="149" t="s">
        <v>6085</v>
      </c>
    </row>
    <row r="4142" spans="1:1">
      <c r="A4142" s="149" t="s">
        <v>6086</v>
      </c>
    </row>
    <row r="4143" spans="1:1">
      <c r="A4143" s="149" t="s">
        <v>6087</v>
      </c>
    </row>
    <row r="4144" spans="1:1">
      <c r="A4144" s="149" t="s">
        <v>6088</v>
      </c>
    </row>
    <row r="4145" spans="1:1">
      <c r="A4145" s="149" t="s">
        <v>6089</v>
      </c>
    </row>
    <row r="4146" spans="1:1">
      <c r="A4146" s="149" t="s">
        <v>6090</v>
      </c>
    </row>
    <row r="4147" spans="1:1">
      <c r="A4147" s="149" t="s">
        <v>6091</v>
      </c>
    </row>
    <row r="4148" spans="1:1">
      <c r="A4148" s="149" t="s">
        <v>6092</v>
      </c>
    </row>
    <row r="4149" spans="1:1">
      <c r="A4149" s="149" t="s">
        <v>6093</v>
      </c>
    </row>
    <row r="4150" spans="1:1">
      <c r="A4150" s="149" t="s">
        <v>6094</v>
      </c>
    </row>
    <row r="4151" spans="1:1">
      <c r="A4151" s="149" t="s">
        <v>6095</v>
      </c>
    </row>
    <row r="4152" spans="1:1">
      <c r="A4152" s="149" t="s">
        <v>6096</v>
      </c>
    </row>
    <row r="4153" spans="1:1">
      <c r="A4153" s="149" t="s">
        <v>6097</v>
      </c>
    </row>
    <row r="4154" spans="1:1">
      <c r="A4154" s="149" t="s">
        <v>6098</v>
      </c>
    </row>
    <row r="4155" spans="1:1">
      <c r="A4155" s="149" t="s">
        <v>6099</v>
      </c>
    </row>
    <row r="4156" spans="1:1">
      <c r="A4156" s="149" t="s">
        <v>6100</v>
      </c>
    </row>
    <row r="4157" spans="1:1">
      <c r="A4157" s="149" t="s">
        <v>6101</v>
      </c>
    </row>
    <row r="4158" spans="1:1">
      <c r="A4158" s="149" t="s">
        <v>6102</v>
      </c>
    </row>
    <row r="4159" spans="1:1">
      <c r="A4159" s="149" t="s">
        <v>6103</v>
      </c>
    </row>
    <row r="4160" spans="1:1">
      <c r="A4160" s="149" t="s">
        <v>6104</v>
      </c>
    </row>
    <row r="4161" spans="1:1">
      <c r="A4161" s="149" t="s">
        <v>6105</v>
      </c>
    </row>
    <row r="4162" spans="1:1">
      <c r="A4162" s="149" t="s">
        <v>6106</v>
      </c>
    </row>
    <row r="4163" spans="1:1">
      <c r="A4163" s="149" t="s">
        <v>6107</v>
      </c>
    </row>
    <row r="4164" spans="1:1">
      <c r="A4164" s="149" t="s">
        <v>6108</v>
      </c>
    </row>
    <row r="4165" spans="1:1">
      <c r="A4165" s="149" t="s">
        <v>6109</v>
      </c>
    </row>
    <row r="4166" spans="1:1">
      <c r="A4166" s="149" t="s">
        <v>6110</v>
      </c>
    </row>
    <row r="4167" spans="1:1">
      <c r="A4167" s="149" t="s">
        <v>6111</v>
      </c>
    </row>
    <row r="4168" spans="1:1">
      <c r="A4168" s="149" t="s">
        <v>6112</v>
      </c>
    </row>
    <row r="4169" spans="1:1">
      <c r="A4169" s="149" t="s">
        <v>6113</v>
      </c>
    </row>
    <row r="4170" spans="1:1">
      <c r="A4170" s="149" t="s">
        <v>6114</v>
      </c>
    </row>
    <row r="4171" spans="1:1">
      <c r="A4171" s="149" t="s">
        <v>6115</v>
      </c>
    </row>
    <row r="4172" spans="1:1">
      <c r="A4172" s="149" t="s">
        <v>6116</v>
      </c>
    </row>
    <row r="4173" spans="1:1">
      <c r="A4173" s="149" t="s">
        <v>6117</v>
      </c>
    </row>
    <row r="4174" spans="1:1">
      <c r="A4174" s="149" t="s">
        <v>6118</v>
      </c>
    </row>
    <row r="4175" spans="1:1">
      <c r="A4175" s="149" t="s">
        <v>6119</v>
      </c>
    </row>
    <row r="4176" spans="1:1">
      <c r="A4176" s="149" t="s">
        <v>6120</v>
      </c>
    </row>
    <row r="4177" spans="1:1">
      <c r="A4177" s="149" t="s">
        <v>6121</v>
      </c>
    </row>
    <row r="4178" spans="1:1">
      <c r="A4178" s="149" t="s">
        <v>6122</v>
      </c>
    </row>
    <row r="4179" spans="1:1">
      <c r="A4179" s="149" t="s">
        <v>6123</v>
      </c>
    </row>
    <row r="4180" spans="1:1">
      <c r="A4180" s="149" t="s">
        <v>6124</v>
      </c>
    </row>
    <row r="4181" spans="1:1">
      <c r="A4181" s="149" t="s">
        <v>6125</v>
      </c>
    </row>
    <row r="4182" spans="1:1">
      <c r="A4182" s="149" t="s">
        <v>6126</v>
      </c>
    </row>
    <row r="4183" spans="1:1">
      <c r="A4183" s="149" t="s">
        <v>6127</v>
      </c>
    </row>
    <row r="4184" spans="1:1">
      <c r="A4184" s="149" t="s">
        <v>6128</v>
      </c>
    </row>
    <row r="4185" spans="1:1">
      <c r="A4185" s="149" t="s">
        <v>6129</v>
      </c>
    </row>
    <row r="4186" spans="1:1">
      <c r="A4186" s="149" t="s">
        <v>6130</v>
      </c>
    </row>
    <row r="4187" spans="1:1">
      <c r="A4187" s="149" t="s">
        <v>6131</v>
      </c>
    </row>
    <row r="4188" spans="1:1">
      <c r="A4188" s="149" t="s">
        <v>6132</v>
      </c>
    </row>
    <row r="4189" spans="1:1">
      <c r="A4189" s="149" t="s">
        <v>6133</v>
      </c>
    </row>
    <row r="4190" spans="1:1">
      <c r="A4190" s="149" t="s">
        <v>6134</v>
      </c>
    </row>
    <row r="4191" spans="1:1">
      <c r="A4191" s="149" t="s">
        <v>6135</v>
      </c>
    </row>
    <row r="4192" spans="1:1">
      <c r="A4192" s="149" t="s">
        <v>6136</v>
      </c>
    </row>
    <row r="4193" spans="1:1">
      <c r="A4193" s="149" t="s">
        <v>6137</v>
      </c>
    </row>
    <row r="4194" spans="1:1">
      <c r="A4194" s="149" t="s">
        <v>6138</v>
      </c>
    </row>
    <row r="4195" spans="1:1">
      <c r="A4195" s="149" t="s">
        <v>6139</v>
      </c>
    </row>
    <row r="4196" spans="1:1">
      <c r="A4196" s="149" t="s">
        <v>6140</v>
      </c>
    </row>
    <row r="4197" spans="1:1">
      <c r="A4197" s="149" t="s">
        <v>6141</v>
      </c>
    </row>
    <row r="4198" spans="1:1">
      <c r="A4198" s="149" t="s">
        <v>6142</v>
      </c>
    </row>
    <row r="4199" spans="1:1">
      <c r="A4199" s="149" t="s">
        <v>6143</v>
      </c>
    </row>
    <row r="4200" spans="1:1">
      <c r="A4200" s="149" t="s">
        <v>6144</v>
      </c>
    </row>
    <row r="4201" spans="1:1">
      <c r="A4201" s="149" t="s">
        <v>6145</v>
      </c>
    </row>
    <row r="4202" spans="1:1">
      <c r="A4202" s="149" t="s">
        <v>6146</v>
      </c>
    </row>
    <row r="4203" spans="1:1">
      <c r="A4203" s="149" t="s">
        <v>6147</v>
      </c>
    </row>
    <row r="4204" spans="1:1">
      <c r="A4204" s="149" t="s">
        <v>6148</v>
      </c>
    </row>
    <row r="4205" spans="1:1">
      <c r="A4205" s="149" t="s">
        <v>6149</v>
      </c>
    </row>
    <row r="4206" spans="1:1">
      <c r="A4206" s="149" t="s">
        <v>6150</v>
      </c>
    </row>
    <row r="4207" spans="1:1">
      <c r="A4207" s="149" t="s">
        <v>6151</v>
      </c>
    </row>
    <row r="4208" spans="1:1">
      <c r="A4208" s="149" t="s">
        <v>6152</v>
      </c>
    </row>
    <row r="4209" spans="1:1">
      <c r="A4209" s="149" t="s">
        <v>6153</v>
      </c>
    </row>
    <row r="4210" spans="1:1">
      <c r="A4210" s="149" t="s">
        <v>6154</v>
      </c>
    </row>
    <row r="4211" spans="1:1">
      <c r="A4211" s="149" t="s">
        <v>6155</v>
      </c>
    </row>
    <row r="4212" spans="1:1">
      <c r="A4212" s="149" t="s">
        <v>6156</v>
      </c>
    </row>
    <row r="4213" spans="1:1">
      <c r="A4213" s="149" t="s">
        <v>6157</v>
      </c>
    </row>
    <row r="4214" spans="1:1">
      <c r="A4214" s="149" t="s">
        <v>6158</v>
      </c>
    </row>
    <row r="4215" spans="1:1">
      <c r="A4215" s="149" t="s">
        <v>6159</v>
      </c>
    </row>
    <row r="4216" spans="1:1">
      <c r="A4216" s="149" t="s">
        <v>6160</v>
      </c>
    </row>
    <row r="4217" spans="1:1">
      <c r="A4217" s="149" t="s">
        <v>6161</v>
      </c>
    </row>
    <row r="4218" spans="1:1">
      <c r="A4218" s="149" t="s">
        <v>6162</v>
      </c>
    </row>
    <row r="4219" spans="1:1">
      <c r="A4219" s="149" t="s">
        <v>6163</v>
      </c>
    </row>
    <row r="4220" spans="1:1">
      <c r="A4220" s="149" t="s">
        <v>6164</v>
      </c>
    </row>
    <row r="4221" spans="1:1">
      <c r="A4221" s="149" t="s">
        <v>6165</v>
      </c>
    </row>
    <row r="4222" spans="1:1">
      <c r="A4222" s="149" t="s">
        <v>6166</v>
      </c>
    </row>
    <row r="4223" spans="1:1">
      <c r="A4223" s="149" t="s">
        <v>6167</v>
      </c>
    </row>
    <row r="4224" spans="1:1">
      <c r="A4224" s="149" t="s">
        <v>6168</v>
      </c>
    </row>
    <row r="4225" spans="1:1">
      <c r="A4225" s="149" t="s">
        <v>6169</v>
      </c>
    </row>
    <row r="4226" spans="1:1">
      <c r="A4226" s="149" t="s">
        <v>6170</v>
      </c>
    </row>
    <row r="4227" spans="1:1">
      <c r="A4227" s="149" t="s">
        <v>6171</v>
      </c>
    </row>
    <row r="4228" spans="1:1">
      <c r="A4228" s="149" t="s">
        <v>6172</v>
      </c>
    </row>
    <row r="4229" spans="1:1">
      <c r="A4229" s="149" t="s">
        <v>6173</v>
      </c>
    </row>
    <row r="4230" spans="1:1">
      <c r="A4230" s="149" t="s">
        <v>6174</v>
      </c>
    </row>
    <row r="4231" spans="1:1">
      <c r="A4231" s="149" t="s">
        <v>6175</v>
      </c>
    </row>
    <row r="4232" spans="1:1">
      <c r="A4232" s="149" t="s">
        <v>6176</v>
      </c>
    </row>
    <row r="4233" spans="1:1">
      <c r="A4233" s="149" t="s">
        <v>6177</v>
      </c>
    </row>
    <row r="4234" spans="1:1">
      <c r="A4234" s="149" t="s">
        <v>6178</v>
      </c>
    </row>
    <row r="4235" spans="1:1">
      <c r="A4235" s="149" t="s">
        <v>6179</v>
      </c>
    </row>
    <row r="4236" spans="1:1">
      <c r="A4236" s="149" t="s">
        <v>6180</v>
      </c>
    </row>
    <row r="4237" spans="1:1">
      <c r="A4237" s="149" t="s">
        <v>6181</v>
      </c>
    </row>
    <row r="4238" spans="1:1">
      <c r="A4238" s="149" t="s">
        <v>6182</v>
      </c>
    </row>
    <row r="4239" spans="1:1">
      <c r="A4239" s="149" t="s">
        <v>6183</v>
      </c>
    </row>
    <row r="4240" spans="1:1">
      <c r="A4240" s="149" t="s">
        <v>6184</v>
      </c>
    </row>
    <row r="4241" spans="1:1">
      <c r="A4241" s="149" t="s">
        <v>6185</v>
      </c>
    </row>
    <row r="4242" spans="1:1">
      <c r="A4242" s="149" t="s">
        <v>6186</v>
      </c>
    </row>
    <row r="4243" spans="1:1">
      <c r="A4243" s="149" t="s">
        <v>6187</v>
      </c>
    </row>
    <row r="4244" spans="1:1">
      <c r="A4244" s="149" t="s">
        <v>6188</v>
      </c>
    </row>
    <row r="4245" spans="1:1">
      <c r="A4245" s="149" t="s">
        <v>6189</v>
      </c>
    </row>
    <row r="4246" spans="1:1">
      <c r="A4246" s="149" t="s">
        <v>6190</v>
      </c>
    </row>
    <row r="4247" spans="1:1">
      <c r="A4247" s="149" t="s">
        <v>6191</v>
      </c>
    </row>
    <row r="4248" spans="1:1">
      <c r="A4248" s="149" t="s">
        <v>6192</v>
      </c>
    </row>
    <row r="4249" spans="1:1">
      <c r="A4249" s="149" t="s">
        <v>6193</v>
      </c>
    </row>
    <row r="4250" spans="1:1">
      <c r="A4250" s="149" t="s">
        <v>6194</v>
      </c>
    </row>
    <row r="4251" spans="1:1">
      <c r="A4251" s="149" t="s">
        <v>6195</v>
      </c>
    </row>
    <row r="4252" spans="1:1">
      <c r="A4252" s="149" t="s">
        <v>6196</v>
      </c>
    </row>
    <row r="4253" spans="1:1">
      <c r="A4253" s="149" t="s">
        <v>6197</v>
      </c>
    </row>
    <row r="4254" spans="1:1">
      <c r="A4254" s="149" t="s">
        <v>6198</v>
      </c>
    </row>
    <row r="4255" spans="1:1">
      <c r="A4255" s="149" t="s">
        <v>6199</v>
      </c>
    </row>
    <row r="4256" spans="1:1">
      <c r="A4256" s="149" t="s">
        <v>6200</v>
      </c>
    </row>
    <row r="4257" spans="1:1">
      <c r="A4257" s="149" t="s">
        <v>6201</v>
      </c>
    </row>
    <row r="4258" spans="1:1">
      <c r="A4258" s="149" t="s">
        <v>6202</v>
      </c>
    </row>
    <row r="4259" spans="1:1">
      <c r="A4259" s="149" t="s">
        <v>6203</v>
      </c>
    </row>
    <row r="4260" spans="1:1">
      <c r="A4260" s="149" t="s">
        <v>6204</v>
      </c>
    </row>
    <row r="4261" spans="1:1">
      <c r="A4261" s="149" t="s">
        <v>6205</v>
      </c>
    </row>
    <row r="4262" spans="1:1">
      <c r="A4262" s="149" t="s">
        <v>6206</v>
      </c>
    </row>
    <row r="4263" spans="1:1">
      <c r="A4263" s="149" t="s">
        <v>6207</v>
      </c>
    </row>
    <row r="4264" spans="1:1">
      <c r="A4264" s="149" t="s">
        <v>6208</v>
      </c>
    </row>
    <row r="4265" spans="1:1">
      <c r="A4265" s="149" t="s">
        <v>6209</v>
      </c>
    </row>
    <row r="4266" spans="1:1">
      <c r="A4266" s="149" t="s">
        <v>6210</v>
      </c>
    </row>
    <row r="4267" spans="1:1">
      <c r="A4267" s="149" t="s">
        <v>6211</v>
      </c>
    </row>
    <row r="4268" spans="1:1">
      <c r="A4268" s="149" t="s">
        <v>6212</v>
      </c>
    </row>
    <row r="4269" spans="1:1">
      <c r="A4269" s="149" t="s">
        <v>6213</v>
      </c>
    </row>
    <row r="4270" spans="1:1">
      <c r="A4270" s="149" t="s">
        <v>6214</v>
      </c>
    </row>
    <row r="4271" spans="1:1">
      <c r="A4271" s="149" t="s">
        <v>6215</v>
      </c>
    </row>
    <row r="4272" spans="1:1">
      <c r="A4272" s="149" t="s">
        <v>6216</v>
      </c>
    </row>
    <row r="4273" spans="1:1">
      <c r="A4273" s="149" t="s">
        <v>6217</v>
      </c>
    </row>
    <row r="4274" spans="1:1">
      <c r="A4274" s="149" t="s">
        <v>6218</v>
      </c>
    </row>
    <row r="4275" spans="1:1">
      <c r="A4275" s="149" t="s">
        <v>6219</v>
      </c>
    </row>
    <row r="4276" spans="1:1">
      <c r="A4276" s="149" t="s">
        <v>6220</v>
      </c>
    </row>
    <row r="4277" spans="1:1">
      <c r="A4277" s="149" t="s">
        <v>6221</v>
      </c>
    </row>
    <row r="4278" spans="1:1">
      <c r="A4278" s="149" t="s">
        <v>6222</v>
      </c>
    </row>
    <row r="4279" spans="1:1">
      <c r="A4279" s="149" t="s">
        <v>6223</v>
      </c>
    </row>
    <row r="4280" spans="1:1">
      <c r="A4280" s="149" t="s">
        <v>6224</v>
      </c>
    </row>
    <row r="4281" spans="1:1">
      <c r="A4281" s="149" t="s">
        <v>6225</v>
      </c>
    </row>
    <row r="4282" spans="1:1">
      <c r="A4282" s="149" t="s">
        <v>6226</v>
      </c>
    </row>
    <row r="4283" spans="1:1">
      <c r="A4283" s="149" t="s">
        <v>6227</v>
      </c>
    </row>
    <row r="4284" spans="1:1">
      <c r="A4284" s="149" t="s">
        <v>6228</v>
      </c>
    </row>
    <row r="4285" spans="1:1">
      <c r="A4285" s="149" t="s">
        <v>6229</v>
      </c>
    </row>
    <row r="4286" spans="1:1">
      <c r="A4286" s="149" t="s">
        <v>6230</v>
      </c>
    </row>
    <row r="4287" spans="1:1">
      <c r="A4287" s="149" t="s">
        <v>6231</v>
      </c>
    </row>
    <row r="4288" spans="1:1">
      <c r="A4288" s="149" t="s">
        <v>6232</v>
      </c>
    </row>
    <row r="4289" spans="1:1">
      <c r="A4289" s="149" t="s">
        <v>6233</v>
      </c>
    </row>
    <row r="4290" spans="1:1">
      <c r="A4290" s="149" t="s">
        <v>6234</v>
      </c>
    </row>
    <row r="4291" spans="1:1">
      <c r="A4291" s="149" t="s">
        <v>6235</v>
      </c>
    </row>
    <row r="4292" spans="1:1">
      <c r="A4292" s="149" t="s">
        <v>6236</v>
      </c>
    </row>
    <row r="4293" spans="1:1">
      <c r="A4293" s="149" t="s">
        <v>6237</v>
      </c>
    </row>
    <row r="4294" spans="1:1">
      <c r="A4294" s="149" t="s">
        <v>6238</v>
      </c>
    </row>
    <row r="4295" spans="1:1">
      <c r="A4295" s="149" t="s">
        <v>6239</v>
      </c>
    </row>
    <row r="4296" spans="1:1">
      <c r="A4296" s="149" t="s">
        <v>6240</v>
      </c>
    </row>
    <row r="4297" spans="1:1">
      <c r="A4297" s="149" t="s">
        <v>6241</v>
      </c>
    </row>
    <row r="4298" spans="1:1">
      <c r="A4298" s="149" t="s">
        <v>6242</v>
      </c>
    </row>
    <row r="4299" spans="1:1">
      <c r="A4299" s="149" t="s">
        <v>6243</v>
      </c>
    </row>
    <row r="4300" spans="1:1">
      <c r="A4300" s="149" t="s">
        <v>6244</v>
      </c>
    </row>
    <row r="4301" spans="1:1">
      <c r="A4301" s="149" t="s">
        <v>6245</v>
      </c>
    </row>
    <row r="4302" spans="1:1">
      <c r="A4302" s="149" t="s">
        <v>6246</v>
      </c>
    </row>
    <row r="4303" spans="1:1">
      <c r="A4303" s="149" t="s">
        <v>6247</v>
      </c>
    </row>
    <row r="4304" spans="1:1">
      <c r="A4304" s="149" t="s">
        <v>6248</v>
      </c>
    </row>
    <row r="4305" spans="1:1">
      <c r="A4305" s="149" t="s">
        <v>6249</v>
      </c>
    </row>
    <row r="4306" spans="1:1">
      <c r="A4306" s="149" t="s">
        <v>6250</v>
      </c>
    </row>
    <row r="4307" spans="1:1">
      <c r="A4307" s="149" t="s">
        <v>6251</v>
      </c>
    </row>
    <row r="4308" spans="1:1">
      <c r="A4308" s="149" t="s">
        <v>6252</v>
      </c>
    </row>
    <row r="4309" spans="1:1">
      <c r="A4309" s="149" t="s">
        <v>6253</v>
      </c>
    </row>
    <row r="4310" spans="1:1">
      <c r="A4310" s="149" t="s">
        <v>6254</v>
      </c>
    </row>
    <row r="4311" spans="1:1">
      <c r="A4311" s="149" t="s">
        <v>6255</v>
      </c>
    </row>
    <row r="4312" spans="1:1">
      <c r="A4312" s="149" t="s">
        <v>6256</v>
      </c>
    </row>
    <row r="4313" spans="1:1">
      <c r="A4313" s="149" t="s">
        <v>6257</v>
      </c>
    </row>
    <row r="4314" spans="1:1">
      <c r="A4314" s="149" t="s">
        <v>6258</v>
      </c>
    </row>
    <row r="4315" spans="1:1">
      <c r="A4315" s="149" t="s">
        <v>6259</v>
      </c>
    </row>
    <row r="4316" spans="1:1">
      <c r="A4316" s="149" t="s">
        <v>6260</v>
      </c>
    </row>
    <row r="4317" spans="1:1">
      <c r="A4317" s="149" t="s">
        <v>6261</v>
      </c>
    </row>
    <row r="4318" spans="1:1">
      <c r="A4318" s="149" t="s">
        <v>6262</v>
      </c>
    </row>
    <row r="4319" spans="1:1">
      <c r="A4319" s="149" t="s">
        <v>6263</v>
      </c>
    </row>
    <row r="4320" spans="1:1">
      <c r="A4320" s="149" t="s">
        <v>6264</v>
      </c>
    </row>
    <row r="4321" spans="1:1">
      <c r="A4321" s="149" t="s">
        <v>6265</v>
      </c>
    </row>
    <row r="4322" spans="1:1">
      <c r="A4322" s="149" t="s">
        <v>6266</v>
      </c>
    </row>
    <row r="4323" spans="1:1">
      <c r="A4323" s="149" t="s">
        <v>6267</v>
      </c>
    </row>
    <row r="4324" spans="1:1">
      <c r="A4324" s="149" t="s">
        <v>6268</v>
      </c>
    </row>
    <row r="4325" spans="1:1">
      <c r="A4325" s="149" t="s">
        <v>6269</v>
      </c>
    </row>
    <row r="4326" spans="1:1">
      <c r="A4326" s="149" t="s">
        <v>6270</v>
      </c>
    </row>
    <row r="4327" spans="1:1">
      <c r="A4327" s="149" t="s">
        <v>6271</v>
      </c>
    </row>
    <row r="4328" spans="1:1">
      <c r="A4328" s="149" t="s">
        <v>6272</v>
      </c>
    </row>
    <row r="4329" spans="1:1">
      <c r="A4329" s="149" t="s">
        <v>6273</v>
      </c>
    </row>
    <row r="4330" spans="1:1">
      <c r="A4330" s="149" t="s">
        <v>6274</v>
      </c>
    </row>
    <row r="4331" spans="1:1">
      <c r="A4331" s="149" t="s">
        <v>6275</v>
      </c>
    </row>
    <row r="4332" spans="1:1">
      <c r="A4332" s="149" t="s">
        <v>6276</v>
      </c>
    </row>
    <row r="4333" spans="1:1">
      <c r="A4333" s="149" t="s">
        <v>6277</v>
      </c>
    </row>
    <row r="4334" spans="1:1">
      <c r="A4334" s="149" t="s">
        <v>6278</v>
      </c>
    </row>
    <row r="4335" spans="1:1">
      <c r="A4335" s="149" t="s">
        <v>6279</v>
      </c>
    </row>
    <row r="4336" spans="1:1">
      <c r="A4336" s="149" t="s">
        <v>6280</v>
      </c>
    </row>
    <row r="4337" spans="1:1">
      <c r="A4337" s="149" t="s">
        <v>6281</v>
      </c>
    </row>
    <row r="4338" spans="1:1">
      <c r="A4338" s="149" t="s">
        <v>6282</v>
      </c>
    </row>
    <row r="4339" spans="1:1">
      <c r="A4339" s="149" t="s">
        <v>6283</v>
      </c>
    </row>
    <row r="4340" spans="1:1">
      <c r="A4340" s="149" t="s">
        <v>6284</v>
      </c>
    </row>
    <row r="4341" spans="1:1">
      <c r="A4341" s="149" t="s">
        <v>6285</v>
      </c>
    </row>
    <row r="4342" spans="1:1">
      <c r="A4342" s="149" t="s">
        <v>6286</v>
      </c>
    </row>
    <row r="4343" spans="1:1">
      <c r="A4343" s="149" t="s">
        <v>6287</v>
      </c>
    </row>
    <row r="4344" spans="1:1">
      <c r="A4344" s="149" t="s">
        <v>6288</v>
      </c>
    </row>
    <row r="4345" spans="1:1">
      <c r="A4345" s="149" t="s">
        <v>6289</v>
      </c>
    </row>
    <row r="4346" spans="1:1">
      <c r="A4346" s="149" t="s">
        <v>6290</v>
      </c>
    </row>
    <row r="4347" spans="1:1">
      <c r="A4347" s="149" t="s">
        <v>6291</v>
      </c>
    </row>
    <row r="4348" spans="1:1">
      <c r="A4348" s="149" t="s">
        <v>6292</v>
      </c>
    </row>
    <row r="4349" spans="1:1">
      <c r="A4349" s="149" t="s">
        <v>6293</v>
      </c>
    </row>
    <row r="4350" spans="1:1">
      <c r="A4350" s="149" t="s">
        <v>6294</v>
      </c>
    </row>
    <row r="4351" spans="1:1">
      <c r="A4351" s="149" t="s">
        <v>6295</v>
      </c>
    </row>
    <row r="4352" spans="1:1">
      <c r="A4352" s="149" t="s">
        <v>6296</v>
      </c>
    </row>
    <row r="4353" spans="1:1">
      <c r="A4353" s="149" t="s">
        <v>6297</v>
      </c>
    </row>
    <row r="4354" spans="1:1">
      <c r="A4354" s="149" t="s">
        <v>6298</v>
      </c>
    </row>
    <row r="4355" spans="1:1">
      <c r="A4355" s="149" t="s">
        <v>6299</v>
      </c>
    </row>
    <row r="4356" spans="1:1">
      <c r="A4356" s="149" t="s">
        <v>6300</v>
      </c>
    </row>
    <row r="4357" spans="1:1">
      <c r="A4357" s="149" t="s">
        <v>6301</v>
      </c>
    </row>
    <row r="4358" spans="1:1">
      <c r="A4358" s="149" t="s">
        <v>6302</v>
      </c>
    </row>
    <row r="4359" spans="1:1">
      <c r="A4359" s="149" t="s">
        <v>6303</v>
      </c>
    </row>
    <row r="4360" spans="1:1">
      <c r="A4360" s="149" t="s">
        <v>6304</v>
      </c>
    </row>
    <row r="4361" spans="1:1">
      <c r="A4361" s="149" t="s">
        <v>6305</v>
      </c>
    </row>
    <row r="4362" spans="1:1">
      <c r="A4362" s="149" t="s">
        <v>6306</v>
      </c>
    </row>
    <row r="4363" spans="1:1">
      <c r="A4363" s="149" t="s">
        <v>6307</v>
      </c>
    </row>
    <row r="4364" spans="1:1">
      <c r="A4364" s="149" t="s">
        <v>6308</v>
      </c>
    </row>
    <row r="4365" spans="1:1">
      <c r="A4365" s="149" t="s">
        <v>6309</v>
      </c>
    </row>
    <row r="4366" spans="1:1">
      <c r="A4366" s="149" t="s">
        <v>6310</v>
      </c>
    </row>
    <row r="4367" spans="1:1">
      <c r="A4367" s="149" t="s">
        <v>6311</v>
      </c>
    </row>
    <row r="4368" spans="1:1">
      <c r="A4368" s="149" t="s">
        <v>6312</v>
      </c>
    </row>
    <row r="4369" spans="1:1">
      <c r="A4369" s="149" t="s">
        <v>6313</v>
      </c>
    </row>
    <row r="4370" spans="1:1">
      <c r="A4370" s="149" t="s">
        <v>6314</v>
      </c>
    </row>
    <row r="4371" spans="1:1">
      <c r="A4371" s="149" t="s">
        <v>6315</v>
      </c>
    </row>
    <row r="4372" spans="1:1">
      <c r="A4372" s="149" t="s">
        <v>6316</v>
      </c>
    </row>
    <row r="4373" spans="1:1">
      <c r="A4373" s="149" t="s">
        <v>6317</v>
      </c>
    </row>
    <row r="4374" spans="1:1">
      <c r="A4374" s="149" t="s">
        <v>6318</v>
      </c>
    </row>
    <row r="4375" spans="1:1">
      <c r="A4375" s="149" t="s">
        <v>6319</v>
      </c>
    </row>
    <row r="4376" spans="1:1">
      <c r="A4376" s="149" t="s">
        <v>6320</v>
      </c>
    </row>
    <row r="4377" spans="1:1">
      <c r="A4377" s="149" t="s">
        <v>6321</v>
      </c>
    </row>
    <row r="4378" spans="1:1">
      <c r="A4378" s="149" t="s">
        <v>6322</v>
      </c>
    </row>
    <row r="4379" spans="1:1">
      <c r="A4379" s="149" t="s">
        <v>6323</v>
      </c>
    </row>
    <row r="4380" spans="1:1">
      <c r="A4380" s="149" t="s">
        <v>6324</v>
      </c>
    </row>
    <row r="4381" spans="1:1">
      <c r="A4381" s="149" t="s">
        <v>6325</v>
      </c>
    </row>
    <row r="4382" spans="1:1">
      <c r="A4382" s="149" t="s">
        <v>6326</v>
      </c>
    </row>
    <row r="4383" spans="1:1">
      <c r="A4383" s="149" t="s">
        <v>6327</v>
      </c>
    </row>
    <row r="4384" spans="1:1">
      <c r="A4384" s="149" t="s">
        <v>6328</v>
      </c>
    </row>
    <row r="4385" spans="1:1">
      <c r="A4385" s="149" t="s">
        <v>6329</v>
      </c>
    </row>
    <row r="4386" spans="1:1">
      <c r="A4386" s="149" t="s">
        <v>6330</v>
      </c>
    </row>
    <row r="4387" spans="1:1">
      <c r="A4387" s="149" t="s">
        <v>6331</v>
      </c>
    </row>
    <row r="4388" spans="1:1">
      <c r="A4388" s="149" t="s">
        <v>6332</v>
      </c>
    </row>
    <row r="4389" spans="1:1">
      <c r="A4389" s="149" t="s">
        <v>6333</v>
      </c>
    </row>
    <row r="4390" spans="1:1">
      <c r="A4390" s="149" t="s">
        <v>6334</v>
      </c>
    </row>
    <row r="4391" spans="1:1">
      <c r="A4391" s="149" t="s">
        <v>6335</v>
      </c>
    </row>
    <row r="4392" spans="1:1">
      <c r="A4392" s="149" t="s">
        <v>6336</v>
      </c>
    </row>
    <row r="4393" spans="1:1">
      <c r="A4393" s="149" t="s">
        <v>6337</v>
      </c>
    </row>
    <row r="4394" spans="1:1">
      <c r="A4394" s="149" t="s">
        <v>6338</v>
      </c>
    </row>
    <row r="4395" spans="1:1">
      <c r="A4395" s="149" t="s">
        <v>6339</v>
      </c>
    </row>
    <row r="4396" spans="1:1">
      <c r="A4396" s="149" t="s">
        <v>6340</v>
      </c>
    </row>
    <row r="4397" spans="1:1">
      <c r="A4397" s="149" t="s">
        <v>6341</v>
      </c>
    </row>
    <row r="4398" spans="1:1">
      <c r="A4398" s="149" t="s">
        <v>6342</v>
      </c>
    </row>
    <row r="4399" spans="1:1">
      <c r="A4399" s="149" t="s">
        <v>6343</v>
      </c>
    </row>
    <row r="4400" spans="1:1">
      <c r="A4400" s="149" t="s">
        <v>6344</v>
      </c>
    </row>
    <row r="4401" spans="1:1">
      <c r="A4401" s="149" t="s">
        <v>6345</v>
      </c>
    </row>
    <row r="4402" spans="1:1">
      <c r="A4402" s="149" t="s">
        <v>6346</v>
      </c>
    </row>
    <row r="4403" spans="1:1">
      <c r="A4403" s="149" t="s">
        <v>6347</v>
      </c>
    </row>
    <row r="4404" spans="1:1">
      <c r="A4404" s="149" t="s">
        <v>6348</v>
      </c>
    </row>
    <row r="4405" spans="1:1">
      <c r="A4405" s="149" t="s">
        <v>6349</v>
      </c>
    </row>
    <row r="4406" spans="1:1">
      <c r="A4406" s="149" t="s">
        <v>6350</v>
      </c>
    </row>
    <row r="4407" spans="1:1">
      <c r="A4407" s="149" t="s">
        <v>6351</v>
      </c>
    </row>
    <row r="4408" spans="1:1">
      <c r="A4408" s="149" t="s">
        <v>6352</v>
      </c>
    </row>
    <row r="4409" spans="1:1">
      <c r="A4409" s="149" t="s">
        <v>6353</v>
      </c>
    </row>
    <row r="4410" spans="1:1">
      <c r="A4410" s="149" t="s">
        <v>6354</v>
      </c>
    </row>
    <row r="4411" spans="1:1">
      <c r="A4411" s="149" t="s">
        <v>6355</v>
      </c>
    </row>
    <row r="4412" spans="1:1">
      <c r="A4412" s="149" t="s">
        <v>6356</v>
      </c>
    </row>
    <row r="4413" spans="1:1">
      <c r="A4413" s="149" t="s">
        <v>6357</v>
      </c>
    </row>
    <row r="4414" spans="1:1">
      <c r="A4414" s="149" t="s">
        <v>6358</v>
      </c>
    </row>
    <row r="4415" spans="1:1">
      <c r="A4415" s="149" t="s">
        <v>6359</v>
      </c>
    </row>
    <row r="4416" spans="1:1">
      <c r="A4416" s="149" t="s">
        <v>6360</v>
      </c>
    </row>
    <row r="4417" spans="1:1">
      <c r="A4417" s="149" t="s">
        <v>6361</v>
      </c>
    </row>
    <row r="4418" spans="1:1">
      <c r="A4418" s="149" t="s">
        <v>6362</v>
      </c>
    </row>
    <row r="4419" spans="1:1">
      <c r="A4419" s="149" t="s">
        <v>6363</v>
      </c>
    </row>
    <row r="4420" spans="1:1">
      <c r="A4420" s="149" t="s">
        <v>6364</v>
      </c>
    </row>
    <row r="4421" spans="1:1">
      <c r="A4421" s="149" t="s">
        <v>6365</v>
      </c>
    </row>
    <row r="4422" spans="1:1">
      <c r="A4422" s="149" t="s">
        <v>6366</v>
      </c>
    </row>
    <row r="4423" spans="1:1">
      <c r="A4423" s="149" t="s">
        <v>6367</v>
      </c>
    </row>
    <row r="4424" spans="1:1">
      <c r="A4424" s="149" t="s">
        <v>6368</v>
      </c>
    </row>
    <row r="4425" spans="1:1">
      <c r="A4425" s="149" t="s">
        <v>6369</v>
      </c>
    </row>
    <row r="4426" spans="1:1">
      <c r="A4426" s="149" t="s">
        <v>6370</v>
      </c>
    </row>
    <row r="4427" spans="1:1">
      <c r="A4427" s="149" t="s">
        <v>6371</v>
      </c>
    </row>
    <row r="4428" spans="1:1">
      <c r="A4428" s="149" t="s">
        <v>6372</v>
      </c>
    </row>
    <row r="4429" spans="1:1">
      <c r="A4429" s="149" t="s">
        <v>6373</v>
      </c>
    </row>
    <row r="4430" spans="1:1">
      <c r="A4430" s="149" t="s">
        <v>6374</v>
      </c>
    </row>
    <row r="4431" spans="1:1">
      <c r="A4431" s="149" t="s">
        <v>6375</v>
      </c>
    </row>
    <row r="4432" spans="1:1">
      <c r="A4432" s="149" t="s">
        <v>6376</v>
      </c>
    </row>
    <row r="4433" spans="1:1">
      <c r="A4433" s="149" t="s">
        <v>6377</v>
      </c>
    </row>
    <row r="4434" spans="1:1">
      <c r="A4434" s="149" t="s">
        <v>6378</v>
      </c>
    </row>
    <row r="4435" spans="1:1">
      <c r="A4435" s="149" t="s">
        <v>6379</v>
      </c>
    </row>
    <row r="4436" spans="1:1">
      <c r="A4436" s="149" t="s">
        <v>6380</v>
      </c>
    </row>
    <row r="4437" spans="1:1">
      <c r="A4437" s="149" t="s">
        <v>6381</v>
      </c>
    </row>
    <row r="4438" spans="1:1">
      <c r="A4438" s="149" t="s">
        <v>6382</v>
      </c>
    </row>
    <row r="4439" spans="1:1">
      <c r="A4439" s="149" t="s">
        <v>6383</v>
      </c>
    </row>
    <row r="4440" spans="1:1">
      <c r="A4440" s="149" t="s">
        <v>6384</v>
      </c>
    </row>
    <row r="4441" spans="1:1">
      <c r="A4441" s="149" t="s">
        <v>6385</v>
      </c>
    </row>
    <row r="4442" spans="1:1">
      <c r="A4442" s="149" t="s">
        <v>6386</v>
      </c>
    </row>
    <row r="4443" spans="1:1">
      <c r="A4443" s="149" t="s">
        <v>6387</v>
      </c>
    </row>
    <row r="4444" spans="1:1">
      <c r="A4444" s="149" t="s">
        <v>6388</v>
      </c>
    </row>
    <row r="4445" spans="1:1">
      <c r="A4445" s="149" t="s">
        <v>6389</v>
      </c>
    </row>
    <row r="4446" spans="1:1">
      <c r="A4446" s="149" t="s">
        <v>6390</v>
      </c>
    </row>
    <row r="4447" spans="1:1">
      <c r="A4447" s="149" t="s">
        <v>6391</v>
      </c>
    </row>
    <row r="4448" spans="1:1">
      <c r="A4448" s="149" t="s">
        <v>6392</v>
      </c>
    </row>
    <row r="4449" spans="1:1">
      <c r="A4449" s="149" t="s">
        <v>6393</v>
      </c>
    </row>
    <row r="4450" spans="1:1">
      <c r="A4450" s="149" t="s">
        <v>6394</v>
      </c>
    </row>
    <row r="4451" spans="1:1">
      <c r="A4451" s="149" t="s">
        <v>6395</v>
      </c>
    </row>
    <row r="4452" spans="1:1">
      <c r="A4452" s="149" t="s">
        <v>6396</v>
      </c>
    </row>
    <row r="4453" spans="1:1">
      <c r="A4453" s="149" t="s">
        <v>6397</v>
      </c>
    </row>
    <row r="4454" spans="1:1">
      <c r="A4454" s="149" t="s">
        <v>6398</v>
      </c>
    </row>
    <row r="4455" spans="1:1">
      <c r="A4455" s="149" t="s">
        <v>6399</v>
      </c>
    </row>
    <row r="4456" spans="1:1">
      <c r="A4456" s="149" t="s">
        <v>6400</v>
      </c>
    </row>
    <row r="4457" spans="1:1">
      <c r="A4457" s="149" t="s">
        <v>6401</v>
      </c>
    </row>
    <row r="4458" spans="1:1">
      <c r="A4458" s="149" t="s">
        <v>6402</v>
      </c>
    </row>
    <row r="4459" spans="1:1">
      <c r="A4459" s="149" t="s">
        <v>6403</v>
      </c>
    </row>
    <row r="4460" spans="1:1">
      <c r="A4460" s="149" t="s">
        <v>6404</v>
      </c>
    </row>
    <row r="4461" spans="1:1">
      <c r="A4461" s="149" t="s">
        <v>6405</v>
      </c>
    </row>
    <row r="4462" spans="1:1">
      <c r="A4462" s="149" t="s">
        <v>6406</v>
      </c>
    </row>
    <row r="4463" spans="1:1">
      <c r="A4463" s="149" t="s">
        <v>6407</v>
      </c>
    </row>
    <row r="4464" spans="1:1">
      <c r="A4464" s="149" t="s">
        <v>6408</v>
      </c>
    </row>
    <row r="4465" spans="1:1">
      <c r="A4465" s="149" t="s">
        <v>6409</v>
      </c>
    </row>
    <row r="4466" spans="1:1">
      <c r="A4466" s="149" t="s">
        <v>6410</v>
      </c>
    </row>
    <row r="4467" spans="1:1">
      <c r="A4467" s="149" t="s">
        <v>6411</v>
      </c>
    </row>
    <row r="4468" spans="1:1">
      <c r="A4468" s="149" t="s">
        <v>6412</v>
      </c>
    </row>
    <row r="4469" spans="1:1">
      <c r="A4469" s="149" t="s">
        <v>6413</v>
      </c>
    </row>
    <row r="4470" spans="1:1">
      <c r="A4470" s="149" t="s">
        <v>6414</v>
      </c>
    </row>
    <row r="4471" spans="1:1">
      <c r="A4471" s="149" t="s">
        <v>6415</v>
      </c>
    </row>
    <row r="4472" spans="1:1">
      <c r="A4472" s="149" t="s">
        <v>6416</v>
      </c>
    </row>
    <row r="4473" spans="1:1">
      <c r="A4473" s="149" t="s">
        <v>6417</v>
      </c>
    </row>
    <row r="4474" spans="1:1">
      <c r="A4474" s="149" t="s">
        <v>6418</v>
      </c>
    </row>
    <row r="4475" spans="1:1">
      <c r="A4475" s="149" t="s">
        <v>6419</v>
      </c>
    </row>
    <row r="4476" spans="1:1">
      <c r="A4476" s="149" t="s">
        <v>6420</v>
      </c>
    </row>
    <row r="4477" spans="1:1">
      <c r="A4477" s="149" t="s">
        <v>6421</v>
      </c>
    </row>
    <row r="4478" spans="1:1">
      <c r="A4478" s="149" t="s">
        <v>6422</v>
      </c>
    </row>
    <row r="4479" spans="1:1">
      <c r="A4479" s="149" t="s">
        <v>6423</v>
      </c>
    </row>
    <row r="4480" spans="1:1">
      <c r="A4480" s="149" t="s">
        <v>6424</v>
      </c>
    </row>
    <row r="4481" spans="1:1">
      <c r="A4481" s="149" t="s">
        <v>6425</v>
      </c>
    </row>
    <row r="4482" spans="1:1">
      <c r="A4482" s="149" t="s">
        <v>6426</v>
      </c>
    </row>
    <row r="4483" spans="1:1">
      <c r="A4483" s="149" t="s">
        <v>6427</v>
      </c>
    </row>
    <row r="4484" spans="1:1">
      <c r="A4484" s="149" t="s">
        <v>6428</v>
      </c>
    </row>
    <row r="4485" spans="1:1">
      <c r="A4485" s="149" t="s">
        <v>6429</v>
      </c>
    </row>
    <row r="4486" spans="1:1">
      <c r="A4486" s="149" t="s">
        <v>6430</v>
      </c>
    </row>
    <row r="4487" spans="1:1">
      <c r="A4487" s="149" t="s">
        <v>6431</v>
      </c>
    </row>
    <row r="4488" spans="1:1">
      <c r="A4488" s="149" t="s">
        <v>6432</v>
      </c>
    </row>
    <row r="4489" spans="1:1">
      <c r="A4489" s="149" t="s">
        <v>6433</v>
      </c>
    </row>
    <row r="4490" spans="1:1">
      <c r="A4490" s="149" t="s">
        <v>6434</v>
      </c>
    </row>
    <row r="4491" spans="1:1">
      <c r="A4491" s="149" t="s">
        <v>6435</v>
      </c>
    </row>
    <row r="4492" spans="1:1">
      <c r="A4492" s="149" t="s">
        <v>6436</v>
      </c>
    </row>
    <row r="4493" spans="1:1">
      <c r="A4493" s="149" t="s">
        <v>6437</v>
      </c>
    </row>
    <row r="4494" spans="1:1">
      <c r="A4494" s="149" t="s">
        <v>6438</v>
      </c>
    </row>
    <row r="4495" spans="1:1">
      <c r="A4495" s="149" t="s">
        <v>6439</v>
      </c>
    </row>
    <row r="4496" spans="1:1">
      <c r="A4496" s="149" t="s">
        <v>6440</v>
      </c>
    </row>
    <row r="4497" spans="1:1">
      <c r="A4497" s="149" t="s">
        <v>6441</v>
      </c>
    </row>
    <row r="4498" spans="1:1">
      <c r="A4498" s="149" t="s">
        <v>6442</v>
      </c>
    </row>
    <row r="4499" spans="1:1">
      <c r="A4499" s="149" t="s">
        <v>6443</v>
      </c>
    </row>
    <row r="4500" spans="1:1">
      <c r="A4500" s="149" t="s">
        <v>6444</v>
      </c>
    </row>
    <row r="4501" spans="1:1">
      <c r="A4501" s="149" t="s">
        <v>6445</v>
      </c>
    </row>
    <row r="4502" spans="1:1">
      <c r="A4502" s="149" t="s">
        <v>6446</v>
      </c>
    </row>
    <row r="4503" spans="1:1">
      <c r="A4503" s="149" t="s">
        <v>6447</v>
      </c>
    </row>
    <row r="4504" spans="1:1">
      <c r="A4504" s="149" t="s">
        <v>6448</v>
      </c>
    </row>
    <row r="4505" spans="1:1">
      <c r="A4505" s="149" t="s">
        <v>6449</v>
      </c>
    </row>
    <row r="4506" spans="1:1">
      <c r="A4506" s="149" t="s">
        <v>6450</v>
      </c>
    </row>
    <row r="4507" spans="1:1">
      <c r="A4507" s="149" t="s">
        <v>6451</v>
      </c>
    </row>
    <row r="4508" spans="1:1">
      <c r="A4508" s="149" t="s">
        <v>6452</v>
      </c>
    </row>
    <row r="4509" spans="1:1">
      <c r="A4509" s="149" t="s">
        <v>6453</v>
      </c>
    </row>
    <row r="4510" spans="1:1">
      <c r="A4510" s="149" t="s">
        <v>6454</v>
      </c>
    </row>
    <row r="4511" spans="1:1">
      <c r="A4511" s="149" t="s">
        <v>6455</v>
      </c>
    </row>
    <row r="4512" spans="1:1">
      <c r="A4512" s="149" t="s">
        <v>6456</v>
      </c>
    </row>
    <row r="4513" spans="1:1">
      <c r="A4513" s="149" t="s">
        <v>6457</v>
      </c>
    </row>
    <row r="4514" spans="1:1">
      <c r="A4514" s="149" t="s">
        <v>6458</v>
      </c>
    </row>
    <row r="4515" spans="1:1">
      <c r="A4515" s="149" t="s">
        <v>6459</v>
      </c>
    </row>
    <row r="4516" spans="1:1">
      <c r="A4516" s="149" t="s">
        <v>6460</v>
      </c>
    </row>
    <row r="4517" spans="1:1">
      <c r="A4517" s="149" t="s">
        <v>6461</v>
      </c>
    </row>
    <row r="4518" spans="1:1">
      <c r="A4518" s="149" t="s">
        <v>6462</v>
      </c>
    </row>
    <row r="4519" spans="1:1">
      <c r="A4519" s="149" t="s">
        <v>6463</v>
      </c>
    </row>
    <row r="4520" spans="1:1">
      <c r="A4520" s="149" t="s">
        <v>6464</v>
      </c>
    </row>
    <row r="4521" spans="1:1">
      <c r="A4521" s="149" t="s">
        <v>6465</v>
      </c>
    </row>
    <row r="4522" spans="1:1">
      <c r="A4522" s="149" t="s">
        <v>6466</v>
      </c>
    </row>
    <row r="4523" spans="1:1">
      <c r="A4523" s="149" t="s">
        <v>6467</v>
      </c>
    </row>
    <row r="4524" spans="1:1">
      <c r="A4524" s="149" t="s">
        <v>6468</v>
      </c>
    </row>
    <row r="4525" spans="1:1">
      <c r="A4525" s="149" t="s">
        <v>6469</v>
      </c>
    </row>
    <row r="4526" spans="1:1">
      <c r="A4526" s="149" t="s">
        <v>6470</v>
      </c>
    </row>
    <row r="4527" spans="1:1">
      <c r="A4527" s="149" t="s">
        <v>6471</v>
      </c>
    </row>
    <row r="4528" spans="1:1">
      <c r="A4528" s="149" t="s">
        <v>6472</v>
      </c>
    </row>
    <row r="4529" spans="1:1">
      <c r="A4529" s="149" t="s">
        <v>6473</v>
      </c>
    </row>
    <row r="4530" spans="1:1">
      <c r="A4530" s="149" t="s">
        <v>6474</v>
      </c>
    </row>
    <row r="4531" spans="1:1">
      <c r="A4531" s="149" t="s">
        <v>6475</v>
      </c>
    </row>
    <row r="4532" spans="1:1">
      <c r="A4532" s="149" t="s">
        <v>6476</v>
      </c>
    </row>
    <row r="4533" spans="1:1">
      <c r="A4533" s="149" t="s">
        <v>6477</v>
      </c>
    </row>
    <row r="4534" spans="1:1">
      <c r="A4534" s="149" t="s">
        <v>6478</v>
      </c>
    </row>
    <row r="4535" spans="1:1">
      <c r="A4535" s="149" t="s">
        <v>6479</v>
      </c>
    </row>
    <row r="4536" spans="1:1">
      <c r="A4536" s="149" t="s">
        <v>6480</v>
      </c>
    </row>
    <row r="4537" spans="1:1">
      <c r="A4537" s="149" t="s">
        <v>6481</v>
      </c>
    </row>
    <row r="4538" spans="1:1">
      <c r="A4538" s="149" t="s">
        <v>6482</v>
      </c>
    </row>
    <row r="4539" spans="1:1">
      <c r="A4539" s="149" t="s">
        <v>6483</v>
      </c>
    </row>
    <row r="4540" spans="1:1">
      <c r="A4540" s="149" t="s">
        <v>6484</v>
      </c>
    </row>
    <row r="4541" spans="1:1">
      <c r="A4541" s="149" t="s">
        <v>6485</v>
      </c>
    </row>
    <row r="4542" spans="1:1">
      <c r="A4542" s="149" t="s">
        <v>6486</v>
      </c>
    </row>
    <row r="4543" spans="1:1">
      <c r="A4543" s="149" t="s">
        <v>6487</v>
      </c>
    </row>
    <row r="4544" spans="1:1">
      <c r="A4544" s="149" t="s">
        <v>6488</v>
      </c>
    </row>
    <row r="4545" spans="1:1">
      <c r="A4545" s="149" t="s">
        <v>6489</v>
      </c>
    </row>
    <row r="4546" spans="1:1">
      <c r="A4546" s="149" t="s">
        <v>6490</v>
      </c>
    </row>
    <row r="4547" spans="1:1">
      <c r="A4547" s="149" t="s">
        <v>6491</v>
      </c>
    </row>
    <row r="4548" spans="1:1">
      <c r="A4548" s="149" t="s">
        <v>6492</v>
      </c>
    </row>
    <row r="4549" spans="1:1">
      <c r="A4549" s="149" t="s">
        <v>6493</v>
      </c>
    </row>
    <row r="4550" spans="1:1">
      <c r="A4550" s="149" t="s">
        <v>6494</v>
      </c>
    </row>
    <row r="4551" spans="1:1">
      <c r="A4551" s="149" t="s">
        <v>6495</v>
      </c>
    </row>
    <row r="4552" spans="1:1">
      <c r="A4552" s="149" t="s">
        <v>6496</v>
      </c>
    </row>
    <row r="4553" spans="1:1">
      <c r="A4553" s="149" t="s">
        <v>6497</v>
      </c>
    </row>
    <row r="4554" spans="1:1">
      <c r="A4554" s="149" t="s">
        <v>6498</v>
      </c>
    </row>
    <row r="4555" spans="1:1">
      <c r="A4555" s="149" t="s">
        <v>6499</v>
      </c>
    </row>
    <row r="4556" spans="1:1">
      <c r="A4556" s="149" t="s">
        <v>6500</v>
      </c>
    </row>
    <row r="4557" spans="1:1">
      <c r="A4557" s="149" t="s">
        <v>6501</v>
      </c>
    </row>
    <row r="4558" spans="1:1">
      <c r="A4558" s="149" t="s">
        <v>6502</v>
      </c>
    </row>
    <row r="4559" spans="1:1">
      <c r="A4559" s="149" t="s">
        <v>6503</v>
      </c>
    </row>
    <row r="4560" spans="1:1">
      <c r="A4560" s="149" t="s">
        <v>6504</v>
      </c>
    </row>
    <row r="4561" spans="1:1">
      <c r="A4561" s="149" t="s">
        <v>6505</v>
      </c>
    </row>
    <row r="4562" spans="1:1">
      <c r="A4562" s="149" t="s">
        <v>6506</v>
      </c>
    </row>
    <row r="4563" spans="1:1">
      <c r="A4563" s="149" t="s">
        <v>6507</v>
      </c>
    </row>
    <row r="4564" spans="1:1">
      <c r="A4564" s="149" t="s">
        <v>6508</v>
      </c>
    </row>
    <row r="4565" spans="1:1">
      <c r="A4565" s="149" t="s">
        <v>6509</v>
      </c>
    </row>
    <row r="4566" spans="1:1">
      <c r="A4566" s="149" t="s">
        <v>6510</v>
      </c>
    </row>
    <row r="4567" spans="1:1">
      <c r="A4567" s="149" t="s">
        <v>6511</v>
      </c>
    </row>
    <row r="4568" spans="1:1">
      <c r="A4568" s="149" t="s">
        <v>6512</v>
      </c>
    </row>
    <row r="4569" spans="1:1">
      <c r="A4569" s="149" t="s">
        <v>6513</v>
      </c>
    </row>
    <row r="4570" spans="1:1">
      <c r="A4570" s="149" t="s">
        <v>6514</v>
      </c>
    </row>
    <row r="4571" spans="1:1">
      <c r="A4571" s="149" t="s">
        <v>6515</v>
      </c>
    </row>
    <row r="4572" spans="1:1">
      <c r="A4572" s="149" t="s">
        <v>6516</v>
      </c>
    </row>
    <row r="4573" spans="1:1">
      <c r="A4573" s="149" t="s">
        <v>6517</v>
      </c>
    </row>
    <row r="4574" spans="1:1">
      <c r="A4574" s="149" t="s">
        <v>6518</v>
      </c>
    </row>
    <row r="4575" spans="1:1">
      <c r="A4575" s="149" t="s">
        <v>6519</v>
      </c>
    </row>
    <row r="4576" spans="1:1">
      <c r="A4576" s="149" t="s">
        <v>6520</v>
      </c>
    </row>
    <row r="4577" spans="1:1">
      <c r="A4577" s="149" t="s">
        <v>6521</v>
      </c>
    </row>
    <row r="4578" spans="1:1">
      <c r="A4578" s="149" t="s">
        <v>6522</v>
      </c>
    </row>
    <row r="4579" spans="1:1">
      <c r="A4579" s="149" t="s">
        <v>6523</v>
      </c>
    </row>
    <row r="4580" spans="1:1">
      <c r="A4580" s="149" t="s">
        <v>6524</v>
      </c>
    </row>
    <row r="4581" spans="1:1">
      <c r="A4581" s="149" t="s">
        <v>6525</v>
      </c>
    </row>
    <row r="4582" spans="1:1">
      <c r="A4582" s="149" t="s">
        <v>6526</v>
      </c>
    </row>
    <row r="4583" spans="1:1">
      <c r="A4583" s="149" t="s">
        <v>6527</v>
      </c>
    </row>
    <row r="4584" spans="1:1">
      <c r="A4584" s="149" t="s">
        <v>6528</v>
      </c>
    </row>
    <row r="4585" spans="1:1">
      <c r="A4585" s="149" t="s">
        <v>6529</v>
      </c>
    </row>
    <row r="4586" spans="1:1">
      <c r="A4586" s="149" t="s">
        <v>6530</v>
      </c>
    </row>
    <row r="4587" spans="1:1">
      <c r="A4587" s="149" t="s">
        <v>6531</v>
      </c>
    </row>
    <row r="4588" spans="1:1">
      <c r="A4588" s="149" t="s">
        <v>6532</v>
      </c>
    </row>
    <row r="4589" spans="1:1">
      <c r="A4589" s="149" t="s">
        <v>6533</v>
      </c>
    </row>
    <row r="4590" spans="1:1">
      <c r="A4590" s="149" t="s">
        <v>6534</v>
      </c>
    </row>
    <row r="4591" spans="1:1">
      <c r="A4591" s="149" t="s">
        <v>6535</v>
      </c>
    </row>
    <row r="4592" spans="1:1">
      <c r="A4592" s="149" t="s">
        <v>6536</v>
      </c>
    </row>
    <row r="4593" spans="1:1">
      <c r="A4593" s="149" t="s">
        <v>6537</v>
      </c>
    </row>
    <row r="4594" spans="1:1">
      <c r="A4594" s="149" t="s">
        <v>6538</v>
      </c>
    </row>
    <row r="4595" spans="1:1">
      <c r="A4595" s="149" t="s">
        <v>6539</v>
      </c>
    </row>
    <row r="4596" spans="1:1">
      <c r="A4596" s="149" t="s">
        <v>6540</v>
      </c>
    </row>
    <row r="4597" spans="1:1">
      <c r="A4597" s="149" t="s">
        <v>6541</v>
      </c>
    </row>
    <row r="4598" spans="1:1">
      <c r="A4598" s="149" t="s">
        <v>6542</v>
      </c>
    </row>
    <row r="4599" spans="1:1">
      <c r="A4599" s="149" t="s">
        <v>6543</v>
      </c>
    </row>
    <row r="4600" spans="1:1">
      <c r="A4600" s="149" t="s">
        <v>6544</v>
      </c>
    </row>
    <row r="4601" spans="1:1">
      <c r="A4601" s="149" t="s">
        <v>6545</v>
      </c>
    </row>
    <row r="4602" spans="1:1">
      <c r="A4602" s="149" t="s">
        <v>6546</v>
      </c>
    </row>
    <row r="4603" spans="1:1">
      <c r="A4603" s="149" t="s">
        <v>6547</v>
      </c>
    </row>
    <row r="4604" spans="1:1">
      <c r="A4604" s="149" t="s">
        <v>6548</v>
      </c>
    </row>
    <row r="4605" spans="1:1">
      <c r="A4605" s="149" t="s">
        <v>6549</v>
      </c>
    </row>
    <row r="4606" spans="1:1">
      <c r="A4606" s="149" t="s">
        <v>6550</v>
      </c>
    </row>
    <row r="4607" spans="1:1">
      <c r="A4607" s="149" t="s">
        <v>6551</v>
      </c>
    </row>
    <row r="4608" spans="1:1">
      <c r="A4608" s="149" t="s">
        <v>6552</v>
      </c>
    </row>
    <row r="4609" spans="1:1">
      <c r="A4609" s="149" t="s">
        <v>6553</v>
      </c>
    </row>
    <row r="4610" spans="1:1">
      <c r="A4610" s="149" t="s">
        <v>6554</v>
      </c>
    </row>
    <row r="4611" spans="1:1">
      <c r="A4611" s="149" t="s">
        <v>6555</v>
      </c>
    </row>
    <row r="4612" spans="1:1">
      <c r="A4612" s="149" t="s">
        <v>6556</v>
      </c>
    </row>
    <row r="4613" spans="1:1">
      <c r="A4613" s="149" t="s">
        <v>6557</v>
      </c>
    </row>
    <row r="4614" spans="1:1">
      <c r="A4614" s="149" t="s">
        <v>6558</v>
      </c>
    </row>
    <row r="4615" spans="1:1">
      <c r="A4615" s="149" t="s">
        <v>6559</v>
      </c>
    </row>
    <row r="4616" spans="1:1">
      <c r="A4616" s="149" t="s">
        <v>6560</v>
      </c>
    </row>
    <row r="4617" spans="1:1">
      <c r="A4617" s="149" t="s">
        <v>6561</v>
      </c>
    </row>
    <row r="4618" spans="1:1">
      <c r="A4618" s="149" t="s">
        <v>6562</v>
      </c>
    </row>
    <row r="4619" spans="1:1">
      <c r="A4619" s="149" t="s">
        <v>6563</v>
      </c>
    </row>
    <row r="4620" spans="1:1">
      <c r="A4620" s="149" t="s">
        <v>6564</v>
      </c>
    </row>
    <row r="4621" spans="1:1">
      <c r="A4621" s="149" t="s">
        <v>6565</v>
      </c>
    </row>
    <row r="4622" spans="1:1">
      <c r="A4622" s="149" t="s">
        <v>6566</v>
      </c>
    </row>
    <row r="4623" spans="1:1">
      <c r="A4623" s="149" t="s">
        <v>6567</v>
      </c>
    </row>
    <row r="4624" spans="1:1">
      <c r="A4624" s="149" t="s">
        <v>6568</v>
      </c>
    </row>
    <row r="4625" spans="1:1">
      <c r="A4625" s="149" t="s">
        <v>6569</v>
      </c>
    </row>
    <row r="4626" spans="1:1">
      <c r="A4626" s="149" t="s">
        <v>6570</v>
      </c>
    </row>
    <row r="4627" spans="1:1">
      <c r="A4627" s="149" t="s">
        <v>6571</v>
      </c>
    </row>
    <row r="4628" spans="1:1">
      <c r="A4628" s="149" t="s">
        <v>6572</v>
      </c>
    </row>
    <row r="4629" spans="1:1">
      <c r="A4629" s="149" t="s">
        <v>6573</v>
      </c>
    </row>
    <row r="4630" spans="1:1">
      <c r="A4630" s="149" t="s">
        <v>6574</v>
      </c>
    </row>
    <row r="4631" spans="1:1">
      <c r="A4631" s="149" t="s">
        <v>6575</v>
      </c>
    </row>
    <row r="4632" spans="1:1">
      <c r="A4632" s="149" t="s">
        <v>6576</v>
      </c>
    </row>
    <row r="4633" spans="1:1">
      <c r="A4633" s="149" t="s">
        <v>6577</v>
      </c>
    </row>
    <row r="4634" spans="1:1">
      <c r="A4634" s="149" t="s">
        <v>6578</v>
      </c>
    </row>
    <row r="4635" spans="1:1">
      <c r="A4635" s="149" t="s">
        <v>6579</v>
      </c>
    </row>
    <row r="4636" spans="1:1">
      <c r="A4636" s="149" t="s">
        <v>6580</v>
      </c>
    </row>
    <row r="4637" spans="1:1">
      <c r="A4637" s="149" t="s">
        <v>6581</v>
      </c>
    </row>
    <row r="4638" spans="1:1">
      <c r="A4638" s="149" t="s">
        <v>6582</v>
      </c>
    </row>
    <row r="4639" spans="1:1">
      <c r="A4639" s="149" t="s">
        <v>6583</v>
      </c>
    </row>
    <row r="4640" spans="1:1">
      <c r="A4640" s="149" t="s">
        <v>6584</v>
      </c>
    </row>
    <row r="4641" spans="1:1">
      <c r="A4641" s="149" t="s">
        <v>6585</v>
      </c>
    </row>
    <row r="4642" spans="1:1">
      <c r="A4642" s="149" t="s">
        <v>6586</v>
      </c>
    </row>
    <row r="4643" spans="1:1">
      <c r="A4643" s="149" t="s">
        <v>6587</v>
      </c>
    </row>
    <row r="4644" spans="1:1">
      <c r="A4644" s="149" t="s">
        <v>6588</v>
      </c>
    </row>
    <row r="4645" spans="1:1">
      <c r="A4645" s="149" t="s">
        <v>6589</v>
      </c>
    </row>
    <row r="4646" spans="1:1">
      <c r="A4646" s="149" t="s">
        <v>6590</v>
      </c>
    </row>
    <row r="4647" spans="1:1">
      <c r="A4647" s="149" t="s">
        <v>6591</v>
      </c>
    </row>
    <row r="4648" spans="1:1">
      <c r="A4648" s="149" t="s">
        <v>6592</v>
      </c>
    </row>
    <row r="4649" spans="1:1">
      <c r="A4649" s="149" t="s">
        <v>6593</v>
      </c>
    </row>
    <row r="4650" spans="1:1">
      <c r="A4650" s="149" t="s">
        <v>6594</v>
      </c>
    </row>
    <row r="4651" spans="1:1">
      <c r="A4651" s="149" t="s">
        <v>6595</v>
      </c>
    </row>
    <row r="4652" spans="1:1">
      <c r="A4652" s="149" t="s">
        <v>6596</v>
      </c>
    </row>
    <row r="4653" spans="1:1">
      <c r="A4653" s="149" t="s">
        <v>6597</v>
      </c>
    </row>
    <row r="4654" spans="1:1">
      <c r="A4654" s="149" t="s">
        <v>6598</v>
      </c>
    </row>
    <row r="4655" spans="1:1">
      <c r="A4655" s="149" t="s">
        <v>6599</v>
      </c>
    </row>
    <row r="4656" spans="1:1">
      <c r="A4656" s="149" t="s">
        <v>6600</v>
      </c>
    </row>
    <row r="4657" spans="1:1">
      <c r="A4657" s="149" t="s">
        <v>6601</v>
      </c>
    </row>
    <row r="4658" spans="1:1">
      <c r="A4658" s="149" t="s">
        <v>6602</v>
      </c>
    </row>
    <row r="4659" spans="1:1">
      <c r="A4659" s="149" t="s">
        <v>6603</v>
      </c>
    </row>
    <row r="4660" spans="1:1">
      <c r="A4660" s="149" t="s">
        <v>6604</v>
      </c>
    </row>
    <row r="4661" spans="1:1">
      <c r="A4661" s="149" t="s">
        <v>6605</v>
      </c>
    </row>
    <row r="4662" spans="1:1">
      <c r="A4662" s="149" t="s">
        <v>6606</v>
      </c>
    </row>
    <row r="4663" spans="1:1">
      <c r="A4663" s="149" t="s">
        <v>6607</v>
      </c>
    </row>
    <row r="4664" spans="1:1">
      <c r="A4664" s="149" t="s">
        <v>6608</v>
      </c>
    </row>
    <row r="4665" spans="1:1">
      <c r="A4665" s="149" t="s">
        <v>6609</v>
      </c>
    </row>
    <row r="4666" spans="1:1">
      <c r="A4666" s="149" t="s">
        <v>6610</v>
      </c>
    </row>
    <row r="4667" spans="1:1">
      <c r="A4667" s="149" t="s">
        <v>6611</v>
      </c>
    </row>
    <row r="4668" spans="1:1">
      <c r="A4668" s="149" t="s">
        <v>6612</v>
      </c>
    </row>
    <row r="4669" spans="1:1">
      <c r="A4669" s="149" t="s">
        <v>6613</v>
      </c>
    </row>
    <row r="4670" spans="1:1">
      <c r="A4670" s="149" t="s">
        <v>6614</v>
      </c>
    </row>
    <row r="4671" spans="1:1">
      <c r="A4671" s="149" t="s">
        <v>6615</v>
      </c>
    </row>
    <row r="4672" spans="1:1">
      <c r="A4672" s="149" t="s">
        <v>6616</v>
      </c>
    </row>
    <row r="4673" spans="1:1">
      <c r="A4673" s="149" t="s">
        <v>6617</v>
      </c>
    </row>
    <row r="4674" spans="1:1">
      <c r="A4674" s="149" t="s">
        <v>6618</v>
      </c>
    </row>
    <row r="4675" spans="1:1">
      <c r="A4675" s="149" t="s">
        <v>6619</v>
      </c>
    </row>
    <row r="4676" spans="1:1">
      <c r="A4676" s="149" t="s">
        <v>6620</v>
      </c>
    </row>
    <row r="4677" spans="1:1">
      <c r="A4677" s="149" t="s">
        <v>6621</v>
      </c>
    </row>
    <row r="4678" spans="1:1">
      <c r="A4678" s="149" t="s">
        <v>6622</v>
      </c>
    </row>
    <row r="4679" spans="1:1">
      <c r="A4679" s="149" t="s">
        <v>6623</v>
      </c>
    </row>
    <row r="4680" spans="1:1">
      <c r="A4680" s="149" t="s">
        <v>6624</v>
      </c>
    </row>
    <row r="4681" spans="1:1">
      <c r="A4681" s="149" t="s">
        <v>6625</v>
      </c>
    </row>
    <row r="4682" spans="1:1">
      <c r="A4682" s="149" t="s">
        <v>6626</v>
      </c>
    </row>
    <row r="4683" spans="1:1">
      <c r="A4683" s="149" t="s">
        <v>6627</v>
      </c>
    </row>
    <row r="4684" spans="1:1">
      <c r="A4684" s="149" t="s">
        <v>6628</v>
      </c>
    </row>
    <row r="4685" spans="1:1">
      <c r="A4685" s="149" t="s">
        <v>6629</v>
      </c>
    </row>
    <row r="4686" spans="1:1">
      <c r="A4686" s="149" t="s">
        <v>6630</v>
      </c>
    </row>
    <row r="4687" spans="1:1">
      <c r="A4687" s="149" t="s">
        <v>6631</v>
      </c>
    </row>
    <row r="4688" spans="1:1">
      <c r="A4688" s="149" t="s">
        <v>6632</v>
      </c>
    </row>
    <row r="4689" spans="1:1">
      <c r="A4689" s="149" t="s">
        <v>6633</v>
      </c>
    </row>
    <row r="4690" spans="1:1">
      <c r="A4690" s="149" t="s">
        <v>6634</v>
      </c>
    </row>
    <row r="4691" spans="1:1">
      <c r="A4691" s="149" t="s">
        <v>6635</v>
      </c>
    </row>
    <row r="4692" spans="1:1">
      <c r="A4692" s="149" t="s">
        <v>6636</v>
      </c>
    </row>
    <row r="4693" spans="1:1">
      <c r="A4693" s="149" t="s">
        <v>6637</v>
      </c>
    </row>
    <row r="4694" spans="1:1">
      <c r="A4694" s="149" t="s">
        <v>6638</v>
      </c>
    </row>
    <row r="4695" spans="1:1">
      <c r="A4695" s="149" t="s">
        <v>6639</v>
      </c>
    </row>
    <row r="4696" spans="1:1">
      <c r="A4696" s="149" t="s">
        <v>6640</v>
      </c>
    </row>
    <row r="4697" spans="1:1">
      <c r="A4697" s="149" t="s">
        <v>6641</v>
      </c>
    </row>
    <row r="4698" spans="1:1">
      <c r="A4698" s="149" t="s">
        <v>6642</v>
      </c>
    </row>
    <row r="4699" spans="1:1">
      <c r="A4699" s="149" t="s">
        <v>6643</v>
      </c>
    </row>
    <row r="4700" spans="1:1">
      <c r="A4700" s="149" t="s">
        <v>6644</v>
      </c>
    </row>
    <row r="4701" spans="1:1">
      <c r="A4701" s="149" t="s">
        <v>6645</v>
      </c>
    </row>
    <row r="4702" spans="1:1">
      <c r="A4702" s="149" t="s">
        <v>6646</v>
      </c>
    </row>
    <row r="4703" spans="1:1">
      <c r="A4703" s="149" t="s">
        <v>6647</v>
      </c>
    </row>
    <row r="4704" spans="1:1">
      <c r="A4704" s="149" t="s">
        <v>6648</v>
      </c>
    </row>
    <row r="4705" spans="1:1">
      <c r="A4705" s="149" t="s">
        <v>6649</v>
      </c>
    </row>
    <row r="4706" spans="1:1">
      <c r="A4706" s="149" t="s">
        <v>6650</v>
      </c>
    </row>
    <row r="4707" spans="1:1">
      <c r="A4707" s="149" t="s">
        <v>6651</v>
      </c>
    </row>
    <row r="4708" spans="1:1">
      <c r="A4708" s="149" t="s">
        <v>6652</v>
      </c>
    </row>
    <row r="4709" spans="1:1">
      <c r="A4709" s="149" t="s">
        <v>6653</v>
      </c>
    </row>
    <row r="4710" spans="1:1">
      <c r="A4710" s="149" t="s">
        <v>6654</v>
      </c>
    </row>
    <row r="4711" spans="1:1">
      <c r="A4711" s="149" t="s">
        <v>6655</v>
      </c>
    </row>
    <row r="4712" spans="1:1">
      <c r="A4712" s="149" t="s">
        <v>6656</v>
      </c>
    </row>
    <row r="4713" spans="1:1">
      <c r="A4713" s="149" t="s">
        <v>6657</v>
      </c>
    </row>
    <row r="4714" spans="1:1">
      <c r="A4714" s="149" t="s">
        <v>6658</v>
      </c>
    </row>
    <row r="4715" spans="1:1">
      <c r="A4715" s="149" t="s">
        <v>6659</v>
      </c>
    </row>
    <row r="4716" spans="1:1">
      <c r="A4716" s="149" t="s">
        <v>6660</v>
      </c>
    </row>
    <row r="4717" spans="1:1">
      <c r="A4717" s="149" t="s">
        <v>6661</v>
      </c>
    </row>
    <row r="4718" spans="1:1">
      <c r="A4718" s="149" t="s">
        <v>6662</v>
      </c>
    </row>
    <row r="4719" spans="1:1">
      <c r="A4719" s="149" t="s">
        <v>6663</v>
      </c>
    </row>
    <row r="4720" spans="1:1">
      <c r="A4720" s="149" t="s">
        <v>6664</v>
      </c>
    </row>
    <row r="4721" spans="1:1">
      <c r="A4721" s="149" t="s">
        <v>6665</v>
      </c>
    </row>
    <row r="4722" spans="1:1">
      <c r="A4722" s="149" t="s">
        <v>6666</v>
      </c>
    </row>
    <row r="4723" spans="1:1">
      <c r="A4723" s="149" t="s">
        <v>6667</v>
      </c>
    </row>
    <row r="4724" spans="1:1">
      <c r="A4724" s="149" t="s">
        <v>6668</v>
      </c>
    </row>
    <row r="4725" spans="1:1">
      <c r="A4725" s="149" t="s">
        <v>6669</v>
      </c>
    </row>
    <row r="4726" spans="1:1">
      <c r="A4726" s="149" t="s">
        <v>6670</v>
      </c>
    </row>
    <row r="4727" spans="1:1">
      <c r="A4727" s="149" t="s">
        <v>6671</v>
      </c>
    </row>
    <row r="4728" spans="1:1">
      <c r="A4728" s="149" t="s">
        <v>6672</v>
      </c>
    </row>
    <row r="4729" spans="1:1">
      <c r="A4729" s="149" t="s">
        <v>6673</v>
      </c>
    </row>
    <row r="4730" spans="1:1">
      <c r="A4730" s="149" t="s">
        <v>6674</v>
      </c>
    </row>
    <row r="4731" spans="1:1">
      <c r="A4731" s="149" t="s">
        <v>6675</v>
      </c>
    </row>
    <row r="4732" spans="1:1">
      <c r="A4732" s="149" t="s">
        <v>6676</v>
      </c>
    </row>
    <row r="4733" spans="1:1">
      <c r="A4733" s="149" t="s">
        <v>6677</v>
      </c>
    </row>
    <row r="4734" spans="1:1">
      <c r="A4734" s="149" t="s">
        <v>6678</v>
      </c>
    </row>
    <row r="4735" spans="1:1">
      <c r="A4735" s="149" t="s">
        <v>6679</v>
      </c>
    </row>
    <row r="4736" spans="1:1">
      <c r="A4736" s="149" t="s">
        <v>6680</v>
      </c>
    </row>
    <row r="4737" spans="1:1">
      <c r="A4737" s="149" t="s">
        <v>6681</v>
      </c>
    </row>
    <row r="4738" spans="1:1">
      <c r="A4738" s="149" t="s">
        <v>6682</v>
      </c>
    </row>
    <row r="4739" spans="1:1">
      <c r="A4739" s="149" t="s">
        <v>6683</v>
      </c>
    </row>
    <row r="4740" spans="1:1">
      <c r="A4740" s="149" t="s">
        <v>6684</v>
      </c>
    </row>
    <row r="4741" spans="1:1">
      <c r="A4741" s="149" t="s">
        <v>6685</v>
      </c>
    </row>
    <row r="4742" spans="1:1">
      <c r="A4742" s="149" t="s">
        <v>6686</v>
      </c>
    </row>
    <row r="4743" spans="1:1">
      <c r="A4743" s="149" t="s">
        <v>6687</v>
      </c>
    </row>
    <row r="4744" spans="1:1">
      <c r="A4744" s="149" t="s">
        <v>6688</v>
      </c>
    </row>
    <row r="4745" spans="1:1">
      <c r="A4745" s="149" t="s">
        <v>6689</v>
      </c>
    </row>
    <row r="4746" spans="1:1">
      <c r="A4746" s="149" t="s">
        <v>6690</v>
      </c>
    </row>
    <row r="4747" spans="1:1">
      <c r="A4747" s="149" t="s">
        <v>6691</v>
      </c>
    </row>
    <row r="4748" spans="1:1">
      <c r="A4748" s="149" t="s">
        <v>6692</v>
      </c>
    </row>
    <row r="4749" spans="1:1">
      <c r="A4749" s="149" t="s">
        <v>6693</v>
      </c>
    </row>
    <row r="4750" spans="1:1">
      <c r="A4750" s="149" t="s">
        <v>6694</v>
      </c>
    </row>
    <row r="4751" spans="1:1">
      <c r="A4751" s="149" t="s">
        <v>6695</v>
      </c>
    </row>
    <row r="4752" spans="1:1">
      <c r="A4752" s="149" t="s">
        <v>6696</v>
      </c>
    </row>
    <row r="4753" spans="1:1">
      <c r="A4753" s="149" t="s">
        <v>6697</v>
      </c>
    </row>
    <row r="4754" spans="1:1">
      <c r="A4754" s="149" t="s">
        <v>6698</v>
      </c>
    </row>
    <row r="4755" spans="1:1">
      <c r="A4755" s="149" t="s">
        <v>6699</v>
      </c>
    </row>
    <row r="4756" spans="1:1">
      <c r="A4756" s="149" t="s">
        <v>6700</v>
      </c>
    </row>
    <row r="4757" spans="1:1">
      <c r="A4757" s="149" t="s">
        <v>6701</v>
      </c>
    </row>
    <row r="4758" spans="1:1">
      <c r="A4758" s="149" t="s">
        <v>6702</v>
      </c>
    </row>
    <row r="4759" spans="1:1">
      <c r="A4759" s="149" t="s">
        <v>6703</v>
      </c>
    </row>
    <row r="4760" spans="1:1">
      <c r="A4760" s="149" t="s">
        <v>6704</v>
      </c>
    </row>
    <row r="4761" spans="1:1">
      <c r="A4761" s="149" t="s">
        <v>6705</v>
      </c>
    </row>
    <row r="4762" spans="1:1">
      <c r="A4762" s="149" t="s">
        <v>6706</v>
      </c>
    </row>
    <row r="4763" spans="1:1">
      <c r="A4763" s="149" t="s">
        <v>6707</v>
      </c>
    </row>
    <row r="4764" spans="1:1">
      <c r="A4764" s="149" t="s">
        <v>6708</v>
      </c>
    </row>
    <row r="4765" spans="1:1">
      <c r="A4765" s="149" t="s">
        <v>6709</v>
      </c>
    </row>
    <row r="4766" spans="1:1">
      <c r="A4766" s="149" t="s">
        <v>6710</v>
      </c>
    </row>
    <row r="4767" spans="1:1">
      <c r="A4767" s="149" t="s">
        <v>6711</v>
      </c>
    </row>
    <row r="4768" spans="1:1">
      <c r="A4768" s="149" t="s">
        <v>6712</v>
      </c>
    </row>
    <row r="4769" spans="1:1">
      <c r="A4769" s="149" t="s">
        <v>6713</v>
      </c>
    </row>
    <row r="4770" spans="1:1">
      <c r="A4770" s="149" t="s">
        <v>6714</v>
      </c>
    </row>
    <row r="4771" spans="1:1">
      <c r="A4771" s="149" t="s">
        <v>6715</v>
      </c>
    </row>
    <row r="4772" spans="1:1">
      <c r="A4772" s="149" t="s">
        <v>6716</v>
      </c>
    </row>
    <row r="4773" spans="1:1">
      <c r="A4773" s="149" t="s">
        <v>6717</v>
      </c>
    </row>
    <row r="4774" spans="1:1">
      <c r="A4774" s="149" t="s">
        <v>6718</v>
      </c>
    </row>
    <row r="4775" spans="1:1">
      <c r="A4775" s="149" t="s">
        <v>6719</v>
      </c>
    </row>
    <row r="4776" spans="1:1">
      <c r="A4776" s="149" t="s">
        <v>6720</v>
      </c>
    </row>
    <row r="4777" spans="1:1">
      <c r="A4777" s="149" t="s">
        <v>6721</v>
      </c>
    </row>
    <row r="4778" spans="1:1">
      <c r="A4778" s="149" t="s">
        <v>6722</v>
      </c>
    </row>
    <row r="4779" spans="1:1">
      <c r="A4779" s="149" t="s">
        <v>6723</v>
      </c>
    </row>
    <row r="4780" spans="1:1">
      <c r="A4780" s="149" t="s">
        <v>6724</v>
      </c>
    </row>
    <row r="4781" spans="1:1">
      <c r="A4781" s="149" t="s">
        <v>6725</v>
      </c>
    </row>
    <row r="4782" spans="1:1">
      <c r="A4782" s="149" t="s">
        <v>6726</v>
      </c>
    </row>
    <row r="4783" spans="1:1">
      <c r="A4783" s="149" t="s">
        <v>6727</v>
      </c>
    </row>
    <row r="4784" spans="1:1">
      <c r="A4784" s="149" t="s">
        <v>6728</v>
      </c>
    </row>
    <row r="4785" spans="1:1">
      <c r="A4785" s="149" t="s">
        <v>6729</v>
      </c>
    </row>
    <row r="4786" spans="1:1">
      <c r="A4786" s="149" t="s">
        <v>6730</v>
      </c>
    </row>
    <row r="4787" spans="1:1">
      <c r="A4787" s="149" t="s">
        <v>6731</v>
      </c>
    </row>
    <row r="4788" spans="1:1">
      <c r="A4788" s="149" t="s">
        <v>6732</v>
      </c>
    </row>
    <row r="4789" spans="1:1">
      <c r="A4789" s="149" t="s">
        <v>6733</v>
      </c>
    </row>
    <row r="4790" spans="1:1">
      <c r="A4790" s="149" t="s">
        <v>6734</v>
      </c>
    </row>
    <row r="4791" spans="1:1">
      <c r="A4791" s="149" t="s">
        <v>6735</v>
      </c>
    </row>
    <row r="4792" spans="1:1">
      <c r="A4792" s="149" t="s">
        <v>6736</v>
      </c>
    </row>
    <row r="4793" spans="1:1">
      <c r="A4793" s="149" t="s">
        <v>6737</v>
      </c>
    </row>
    <row r="4794" spans="1:1">
      <c r="A4794" s="149" t="s">
        <v>6738</v>
      </c>
    </row>
    <row r="4795" spans="1:1">
      <c r="A4795" s="149" t="s">
        <v>6739</v>
      </c>
    </row>
    <row r="4796" spans="1:1">
      <c r="A4796" s="149" t="s">
        <v>6740</v>
      </c>
    </row>
    <row r="4797" spans="1:1">
      <c r="A4797" s="149" t="s">
        <v>6741</v>
      </c>
    </row>
    <row r="4798" spans="1:1">
      <c r="A4798" s="149" t="s">
        <v>6742</v>
      </c>
    </row>
    <row r="4799" spans="1:1">
      <c r="A4799" s="149" t="s">
        <v>6743</v>
      </c>
    </row>
    <row r="4800" spans="1:1">
      <c r="A4800" s="149" t="s">
        <v>6744</v>
      </c>
    </row>
    <row r="4801" spans="1:1">
      <c r="A4801" s="149" t="s">
        <v>6745</v>
      </c>
    </row>
    <row r="4802" spans="1:1">
      <c r="A4802" s="149" t="s">
        <v>6746</v>
      </c>
    </row>
    <row r="4803" spans="1:1">
      <c r="A4803" s="149" t="s">
        <v>6747</v>
      </c>
    </row>
    <row r="4804" spans="1:1">
      <c r="A4804" s="149" t="s">
        <v>6748</v>
      </c>
    </row>
    <row r="4805" spans="1:1">
      <c r="A4805" s="149" t="s">
        <v>6749</v>
      </c>
    </row>
    <row r="4806" spans="1:1">
      <c r="A4806" s="149" t="s">
        <v>6750</v>
      </c>
    </row>
    <row r="4807" spans="1:1">
      <c r="A4807" s="149" t="s">
        <v>6751</v>
      </c>
    </row>
    <row r="4808" spans="1:1">
      <c r="A4808" s="149" t="s">
        <v>6752</v>
      </c>
    </row>
    <row r="4809" spans="1:1">
      <c r="A4809" s="149" t="s">
        <v>6753</v>
      </c>
    </row>
    <row r="4810" spans="1:1">
      <c r="A4810" s="149" t="s">
        <v>6754</v>
      </c>
    </row>
    <row r="4811" spans="1:1">
      <c r="A4811" s="149" t="s">
        <v>6755</v>
      </c>
    </row>
    <row r="4812" spans="1:1">
      <c r="A4812" s="149" t="s">
        <v>6756</v>
      </c>
    </row>
    <row r="4813" spans="1:1">
      <c r="A4813" s="149" t="s">
        <v>6757</v>
      </c>
    </row>
    <row r="4814" spans="1:1">
      <c r="A4814" s="149" t="s">
        <v>6758</v>
      </c>
    </row>
    <row r="4815" spans="1:1">
      <c r="A4815" s="149" t="s">
        <v>6759</v>
      </c>
    </row>
    <row r="4816" spans="1:1">
      <c r="A4816" s="149" t="s">
        <v>6760</v>
      </c>
    </row>
    <row r="4817" spans="1:1">
      <c r="A4817" s="149" t="s">
        <v>6761</v>
      </c>
    </row>
    <row r="4818" spans="1:1">
      <c r="A4818" s="149" t="s">
        <v>6762</v>
      </c>
    </row>
    <row r="4819" spans="1:1">
      <c r="A4819" s="149" t="s">
        <v>6763</v>
      </c>
    </row>
    <row r="4820" spans="1:1">
      <c r="A4820" s="149" t="s">
        <v>6764</v>
      </c>
    </row>
    <row r="4821" spans="1:1">
      <c r="A4821" s="149" t="s">
        <v>6765</v>
      </c>
    </row>
    <row r="4822" spans="1:1">
      <c r="A4822" s="149" t="s">
        <v>6766</v>
      </c>
    </row>
    <row r="4823" spans="1:1">
      <c r="A4823" s="149" t="s">
        <v>6767</v>
      </c>
    </row>
    <row r="4824" spans="1:1">
      <c r="A4824" s="149" t="s">
        <v>6768</v>
      </c>
    </row>
    <row r="4825" spans="1:1">
      <c r="A4825" s="149" t="s">
        <v>6769</v>
      </c>
    </row>
    <row r="4826" spans="1:1">
      <c r="A4826" s="149" t="s">
        <v>6770</v>
      </c>
    </row>
    <row r="4827" spans="1:1">
      <c r="A4827" s="149" t="s">
        <v>6771</v>
      </c>
    </row>
    <row r="4828" spans="1:1">
      <c r="A4828" s="149" t="s">
        <v>6772</v>
      </c>
    </row>
    <row r="4829" spans="1:1">
      <c r="A4829" s="149" t="s">
        <v>6773</v>
      </c>
    </row>
    <row r="4830" spans="1:1">
      <c r="A4830" s="149" t="s">
        <v>6774</v>
      </c>
    </row>
    <row r="4831" spans="1:1">
      <c r="A4831" s="149" t="s">
        <v>6775</v>
      </c>
    </row>
    <row r="4832" spans="1:1">
      <c r="A4832" s="149" t="s">
        <v>6776</v>
      </c>
    </row>
    <row r="4833" spans="1:1">
      <c r="A4833" s="149" t="s">
        <v>6777</v>
      </c>
    </row>
    <row r="4834" spans="1:1">
      <c r="A4834" s="149" t="s">
        <v>6778</v>
      </c>
    </row>
    <row r="4835" spans="1:1">
      <c r="A4835" s="149" t="s">
        <v>6779</v>
      </c>
    </row>
    <row r="4836" spans="1:1">
      <c r="A4836" s="149" t="s">
        <v>6780</v>
      </c>
    </row>
    <row r="4837" spans="1:1">
      <c r="A4837" s="149" t="s">
        <v>6781</v>
      </c>
    </row>
    <row r="4838" spans="1:1">
      <c r="A4838" s="149" t="s">
        <v>6782</v>
      </c>
    </row>
    <row r="4839" spans="1:1">
      <c r="A4839" s="149" t="s">
        <v>6783</v>
      </c>
    </row>
    <row r="4840" spans="1:1">
      <c r="A4840" s="149" t="s">
        <v>6784</v>
      </c>
    </row>
    <row r="4841" spans="1:1">
      <c r="A4841" s="149" t="s">
        <v>6785</v>
      </c>
    </row>
    <row r="4842" spans="1:1">
      <c r="A4842" s="149" t="s">
        <v>6786</v>
      </c>
    </row>
    <row r="4843" spans="1:1">
      <c r="A4843" s="149" t="s">
        <v>6787</v>
      </c>
    </row>
    <row r="4844" spans="1:1">
      <c r="A4844" s="149" t="s">
        <v>6788</v>
      </c>
    </row>
    <row r="4845" spans="1:1">
      <c r="A4845" s="149" t="s">
        <v>6789</v>
      </c>
    </row>
    <row r="4846" spans="1:1">
      <c r="A4846" s="149" t="s">
        <v>6790</v>
      </c>
    </row>
    <row r="4847" spans="1:1">
      <c r="A4847" s="149" t="s">
        <v>6791</v>
      </c>
    </row>
    <row r="4848" spans="1:1">
      <c r="A4848" s="149" t="s">
        <v>6792</v>
      </c>
    </row>
    <row r="4849" spans="1:1">
      <c r="A4849" s="149" t="s">
        <v>6793</v>
      </c>
    </row>
    <row r="4850" spans="1:1">
      <c r="A4850" s="149" t="s">
        <v>6794</v>
      </c>
    </row>
    <row r="4851" spans="1:1">
      <c r="A4851" s="149" t="s">
        <v>6795</v>
      </c>
    </row>
    <row r="4852" spans="1:1">
      <c r="A4852" s="149" t="s">
        <v>6796</v>
      </c>
    </row>
    <row r="4853" spans="1:1">
      <c r="A4853" s="149" t="s">
        <v>6797</v>
      </c>
    </row>
    <row r="4854" spans="1:1">
      <c r="A4854" s="149" t="s">
        <v>6798</v>
      </c>
    </row>
    <row r="4855" spans="1:1">
      <c r="A4855" s="149" t="s">
        <v>6799</v>
      </c>
    </row>
    <row r="4856" spans="1:1">
      <c r="A4856" s="149" t="s">
        <v>6800</v>
      </c>
    </row>
    <row r="4857" spans="1:1">
      <c r="A4857" s="149" t="s">
        <v>6801</v>
      </c>
    </row>
    <row r="4858" spans="1:1">
      <c r="A4858" s="149" t="s">
        <v>6802</v>
      </c>
    </row>
    <row r="4859" spans="1:1">
      <c r="A4859" s="149" t="s">
        <v>6803</v>
      </c>
    </row>
    <row r="4860" spans="1:1">
      <c r="A4860" s="149" t="s">
        <v>6804</v>
      </c>
    </row>
    <row r="4861" spans="1:1">
      <c r="A4861" s="149" t="s">
        <v>6805</v>
      </c>
    </row>
    <row r="4862" spans="1:1">
      <c r="A4862" s="149" t="s">
        <v>6806</v>
      </c>
    </row>
    <row r="4863" spans="1:1">
      <c r="A4863" s="149" t="s">
        <v>6807</v>
      </c>
    </row>
    <row r="4864" spans="1:1">
      <c r="A4864" s="149" t="s">
        <v>6808</v>
      </c>
    </row>
    <row r="4865" spans="1:1">
      <c r="A4865" s="149" t="s">
        <v>6809</v>
      </c>
    </row>
    <row r="4866" spans="1:1">
      <c r="A4866" s="149" t="s">
        <v>6810</v>
      </c>
    </row>
    <row r="4867" spans="1:1">
      <c r="A4867" s="149" t="s">
        <v>6811</v>
      </c>
    </row>
    <row r="4868" spans="1:1">
      <c r="A4868" s="149" t="s">
        <v>6812</v>
      </c>
    </row>
    <row r="4869" spans="1:1">
      <c r="A4869" s="149" t="s">
        <v>6813</v>
      </c>
    </row>
    <row r="4870" spans="1:1">
      <c r="A4870" s="149" t="s">
        <v>6814</v>
      </c>
    </row>
    <row r="4871" spans="1:1">
      <c r="A4871" s="149" t="s">
        <v>6815</v>
      </c>
    </row>
    <row r="4872" spans="1:1">
      <c r="A4872" s="149" t="s">
        <v>6816</v>
      </c>
    </row>
    <row r="4873" spans="1:1">
      <c r="A4873" s="149" t="s">
        <v>6817</v>
      </c>
    </row>
    <row r="4874" spans="1:1">
      <c r="A4874" s="149" t="s">
        <v>6818</v>
      </c>
    </row>
    <row r="4875" spans="1:1">
      <c r="A4875" s="149" t="s">
        <v>6819</v>
      </c>
    </row>
    <row r="4876" spans="1:1">
      <c r="A4876" s="149" t="s">
        <v>6820</v>
      </c>
    </row>
    <row r="4877" spans="1:1">
      <c r="A4877" s="149" t="s">
        <v>6821</v>
      </c>
    </row>
    <row r="4878" spans="1:1">
      <c r="A4878" s="149" t="s">
        <v>6822</v>
      </c>
    </row>
    <row r="4879" spans="1:1">
      <c r="A4879" s="149" t="s">
        <v>6823</v>
      </c>
    </row>
    <row r="4880" spans="1:1">
      <c r="A4880" s="149" t="s">
        <v>6824</v>
      </c>
    </row>
    <row r="4881" spans="1:1">
      <c r="A4881" s="149" t="s">
        <v>6825</v>
      </c>
    </row>
    <row r="4882" spans="1:1">
      <c r="A4882" s="149" t="s">
        <v>6826</v>
      </c>
    </row>
    <row r="4883" spans="1:1">
      <c r="A4883" s="149" t="s">
        <v>6827</v>
      </c>
    </row>
    <row r="4884" spans="1:1">
      <c r="A4884" s="149" t="s">
        <v>6828</v>
      </c>
    </row>
    <row r="4885" spans="1:1">
      <c r="A4885" s="149" t="s">
        <v>6829</v>
      </c>
    </row>
    <row r="4886" spans="1:1">
      <c r="A4886" s="149" t="s">
        <v>6830</v>
      </c>
    </row>
    <row r="4887" spans="1:1">
      <c r="A4887" s="149" t="s">
        <v>6831</v>
      </c>
    </row>
    <row r="4888" spans="1:1">
      <c r="A4888" s="149" t="s">
        <v>6832</v>
      </c>
    </row>
    <row r="4889" spans="1:1">
      <c r="A4889" s="149" t="s">
        <v>6833</v>
      </c>
    </row>
    <row r="4890" spans="1:1">
      <c r="A4890" s="149" t="s">
        <v>6834</v>
      </c>
    </row>
    <row r="4891" spans="1:1">
      <c r="A4891" s="149" t="s">
        <v>6835</v>
      </c>
    </row>
    <row r="4892" spans="1:1">
      <c r="A4892" s="149" t="s">
        <v>6836</v>
      </c>
    </row>
    <row r="4893" spans="1:1">
      <c r="A4893" s="149" t="s">
        <v>6837</v>
      </c>
    </row>
    <row r="4894" spans="1:1">
      <c r="A4894" s="149" t="s">
        <v>6838</v>
      </c>
    </row>
    <row r="4895" spans="1:1">
      <c r="A4895" s="149" t="s">
        <v>6839</v>
      </c>
    </row>
    <row r="4896" spans="1:1">
      <c r="A4896" s="149" t="s">
        <v>6840</v>
      </c>
    </row>
    <row r="4897" spans="1:1">
      <c r="A4897" s="149" t="s">
        <v>6841</v>
      </c>
    </row>
    <row r="4898" spans="1:1">
      <c r="A4898" s="149" t="s">
        <v>6842</v>
      </c>
    </row>
    <row r="4899" spans="1:1">
      <c r="A4899" s="149" t="s">
        <v>6843</v>
      </c>
    </row>
    <row r="4900" spans="1:1">
      <c r="A4900" s="149" t="s">
        <v>6844</v>
      </c>
    </row>
    <row r="4901" spans="1:1">
      <c r="A4901" s="149" t="s">
        <v>6845</v>
      </c>
    </row>
    <row r="4902" spans="1:1">
      <c r="A4902" s="149" t="s">
        <v>6846</v>
      </c>
    </row>
    <row r="4903" spans="1:1">
      <c r="A4903" s="149" t="s">
        <v>6847</v>
      </c>
    </row>
    <row r="4904" spans="1:1">
      <c r="A4904" s="149" t="s">
        <v>6848</v>
      </c>
    </row>
    <row r="4905" spans="1:1">
      <c r="A4905" s="149" t="s">
        <v>6849</v>
      </c>
    </row>
    <row r="4906" spans="1:1">
      <c r="A4906" s="149" t="s">
        <v>6850</v>
      </c>
    </row>
    <row r="4907" spans="1:1">
      <c r="A4907" s="149" t="s">
        <v>6851</v>
      </c>
    </row>
    <row r="4908" spans="1:1">
      <c r="A4908" s="149" t="s">
        <v>6852</v>
      </c>
    </row>
    <row r="4909" spans="1:1">
      <c r="A4909" s="149" t="s">
        <v>6853</v>
      </c>
    </row>
    <row r="4910" spans="1:1">
      <c r="A4910" s="149" t="s">
        <v>6854</v>
      </c>
    </row>
    <row r="4911" spans="1:1">
      <c r="A4911" s="149" t="s">
        <v>6855</v>
      </c>
    </row>
    <row r="4912" spans="1:1">
      <c r="A4912" s="149" t="s">
        <v>6856</v>
      </c>
    </row>
    <row r="4913" spans="1:1">
      <c r="A4913" s="149" t="s">
        <v>6857</v>
      </c>
    </row>
    <row r="4914" spans="1:1">
      <c r="A4914" s="149" t="s">
        <v>6858</v>
      </c>
    </row>
    <row r="4915" spans="1:1">
      <c r="A4915" s="149" t="s">
        <v>6859</v>
      </c>
    </row>
    <row r="4916" spans="1:1">
      <c r="A4916" s="149" t="s">
        <v>6860</v>
      </c>
    </row>
    <row r="4917" spans="1:1">
      <c r="A4917" s="149" t="s">
        <v>6861</v>
      </c>
    </row>
    <row r="4918" spans="1:1">
      <c r="A4918" s="149" t="s">
        <v>6862</v>
      </c>
    </row>
    <row r="4919" spans="1:1">
      <c r="A4919" s="149" t="s">
        <v>6863</v>
      </c>
    </row>
    <row r="4920" spans="1:1">
      <c r="A4920" s="149" t="s">
        <v>6864</v>
      </c>
    </row>
    <row r="4921" spans="1:1">
      <c r="A4921" s="149" t="s">
        <v>6865</v>
      </c>
    </row>
    <row r="4922" spans="1:1">
      <c r="A4922" s="149" t="s">
        <v>6866</v>
      </c>
    </row>
    <row r="4923" spans="1:1">
      <c r="A4923" s="149" t="s">
        <v>6867</v>
      </c>
    </row>
    <row r="4924" spans="1:1">
      <c r="A4924" s="149" t="s">
        <v>6868</v>
      </c>
    </row>
    <row r="4925" spans="1:1">
      <c r="A4925" s="149" t="s">
        <v>6869</v>
      </c>
    </row>
    <row r="4926" spans="1:1">
      <c r="A4926" s="149" t="s">
        <v>6870</v>
      </c>
    </row>
    <row r="4927" spans="1:1">
      <c r="A4927" s="149" t="s">
        <v>6871</v>
      </c>
    </row>
    <row r="4928" spans="1:1">
      <c r="A4928" s="149" t="s">
        <v>6872</v>
      </c>
    </row>
    <row r="4929" spans="1:1">
      <c r="A4929" s="149" t="s">
        <v>6873</v>
      </c>
    </row>
    <row r="4930" spans="1:1">
      <c r="A4930" s="149" t="s">
        <v>6874</v>
      </c>
    </row>
    <row r="4931" spans="1:1">
      <c r="A4931" s="149" t="s">
        <v>6875</v>
      </c>
    </row>
    <row r="4932" spans="1:1">
      <c r="A4932" s="149" t="s">
        <v>6876</v>
      </c>
    </row>
    <row r="4933" spans="1:1">
      <c r="A4933" s="149" t="s">
        <v>6877</v>
      </c>
    </row>
    <row r="4934" spans="1:1">
      <c r="A4934" s="149" t="s">
        <v>6878</v>
      </c>
    </row>
    <row r="4935" spans="1:1">
      <c r="A4935" s="149" t="s">
        <v>6879</v>
      </c>
    </row>
    <row r="4936" spans="1:1">
      <c r="A4936" s="149" t="s">
        <v>6880</v>
      </c>
    </row>
    <row r="4937" spans="1:1">
      <c r="A4937" s="149" t="s">
        <v>6881</v>
      </c>
    </row>
    <row r="4938" spans="1:1">
      <c r="A4938" s="149" t="s">
        <v>6882</v>
      </c>
    </row>
    <row r="4939" spans="1:1">
      <c r="A4939" s="149" t="s">
        <v>6883</v>
      </c>
    </row>
    <row r="4940" spans="1:1">
      <c r="A4940" s="149" t="s">
        <v>6884</v>
      </c>
    </row>
    <row r="4941" spans="1:1">
      <c r="A4941" s="149" t="s">
        <v>6885</v>
      </c>
    </row>
    <row r="4942" spans="1:1">
      <c r="A4942" s="149" t="s">
        <v>6886</v>
      </c>
    </row>
    <row r="4943" spans="1:1">
      <c r="A4943" s="149" t="s">
        <v>6887</v>
      </c>
    </row>
    <row r="4944" spans="1:1">
      <c r="A4944" s="149" t="s">
        <v>6888</v>
      </c>
    </row>
    <row r="4945" spans="1:1">
      <c r="A4945" s="149" t="s">
        <v>6889</v>
      </c>
    </row>
    <row r="4946" spans="1:1">
      <c r="A4946" s="149" t="s">
        <v>6890</v>
      </c>
    </row>
    <row r="4947" spans="1:1">
      <c r="A4947" s="149" t="s">
        <v>6891</v>
      </c>
    </row>
    <row r="4948" spans="1:1">
      <c r="A4948" s="149" t="s">
        <v>6892</v>
      </c>
    </row>
    <row r="4949" spans="1:1">
      <c r="A4949" s="149" t="s">
        <v>6893</v>
      </c>
    </row>
    <row r="4950" spans="1:1">
      <c r="A4950" s="149" t="s">
        <v>6894</v>
      </c>
    </row>
    <row r="4951" spans="1:1">
      <c r="A4951" s="149" t="s">
        <v>6895</v>
      </c>
    </row>
    <row r="4952" spans="1:1">
      <c r="A4952" s="149" t="s">
        <v>6896</v>
      </c>
    </row>
    <row r="4953" spans="1:1">
      <c r="A4953" s="149" t="s">
        <v>6897</v>
      </c>
    </row>
    <row r="4954" spans="1:1">
      <c r="A4954" s="149" t="s">
        <v>6898</v>
      </c>
    </row>
    <row r="4955" spans="1:1">
      <c r="A4955" s="149" t="s">
        <v>6899</v>
      </c>
    </row>
    <row r="4956" spans="1:1">
      <c r="A4956" s="149" t="s">
        <v>6900</v>
      </c>
    </row>
    <row r="4957" spans="1:1">
      <c r="A4957" s="149" t="s">
        <v>6901</v>
      </c>
    </row>
    <row r="4958" spans="1:1">
      <c r="A4958" s="149" t="s">
        <v>6902</v>
      </c>
    </row>
    <row r="4959" spans="1:1">
      <c r="A4959" s="149" t="s">
        <v>6903</v>
      </c>
    </row>
    <row r="4960" spans="1:1">
      <c r="A4960" s="149" t="s">
        <v>6904</v>
      </c>
    </row>
    <row r="4961" spans="1:1">
      <c r="A4961" s="149" t="s">
        <v>6905</v>
      </c>
    </row>
    <row r="4962" spans="1:1">
      <c r="A4962" s="149" t="s">
        <v>6906</v>
      </c>
    </row>
    <row r="4963" spans="1:1">
      <c r="A4963" s="149" t="s">
        <v>6907</v>
      </c>
    </row>
    <row r="4964" spans="1:1">
      <c r="A4964" s="149" t="s">
        <v>6908</v>
      </c>
    </row>
    <row r="4965" spans="1:1">
      <c r="A4965" s="149" t="s">
        <v>6909</v>
      </c>
    </row>
    <row r="4966" spans="1:1">
      <c r="A4966" s="149" t="s">
        <v>6910</v>
      </c>
    </row>
    <row r="4967" spans="1:1">
      <c r="A4967" s="149" t="s">
        <v>6911</v>
      </c>
    </row>
    <row r="4968" spans="1:1">
      <c r="A4968" s="149" t="s">
        <v>6912</v>
      </c>
    </row>
    <row r="4969" spans="1:1">
      <c r="A4969" s="149" t="s">
        <v>6913</v>
      </c>
    </row>
    <row r="4970" spans="1:1">
      <c r="A4970" s="149" t="s">
        <v>6914</v>
      </c>
    </row>
    <row r="4971" spans="1:1">
      <c r="A4971" s="149" t="s">
        <v>6915</v>
      </c>
    </row>
    <row r="4972" spans="1:1">
      <c r="A4972" s="149" t="s">
        <v>6916</v>
      </c>
    </row>
    <row r="4973" spans="1:1">
      <c r="A4973" s="149" t="s">
        <v>6917</v>
      </c>
    </row>
    <row r="4974" spans="1:1">
      <c r="A4974" s="149" t="s">
        <v>6918</v>
      </c>
    </row>
    <row r="4975" spans="1:1">
      <c r="A4975" s="149" t="s">
        <v>6919</v>
      </c>
    </row>
    <row r="4976" spans="1:1">
      <c r="A4976" s="149" t="s">
        <v>6920</v>
      </c>
    </row>
    <row r="4977" spans="1:1">
      <c r="A4977" s="149" t="s">
        <v>6921</v>
      </c>
    </row>
    <row r="4978" spans="1:1">
      <c r="A4978" s="149" t="s">
        <v>6922</v>
      </c>
    </row>
    <row r="4979" spans="1:1">
      <c r="A4979" s="149" t="s">
        <v>6923</v>
      </c>
    </row>
    <row r="4980" spans="1:1">
      <c r="A4980" s="149" t="s">
        <v>6924</v>
      </c>
    </row>
    <row r="4981" spans="1:1">
      <c r="A4981" s="149" t="s">
        <v>6925</v>
      </c>
    </row>
    <row r="4982" spans="1:1">
      <c r="A4982" s="149" t="s">
        <v>6926</v>
      </c>
    </row>
    <row r="4983" spans="1:1">
      <c r="A4983" s="149" t="s">
        <v>6927</v>
      </c>
    </row>
    <row r="4984" spans="1:1">
      <c r="A4984" s="149" t="s">
        <v>6928</v>
      </c>
    </row>
    <row r="4985" spans="1:1">
      <c r="A4985" s="149" t="s">
        <v>6929</v>
      </c>
    </row>
    <row r="4986" spans="1:1">
      <c r="A4986" s="149" t="s">
        <v>6930</v>
      </c>
    </row>
    <row r="4987" spans="1:1">
      <c r="A4987" s="149" t="s">
        <v>6931</v>
      </c>
    </row>
    <row r="4988" spans="1:1">
      <c r="A4988" s="149" t="s">
        <v>6932</v>
      </c>
    </row>
    <row r="4989" spans="1:1">
      <c r="A4989" s="149" t="s">
        <v>6933</v>
      </c>
    </row>
    <row r="4990" spans="1:1">
      <c r="A4990" s="149" t="s">
        <v>6934</v>
      </c>
    </row>
    <row r="4991" spans="1:1">
      <c r="A4991" s="149" t="s">
        <v>6935</v>
      </c>
    </row>
    <row r="4992" spans="1:1">
      <c r="A4992" s="149" t="s">
        <v>6936</v>
      </c>
    </row>
    <row r="4993" spans="1:1">
      <c r="A4993" s="149" t="s">
        <v>6937</v>
      </c>
    </row>
    <row r="4994" spans="1:1">
      <c r="A4994" s="149" t="s">
        <v>6938</v>
      </c>
    </row>
    <row r="4995" spans="1:1">
      <c r="A4995" s="149" t="s">
        <v>6939</v>
      </c>
    </row>
    <row r="4996" spans="1:1">
      <c r="A4996" s="149" t="s">
        <v>6940</v>
      </c>
    </row>
    <row r="4997" spans="1:1">
      <c r="A4997" s="149" t="s">
        <v>6941</v>
      </c>
    </row>
    <row r="4998" spans="1:1">
      <c r="A4998" s="149" t="s">
        <v>6942</v>
      </c>
    </row>
    <row r="4999" spans="1:1">
      <c r="A4999" s="149" t="s">
        <v>6943</v>
      </c>
    </row>
    <row r="5000" spans="1:1">
      <c r="A5000" s="149" t="s">
        <v>6944</v>
      </c>
    </row>
    <row r="5001" spans="1:1">
      <c r="A5001" s="149" t="s">
        <v>6945</v>
      </c>
    </row>
    <row r="5002" spans="1:1">
      <c r="A5002" s="149" t="s">
        <v>6946</v>
      </c>
    </row>
    <row r="5003" spans="1:1">
      <c r="A5003" s="149" t="s">
        <v>6947</v>
      </c>
    </row>
    <row r="5004" spans="1:1">
      <c r="A5004" s="149" t="s">
        <v>6948</v>
      </c>
    </row>
    <row r="5005" spans="1:1">
      <c r="A5005" s="149" t="s">
        <v>6949</v>
      </c>
    </row>
    <row r="5006" spans="1:1">
      <c r="A5006" s="149" t="s">
        <v>6950</v>
      </c>
    </row>
    <row r="5007" spans="1:1">
      <c r="A5007" s="149" t="s">
        <v>6951</v>
      </c>
    </row>
    <row r="5008" spans="1:1">
      <c r="A5008" s="149" t="s">
        <v>6952</v>
      </c>
    </row>
    <row r="5009" spans="1:1">
      <c r="A5009" s="149" t="s">
        <v>6953</v>
      </c>
    </row>
    <row r="5010" spans="1:1">
      <c r="A5010" s="149" t="s">
        <v>6954</v>
      </c>
    </row>
    <row r="5011" spans="1:1">
      <c r="A5011" s="149" t="s">
        <v>6955</v>
      </c>
    </row>
    <row r="5012" spans="1:1">
      <c r="A5012" s="149" t="s">
        <v>6956</v>
      </c>
    </row>
    <row r="5013" spans="1:1">
      <c r="A5013" s="149" t="s">
        <v>6957</v>
      </c>
    </row>
    <row r="5014" spans="1:1">
      <c r="A5014" s="149" t="s">
        <v>6958</v>
      </c>
    </row>
    <row r="5015" spans="1:1">
      <c r="A5015" s="149" t="s">
        <v>6959</v>
      </c>
    </row>
    <row r="5016" spans="1:1">
      <c r="A5016" s="149" t="s">
        <v>6960</v>
      </c>
    </row>
    <row r="5017" spans="1:1">
      <c r="A5017" s="149" t="s">
        <v>6961</v>
      </c>
    </row>
    <row r="5018" spans="1:1">
      <c r="A5018" s="149" t="s">
        <v>6962</v>
      </c>
    </row>
    <row r="5019" spans="1:1">
      <c r="A5019" s="149" t="s">
        <v>6963</v>
      </c>
    </row>
    <row r="5020" spans="1:1">
      <c r="A5020" s="149" t="s">
        <v>6964</v>
      </c>
    </row>
    <row r="5021" spans="1:1">
      <c r="A5021" s="149" t="s">
        <v>6965</v>
      </c>
    </row>
    <row r="5022" spans="1:1">
      <c r="A5022" s="149" t="s">
        <v>6966</v>
      </c>
    </row>
    <row r="5023" spans="1:1">
      <c r="A5023" s="149" t="s">
        <v>6967</v>
      </c>
    </row>
    <row r="5024" spans="1:1">
      <c r="A5024" s="149" t="s">
        <v>6968</v>
      </c>
    </row>
    <row r="5025" spans="1:1">
      <c r="A5025" s="149" t="s">
        <v>6969</v>
      </c>
    </row>
    <row r="5026" spans="1:1">
      <c r="A5026" s="149" t="s">
        <v>6970</v>
      </c>
    </row>
    <row r="5027" spans="1:1">
      <c r="A5027" s="149" t="s">
        <v>6971</v>
      </c>
    </row>
    <row r="5028" spans="1:1">
      <c r="A5028" s="149" t="s">
        <v>6972</v>
      </c>
    </row>
    <row r="5029" spans="1:1">
      <c r="A5029" s="149" t="s">
        <v>6973</v>
      </c>
    </row>
    <row r="5030" spans="1:1">
      <c r="A5030" s="149" t="s">
        <v>6974</v>
      </c>
    </row>
    <row r="5031" spans="1:1">
      <c r="A5031" s="149" t="s">
        <v>6975</v>
      </c>
    </row>
    <row r="5032" spans="1:1">
      <c r="A5032" s="149" t="s">
        <v>6976</v>
      </c>
    </row>
    <row r="5033" spans="1:1">
      <c r="A5033" s="149" t="s">
        <v>6977</v>
      </c>
    </row>
    <row r="5034" spans="1:1">
      <c r="A5034" s="149" t="s">
        <v>6978</v>
      </c>
    </row>
    <row r="5035" spans="1:1">
      <c r="A5035" s="149" t="s">
        <v>6979</v>
      </c>
    </row>
    <row r="5036" spans="1:1">
      <c r="A5036" s="149" t="s">
        <v>6980</v>
      </c>
    </row>
    <row r="5037" spans="1:1">
      <c r="A5037" s="149" t="s">
        <v>6981</v>
      </c>
    </row>
    <row r="5038" spans="1:1">
      <c r="A5038" s="149" t="s">
        <v>6982</v>
      </c>
    </row>
    <row r="5039" spans="1:1">
      <c r="A5039" s="149" t="s">
        <v>6983</v>
      </c>
    </row>
    <row r="5040" spans="1:1">
      <c r="A5040" s="149" t="s">
        <v>6984</v>
      </c>
    </row>
    <row r="5041" spans="1:1">
      <c r="A5041" s="149" t="s">
        <v>6985</v>
      </c>
    </row>
    <row r="5042" spans="1:1">
      <c r="A5042" s="149" t="s">
        <v>6986</v>
      </c>
    </row>
    <row r="5043" spans="1:1">
      <c r="A5043" s="149" t="s">
        <v>6987</v>
      </c>
    </row>
    <row r="5044" spans="1:1">
      <c r="A5044" s="149" t="s">
        <v>6988</v>
      </c>
    </row>
    <row r="5045" spans="1:1">
      <c r="A5045" s="149" t="s">
        <v>6989</v>
      </c>
    </row>
    <row r="5046" spans="1:1">
      <c r="A5046" s="149" t="s">
        <v>6990</v>
      </c>
    </row>
    <row r="5047" spans="1:1">
      <c r="A5047" s="149" t="s">
        <v>6991</v>
      </c>
    </row>
    <row r="5048" spans="1:1">
      <c r="A5048" s="149" t="s">
        <v>6992</v>
      </c>
    </row>
    <row r="5049" spans="1:1">
      <c r="A5049" s="149" t="s">
        <v>6993</v>
      </c>
    </row>
    <row r="5050" spans="1:1">
      <c r="A5050" s="149" t="s">
        <v>6994</v>
      </c>
    </row>
    <row r="5051" spans="1:1">
      <c r="A5051" s="149" t="s">
        <v>6995</v>
      </c>
    </row>
    <row r="5052" spans="1:1">
      <c r="A5052" s="149" t="s">
        <v>6996</v>
      </c>
    </row>
    <row r="5053" spans="1:1">
      <c r="A5053" s="149" t="s">
        <v>6997</v>
      </c>
    </row>
    <row r="5054" spans="1:1">
      <c r="A5054" s="149" t="s">
        <v>6998</v>
      </c>
    </row>
    <row r="5055" spans="1:1">
      <c r="A5055" s="149" t="s">
        <v>6999</v>
      </c>
    </row>
    <row r="5056" spans="1:1">
      <c r="A5056" s="149" t="s">
        <v>7000</v>
      </c>
    </row>
    <row r="5057" spans="1:1">
      <c r="A5057" s="149" t="s">
        <v>7001</v>
      </c>
    </row>
    <row r="5058" spans="1:1">
      <c r="A5058" s="149" t="s">
        <v>7002</v>
      </c>
    </row>
    <row r="5059" spans="1:1">
      <c r="A5059" s="149" t="s">
        <v>7003</v>
      </c>
    </row>
    <row r="5060" spans="1:1">
      <c r="A5060" s="149" t="s">
        <v>7004</v>
      </c>
    </row>
    <row r="5061" spans="1:1">
      <c r="A5061" s="149" t="s">
        <v>7005</v>
      </c>
    </row>
    <row r="5062" spans="1:1">
      <c r="A5062" s="149" t="s">
        <v>7006</v>
      </c>
    </row>
    <row r="5063" spans="1:1">
      <c r="A5063" s="149" t="s">
        <v>7007</v>
      </c>
    </row>
    <row r="5064" spans="1:1">
      <c r="A5064" s="149" t="s">
        <v>7008</v>
      </c>
    </row>
    <row r="5065" spans="1:1">
      <c r="A5065" s="149" t="s">
        <v>7009</v>
      </c>
    </row>
    <row r="5066" spans="1:1">
      <c r="A5066" s="149" t="s">
        <v>7010</v>
      </c>
    </row>
    <row r="5067" spans="1:1">
      <c r="A5067" s="149" t="s">
        <v>7011</v>
      </c>
    </row>
    <row r="5068" spans="1:1">
      <c r="A5068" s="149" t="s">
        <v>7012</v>
      </c>
    </row>
    <row r="5069" spans="1:1">
      <c r="A5069" s="149" t="s">
        <v>7013</v>
      </c>
    </row>
    <row r="5070" spans="1:1">
      <c r="A5070" s="149" t="s">
        <v>7014</v>
      </c>
    </row>
    <row r="5071" spans="1:1">
      <c r="A5071" s="149" t="s">
        <v>7015</v>
      </c>
    </row>
    <row r="5072" spans="1:1">
      <c r="A5072" s="149" t="s">
        <v>7016</v>
      </c>
    </row>
    <row r="5073" spans="1:1">
      <c r="A5073" s="149" t="s">
        <v>7017</v>
      </c>
    </row>
    <row r="5074" spans="1:1">
      <c r="A5074" s="149" t="s">
        <v>7018</v>
      </c>
    </row>
    <row r="5075" spans="1:1">
      <c r="A5075" s="149" t="s">
        <v>7019</v>
      </c>
    </row>
    <row r="5076" spans="1:1">
      <c r="A5076" s="149" t="s">
        <v>7020</v>
      </c>
    </row>
    <row r="5077" spans="1:1">
      <c r="A5077" s="149" t="s">
        <v>7021</v>
      </c>
    </row>
    <row r="5078" spans="1:1">
      <c r="A5078" s="149" t="s">
        <v>7022</v>
      </c>
    </row>
    <row r="5079" spans="1:1">
      <c r="A5079" s="149" t="s">
        <v>7023</v>
      </c>
    </row>
    <row r="5080" spans="1:1">
      <c r="A5080" s="149" t="s">
        <v>7024</v>
      </c>
    </row>
    <row r="5081" spans="1:1">
      <c r="A5081" s="149" t="s">
        <v>7025</v>
      </c>
    </row>
    <row r="5082" spans="1:1">
      <c r="A5082" s="149" t="s">
        <v>7026</v>
      </c>
    </row>
    <row r="5083" spans="1:1">
      <c r="A5083" s="149" t="s">
        <v>7027</v>
      </c>
    </row>
    <row r="5084" spans="1:1">
      <c r="A5084" s="149" t="s">
        <v>7028</v>
      </c>
    </row>
    <row r="5085" spans="1:1">
      <c r="A5085" s="149" t="s">
        <v>7029</v>
      </c>
    </row>
    <row r="5086" spans="1:1">
      <c r="A5086" s="149" t="s">
        <v>7030</v>
      </c>
    </row>
    <row r="5087" spans="1:1">
      <c r="A5087" s="149" t="s">
        <v>7031</v>
      </c>
    </row>
    <row r="5088" spans="1:1">
      <c r="A5088" s="149" t="s">
        <v>7032</v>
      </c>
    </row>
    <row r="5089" spans="1:1">
      <c r="A5089" s="149" t="s">
        <v>7033</v>
      </c>
    </row>
    <row r="5090" spans="1:1">
      <c r="A5090" s="149" t="s">
        <v>7034</v>
      </c>
    </row>
    <row r="5091" spans="1:1">
      <c r="A5091" s="149" t="s">
        <v>7035</v>
      </c>
    </row>
    <row r="5092" spans="1:1">
      <c r="A5092" s="149" t="s">
        <v>7036</v>
      </c>
    </row>
    <row r="5093" spans="1:1">
      <c r="A5093" s="149" t="s">
        <v>7037</v>
      </c>
    </row>
    <row r="5094" spans="1:1">
      <c r="A5094" s="149" t="s">
        <v>7038</v>
      </c>
    </row>
    <row r="5095" spans="1:1">
      <c r="A5095" s="149" t="s">
        <v>7039</v>
      </c>
    </row>
    <row r="5096" spans="1:1">
      <c r="A5096" s="149" t="s">
        <v>7040</v>
      </c>
    </row>
    <row r="5097" spans="1:1">
      <c r="A5097" s="149" t="s">
        <v>7041</v>
      </c>
    </row>
    <row r="5098" spans="1:1">
      <c r="A5098" s="149" t="s">
        <v>7042</v>
      </c>
    </row>
    <row r="5099" spans="1:1">
      <c r="A5099" s="149" t="s">
        <v>7043</v>
      </c>
    </row>
    <row r="5100" spans="1:1">
      <c r="A5100" s="149" t="s">
        <v>7044</v>
      </c>
    </row>
    <row r="5101" spans="1:1">
      <c r="A5101" s="149" t="s">
        <v>7045</v>
      </c>
    </row>
    <row r="5102" spans="1:1">
      <c r="A5102" s="149" t="s">
        <v>7046</v>
      </c>
    </row>
    <row r="5103" spans="1:1">
      <c r="A5103" s="149" t="s">
        <v>7047</v>
      </c>
    </row>
    <row r="5104" spans="1:1">
      <c r="A5104" s="149" t="s">
        <v>7048</v>
      </c>
    </row>
    <row r="5105" spans="1:1">
      <c r="A5105" s="149" t="s">
        <v>7049</v>
      </c>
    </row>
    <row r="5106" spans="1:1">
      <c r="A5106" s="149" t="s">
        <v>7050</v>
      </c>
    </row>
    <row r="5107" spans="1:1">
      <c r="A5107" s="149" t="s">
        <v>7051</v>
      </c>
    </row>
    <row r="5108" spans="1:1">
      <c r="A5108" s="149" t="s">
        <v>7052</v>
      </c>
    </row>
    <row r="5109" spans="1:1">
      <c r="A5109" s="149" t="s">
        <v>7053</v>
      </c>
    </row>
    <row r="5110" spans="1:1">
      <c r="A5110" s="149" t="s">
        <v>7054</v>
      </c>
    </row>
    <row r="5111" spans="1:1">
      <c r="A5111" s="149" t="s">
        <v>7055</v>
      </c>
    </row>
    <row r="5112" spans="1:1">
      <c r="A5112" s="149" t="s">
        <v>7056</v>
      </c>
    </row>
    <row r="5113" spans="1:1">
      <c r="A5113" s="149" t="s">
        <v>7057</v>
      </c>
    </row>
    <row r="5114" spans="1:1">
      <c r="A5114" s="149" t="s">
        <v>7058</v>
      </c>
    </row>
    <row r="5115" spans="1:1">
      <c r="A5115" s="149" t="s">
        <v>7059</v>
      </c>
    </row>
    <row r="5116" spans="1:1">
      <c r="A5116" s="149" t="s">
        <v>7060</v>
      </c>
    </row>
    <row r="5117" spans="1:1">
      <c r="A5117" s="149" t="s">
        <v>7061</v>
      </c>
    </row>
    <row r="5118" spans="1:1">
      <c r="A5118" s="149" t="s">
        <v>7062</v>
      </c>
    </row>
    <row r="5119" spans="1:1">
      <c r="A5119" s="149" t="s">
        <v>7063</v>
      </c>
    </row>
    <row r="5120" spans="1:1">
      <c r="A5120" s="149" t="s">
        <v>7064</v>
      </c>
    </row>
    <row r="5121" spans="1:1">
      <c r="A5121" s="149" t="s">
        <v>7065</v>
      </c>
    </row>
    <row r="5122" spans="1:1">
      <c r="A5122" s="149" t="s">
        <v>7066</v>
      </c>
    </row>
    <row r="5123" spans="1:1">
      <c r="A5123" s="149" t="s">
        <v>7067</v>
      </c>
    </row>
    <row r="5124" spans="1:1">
      <c r="A5124" s="149" t="s">
        <v>7068</v>
      </c>
    </row>
    <row r="5125" spans="1:1">
      <c r="A5125" s="149" t="s">
        <v>7069</v>
      </c>
    </row>
    <row r="5126" spans="1:1">
      <c r="A5126" s="149" t="s">
        <v>7070</v>
      </c>
    </row>
    <row r="5127" spans="1:1">
      <c r="A5127" s="149" t="s">
        <v>7071</v>
      </c>
    </row>
    <row r="5128" spans="1:1">
      <c r="A5128" s="149" t="s">
        <v>7072</v>
      </c>
    </row>
    <row r="5129" spans="1:1">
      <c r="A5129" s="149" t="s">
        <v>7073</v>
      </c>
    </row>
    <row r="5130" spans="1:1">
      <c r="A5130" s="149" t="s">
        <v>7074</v>
      </c>
    </row>
    <row r="5131" spans="1:1">
      <c r="A5131" s="149" t="s">
        <v>7075</v>
      </c>
    </row>
    <row r="5132" spans="1:1">
      <c r="A5132" s="149" t="s">
        <v>7076</v>
      </c>
    </row>
    <row r="5133" spans="1:1">
      <c r="A5133" s="149" t="s">
        <v>7077</v>
      </c>
    </row>
    <row r="5134" spans="1:1">
      <c r="A5134" s="149" t="s">
        <v>7078</v>
      </c>
    </row>
    <row r="5135" spans="1:1">
      <c r="A5135" s="149" t="s">
        <v>7079</v>
      </c>
    </row>
    <row r="5136" spans="1:1">
      <c r="A5136" s="149" t="s">
        <v>7080</v>
      </c>
    </row>
    <row r="5137" spans="1:1">
      <c r="A5137" s="149" t="s">
        <v>7081</v>
      </c>
    </row>
    <row r="5138" spans="1:1">
      <c r="A5138" s="149" t="s">
        <v>7082</v>
      </c>
    </row>
    <row r="5139" spans="1:1">
      <c r="A5139" s="149" t="s">
        <v>7083</v>
      </c>
    </row>
    <row r="5140" spans="1:1">
      <c r="A5140" s="149" t="s">
        <v>7084</v>
      </c>
    </row>
    <row r="5141" spans="1:1">
      <c r="A5141" s="149" t="s">
        <v>7085</v>
      </c>
    </row>
    <row r="5142" spans="1:1">
      <c r="A5142" s="149" t="s">
        <v>7086</v>
      </c>
    </row>
    <row r="5143" spans="1:1">
      <c r="A5143" s="149" t="s">
        <v>7087</v>
      </c>
    </row>
    <row r="5144" spans="1:1">
      <c r="A5144" s="149" t="s">
        <v>7088</v>
      </c>
    </row>
    <row r="5145" spans="1:1">
      <c r="A5145" s="149" t="s">
        <v>7089</v>
      </c>
    </row>
    <row r="5146" spans="1:1">
      <c r="A5146" s="149" t="s">
        <v>7090</v>
      </c>
    </row>
    <row r="5147" spans="1:1">
      <c r="A5147" s="149" t="s">
        <v>7091</v>
      </c>
    </row>
    <row r="5148" spans="1:1">
      <c r="A5148" s="149" t="s">
        <v>7092</v>
      </c>
    </row>
    <row r="5149" spans="1:1">
      <c r="A5149" s="149" t="s">
        <v>7093</v>
      </c>
    </row>
    <row r="5150" spans="1:1">
      <c r="A5150" s="149" t="s">
        <v>7094</v>
      </c>
    </row>
    <row r="5151" spans="1:1">
      <c r="A5151" s="149" t="s">
        <v>7095</v>
      </c>
    </row>
    <row r="5152" spans="1:1">
      <c r="A5152" s="149" t="s">
        <v>7096</v>
      </c>
    </row>
    <row r="5153" spans="1:1">
      <c r="A5153" s="149" t="s">
        <v>7097</v>
      </c>
    </row>
    <row r="5154" spans="1:1">
      <c r="A5154" s="149" t="s">
        <v>7098</v>
      </c>
    </row>
    <row r="5155" spans="1:1">
      <c r="A5155" s="149" t="s">
        <v>7099</v>
      </c>
    </row>
    <row r="5156" spans="1:1">
      <c r="A5156" s="149" t="s">
        <v>7100</v>
      </c>
    </row>
    <row r="5157" spans="1:1">
      <c r="A5157" s="149" t="s">
        <v>7101</v>
      </c>
    </row>
    <row r="5158" spans="1:1">
      <c r="A5158" s="149" t="s">
        <v>7102</v>
      </c>
    </row>
    <row r="5159" spans="1:1">
      <c r="A5159" s="149" t="s">
        <v>7103</v>
      </c>
    </row>
    <row r="5160" spans="1:1">
      <c r="A5160" s="149" t="s">
        <v>7104</v>
      </c>
    </row>
    <row r="5161" spans="1:1">
      <c r="A5161" s="149" t="s">
        <v>7105</v>
      </c>
    </row>
    <row r="5162" spans="1:1">
      <c r="A5162" s="149" t="s">
        <v>7106</v>
      </c>
    </row>
    <row r="5163" spans="1:1">
      <c r="A5163" s="149" t="s">
        <v>7107</v>
      </c>
    </row>
    <row r="5164" spans="1:1">
      <c r="A5164" s="149" t="s">
        <v>7108</v>
      </c>
    </row>
    <row r="5165" spans="1:1">
      <c r="A5165" s="149" t="s">
        <v>7109</v>
      </c>
    </row>
    <row r="5166" spans="1:1">
      <c r="A5166" s="149" t="s">
        <v>7110</v>
      </c>
    </row>
    <row r="5167" spans="1:1">
      <c r="A5167" s="149" t="s">
        <v>7111</v>
      </c>
    </row>
    <row r="5168" spans="1:1">
      <c r="A5168" s="149" t="s">
        <v>7112</v>
      </c>
    </row>
    <row r="5169" spans="1:1">
      <c r="A5169" s="149" t="s">
        <v>7113</v>
      </c>
    </row>
    <row r="5170" spans="1:1">
      <c r="A5170" s="149" t="s">
        <v>7114</v>
      </c>
    </row>
    <row r="5171" spans="1:1">
      <c r="A5171" s="149" t="s">
        <v>7115</v>
      </c>
    </row>
    <row r="5172" spans="1:1">
      <c r="A5172" s="149" t="s">
        <v>7116</v>
      </c>
    </row>
    <row r="5173" spans="1:1">
      <c r="A5173" s="149" t="s">
        <v>7117</v>
      </c>
    </row>
    <row r="5174" spans="1:1">
      <c r="A5174" s="149" t="s">
        <v>7118</v>
      </c>
    </row>
    <row r="5175" spans="1:1">
      <c r="A5175" s="149" t="s">
        <v>7119</v>
      </c>
    </row>
    <row r="5176" spans="1:1">
      <c r="A5176" s="149" t="s">
        <v>7120</v>
      </c>
    </row>
    <row r="5177" spans="1:1">
      <c r="A5177" s="149" t="s">
        <v>7121</v>
      </c>
    </row>
    <row r="5178" spans="1:1">
      <c r="A5178" s="149" t="s">
        <v>7122</v>
      </c>
    </row>
    <row r="5179" spans="1:1">
      <c r="A5179" s="149" t="s">
        <v>7123</v>
      </c>
    </row>
    <row r="5180" spans="1:1">
      <c r="A5180" s="149" t="s">
        <v>7124</v>
      </c>
    </row>
    <row r="5181" spans="1:1">
      <c r="A5181" s="149" t="s">
        <v>7125</v>
      </c>
    </row>
    <row r="5182" spans="1:1">
      <c r="A5182" s="149" t="s">
        <v>7126</v>
      </c>
    </row>
    <row r="5183" spans="1:1">
      <c r="A5183" s="149" t="s">
        <v>7127</v>
      </c>
    </row>
    <row r="5184" spans="1:1">
      <c r="A5184" s="149" t="s">
        <v>7128</v>
      </c>
    </row>
    <row r="5185" spans="1:1">
      <c r="A5185" s="149" t="s">
        <v>7129</v>
      </c>
    </row>
    <row r="5186" spans="1:1">
      <c r="A5186" s="149" t="s">
        <v>7130</v>
      </c>
    </row>
    <row r="5187" spans="1:1">
      <c r="A5187" s="149" t="s">
        <v>7131</v>
      </c>
    </row>
    <row r="5188" spans="1:1">
      <c r="A5188" s="149" t="s">
        <v>7132</v>
      </c>
    </row>
    <row r="5189" spans="1:1">
      <c r="A5189" s="149" t="s">
        <v>7133</v>
      </c>
    </row>
    <row r="5190" spans="1:1">
      <c r="A5190" s="149" t="s">
        <v>7134</v>
      </c>
    </row>
    <row r="5191" spans="1:1">
      <c r="A5191" s="149" t="s">
        <v>7135</v>
      </c>
    </row>
    <row r="5192" spans="1:1">
      <c r="A5192" s="149" t="s">
        <v>7136</v>
      </c>
    </row>
    <row r="5193" spans="1:1">
      <c r="A5193" s="149" t="s">
        <v>7137</v>
      </c>
    </row>
    <row r="5194" spans="1:1">
      <c r="A5194" s="149" t="s">
        <v>7138</v>
      </c>
    </row>
    <row r="5195" spans="1:1">
      <c r="A5195" s="149" t="s">
        <v>7139</v>
      </c>
    </row>
    <row r="5196" spans="1:1">
      <c r="A5196" s="149" t="s">
        <v>7140</v>
      </c>
    </row>
    <row r="5197" spans="1:1">
      <c r="A5197" s="149" t="s">
        <v>7141</v>
      </c>
    </row>
    <row r="5198" spans="1:1">
      <c r="A5198" s="149" t="s">
        <v>7142</v>
      </c>
    </row>
    <row r="5199" spans="1:1">
      <c r="A5199" s="149" t="s">
        <v>7143</v>
      </c>
    </row>
    <row r="5200" spans="1:1">
      <c r="A5200" s="149" t="s">
        <v>7144</v>
      </c>
    </row>
    <row r="5201" spans="1:1">
      <c r="A5201" s="149" t="s">
        <v>7145</v>
      </c>
    </row>
    <row r="5202" spans="1:1">
      <c r="A5202" s="149" t="s">
        <v>7146</v>
      </c>
    </row>
    <row r="5203" spans="1:1">
      <c r="A5203" s="149" t="s">
        <v>7147</v>
      </c>
    </row>
    <row r="5204" spans="1:1">
      <c r="A5204" s="149" t="s">
        <v>7148</v>
      </c>
    </row>
    <row r="5205" spans="1:1">
      <c r="A5205" s="149" t="s">
        <v>7149</v>
      </c>
    </row>
    <row r="5206" spans="1:1">
      <c r="A5206" s="149" t="s">
        <v>7150</v>
      </c>
    </row>
    <row r="5207" spans="1:1">
      <c r="A5207" s="149" t="s">
        <v>7151</v>
      </c>
    </row>
    <row r="5208" spans="1:1">
      <c r="A5208" s="149" t="s">
        <v>7152</v>
      </c>
    </row>
    <row r="5209" spans="1:1">
      <c r="A5209" s="149" t="s">
        <v>7153</v>
      </c>
    </row>
    <row r="5210" spans="1:1">
      <c r="A5210" s="149" t="s">
        <v>7154</v>
      </c>
    </row>
    <row r="5211" spans="1:1">
      <c r="A5211" s="149" t="s">
        <v>7155</v>
      </c>
    </row>
    <row r="5212" spans="1:1">
      <c r="A5212" s="149" t="s">
        <v>7156</v>
      </c>
    </row>
    <row r="5213" spans="1:1">
      <c r="A5213" s="149" t="s">
        <v>7157</v>
      </c>
    </row>
    <row r="5214" spans="1:1">
      <c r="A5214" s="149" t="s">
        <v>7158</v>
      </c>
    </row>
    <row r="5215" spans="1:1">
      <c r="A5215" s="149" t="s">
        <v>7159</v>
      </c>
    </row>
    <row r="5216" spans="1:1">
      <c r="A5216" s="149" t="s">
        <v>7160</v>
      </c>
    </row>
    <row r="5217" spans="1:1">
      <c r="A5217" s="149" t="s">
        <v>7161</v>
      </c>
    </row>
    <row r="5218" spans="1:1">
      <c r="A5218" s="149" t="s">
        <v>7162</v>
      </c>
    </row>
    <row r="5219" spans="1:1">
      <c r="A5219" s="149" t="s">
        <v>7163</v>
      </c>
    </row>
    <row r="5220" spans="1:1">
      <c r="A5220" s="149" t="s">
        <v>7164</v>
      </c>
    </row>
    <row r="5221" spans="1:1">
      <c r="A5221" s="149" t="s">
        <v>7165</v>
      </c>
    </row>
    <row r="5222" spans="1:1">
      <c r="A5222" s="149" t="s">
        <v>7166</v>
      </c>
    </row>
    <row r="5223" spans="1:1">
      <c r="A5223" s="149" t="s">
        <v>7167</v>
      </c>
    </row>
    <row r="5224" spans="1:1">
      <c r="A5224" s="149" t="s">
        <v>7168</v>
      </c>
    </row>
    <row r="5225" spans="1:1">
      <c r="A5225" s="149" t="s">
        <v>7169</v>
      </c>
    </row>
    <row r="5226" spans="1:1">
      <c r="A5226" s="149" t="s">
        <v>7170</v>
      </c>
    </row>
    <row r="5227" spans="1:1">
      <c r="A5227" s="149" t="s">
        <v>7171</v>
      </c>
    </row>
    <row r="5228" spans="1:1">
      <c r="A5228" s="149" t="s">
        <v>7172</v>
      </c>
    </row>
    <row r="5229" spans="1:1">
      <c r="A5229" s="149" t="s">
        <v>7173</v>
      </c>
    </row>
    <row r="5230" spans="1:1">
      <c r="A5230" s="149" t="s">
        <v>7174</v>
      </c>
    </row>
    <row r="5231" spans="1:1">
      <c r="A5231" s="149" t="s">
        <v>7175</v>
      </c>
    </row>
    <row r="5232" spans="1:1">
      <c r="A5232" s="149" t="s">
        <v>7176</v>
      </c>
    </row>
    <row r="5233" spans="1:1">
      <c r="A5233" s="149" t="s">
        <v>7177</v>
      </c>
    </row>
    <row r="5234" spans="1:1">
      <c r="A5234" s="149" t="s">
        <v>7178</v>
      </c>
    </row>
    <row r="5235" spans="1:1">
      <c r="A5235" s="149" t="s">
        <v>7179</v>
      </c>
    </row>
    <row r="5236" spans="1:1">
      <c r="A5236" s="149" t="s">
        <v>7180</v>
      </c>
    </row>
    <row r="5237" spans="1:1">
      <c r="A5237" s="149" t="s">
        <v>7181</v>
      </c>
    </row>
    <row r="5238" spans="1:1">
      <c r="A5238" s="149" t="s">
        <v>7182</v>
      </c>
    </row>
    <row r="5239" spans="1:1">
      <c r="A5239" s="149" t="s">
        <v>7183</v>
      </c>
    </row>
    <row r="5240" spans="1:1">
      <c r="A5240" s="149" t="s">
        <v>7184</v>
      </c>
    </row>
    <row r="5241" spans="1:1">
      <c r="A5241" s="149" t="s">
        <v>7185</v>
      </c>
    </row>
    <row r="5242" spans="1:1">
      <c r="A5242" s="149" t="s">
        <v>7186</v>
      </c>
    </row>
    <row r="5243" spans="1:1">
      <c r="A5243" s="149" t="s">
        <v>7187</v>
      </c>
    </row>
    <row r="5244" spans="1:1">
      <c r="A5244" s="149" t="s">
        <v>7188</v>
      </c>
    </row>
    <row r="5245" spans="1:1">
      <c r="A5245" s="149" t="s">
        <v>7189</v>
      </c>
    </row>
    <row r="5246" spans="1:1">
      <c r="A5246" s="149" t="s">
        <v>7190</v>
      </c>
    </row>
    <row r="5247" spans="1:1">
      <c r="A5247" s="149" t="s">
        <v>7191</v>
      </c>
    </row>
    <row r="5248" spans="1:1">
      <c r="A5248" s="149" t="s">
        <v>7192</v>
      </c>
    </row>
    <row r="5249" spans="1:1">
      <c r="A5249" s="149" t="s">
        <v>7193</v>
      </c>
    </row>
    <row r="5250" spans="1:1">
      <c r="A5250" s="149" t="s">
        <v>7194</v>
      </c>
    </row>
    <row r="5251" spans="1:1">
      <c r="A5251" s="149" t="s">
        <v>7195</v>
      </c>
    </row>
    <row r="5252" spans="1:1">
      <c r="A5252" s="149" t="s">
        <v>7196</v>
      </c>
    </row>
    <row r="5253" spans="1:1">
      <c r="A5253" s="149" t="s">
        <v>7197</v>
      </c>
    </row>
    <row r="5254" spans="1:1">
      <c r="A5254" s="149" t="s">
        <v>7198</v>
      </c>
    </row>
    <row r="5255" spans="1:1">
      <c r="A5255" s="149" t="s">
        <v>7199</v>
      </c>
    </row>
    <row r="5256" spans="1:1">
      <c r="A5256" s="149" t="s">
        <v>7200</v>
      </c>
    </row>
    <row r="5257" spans="1:1">
      <c r="A5257" s="149" t="s">
        <v>7201</v>
      </c>
    </row>
    <row r="5258" spans="1:1">
      <c r="A5258" s="149" t="s">
        <v>7202</v>
      </c>
    </row>
    <row r="5259" spans="1:1">
      <c r="A5259" s="149" t="s">
        <v>7203</v>
      </c>
    </row>
    <row r="5260" spans="1:1">
      <c r="A5260" s="149" t="s">
        <v>7204</v>
      </c>
    </row>
    <row r="5261" spans="1:1">
      <c r="A5261" s="149" t="s">
        <v>7205</v>
      </c>
    </row>
    <row r="5262" spans="1:1">
      <c r="A5262" s="149" t="s">
        <v>7206</v>
      </c>
    </row>
    <row r="5263" spans="1:1">
      <c r="A5263" s="149" t="s">
        <v>7207</v>
      </c>
    </row>
    <row r="5264" spans="1:1">
      <c r="A5264" s="149" t="s">
        <v>7208</v>
      </c>
    </row>
    <row r="5265" spans="1:1">
      <c r="A5265" s="149" t="s">
        <v>7209</v>
      </c>
    </row>
    <row r="5266" spans="1:1">
      <c r="A5266" s="149" t="s">
        <v>7210</v>
      </c>
    </row>
    <row r="5267" spans="1:1">
      <c r="A5267" s="149" t="s">
        <v>7211</v>
      </c>
    </row>
    <row r="5268" spans="1:1">
      <c r="A5268" s="149" t="s">
        <v>7212</v>
      </c>
    </row>
    <row r="5269" spans="1:1">
      <c r="A5269" s="149" t="s">
        <v>7213</v>
      </c>
    </row>
    <row r="5270" spans="1:1">
      <c r="A5270" s="149" t="s">
        <v>7214</v>
      </c>
    </row>
    <row r="5271" spans="1:1">
      <c r="A5271" s="149" t="s">
        <v>7215</v>
      </c>
    </row>
    <row r="5272" spans="1:1">
      <c r="A5272" s="149" t="s">
        <v>7216</v>
      </c>
    </row>
    <row r="5273" spans="1:1">
      <c r="A5273" s="149" t="s">
        <v>7217</v>
      </c>
    </row>
    <row r="5274" spans="1:1">
      <c r="A5274" s="149" t="s">
        <v>7218</v>
      </c>
    </row>
    <row r="5275" spans="1:1">
      <c r="A5275" s="149" t="s">
        <v>7219</v>
      </c>
    </row>
    <row r="5276" spans="1:1">
      <c r="A5276" s="149" t="s">
        <v>7220</v>
      </c>
    </row>
    <row r="5277" spans="1:1">
      <c r="A5277" s="149" t="s">
        <v>7221</v>
      </c>
    </row>
    <row r="5278" spans="1:1">
      <c r="A5278" s="149" t="s">
        <v>7222</v>
      </c>
    </row>
    <row r="5279" spans="1:1">
      <c r="A5279" s="149" t="s">
        <v>7223</v>
      </c>
    </row>
    <row r="5280" spans="1:1">
      <c r="A5280" s="149" t="s">
        <v>7224</v>
      </c>
    </row>
    <row r="5281" spans="1:1">
      <c r="A5281" s="149" t="s">
        <v>7225</v>
      </c>
    </row>
    <row r="5282" spans="1:1">
      <c r="A5282" s="149" t="s">
        <v>7226</v>
      </c>
    </row>
    <row r="5283" spans="1:1">
      <c r="A5283" s="149" t="s">
        <v>7227</v>
      </c>
    </row>
    <row r="5284" spans="1:1">
      <c r="A5284" s="149" t="s">
        <v>7228</v>
      </c>
    </row>
    <row r="5285" spans="1:1">
      <c r="A5285" s="149" t="s">
        <v>7229</v>
      </c>
    </row>
    <row r="5286" spans="1:1">
      <c r="A5286" s="149" t="s">
        <v>7230</v>
      </c>
    </row>
    <row r="5287" spans="1:1">
      <c r="A5287" s="149" t="s">
        <v>7231</v>
      </c>
    </row>
    <row r="5288" spans="1:1">
      <c r="A5288" s="149" t="s">
        <v>7232</v>
      </c>
    </row>
    <row r="5289" spans="1:1">
      <c r="A5289" s="149" t="s">
        <v>7233</v>
      </c>
    </row>
    <row r="5290" spans="1:1">
      <c r="A5290" s="149" t="s">
        <v>7234</v>
      </c>
    </row>
    <row r="5291" spans="1:1">
      <c r="A5291" s="149" t="s">
        <v>7235</v>
      </c>
    </row>
    <row r="5292" spans="1:1">
      <c r="A5292" s="149" t="s">
        <v>7236</v>
      </c>
    </row>
    <row r="5293" spans="1:1">
      <c r="A5293" s="149" t="s">
        <v>7237</v>
      </c>
    </row>
    <row r="5294" spans="1:1">
      <c r="A5294" s="149" t="s">
        <v>7238</v>
      </c>
    </row>
    <row r="5295" spans="1:1">
      <c r="A5295" s="149" t="s">
        <v>7239</v>
      </c>
    </row>
    <row r="5296" spans="1:1">
      <c r="A5296" s="149" t="s">
        <v>7240</v>
      </c>
    </row>
    <row r="5297" spans="1:1">
      <c r="A5297" s="149" t="s">
        <v>7241</v>
      </c>
    </row>
    <row r="5298" spans="1:1">
      <c r="A5298" s="149" t="s">
        <v>7242</v>
      </c>
    </row>
    <row r="5299" spans="1:1">
      <c r="A5299" s="149" t="s">
        <v>7243</v>
      </c>
    </row>
    <row r="5300" spans="1:1">
      <c r="A5300" s="149" t="s">
        <v>7244</v>
      </c>
    </row>
    <row r="5301" spans="1:1">
      <c r="A5301" s="149" t="s">
        <v>7245</v>
      </c>
    </row>
    <row r="5302" spans="1:1">
      <c r="A5302" s="149" t="s">
        <v>7246</v>
      </c>
    </row>
    <row r="5303" spans="1:1">
      <c r="A5303" s="149" t="s">
        <v>7247</v>
      </c>
    </row>
    <row r="5304" spans="1:1">
      <c r="A5304" s="149" t="s">
        <v>7248</v>
      </c>
    </row>
    <row r="5305" spans="1:1">
      <c r="A5305" s="149" t="s">
        <v>7249</v>
      </c>
    </row>
    <row r="5306" spans="1:1">
      <c r="A5306" s="149" t="s">
        <v>7250</v>
      </c>
    </row>
    <row r="5307" spans="1:1">
      <c r="A5307" s="149" t="s">
        <v>7251</v>
      </c>
    </row>
    <row r="5308" spans="1:1">
      <c r="A5308" s="149" t="s">
        <v>7252</v>
      </c>
    </row>
    <row r="5309" spans="1:1">
      <c r="A5309" s="149" t="s">
        <v>7253</v>
      </c>
    </row>
    <row r="5310" spans="1:1">
      <c r="A5310" s="149" t="s">
        <v>7254</v>
      </c>
    </row>
    <row r="5311" spans="1:1">
      <c r="A5311" s="149" t="s">
        <v>7255</v>
      </c>
    </row>
    <row r="5312" spans="1:1">
      <c r="A5312" s="149" t="s">
        <v>7256</v>
      </c>
    </row>
    <row r="5313" spans="1:1">
      <c r="A5313" s="149" t="s">
        <v>7257</v>
      </c>
    </row>
    <row r="5314" spans="1:1">
      <c r="A5314" s="149" t="s">
        <v>7258</v>
      </c>
    </row>
    <row r="5315" spans="1:1">
      <c r="A5315" s="149" t="s">
        <v>7259</v>
      </c>
    </row>
    <row r="5316" spans="1:1">
      <c r="A5316" s="149" t="s">
        <v>7260</v>
      </c>
    </row>
    <row r="5317" spans="1:1">
      <c r="A5317" s="149" t="s">
        <v>7261</v>
      </c>
    </row>
    <row r="5318" spans="1:1">
      <c r="A5318" s="149" t="s">
        <v>7262</v>
      </c>
    </row>
    <row r="5319" spans="1:1">
      <c r="A5319" s="149" t="s">
        <v>7263</v>
      </c>
    </row>
    <row r="5320" spans="1:1">
      <c r="A5320" s="149" t="s">
        <v>7264</v>
      </c>
    </row>
    <row r="5321" spans="1:1">
      <c r="A5321" s="149" t="s">
        <v>7265</v>
      </c>
    </row>
    <row r="5322" spans="1:1">
      <c r="A5322" s="149" t="s">
        <v>7266</v>
      </c>
    </row>
    <row r="5323" spans="1:1">
      <c r="A5323" s="149" t="s">
        <v>7267</v>
      </c>
    </row>
    <row r="5324" spans="1:1">
      <c r="A5324" s="149" t="s">
        <v>7268</v>
      </c>
    </row>
    <row r="5325" spans="1:1">
      <c r="A5325" s="149" t="s">
        <v>7269</v>
      </c>
    </row>
    <row r="5326" spans="1:1">
      <c r="A5326" s="149" t="s">
        <v>7270</v>
      </c>
    </row>
    <row r="5327" spans="1:1">
      <c r="A5327" s="149" t="s">
        <v>7271</v>
      </c>
    </row>
    <row r="5328" spans="1:1">
      <c r="A5328" s="149" t="s">
        <v>7272</v>
      </c>
    </row>
    <row r="5329" spans="1:1">
      <c r="A5329" s="149" t="s">
        <v>7273</v>
      </c>
    </row>
    <row r="5330" spans="1:1">
      <c r="A5330" s="149" t="s">
        <v>7274</v>
      </c>
    </row>
    <row r="5331" spans="1:1">
      <c r="A5331" s="149" t="s">
        <v>7275</v>
      </c>
    </row>
    <row r="5332" spans="1:1">
      <c r="A5332" s="149" t="s">
        <v>7276</v>
      </c>
    </row>
    <row r="5333" spans="1:1">
      <c r="A5333" s="149" t="s">
        <v>7277</v>
      </c>
    </row>
    <row r="5334" spans="1:1">
      <c r="A5334" s="149" t="s">
        <v>7278</v>
      </c>
    </row>
    <row r="5335" spans="1:1">
      <c r="A5335" s="149" t="s">
        <v>7279</v>
      </c>
    </row>
    <row r="5336" spans="1:1">
      <c r="A5336" s="149" t="s">
        <v>7280</v>
      </c>
    </row>
    <row r="5337" spans="1:1">
      <c r="A5337" s="149" t="s">
        <v>7281</v>
      </c>
    </row>
    <row r="5338" spans="1:1">
      <c r="A5338" s="149" t="s">
        <v>7282</v>
      </c>
    </row>
    <row r="5339" spans="1:1">
      <c r="A5339" s="149" t="s">
        <v>7283</v>
      </c>
    </row>
    <row r="5340" spans="1:1">
      <c r="A5340" s="149" t="s">
        <v>7284</v>
      </c>
    </row>
    <row r="5341" spans="1:1">
      <c r="A5341" s="149" t="s">
        <v>7285</v>
      </c>
    </row>
    <row r="5342" spans="1:1">
      <c r="A5342" s="149" t="s">
        <v>7286</v>
      </c>
    </row>
    <row r="5343" spans="1:1">
      <c r="A5343" s="149" t="s">
        <v>7287</v>
      </c>
    </row>
    <row r="5344" spans="1:1">
      <c r="A5344" s="149" t="s">
        <v>7288</v>
      </c>
    </row>
    <row r="5345" spans="1:1">
      <c r="A5345" s="149" t="s">
        <v>7289</v>
      </c>
    </row>
    <row r="5346" spans="1:1">
      <c r="A5346" s="149" t="s">
        <v>7290</v>
      </c>
    </row>
    <row r="5347" spans="1:1">
      <c r="A5347" s="149" t="s">
        <v>7291</v>
      </c>
    </row>
    <row r="5348" spans="1:1">
      <c r="A5348" s="149" t="s">
        <v>7292</v>
      </c>
    </row>
    <row r="5349" spans="1:1">
      <c r="A5349" s="149" t="s">
        <v>7293</v>
      </c>
    </row>
    <row r="5350" spans="1:1">
      <c r="A5350" s="149" t="s">
        <v>7294</v>
      </c>
    </row>
    <row r="5351" spans="1:1">
      <c r="A5351" s="149" t="s">
        <v>7295</v>
      </c>
    </row>
    <row r="5352" spans="1:1">
      <c r="A5352" s="149" t="s">
        <v>7296</v>
      </c>
    </row>
    <row r="5353" spans="1:1">
      <c r="A5353" s="149" t="s">
        <v>7297</v>
      </c>
    </row>
    <row r="5354" spans="1:1">
      <c r="A5354" s="149" t="s">
        <v>7298</v>
      </c>
    </row>
    <row r="5355" spans="1:1">
      <c r="A5355" s="149" t="s">
        <v>7299</v>
      </c>
    </row>
    <row r="5356" spans="1:1">
      <c r="A5356" s="149" t="s">
        <v>7300</v>
      </c>
    </row>
    <row r="5357" spans="1:1">
      <c r="A5357" s="149" t="s">
        <v>7301</v>
      </c>
    </row>
    <row r="5358" spans="1:1">
      <c r="A5358" s="149" t="s">
        <v>7302</v>
      </c>
    </row>
    <row r="5359" spans="1:1">
      <c r="A5359" s="149" t="s">
        <v>7303</v>
      </c>
    </row>
    <row r="5360" spans="1:1">
      <c r="A5360" s="149" t="s">
        <v>7304</v>
      </c>
    </row>
    <row r="5361" spans="1:1">
      <c r="A5361" s="149" t="s">
        <v>7305</v>
      </c>
    </row>
    <row r="5362" spans="1:1">
      <c r="A5362" s="149" t="s">
        <v>7306</v>
      </c>
    </row>
    <row r="5363" spans="1:1">
      <c r="A5363" s="149" t="s">
        <v>7307</v>
      </c>
    </row>
    <row r="5364" spans="1:1">
      <c r="A5364" s="149" t="s">
        <v>7308</v>
      </c>
    </row>
    <row r="5365" spans="1:1">
      <c r="A5365" s="149" t="s">
        <v>7309</v>
      </c>
    </row>
    <row r="5366" spans="1:1">
      <c r="A5366" s="149" t="s">
        <v>7310</v>
      </c>
    </row>
    <row r="5367" spans="1:1">
      <c r="A5367" s="149" t="s">
        <v>7311</v>
      </c>
    </row>
    <row r="5368" spans="1:1">
      <c r="A5368" s="149" t="s">
        <v>7312</v>
      </c>
    </row>
    <row r="5369" spans="1:1">
      <c r="A5369" s="149" t="s">
        <v>7313</v>
      </c>
    </row>
    <row r="5370" spans="1:1">
      <c r="A5370" s="149" t="s">
        <v>7314</v>
      </c>
    </row>
    <row r="5371" spans="1:1">
      <c r="A5371" s="149" t="s">
        <v>7315</v>
      </c>
    </row>
    <row r="5372" spans="1:1">
      <c r="A5372" s="149" t="s">
        <v>7316</v>
      </c>
    </row>
    <row r="5373" spans="1:1">
      <c r="A5373" s="149" t="s">
        <v>7317</v>
      </c>
    </row>
    <row r="5374" spans="1:1">
      <c r="A5374" s="149" t="s">
        <v>7318</v>
      </c>
    </row>
    <row r="5375" spans="1:1">
      <c r="A5375" s="149" t="s">
        <v>7319</v>
      </c>
    </row>
    <row r="5376" spans="1:1">
      <c r="A5376" s="149" t="s">
        <v>7320</v>
      </c>
    </row>
    <row r="5377" spans="1:1">
      <c r="A5377" s="149" t="s">
        <v>7321</v>
      </c>
    </row>
    <row r="5378" spans="1:1">
      <c r="A5378" s="149" t="s">
        <v>7322</v>
      </c>
    </row>
    <row r="5379" spans="1:1">
      <c r="A5379" s="149" t="s">
        <v>7323</v>
      </c>
    </row>
    <row r="5380" spans="1:1">
      <c r="A5380" s="149" t="s">
        <v>7324</v>
      </c>
    </row>
    <row r="5381" spans="1:1">
      <c r="A5381" s="149" t="s">
        <v>7325</v>
      </c>
    </row>
    <row r="5382" spans="1:1">
      <c r="A5382" s="149" t="s">
        <v>7326</v>
      </c>
    </row>
    <row r="5383" spans="1:1">
      <c r="A5383" s="149" t="s">
        <v>7327</v>
      </c>
    </row>
    <row r="5384" spans="1:1">
      <c r="A5384" s="149" t="s">
        <v>7328</v>
      </c>
    </row>
    <row r="5385" spans="1:1">
      <c r="A5385" s="149" t="s">
        <v>7329</v>
      </c>
    </row>
    <row r="5386" spans="1:1">
      <c r="A5386" s="149" t="s">
        <v>7330</v>
      </c>
    </row>
    <row r="5387" spans="1:1">
      <c r="A5387" s="149" t="s">
        <v>7331</v>
      </c>
    </row>
    <row r="5388" spans="1:1">
      <c r="A5388" s="149" t="s">
        <v>7332</v>
      </c>
    </row>
    <row r="5389" spans="1:1">
      <c r="A5389" s="149" t="s">
        <v>7333</v>
      </c>
    </row>
    <row r="5390" spans="1:1">
      <c r="A5390" s="149" t="s">
        <v>7334</v>
      </c>
    </row>
    <row r="5391" spans="1:1">
      <c r="A5391" s="149" t="s">
        <v>7335</v>
      </c>
    </row>
    <row r="5392" spans="1:1">
      <c r="A5392" s="149" t="s">
        <v>7336</v>
      </c>
    </row>
    <row r="5393" spans="1:1">
      <c r="A5393" s="149" t="s">
        <v>7337</v>
      </c>
    </row>
    <row r="5394" spans="1:1">
      <c r="A5394" s="149" t="s">
        <v>7338</v>
      </c>
    </row>
    <row r="5395" spans="1:1">
      <c r="A5395" s="149" t="s">
        <v>7339</v>
      </c>
    </row>
    <row r="5396" spans="1:1">
      <c r="A5396" s="149" t="s">
        <v>7340</v>
      </c>
    </row>
    <row r="5397" spans="1:1">
      <c r="A5397" s="149" t="s">
        <v>7341</v>
      </c>
    </row>
    <row r="5398" spans="1:1">
      <c r="A5398" s="149" t="s">
        <v>7342</v>
      </c>
    </row>
    <row r="5399" spans="1:1">
      <c r="A5399" s="149" t="s">
        <v>7343</v>
      </c>
    </row>
    <row r="5400" spans="1:1">
      <c r="A5400" s="149" t="s">
        <v>7344</v>
      </c>
    </row>
    <row r="5401" spans="1:1">
      <c r="A5401" s="149" t="s">
        <v>7345</v>
      </c>
    </row>
    <row r="5402" spans="1:1">
      <c r="A5402" s="149" t="s">
        <v>7346</v>
      </c>
    </row>
    <row r="5403" spans="1:1">
      <c r="A5403" s="149" t="s">
        <v>7347</v>
      </c>
    </row>
    <row r="5404" spans="1:1">
      <c r="A5404" s="149" t="s">
        <v>7348</v>
      </c>
    </row>
    <row r="5405" spans="1:1">
      <c r="A5405" s="149" t="s">
        <v>7349</v>
      </c>
    </row>
    <row r="5406" spans="1:1">
      <c r="A5406" s="149" t="s">
        <v>7350</v>
      </c>
    </row>
    <row r="5407" spans="1:1">
      <c r="A5407" s="149" t="s">
        <v>7351</v>
      </c>
    </row>
    <row r="5408" spans="1:1">
      <c r="A5408" s="149" t="s">
        <v>7352</v>
      </c>
    </row>
    <row r="5409" spans="1:1">
      <c r="A5409" s="149" t="s">
        <v>7353</v>
      </c>
    </row>
    <row r="5410" spans="1:1">
      <c r="A5410" s="149" t="s">
        <v>7354</v>
      </c>
    </row>
    <row r="5411" spans="1:1">
      <c r="A5411" s="149" t="s">
        <v>7355</v>
      </c>
    </row>
    <row r="5412" spans="1:1">
      <c r="A5412" s="149" t="s">
        <v>7356</v>
      </c>
    </row>
    <row r="5413" spans="1:1">
      <c r="A5413" s="149" t="s">
        <v>7357</v>
      </c>
    </row>
    <row r="5414" spans="1:1">
      <c r="A5414" s="149" t="s">
        <v>7358</v>
      </c>
    </row>
    <row r="5415" spans="1:1">
      <c r="A5415" s="149" t="s">
        <v>7359</v>
      </c>
    </row>
    <row r="5416" spans="1:1">
      <c r="A5416" s="149" t="s">
        <v>7360</v>
      </c>
    </row>
    <row r="5417" spans="1:1">
      <c r="A5417" s="149" t="s">
        <v>7361</v>
      </c>
    </row>
    <row r="5418" spans="1:1">
      <c r="A5418" s="149" t="s">
        <v>7362</v>
      </c>
    </row>
    <row r="5419" spans="1:1">
      <c r="A5419" s="149" t="s">
        <v>7363</v>
      </c>
    </row>
    <row r="5420" spans="1:1">
      <c r="A5420" s="149" t="s">
        <v>7364</v>
      </c>
    </row>
    <row r="5421" spans="1:1">
      <c r="A5421" s="149" t="s">
        <v>7365</v>
      </c>
    </row>
    <row r="5422" spans="1:1">
      <c r="A5422" s="149" t="s">
        <v>7366</v>
      </c>
    </row>
    <row r="5423" spans="1:1">
      <c r="A5423" s="149" t="s">
        <v>7367</v>
      </c>
    </row>
    <row r="5424" spans="1:1">
      <c r="A5424" s="149" t="s">
        <v>7368</v>
      </c>
    </row>
    <row r="5425" spans="1:1">
      <c r="A5425" s="149" t="s">
        <v>7369</v>
      </c>
    </row>
    <row r="5426" spans="1:1">
      <c r="A5426" s="149" t="s">
        <v>7370</v>
      </c>
    </row>
    <row r="5427" spans="1:1">
      <c r="A5427" s="149" t="s">
        <v>7371</v>
      </c>
    </row>
    <row r="5428" spans="1:1">
      <c r="A5428" s="149" t="s">
        <v>7372</v>
      </c>
    </row>
    <row r="5429" spans="1:1">
      <c r="A5429" s="149" t="s">
        <v>7373</v>
      </c>
    </row>
    <row r="5430" spans="1:1">
      <c r="A5430" s="149" t="s">
        <v>7374</v>
      </c>
    </row>
    <row r="5431" spans="1:1">
      <c r="A5431" s="149" t="s">
        <v>7375</v>
      </c>
    </row>
    <row r="5432" spans="1:1">
      <c r="A5432" s="149" t="s">
        <v>7376</v>
      </c>
    </row>
    <row r="5433" spans="1:1">
      <c r="A5433" s="149" t="s">
        <v>7377</v>
      </c>
    </row>
    <row r="5434" spans="1:1">
      <c r="A5434" s="149" t="s">
        <v>7378</v>
      </c>
    </row>
    <row r="5435" spans="1:1">
      <c r="A5435" s="149" t="s">
        <v>7379</v>
      </c>
    </row>
    <row r="5436" spans="1:1">
      <c r="A5436" s="149" t="s">
        <v>7380</v>
      </c>
    </row>
    <row r="5437" spans="1:1">
      <c r="A5437" s="149" t="s">
        <v>7381</v>
      </c>
    </row>
    <row r="5438" spans="1:1">
      <c r="A5438" s="149" t="s">
        <v>7382</v>
      </c>
    </row>
    <row r="5439" spans="1:1">
      <c r="A5439" s="149" t="s">
        <v>7383</v>
      </c>
    </row>
    <row r="5440" spans="1:1">
      <c r="A5440" s="149" t="s">
        <v>7384</v>
      </c>
    </row>
    <row r="5441" spans="1:1">
      <c r="A5441" s="149" t="s">
        <v>7385</v>
      </c>
    </row>
    <row r="5442" spans="1:1">
      <c r="A5442" s="149" t="s">
        <v>7386</v>
      </c>
    </row>
    <row r="5443" spans="1:1">
      <c r="A5443" s="149" t="s">
        <v>7387</v>
      </c>
    </row>
    <row r="5444" spans="1:1">
      <c r="A5444" s="149" t="s">
        <v>7388</v>
      </c>
    </row>
    <row r="5445" spans="1:1">
      <c r="A5445" s="149" t="s">
        <v>7389</v>
      </c>
    </row>
    <row r="5446" spans="1:1">
      <c r="A5446" s="149" t="s">
        <v>7390</v>
      </c>
    </row>
    <row r="5447" spans="1:1">
      <c r="A5447" s="149" t="s">
        <v>7391</v>
      </c>
    </row>
    <row r="5448" spans="1:1">
      <c r="A5448" s="149" t="s">
        <v>7392</v>
      </c>
    </row>
    <row r="5449" spans="1:1">
      <c r="A5449" s="149" t="s">
        <v>7393</v>
      </c>
    </row>
    <row r="5450" spans="1:1">
      <c r="A5450" s="149" t="s">
        <v>7394</v>
      </c>
    </row>
    <row r="5451" spans="1:1">
      <c r="A5451" s="149" t="s">
        <v>7395</v>
      </c>
    </row>
    <row r="5452" spans="1:1">
      <c r="A5452" s="149" t="s">
        <v>7396</v>
      </c>
    </row>
    <row r="5453" spans="1:1">
      <c r="A5453" s="149" t="s">
        <v>7397</v>
      </c>
    </row>
    <row r="5454" spans="1:1">
      <c r="A5454" s="149" t="s">
        <v>7398</v>
      </c>
    </row>
    <row r="5455" spans="1:1">
      <c r="A5455" s="149" t="s">
        <v>7399</v>
      </c>
    </row>
    <row r="5456" spans="1:1">
      <c r="A5456" s="149" t="s">
        <v>7400</v>
      </c>
    </row>
    <row r="5457" spans="1:1">
      <c r="A5457" s="149" t="s">
        <v>7401</v>
      </c>
    </row>
    <row r="5458" spans="1:1">
      <c r="A5458" s="149" t="s">
        <v>7402</v>
      </c>
    </row>
    <row r="5459" spans="1:1">
      <c r="A5459" s="149" t="s">
        <v>7403</v>
      </c>
    </row>
    <row r="5460" spans="1:1">
      <c r="A5460" s="149" t="s">
        <v>7404</v>
      </c>
    </row>
    <row r="5461" spans="1:1">
      <c r="A5461" s="149" t="s">
        <v>7405</v>
      </c>
    </row>
    <row r="5462" spans="1:1">
      <c r="A5462" s="149" t="s">
        <v>7406</v>
      </c>
    </row>
    <row r="5463" spans="1:1">
      <c r="A5463" s="149" t="s">
        <v>7407</v>
      </c>
    </row>
    <row r="5464" spans="1:1">
      <c r="A5464" s="149" t="s">
        <v>7408</v>
      </c>
    </row>
    <row r="5465" spans="1:1">
      <c r="A5465" s="149" t="s">
        <v>7409</v>
      </c>
    </row>
    <row r="5466" spans="1:1">
      <c r="A5466" s="149" t="s">
        <v>7410</v>
      </c>
    </row>
    <row r="5467" spans="1:1">
      <c r="A5467" s="149" t="s">
        <v>7411</v>
      </c>
    </row>
    <row r="5468" spans="1:1">
      <c r="A5468" s="149" t="s">
        <v>7412</v>
      </c>
    </row>
    <row r="5469" spans="1:1">
      <c r="A5469" s="149" t="s">
        <v>7413</v>
      </c>
    </row>
    <row r="5470" spans="1:1">
      <c r="A5470" s="149" t="s">
        <v>7414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opLeftCell="A5" workbookViewId="0">
      <selection activeCell="C10" sqref="C10:G10"/>
    </sheetView>
  </sheetViews>
  <sheetFormatPr baseColWidth="10" defaultRowHeight="12"/>
  <sheetData>
    <row r="1" spans="1:13" s="200" customFormat="1" ht="15">
      <c r="A1" s="233" t="s">
        <v>8124</v>
      </c>
      <c r="B1" s="233" t="s">
        <v>8125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</row>
    <row r="2" spans="1:13" s="200" customFormat="1" ht="15">
      <c r="A2" s="233" t="s">
        <v>8126</v>
      </c>
      <c r="B2" s="233" t="s">
        <v>8127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</row>
    <row r="3" spans="1:13" s="200" customFormat="1" ht="15">
      <c r="A3" s="233" t="s">
        <v>8128</v>
      </c>
      <c r="B3" s="233" t="s">
        <v>8129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</row>
    <row r="4" spans="1:13" s="200" customFormat="1" ht="15">
      <c r="A4" s="233" t="s">
        <v>8130</v>
      </c>
      <c r="B4" s="235">
        <v>41808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</row>
    <row r="5" spans="1:13" s="200" customFormat="1" ht="15">
      <c r="A5" s="234"/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</row>
    <row r="6" spans="1:13" s="200" customFormat="1" ht="15">
      <c r="A6" s="440" t="s">
        <v>8131</v>
      </c>
      <c r="B6" s="236" t="s">
        <v>8132</v>
      </c>
      <c r="C6" s="439" t="s">
        <v>8133</v>
      </c>
      <c r="D6" s="439"/>
      <c r="E6" s="439"/>
      <c r="F6" s="439"/>
      <c r="G6" s="439"/>
      <c r="H6" s="237" t="s">
        <v>8134</v>
      </c>
      <c r="I6" s="234"/>
      <c r="J6" s="234"/>
      <c r="K6" s="234"/>
      <c r="L6" s="234"/>
      <c r="M6" s="234"/>
    </row>
    <row r="7" spans="1:13" s="200" customFormat="1" ht="15">
      <c r="A7" s="440"/>
      <c r="B7" s="236" t="s">
        <v>8135</v>
      </c>
      <c r="C7" s="439" t="s">
        <v>8136</v>
      </c>
      <c r="D7" s="439"/>
      <c r="E7" s="439"/>
      <c r="F7" s="439"/>
      <c r="G7" s="439"/>
      <c r="H7" s="237" t="s">
        <v>8134</v>
      </c>
      <c r="I7" s="234"/>
      <c r="J7" s="234"/>
      <c r="K7" s="234"/>
      <c r="L7" s="234"/>
      <c r="M7" s="234"/>
    </row>
    <row r="8" spans="1:13" s="200" customFormat="1" ht="15">
      <c r="A8" s="440"/>
      <c r="B8" s="236" t="s">
        <v>8137</v>
      </c>
      <c r="C8" s="439" t="s">
        <v>8138</v>
      </c>
      <c r="D8" s="439"/>
      <c r="E8" s="439"/>
      <c r="F8" s="439"/>
      <c r="G8" s="439"/>
      <c r="H8" s="237" t="s">
        <v>8134</v>
      </c>
      <c r="I8" s="234"/>
      <c r="J8" s="234"/>
      <c r="K8" s="234"/>
      <c r="L8" s="234"/>
      <c r="M8" s="234"/>
    </row>
    <row r="9" spans="1:13" s="200" customFormat="1" ht="15">
      <c r="A9" s="236" t="s">
        <v>8139</v>
      </c>
      <c r="B9" s="236" t="s">
        <v>8132</v>
      </c>
      <c r="C9" s="439" t="s">
        <v>8140</v>
      </c>
      <c r="D9" s="439"/>
      <c r="E9" s="439"/>
      <c r="F9" s="439"/>
      <c r="G9" s="439"/>
      <c r="H9" s="238" t="s">
        <v>215</v>
      </c>
      <c r="I9" s="234"/>
      <c r="J9" s="234"/>
      <c r="K9" s="234"/>
      <c r="L9" s="234"/>
      <c r="M9" s="234"/>
    </row>
    <row r="10" spans="1:13" s="200" customFormat="1" ht="15">
      <c r="A10" s="236" t="s">
        <v>8141</v>
      </c>
      <c r="B10" s="236" t="s">
        <v>8142</v>
      </c>
      <c r="C10" s="439" t="s">
        <v>8143</v>
      </c>
      <c r="D10" s="439"/>
      <c r="E10" s="439"/>
      <c r="F10" s="439"/>
      <c r="G10" s="439"/>
      <c r="H10" s="238" t="s">
        <v>8144</v>
      </c>
      <c r="I10" s="234"/>
      <c r="J10" s="234"/>
      <c r="K10" s="234"/>
      <c r="L10" s="234"/>
      <c r="M10" s="234"/>
    </row>
    <row r="11" spans="1:13" s="200" customFormat="1" ht="15">
      <c r="A11" s="236" t="s">
        <v>8145</v>
      </c>
      <c r="B11" s="236" t="s">
        <v>8146</v>
      </c>
      <c r="C11" s="439" t="s">
        <v>8147</v>
      </c>
      <c r="D11" s="439"/>
      <c r="E11" s="439"/>
      <c r="F11" s="439"/>
      <c r="G11" s="439"/>
      <c r="H11" s="238" t="s">
        <v>8148</v>
      </c>
      <c r="I11" s="234"/>
      <c r="J11" s="234"/>
      <c r="K11" s="234"/>
      <c r="L11" s="234"/>
      <c r="M11" s="234"/>
    </row>
    <row r="12" spans="1:13" s="200" customFormat="1" ht="15">
      <c r="A12" s="236" t="s">
        <v>8149</v>
      </c>
      <c r="B12" s="236" t="s">
        <v>8150</v>
      </c>
      <c r="C12" s="439" t="s">
        <v>8151</v>
      </c>
      <c r="D12" s="439"/>
      <c r="E12" s="439"/>
      <c r="F12" s="439"/>
      <c r="G12" s="439"/>
      <c r="H12" s="238" t="s">
        <v>8152</v>
      </c>
      <c r="I12" s="234"/>
      <c r="J12" s="234"/>
      <c r="K12" s="234"/>
      <c r="L12" s="234"/>
      <c r="M12" s="234"/>
    </row>
    <row r="13" spans="1:13" s="200" customFormat="1" ht="15">
      <c r="A13" s="236" t="s">
        <v>8153</v>
      </c>
      <c r="B13" s="236" t="s">
        <v>8154</v>
      </c>
      <c r="C13" s="439" t="s">
        <v>8155</v>
      </c>
      <c r="D13" s="439"/>
      <c r="E13" s="439"/>
      <c r="F13" s="439"/>
      <c r="G13" s="439"/>
      <c r="H13" s="238" t="s">
        <v>8152</v>
      </c>
      <c r="I13" s="234"/>
      <c r="J13" s="234"/>
      <c r="K13" s="234"/>
      <c r="L13" s="234"/>
      <c r="M13" s="234"/>
    </row>
    <row r="14" spans="1:13" s="200" customFormat="1" ht="15">
      <c r="A14" s="236" t="s">
        <v>8153</v>
      </c>
      <c r="B14" s="236" t="s">
        <v>7605</v>
      </c>
      <c r="C14" s="439" t="s">
        <v>8156</v>
      </c>
      <c r="D14" s="439"/>
      <c r="E14" s="439"/>
      <c r="F14" s="439"/>
      <c r="G14" s="439"/>
      <c r="H14" s="238" t="s">
        <v>8152</v>
      </c>
      <c r="I14" s="234"/>
      <c r="J14" s="234"/>
      <c r="K14" s="234"/>
      <c r="L14" s="234"/>
      <c r="M14" s="234"/>
    </row>
    <row r="15" spans="1:13" s="200" customFormat="1" ht="15">
      <c r="A15" s="236" t="s">
        <v>8157</v>
      </c>
      <c r="B15" s="236" t="s">
        <v>8158</v>
      </c>
      <c r="C15" s="439" t="s">
        <v>8159</v>
      </c>
      <c r="D15" s="439"/>
      <c r="E15" s="439"/>
      <c r="F15" s="439"/>
      <c r="G15" s="439"/>
      <c r="H15" s="238" t="s">
        <v>8152</v>
      </c>
      <c r="I15" s="234"/>
      <c r="J15" s="234"/>
      <c r="K15" s="234"/>
      <c r="L15" s="234"/>
      <c r="M15" s="234"/>
    </row>
    <row r="16" spans="1:13" s="200" customFormat="1" ht="15">
      <c r="A16" s="236" t="s">
        <v>8160</v>
      </c>
      <c r="B16" s="236" t="s">
        <v>8161</v>
      </c>
      <c r="C16" s="439" t="s">
        <v>8162</v>
      </c>
      <c r="D16" s="439"/>
      <c r="E16" s="439"/>
      <c r="F16" s="439"/>
      <c r="G16" s="439"/>
      <c r="H16" s="238" t="s">
        <v>8152</v>
      </c>
      <c r="I16" s="233"/>
      <c r="J16" s="233"/>
      <c r="K16" s="233"/>
      <c r="L16" s="233"/>
      <c r="M16" s="233"/>
    </row>
    <row r="17" spans="1:13" s="200" customFormat="1" ht="15">
      <c r="A17" s="234" t="s">
        <v>8163</v>
      </c>
      <c r="B17" s="234" t="s">
        <v>8160</v>
      </c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</row>
    <row r="18" spans="1:13" s="200" customFormat="1" ht="15">
      <c r="A18" s="234"/>
      <c r="B18" s="234"/>
      <c r="C18" s="234"/>
      <c r="D18" s="234"/>
      <c r="E18" s="234"/>
      <c r="F18" s="234"/>
      <c r="G18" s="234"/>
      <c r="H18" s="234"/>
      <c r="I18" s="234"/>
      <c r="J18" s="234"/>
      <c r="K18" s="234"/>
      <c r="L18" s="234"/>
      <c r="M18" s="234"/>
    </row>
    <row r="19" spans="1:13" s="200" customFormat="1" ht="15">
      <c r="A19" s="234"/>
      <c r="B19" s="438" t="s">
        <v>8131</v>
      </c>
      <c r="C19" s="438"/>
      <c r="D19" s="438"/>
      <c r="E19" s="234" t="s">
        <v>8139</v>
      </c>
      <c r="F19" s="234" t="s">
        <v>8141</v>
      </c>
      <c r="G19" s="234" t="s">
        <v>8145</v>
      </c>
      <c r="H19" s="234" t="s">
        <v>8149</v>
      </c>
      <c r="I19" s="234" t="s">
        <v>8153</v>
      </c>
      <c r="J19" s="234" t="s">
        <v>8153</v>
      </c>
      <c r="K19" s="234" t="s">
        <v>8157</v>
      </c>
      <c r="L19" s="234" t="s">
        <v>8160</v>
      </c>
      <c r="M19" s="234" t="s">
        <v>8163</v>
      </c>
    </row>
    <row r="20" spans="1:13" s="200" customFormat="1" ht="15">
      <c r="A20" s="234" t="s">
        <v>177</v>
      </c>
      <c r="B20" s="234" t="s">
        <v>8132</v>
      </c>
      <c r="C20" s="234" t="s">
        <v>8135</v>
      </c>
      <c r="D20" s="234" t="s">
        <v>8137</v>
      </c>
      <c r="E20" s="234" t="s">
        <v>8132</v>
      </c>
      <c r="F20" s="234" t="s">
        <v>8142</v>
      </c>
      <c r="G20" s="234" t="s">
        <v>8146</v>
      </c>
      <c r="H20" s="234" t="s">
        <v>8150</v>
      </c>
      <c r="I20" s="234" t="s">
        <v>8154</v>
      </c>
      <c r="J20" s="234" t="s">
        <v>7605</v>
      </c>
      <c r="K20" s="234" t="s">
        <v>8158</v>
      </c>
      <c r="L20" s="234" t="s">
        <v>8161</v>
      </c>
      <c r="M20" s="234" t="s">
        <v>8160</v>
      </c>
    </row>
    <row r="21" spans="1:13">
      <c r="A21" s="426">
        <v>41520</v>
      </c>
      <c r="C21" s="427">
        <v>23.53</v>
      </c>
      <c r="D21" s="427">
        <v>12.23</v>
      </c>
      <c r="E21" s="428">
        <v>71.5</v>
      </c>
      <c r="F21" s="428">
        <v>4073</v>
      </c>
      <c r="H21" s="427">
        <v>18.899999999999999</v>
      </c>
    </row>
    <row r="22" spans="1:13">
      <c r="A22" s="426">
        <v>41527</v>
      </c>
      <c r="C22" s="427">
        <v>16.940000000000001</v>
      </c>
      <c r="D22" s="427">
        <v>11.19</v>
      </c>
      <c r="E22" s="428">
        <v>82.5</v>
      </c>
      <c r="F22" s="428">
        <v>2519</v>
      </c>
      <c r="G22" s="191"/>
      <c r="H22" s="427">
        <v>27.2</v>
      </c>
    </row>
    <row r="23" spans="1:13">
      <c r="A23" s="426">
        <v>41534</v>
      </c>
      <c r="C23" s="427">
        <v>18.190000000000001</v>
      </c>
      <c r="D23" s="427">
        <v>10.52</v>
      </c>
      <c r="E23" s="428">
        <v>80.5</v>
      </c>
      <c r="F23" s="428">
        <v>2541</v>
      </c>
      <c r="G23" s="191"/>
      <c r="H23" s="427">
        <v>16.3</v>
      </c>
    </row>
    <row r="24" spans="1:13">
      <c r="A24" s="426">
        <v>41541</v>
      </c>
      <c r="C24" s="427">
        <v>20.46</v>
      </c>
      <c r="D24" s="427">
        <v>11.14</v>
      </c>
      <c r="E24" s="428">
        <v>78</v>
      </c>
      <c r="F24" s="428">
        <v>3186</v>
      </c>
      <c r="G24" s="191"/>
      <c r="H24" s="427">
        <v>4.2</v>
      </c>
    </row>
    <row r="25" spans="1:13">
      <c r="A25" s="426">
        <v>41548</v>
      </c>
      <c r="C25" s="427">
        <v>19.420000000000002</v>
      </c>
      <c r="D25" s="427">
        <v>11.56</v>
      </c>
      <c r="E25" s="428">
        <v>79.5</v>
      </c>
      <c r="F25" s="428">
        <v>2596</v>
      </c>
      <c r="G25" s="191"/>
      <c r="H25" s="427">
        <v>6.6</v>
      </c>
    </row>
    <row r="26" spans="1:13">
      <c r="A26" s="426">
        <v>41555</v>
      </c>
      <c r="C26" s="427">
        <v>13.54</v>
      </c>
      <c r="D26" s="427">
        <v>8</v>
      </c>
      <c r="E26" s="428">
        <v>82.5</v>
      </c>
      <c r="F26" s="428">
        <v>1541</v>
      </c>
      <c r="G26" s="191"/>
      <c r="H26" s="427">
        <v>39.4</v>
      </c>
    </row>
    <row r="27" spans="1:13">
      <c r="A27" s="426">
        <v>41562</v>
      </c>
      <c r="C27" s="427">
        <v>16.43</v>
      </c>
      <c r="D27" s="427">
        <v>9.66</v>
      </c>
      <c r="E27" s="428">
        <v>87</v>
      </c>
      <c r="F27" s="428">
        <v>1538</v>
      </c>
      <c r="G27" s="191"/>
      <c r="H27" s="427">
        <v>18.3</v>
      </c>
    </row>
    <row r="28" spans="1:13">
      <c r="A28" s="426">
        <v>41569</v>
      </c>
      <c r="C28" s="427">
        <v>18.260000000000002</v>
      </c>
      <c r="D28" s="427">
        <v>13.22</v>
      </c>
      <c r="E28" s="428">
        <v>81</v>
      </c>
      <c r="F28" s="428">
        <v>1630</v>
      </c>
      <c r="G28" s="191"/>
      <c r="H28" s="427">
        <v>21.1</v>
      </c>
    </row>
    <row r="29" spans="1:13">
      <c r="A29" s="426">
        <v>41576</v>
      </c>
      <c r="C29" s="427">
        <v>13</v>
      </c>
      <c r="D29" s="427">
        <v>7.72</v>
      </c>
      <c r="E29" s="428">
        <v>82</v>
      </c>
      <c r="F29" s="428">
        <v>1484</v>
      </c>
      <c r="G29" s="191"/>
      <c r="H29" s="427">
        <v>33</v>
      </c>
    </row>
    <row r="30" spans="1:13">
      <c r="A30" s="426">
        <v>41583</v>
      </c>
      <c r="C30" s="427">
        <v>11.74</v>
      </c>
      <c r="D30" s="427">
        <v>6.69</v>
      </c>
      <c r="E30" s="428">
        <v>85</v>
      </c>
      <c r="F30" s="428">
        <v>957</v>
      </c>
      <c r="G30" s="191"/>
      <c r="H30" s="427">
        <v>43</v>
      </c>
    </row>
    <row r="31" spans="1:13">
      <c r="A31" s="426">
        <v>41590</v>
      </c>
      <c r="C31" s="427">
        <v>8.66</v>
      </c>
      <c r="D31" s="427">
        <v>3.93</v>
      </c>
      <c r="E31" s="428">
        <v>86</v>
      </c>
      <c r="F31" s="428">
        <v>966</v>
      </c>
      <c r="G31" s="191"/>
      <c r="H31" s="427">
        <v>7.9</v>
      </c>
    </row>
    <row r="32" spans="1:13">
      <c r="A32" s="426">
        <v>41597</v>
      </c>
      <c r="C32" s="427">
        <v>6.44</v>
      </c>
      <c r="D32" s="427">
        <v>2.2599999999999998</v>
      </c>
      <c r="E32" s="428">
        <v>84</v>
      </c>
      <c r="F32" s="428">
        <v>740</v>
      </c>
      <c r="G32" s="191"/>
      <c r="H32" s="427">
        <v>11.9</v>
      </c>
    </row>
    <row r="33" spans="1:8">
      <c r="A33" s="426">
        <v>41604</v>
      </c>
      <c r="C33" s="427">
        <v>7.99</v>
      </c>
      <c r="D33" s="427">
        <v>3.49</v>
      </c>
      <c r="E33" s="428">
        <v>86</v>
      </c>
      <c r="F33" s="428">
        <v>770</v>
      </c>
      <c r="G33" s="191"/>
      <c r="H33" s="427">
        <v>4.0999999999999996</v>
      </c>
    </row>
    <row r="34" spans="1:8">
      <c r="A34" s="426">
        <v>41611</v>
      </c>
      <c r="C34" s="427">
        <v>7.79</v>
      </c>
      <c r="D34" s="427">
        <v>2.02</v>
      </c>
      <c r="E34" s="428">
        <v>83.5</v>
      </c>
      <c r="F34" s="428">
        <v>827</v>
      </c>
      <c r="G34" s="191"/>
      <c r="H34" s="427">
        <v>3.8</v>
      </c>
    </row>
    <row r="35" spans="1:8">
      <c r="A35" s="426">
        <v>41618</v>
      </c>
      <c r="C35" s="427">
        <v>7.64</v>
      </c>
      <c r="D35" s="427">
        <v>1.43</v>
      </c>
      <c r="E35" s="428">
        <v>84.5</v>
      </c>
      <c r="F35" s="428">
        <v>974</v>
      </c>
      <c r="G35" s="191"/>
      <c r="H35" s="427">
        <v>2.7</v>
      </c>
    </row>
    <row r="36" spans="1:8">
      <c r="A36" s="426">
        <v>41625</v>
      </c>
      <c r="C36" s="427">
        <v>9.4700000000000006</v>
      </c>
      <c r="D36" s="427">
        <v>4.9400000000000004</v>
      </c>
      <c r="E36" s="428">
        <v>82.5</v>
      </c>
      <c r="F36" s="428">
        <v>672</v>
      </c>
      <c r="G36" s="191"/>
      <c r="H36" s="427">
        <v>13.4</v>
      </c>
    </row>
    <row r="37" spans="1:8">
      <c r="A37" s="426">
        <v>41632</v>
      </c>
      <c r="C37" s="427">
        <v>9.0299999999999994</v>
      </c>
      <c r="D37" s="427">
        <v>4.99</v>
      </c>
      <c r="E37" s="428">
        <v>85.5</v>
      </c>
      <c r="F37" s="428">
        <v>664</v>
      </c>
      <c r="G37" s="191"/>
      <c r="H37" s="427">
        <v>40.9</v>
      </c>
    </row>
    <row r="38" spans="1:8">
      <c r="A38" s="426">
        <v>41640</v>
      </c>
      <c r="C38" s="427">
        <v>11</v>
      </c>
      <c r="D38" s="427">
        <v>6.56</v>
      </c>
      <c r="E38" s="428">
        <v>82.5</v>
      </c>
      <c r="F38" s="428">
        <v>703</v>
      </c>
      <c r="G38" s="191"/>
      <c r="H38" s="427">
        <v>12.6</v>
      </c>
    </row>
    <row r="39" spans="1:8">
      <c r="A39" s="426">
        <v>41647</v>
      </c>
      <c r="C39" s="427">
        <v>8.8000000000000007</v>
      </c>
      <c r="D39" s="427">
        <v>4.5999999999999996</v>
      </c>
      <c r="E39" s="428">
        <v>86.5</v>
      </c>
      <c r="F39" s="428">
        <v>819</v>
      </c>
      <c r="G39" s="191"/>
      <c r="H39" s="427">
        <v>8.1999999999999993</v>
      </c>
    </row>
    <row r="40" spans="1:8">
      <c r="A40" s="426">
        <v>41654</v>
      </c>
      <c r="C40" s="427">
        <v>8.09</v>
      </c>
      <c r="D40" s="427">
        <v>4.33</v>
      </c>
      <c r="E40" s="428">
        <v>87</v>
      </c>
      <c r="F40" s="428">
        <v>690</v>
      </c>
      <c r="G40" s="191"/>
      <c r="H40" s="427">
        <v>16.5</v>
      </c>
    </row>
    <row r="41" spans="1:8">
      <c r="A41" s="426">
        <v>41661</v>
      </c>
      <c r="C41" s="427">
        <v>6.79</v>
      </c>
      <c r="D41" s="427">
        <v>2.33</v>
      </c>
      <c r="E41" s="428">
        <v>85.5</v>
      </c>
      <c r="F41" s="428">
        <v>785</v>
      </c>
      <c r="G41" s="191"/>
      <c r="H41" s="427">
        <v>25.7</v>
      </c>
    </row>
    <row r="42" spans="1:8">
      <c r="A42" s="426">
        <v>41668</v>
      </c>
      <c r="C42" s="427">
        <v>7.4</v>
      </c>
      <c r="D42" s="427">
        <v>2.4</v>
      </c>
      <c r="E42" s="428">
        <v>82.5</v>
      </c>
      <c r="F42" s="428">
        <v>1335</v>
      </c>
      <c r="G42" s="191"/>
      <c r="H42" s="427">
        <v>17</v>
      </c>
    </row>
    <row r="43" spans="1:8">
      <c r="A43" s="426">
        <v>41675</v>
      </c>
      <c r="C43" s="427">
        <v>8.76</v>
      </c>
      <c r="D43" s="427">
        <v>4.84</v>
      </c>
      <c r="E43" s="428">
        <v>78</v>
      </c>
      <c r="F43" s="428">
        <v>1158</v>
      </c>
      <c r="G43" s="191"/>
      <c r="H43" s="427">
        <v>24.4</v>
      </c>
    </row>
    <row r="44" spans="1:8">
      <c r="A44" s="426">
        <v>41682</v>
      </c>
      <c r="C44" s="427">
        <v>9.44</v>
      </c>
      <c r="D44" s="427">
        <v>4.29</v>
      </c>
      <c r="E44" s="428">
        <v>79</v>
      </c>
      <c r="F44" s="428">
        <v>1419</v>
      </c>
      <c r="G44" s="191"/>
      <c r="H44" s="427">
        <v>17.8</v>
      </c>
    </row>
    <row r="45" spans="1:8">
      <c r="A45" s="426">
        <v>41689</v>
      </c>
      <c r="C45" s="427">
        <v>11.19</v>
      </c>
      <c r="D45" s="427">
        <v>5.04</v>
      </c>
      <c r="E45" s="428">
        <v>81</v>
      </c>
      <c r="F45" s="428">
        <v>1860</v>
      </c>
      <c r="G45" s="191"/>
      <c r="H45" s="427">
        <v>11.9</v>
      </c>
    </row>
    <row r="46" spans="1:8">
      <c r="A46" s="426">
        <v>41696</v>
      </c>
      <c r="C46" s="427">
        <v>9.0299999999999994</v>
      </c>
      <c r="D46" s="427">
        <v>2.5299999999999998</v>
      </c>
      <c r="E46" s="428">
        <v>82.5</v>
      </c>
      <c r="F46" s="428">
        <v>1937</v>
      </c>
      <c r="G46" s="191"/>
      <c r="H46" s="427">
        <v>25.2</v>
      </c>
    </row>
    <row r="47" spans="1:8">
      <c r="A47" s="426">
        <v>41703</v>
      </c>
      <c r="C47" s="427">
        <v>15.19</v>
      </c>
      <c r="D47" s="427">
        <v>3.24</v>
      </c>
      <c r="E47" s="428">
        <v>70.5</v>
      </c>
      <c r="F47" s="428">
        <v>3531</v>
      </c>
      <c r="G47" s="191"/>
      <c r="H47" s="427">
        <v>0.3</v>
      </c>
    </row>
    <row r="48" spans="1:8">
      <c r="A48" s="426">
        <v>41710</v>
      </c>
      <c r="C48" s="427">
        <v>14.49</v>
      </c>
      <c r="D48" s="427">
        <v>5.12</v>
      </c>
      <c r="E48" s="428">
        <v>76</v>
      </c>
      <c r="F48" s="428">
        <v>3188</v>
      </c>
      <c r="G48" s="191"/>
      <c r="H48" s="427">
        <v>0.5</v>
      </c>
    </row>
    <row r="49" spans="1:8">
      <c r="A49" s="426">
        <v>41717</v>
      </c>
      <c r="C49" s="427">
        <v>12.46</v>
      </c>
      <c r="D49" s="427">
        <v>4.4400000000000004</v>
      </c>
      <c r="E49" s="428">
        <v>72.5</v>
      </c>
      <c r="F49" s="428">
        <v>3520</v>
      </c>
      <c r="G49" s="191"/>
      <c r="H49" s="427">
        <v>10.1</v>
      </c>
    </row>
    <row r="50" spans="1:8">
      <c r="A50" s="426">
        <v>41724</v>
      </c>
      <c r="C50" s="427">
        <v>16.43</v>
      </c>
      <c r="D50" s="427">
        <v>4.33</v>
      </c>
      <c r="E50" s="428">
        <v>65.5</v>
      </c>
      <c r="F50" s="428">
        <v>4186</v>
      </c>
      <c r="G50" s="191"/>
      <c r="H50" s="427">
        <v>0</v>
      </c>
    </row>
    <row r="51" spans="1:8">
      <c r="A51" s="426">
        <v>41731</v>
      </c>
      <c r="C51" s="427">
        <v>17.45</v>
      </c>
      <c r="D51" s="427">
        <v>9.58</v>
      </c>
      <c r="E51" s="428">
        <v>75</v>
      </c>
      <c r="F51" s="428">
        <v>3185</v>
      </c>
      <c r="G51" s="191"/>
      <c r="H51" s="427">
        <v>6.5</v>
      </c>
    </row>
    <row r="52" spans="1:8">
      <c r="A52" s="426">
        <v>41738</v>
      </c>
      <c r="C52" s="427">
        <v>15.26</v>
      </c>
      <c r="D52" s="427">
        <v>4.79</v>
      </c>
      <c r="E52" s="428">
        <v>71.5</v>
      </c>
      <c r="F52" s="428">
        <v>4837</v>
      </c>
      <c r="G52" s="191"/>
      <c r="H52" s="427">
        <v>0.4</v>
      </c>
    </row>
    <row r="53" spans="1:8">
      <c r="A53" s="426">
        <v>41745</v>
      </c>
      <c r="C53" s="427">
        <v>16.3</v>
      </c>
      <c r="D53" s="427">
        <v>5.73</v>
      </c>
      <c r="E53" s="428">
        <v>66.5</v>
      </c>
      <c r="F53" s="428">
        <v>4798</v>
      </c>
      <c r="G53" s="191"/>
      <c r="H53" s="427">
        <v>0</v>
      </c>
    </row>
    <row r="54" spans="1:8">
      <c r="A54" s="426">
        <v>41752</v>
      </c>
      <c r="C54" s="427">
        <v>16.77</v>
      </c>
      <c r="D54" s="427">
        <v>8.17</v>
      </c>
      <c r="E54" s="428">
        <v>79</v>
      </c>
      <c r="F54" s="428">
        <v>3866</v>
      </c>
      <c r="G54" s="191"/>
      <c r="H54" s="427">
        <v>14.7</v>
      </c>
    </row>
    <row r="55" spans="1:8">
      <c r="A55" s="426">
        <v>41759</v>
      </c>
      <c r="C55" s="427">
        <v>16.82</v>
      </c>
      <c r="D55" s="427">
        <v>6.99</v>
      </c>
      <c r="E55" s="428">
        <v>73</v>
      </c>
      <c r="F55" s="428">
        <v>4840</v>
      </c>
      <c r="G55" s="191"/>
      <c r="H55" s="427">
        <v>15.1</v>
      </c>
    </row>
    <row r="56" spans="1:8">
      <c r="A56" s="426">
        <v>41766</v>
      </c>
      <c r="C56" s="427">
        <v>15.34</v>
      </c>
      <c r="D56" s="427">
        <v>9.06</v>
      </c>
      <c r="E56" s="428">
        <v>78.5</v>
      </c>
      <c r="F56" s="428">
        <v>3931</v>
      </c>
      <c r="G56" s="191"/>
      <c r="H56" s="427">
        <v>33.4</v>
      </c>
    </row>
    <row r="57" spans="1:8">
      <c r="A57" s="426">
        <v>41773</v>
      </c>
      <c r="C57" s="427">
        <v>20.12</v>
      </c>
      <c r="D57" s="427">
        <v>7.69</v>
      </c>
      <c r="E57" s="428">
        <v>69</v>
      </c>
      <c r="F57" s="428">
        <v>6811</v>
      </c>
      <c r="G57" s="191"/>
      <c r="H57" s="427">
        <v>4.4000000000000004</v>
      </c>
    </row>
    <row r="58" spans="1:8">
      <c r="A58" s="426">
        <v>41780</v>
      </c>
      <c r="C58" s="427">
        <v>18.57</v>
      </c>
      <c r="D58" s="427">
        <v>10.89</v>
      </c>
      <c r="E58" s="428">
        <v>78.5</v>
      </c>
      <c r="F58" s="428">
        <v>4371</v>
      </c>
      <c r="G58" s="191"/>
      <c r="H58" s="427">
        <v>33.6</v>
      </c>
    </row>
    <row r="59" spans="1:8">
      <c r="A59" s="426">
        <v>41787</v>
      </c>
      <c r="C59" s="427">
        <v>18.66</v>
      </c>
      <c r="D59" s="427">
        <v>9.9600000000000009</v>
      </c>
      <c r="E59" s="428">
        <v>77.5</v>
      </c>
      <c r="F59" s="428">
        <v>4950</v>
      </c>
      <c r="G59" s="191"/>
      <c r="H59" s="427">
        <v>8.3000000000000007</v>
      </c>
    </row>
    <row r="60" spans="1:8">
      <c r="A60" s="426">
        <v>41794</v>
      </c>
      <c r="C60" s="427">
        <v>23.4</v>
      </c>
      <c r="D60" s="427">
        <v>12.89</v>
      </c>
      <c r="E60" s="428">
        <v>75</v>
      </c>
      <c r="F60" s="428">
        <v>5871</v>
      </c>
      <c r="G60" s="191"/>
      <c r="H60" s="427">
        <v>37.1</v>
      </c>
    </row>
    <row r="61" spans="1:8">
      <c r="A61" s="426">
        <v>41801</v>
      </c>
      <c r="C61" s="427">
        <v>21</v>
      </c>
      <c r="D61" s="427">
        <v>11.92</v>
      </c>
      <c r="E61" s="428">
        <v>72</v>
      </c>
      <c r="F61" s="428">
        <v>6096</v>
      </c>
      <c r="G61" s="191"/>
      <c r="H61" s="427">
        <v>2.5</v>
      </c>
    </row>
    <row r="62" spans="1:8">
      <c r="A62" s="426">
        <v>41808</v>
      </c>
      <c r="C62" s="427">
        <v>22.13</v>
      </c>
      <c r="D62" s="427">
        <v>10.87</v>
      </c>
      <c r="E62" s="428">
        <v>70</v>
      </c>
      <c r="F62" s="428">
        <v>6483</v>
      </c>
      <c r="G62" s="191"/>
      <c r="H62" s="427">
        <v>1.2</v>
      </c>
    </row>
    <row r="63" spans="1:8">
      <c r="A63" s="426">
        <v>41815</v>
      </c>
      <c r="C63" s="427">
        <v>20.97</v>
      </c>
      <c r="D63" s="427">
        <v>11.67</v>
      </c>
      <c r="E63" s="428">
        <v>72.5</v>
      </c>
      <c r="F63" s="428">
        <v>5713</v>
      </c>
      <c r="G63" s="191"/>
      <c r="H63" s="427">
        <v>16.899999999999999</v>
      </c>
    </row>
    <row r="64" spans="1:8">
      <c r="A64" s="426">
        <v>41822</v>
      </c>
      <c r="C64" s="427">
        <v>22.83</v>
      </c>
      <c r="D64" s="427">
        <v>13.27</v>
      </c>
      <c r="E64" s="428">
        <v>74.5</v>
      </c>
      <c r="F64" s="428">
        <v>5356</v>
      </c>
      <c r="G64" s="191"/>
      <c r="H64" s="427">
        <v>25.1</v>
      </c>
    </row>
    <row r="65" spans="1:8">
      <c r="A65" s="426">
        <v>41829</v>
      </c>
      <c r="C65" s="427">
        <v>20.29</v>
      </c>
      <c r="D65" s="427">
        <v>13.66</v>
      </c>
      <c r="E65" s="428">
        <v>83.5</v>
      </c>
      <c r="F65" s="428">
        <v>3787</v>
      </c>
      <c r="G65" s="191"/>
      <c r="H65" s="427">
        <v>34.4</v>
      </c>
    </row>
    <row r="66" spans="1:8">
      <c r="A66" s="426">
        <v>41836</v>
      </c>
      <c r="C66" s="427">
        <v>27.12</v>
      </c>
      <c r="D66" s="427">
        <v>16.73</v>
      </c>
      <c r="E66" s="428">
        <v>74.5</v>
      </c>
      <c r="F66" s="428">
        <v>5654</v>
      </c>
      <c r="G66" s="191"/>
      <c r="H66" s="427">
        <v>13.1</v>
      </c>
    </row>
  </sheetData>
  <mergeCells count="13">
    <mergeCell ref="C10:G10"/>
    <mergeCell ref="A6:A8"/>
    <mergeCell ref="C6:G6"/>
    <mergeCell ref="C7:G7"/>
    <mergeCell ref="C8:G8"/>
    <mergeCell ref="C9:G9"/>
    <mergeCell ref="B19:D19"/>
    <mergeCell ref="C11:G11"/>
    <mergeCell ref="C12:G12"/>
    <mergeCell ref="C13:G13"/>
    <mergeCell ref="C14:G14"/>
    <mergeCell ref="C15:G15"/>
    <mergeCell ref="C16:G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E36" sqref="E36"/>
    </sheetView>
  </sheetViews>
  <sheetFormatPr baseColWidth="10" defaultRowHeight="12"/>
  <cols>
    <col min="2" max="2" width="19.7109375" customWidth="1"/>
  </cols>
  <sheetData>
    <row r="1" spans="1:9" ht="12.75">
      <c r="A1" s="441" t="s">
        <v>8196</v>
      </c>
      <c r="B1" s="442"/>
      <c r="C1" s="381" t="s">
        <v>8197</v>
      </c>
      <c r="D1" s="382"/>
    </row>
    <row r="2" spans="1:9" ht="12.75">
      <c r="A2" s="443" t="s">
        <v>8198</v>
      </c>
      <c r="B2" s="444"/>
      <c r="C2" s="381" t="s">
        <v>8199</v>
      </c>
      <c r="D2" s="383"/>
      <c r="E2" s="383"/>
      <c r="F2" s="377"/>
      <c r="G2" s="377"/>
      <c r="H2" s="377"/>
      <c r="I2" s="384"/>
    </row>
    <row r="3" spans="1:9" ht="13.5" thickBot="1">
      <c r="A3" s="443" t="s">
        <v>8200</v>
      </c>
      <c r="B3" s="444"/>
      <c r="C3" s="381" t="s">
        <v>8201</v>
      </c>
      <c r="D3" s="383"/>
      <c r="E3" s="385"/>
      <c r="F3" s="377"/>
      <c r="G3" s="377"/>
      <c r="H3" s="377"/>
      <c r="I3" s="384"/>
    </row>
    <row r="4" spans="1:9" ht="13.5" thickTop="1">
      <c r="A4" s="445" t="s">
        <v>8202</v>
      </c>
      <c r="B4" s="446"/>
      <c r="C4" s="449" t="s">
        <v>8203</v>
      </c>
      <c r="D4" s="450"/>
      <c r="E4" s="386"/>
      <c r="F4" s="387" t="s">
        <v>8204</v>
      </c>
      <c r="G4" s="388"/>
      <c r="H4" s="379"/>
      <c r="I4" s="389"/>
    </row>
    <row r="5" spans="1:9" ht="16.5" thickBot="1">
      <c r="A5" s="447"/>
      <c r="B5" s="448"/>
      <c r="C5" s="451" t="s">
        <v>8205</v>
      </c>
      <c r="D5" s="452"/>
      <c r="E5" s="390"/>
      <c r="F5" s="391"/>
      <c r="G5" s="392"/>
      <c r="H5" s="392"/>
      <c r="I5" s="393"/>
    </row>
    <row r="6" spans="1:9" ht="12.75" thickTop="1"/>
  </sheetData>
  <protectedRanges>
    <protectedRange password="DF17" sqref="A4:I5" name="Range1"/>
  </protectedRanges>
  <mergeCells count="6">
    <mergeCell ref="A1:B1"/>
    <mergeCell ref="A2:B2"/>
    <mergeCell ref="A3:B3"/>
    <mergeCell ref="A4:B5"/>
    <mergeCell ref="C4:D4"/>
    <mergeCell ref="C5:D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topLeftCell="L1" workbookViewId="0">
      <selection activeCell="Y34" sqref="Y34"/>
    </sheetView>
  </sheetViews>
  <sheetFormatPr baseColWidth="10" defaultRowHeight="12"/>
  <cols>
    <col min="6" max="6" width="20.42578125" bestFit="1" customWidth="1"/>
    <col min="16" max="16" width="14.42578125" bestFit="1" customWidth="1"/>
    <col min="24" max="24" width="15.85546875" bestFit="1" customWidth="1"/>
  </cols>
  <sheetData>
    <row r="1" spans="1:25" ht="15.75">
      <c r="A1" s="214"/>
      <c r="B1" s="214"/>
      <c r="C1" s="215"/>
      <c r="D1" s="215"/>
      <c r="E1" s="215"/>
      <c r="F1" s="215"/>
      <c r="G1" s="215"/>
      <c r="H1" s="461" t="s">
        <v>8095</v>
      </c>
      <c r="I1" s="462"/>
      <c r="J1" s="463"/>
      <c r="K1" s="464" t="s">
        <v>8096</v>
      </c>
      <c r="L1" s="462"/>
      <c r="M1" s="462"/>
      <c r="N1" s="462"/>
      <c r="O1" s="462"/>
      <c r="P1" s="462"/>
      <c r="Q1" s="462"/>
      <c r="R1" s="463"/>
      <c r="S1" s="465" t="s">
        <v>8097</v>
      </c>
      <c r="T1" s="466"/>
      <c r="U1" s="467" t="s">
        <v>8098</v>
      </c>
      <c r="V1" s="467"/>
      <c r="W1" s="468"/>
      <c r="X1" s="216"/>
      <c r="Y1" s="200"/>
    </row>
    <row r="2" spans="1:25" ht="12.75">
      <c r="A2" s="217" t="s">
        <v>8099</v>
      </c>
      <c r="B2" s="217" t="s">
        <v>177</v>
      </c>
      <c r="C2" s="217" t="s">
        <v>22</v>
      </c>
      <c r="D2" s="220" t="s">
        <v>21</v>
      </c>
      <c r="E2" s="217" t="s">
        <v>8100</v>
      </c>
      <c r="F2" s="217" t="s">
        <v>8101</v>
      </c>
      <c r="G2" s="217" t="s">
        <v>8102</v>
      </c>
      <c r="H2" s="217" t="s">
        <v>8103</v>
      </c>
      <c r="I2" s="217" t="s">
        <v>8104</v>
      </c>
      <c r="J2" s="218" t="s">
        <v>8105</v>
      </c>
      <c r="K2" s="219" t="s">
        <v>8103</v>
      </c>
      <c r="L2" s="217" t="s">
        <v>8106</v>
      </c>
      <c r="M2" s="220" t="s">
        <v>8107</v>
      </c>
      <c r="N2" s="220" t="s">
        <v>8108</v>
      </c>
      <c r="O2" s="217" t="s">
        <v>8109</v>
      </c>
      <c r="P2" s="220" t="s">
        <v>8110</v>
      </c>
      <c r="Q2" s="220" t="s">
        <v>8111</v>
      </c>
      <c r="R2" s="221" t="s">
        <v>8112</v>
      </c>
      <c r="S2" s="222" t="s">
        <v>8113</v>
      </c>
      <c r="T2" s="220" t="s">
        <v>8114</v>
      </c>
      <c r="U2" s="223" t="s">
        <v>8115</v>
      </c>
      <c r="V2" s="223" t="s">
        <v>8116</v>
      </c>
      <c r="W2" s="224" t="s">
        <v>8117</v>
      </c>
      <c r="X2" s="225" t="s">
        <v>8118</v>
      </c>
      <c r="Y2" s="226" t="s">
        <v>8119</v>
      </c>
    </row>
    <row r="3" spans="1:25" s="298" customFormat="1" ht="15" customHeight="1">
      <c r="A3" s="283" t="s">
        <v>8120</v>
      </c>
      <c r="B3" s="284">
        <v>2014</v>
      </c>
      <c r="C3" s="285">
        <v>211</v>
      </c>
      <c r="D3" s="286"/>
      <c r="E3" s="287">
        <v>3</v>
      </c>
      <c r="F3" s="288" t="s">
        <v>7596</v>
      </c>
      <c r="G3" s="288"/>
      <c r="H3" s="288">
        <v>37</v>
      </c>
      <c r="I3" s="289">
        <v>382</v>
      </c>
      <c r="J3" s="290">
        <f>I3*L3</f>
        <v>52.568807339449542</v>
      </c>
      <c r="K3" s="291">
        <v>6</v>
      </c>
      <c r="L3" s="289">
        <f>R3/O3</f>
        <v>0.13761467889908258</v>
      </c>
      <c r="M3" s="453">
        <v>109</v>
      </c>
      <c r="N3" s="454"/>
      <c r="O3" s="292">
        <v>109</v>
      </c>
      <c r="P3" s="455">
        <v>15</v>
      </c>
      <c r="Q3" s="456"/>
      <c r="R3" s="293">
        <v>15</v>
      </c>
      <c r="S3" s="294">
        <f>(R3+J3)/100</f>
        <v>0.67568807339449533</v>
      </c>
      <c r="T3" s="295">
        <f>MIN(4.63,4.48*S3^(-0.25))</f>
        <v>4.63</v>
      </c>
      <c r="U3" s="469">
        <v>3.1095000000000002</v>
      </c>
      <c r="V3" s="470"/>
      <c r="W3" s="296" t="s">
        <v>8165</v>
      </c>
      <c r="X3" s="296" t="s">
        <v>8165</v>
      </c>
      <c r="Y3" s="297">
        <f>U3/T3</f>
        <v>0.67159827213822898</v>
      </c>
    </row>
    <row r="4" spans="1:25" s="298" customFormat="1" ht="15" customHeight="1">
      <c r="A4" s="283" t="s">
        <v>8120</v>
      </c>
      <c r="B4" s="284">
        <v>2014</v>
      </c>
      <c r="C4" s="285">
        <v>215</v>
      </c>
      <c r="D4" s="286"/>
      <c r="E4" s="287">
        <v>2</v>
      </c>
      <c r="F4" s="288" t="s">
        <v>8164</v>
      </c>
      <c r="G4" s="288"/>
      <c r="H4" s="288">
        <v>44</v>
      </c>
      <c r="I4" s="289">
        <v>516</v>
      </c>
      <c r="J4" s="290">
        <f t="shared" ref="J4:J25" si="0">I4*L4</f>
        <v>67.476923076923086</v>
      </c>
      <c r="K4" s="291">
        <v>8</v>
      </c>
      <c r="L4" s="289">
        <f t="shared" ref="L4:L26" si="1">R4/O4</f>
        <v>0.13076923076923078</v>
      </c>
      <c r="M4" s="453">
        <v>130</v>
      </c>
      <c r="N4" s="454">
        <v>130</v>
      </c>
      <c r="O4" s="292">
        <v>130</v>
      </c>
      <c r="P4" s="455">
        <v>17</v>
      </c>
      <c r="Q4" s="456">
        <v>17</v>
      </c>
      <c r="R4" s="293">
        <v>17</v>
      </c>
      <c r="S4" s="294">
        <f t="shared" ref="S4:S34" si="2">(R4+J4)/100</f>
        <v>0.84476923076923083</v>
      </c>
      <c r="T4" s="295">
        <f t="shared" ref="T4:T34" si="3">MIN(4.63,4.48*S4^(-0.25))</f>
        <v>4.63</v>
      </c>
      <c r="U4" s="469">
        <v>3.1137000000000001</v>
      </c>
      <c r="V4" s="470"/>
      <c r="W4" s="296" t="s">
        <v>8165</v>
      </c>
      <c r="X4" s="296" t="s">
        <v>8165</v>
      </c>
      <c r="Y4" s="297">
        <f t="shared" ref="Y4:Y10" si="4">U4/T4</f>
        <v>0.67250539956803457</v>
      </c>
    </row>
    <row r="5" spans="1:25" s="298" customFormat="1" ht="15" customHeight="1">
      <c r="A5" s="283" t="s">
        <v>8120</v>
      </c>
      <c r="B5" s="284">
        <v>2014</v>
      </c>
      <c r="C5" s="285">
        <v>216</v>
      </c>
      <c r="D5" s="286"/>
      <c r="E5" s="287">
        <v>3</v>
      </c>
      <c r="F5" s="288" t="s">
        <v>8164</v>
      </c>
      <c r="G5" s="288"/>
      <c r="H5" s="288">
        <v>38</v>
      </c>
      <c r="I5" s="289">
        <v>548</v>
      </c>
      <c r="J5" s="290">
        <f t="shared" si="0"/>
        <v>80.588235294117652</v>
      </c>
      <c r="K5" s="291">
        <v>7</v>
      </c>
      <c r="L5" s="289">
        <f t="shared" si="1"/>
        <v>0.14705882352941177</v>
      </c>
      <c r="M5" s="453">
        <v>136</v>
      </c>
      <c r="N5" s="454">
        <v>136</v>
      </c>
      <c r="O5" s="292">
        <v>136</v>
      </c>
      <c r="P5" s="455">
        <v>20</v>
      </c>
      <c r="Q5" s="456">
        <v>20</v>
      </c>
      <c r="R5" s="293">
        <v>20</v>
      </c>
      <c r="S5" s="294">
        <f t="shared" si="2"/>
        <v>1.0058823529411764</v>
      </c>
      <c r="T5" s="295">
        <f t="shared" si="3"/>
        <v>4.4734358798080009</v>
      </c>
      <c r="U5" s="469">
        <v>3.2242999999999999</v>
      </c>
      <c r="V5" s="470"/>
      <c r="W5" s="296" t="s">
        <v>8165</v>
      </c>
      <c r="X5" s="296" t="s">
        <v>8165</v>
      </c>
      <c r="Y5" s="297">
        <f t="shared" si="4"/>
        <v>0.72076589150494008</v>
      </c>
    </row>
    <row r="6" spans="1:25" s="298" customFormat="1" ht="15" customHeight="1">
      <c r="A6" s="283" t="s">
        <v>8120</v>
      </c>
      <c r="B6" s="284">
        <v>2014</v>
      </c>
      <c r="C6" s="285">
        <v>215</v>
      </c>
      <c r="D6" s="286"/>
      <c r="E6" s="287">
        <v>1</v>
      </c>
      <c r="F6" s="288" t="s">
        <v>8164</v>
      </c>
      <c r="G6" s="288"/>
      <c r="H6" s="288">
        <v>36</v>
      </c>
      <c r="I6" s="289">
        <v>566</v>
      </c>
      <c r="J6" s="290">
        <f t="shared" si="0"/>
        <v>87.39705882352942</v>
      </c>
      <c r="K6" s="291">
        <v>6</v>
      </c>
      <c r="L6" s="289">
        <f t="shared" si="1"/>
        <v>0.15441176470588236</v>
      </c>
      <c r="M6" s="453">
        <v>136</v>
      </c>
      <c r="N6" s="454">
        <v>136</v>
      </c>
      <c r="O6" s="292">
        <v>136</v>
      </c>
      <c r="P6" s="455">
        <v>21</v>
      </c>
      <c r="Q6" s="456">
        <v>21</v>
      </c>
      <c r="R6" s="293">
        <v>21</v>
      </c>
      <c r="S6" s="294">
        <f t="shared" si="2"/>
        <v>1.0839705882352941</v>
      </c>
      <c r="T6" s="295">
        <f t="shared" si="3"/>
        <v>4.3905976374755715</v>
      </c>
      <c r="U6" s="469">
        <v>2.8527</v>
      </c>
      <c r="V6" s="470"/>
      <c r="W6" s="296" t="s">
        <v>8165</v>
      </c>
      <c r="X6" s="296" t="s">
        <v>8165</v>
      </c>
      <c r="Y6" s="297">
        <f t="shared" si="4"/>
        <v>0.64972931603912476</v>
      </c>
    </row>
    <row r="7" spans="1:25" s="298" customFormat="1" ht="15" customHeight="1">
      <c r="A7" s="283" t="s">
        <v>8120</v>
      </c>
      <c r="B7" s="284">
        <v>2014</v>
      </c>
      <c r="C7" s="285">
        <v>216</v>
      </c>
      <c r="D7" s="286"/>
      <c r="E7" s="287">
        <v>4</v>
      </c>
      <c r="F7" s="288" t="s">
        <v>8164</v>
      </c>
      <c r="G7" s="288"/>
      <c r="H7" s="288">
        <v>38</v>
      </c>
      <c r="I7" s="289">
        <v>480</v>
      </c>
      <c r="J7" s="290">
        <f t="shared" si="0"/>
        <v>71.428571428571431</v>
      </c>
      <c r="K7" s="291">
        <v>8</v>
      </c>
      <c r="L7" s="289">
        <f t="shared" si="1"/>
        <v>0.14880952380952381</v>
      </c>
      <c r="M7" s="453">
        <v>168</v>
      </c>
      <c r="N7" s="454">
        <v>168</v>
      </c>
      <c r="O7" s="292">
        <v>168</v>
      </c>
      <c r="P7" s="455">
        <v>25</v>
      </c>
      <c r="Q7" s="456">
        <v>25</v>
      </c>
      <c r="R7" s="293">
        <v>25</v>
      </c>
      <c r="S7" s="294">
        <f t="shared" si="2"/>
        <v>0.9642857142857143</v>
      </c>
      <c r="T7" s="295">
        <f t="shared" si="3"/>
        <v>4.5209174886924028</v>
      </c>
      <c r="U7" s="469">
        <v>2.9798</v>
      </c>
      <c r="V7" s="470"/>
      <c r="W7" s="296" t="s">
        <v>8165</v>
      </c>
      <c r="X7" s="296" t="s">
        <v>8165</v>
      </c>
      <c r="Y7" s="297">
        <f t="shared" si="4"/>
        <v>0.65911399786724612</v>
      </c>
    </row>
    <row r="8" spans="1:25" s="298" customFormat="1" ht="15" customHeight="1">
      <c r="A8" s="283" t="s">
        <v>8120</v>
      </c>
      <c r="B8" s="284">
        <v>2014</v>
      </c>
      <c r="C8" s="285">
        <v>211</v>
      </c>
      <c r="D8" s="286"/>
      <c r="E8" s="287">
        <v>1</v>
      </c>
      <c r="F8" s="288" t="s">
        <v>7596</v>
      </c>
      <c r="G8" s="288"/>
      <c r="H8" s="288">
        <v>26</v>
      </c>
      <c r="I8" s="289">
        <v>450</v>
      </c>
      <c r="J8" s="290">
        <f t="shared" si="0"/>
        <v>59.790209790209786</v>
      </c>
      <c r="K8" s="291">
        <v>5</v>
      </c>
      <c r="L8" s="289">
        <f t="shared" si="1"/>
        <v>0.13286713286713286</v>
      </c>
      <c r="M8" s="453">
        <v>143</v>
      </c>
      <c r="N8" s="454">
        <v>143</v>
      </c>
      <c r="O8" s="292">
        <v>143</v>
      </c>
      <c r="P8" s="455">
        <v>19</v>
      </c>
      <c r="Q8" s="456">
        <v>19</v>
      </c>
      <c r="R8" s="293">
        <v>19</v>
      </c>
      <c r="S8" s="294">
        <f t="shared" si="2"/>
        <v>0.78790209790209786</v>
      </c>
      <c r="T8" s="295">
        <f t="shared" si="3"/>
        <v>4.63</v>
      </c>
      <c r="U8" s="469">
        <v>3.4028</v>
      </c>
      <c r="V8" s="470"/>
      <c r="W8" s="296" t="s">
        <v>8165</v>
      </c>
      <c r="X8" s="296" t="s">
        <v>8165</v>
      </c>
      <c r="Y8" s="297">
        <f t="shared" si="4"/>
        <v>0.7349460043196544</v>
      </c>
    </row>
    <row r="9" spans="1:25" s="298" customFormat="1" ht="15" customHeight="1">
      <c r="A9" s="283" t="s">
        <v>8120</v>
      </c>
      <c r="B9" s="284">
        <v>2014</v>
      </c>
      <c r="C9" s="285">
        <v>211</v>
      </c>
      <c r="D9" s="286"/>
      <c r="E9" s="287">
        <v>2</v>
      </c>
      <c r="F9" s="288" t="s">
        <v>7596</v>
      </c>
      <c r="G9" s="288"/>
      <c r="H9" s="288">
        <v>33</v>
      </c>
      <c r="I9" s="289">
        <v>343</v>
      </c>
      <c r="J9" s="290">
        <f t="shared" si="0"/>
        <v>53.59375</v>
      </c>
      <c r="K9" s="291">
        <v>6</v>
      </c>
      <c r="L9" s="289">
        <f t="shared" si="1"/>
        <v>0.15625</v>
      </c>
      <c r="M9" s="453">
        <v>96</v>
      </c>
      <c r="N9" s="454">
        <v>96</v>
      </c>
      <c r="O9" s="292">
        <v>96</v>
      </c>
      <c r="P9" s="455">
        <v>15</v>
      </c>
      <c r="Q9" s="456">
        <v>15</v>
      </c>
      <c r="R9" s="293">
        <v>15</v>
      </c>
      <c r="S9" s="294">
        <f t="shared" si="2"/>
        <v>0.68593749999999998</v>
      </c>
      <c r="T9" s="295">
        <f t="shared" si="3"/>
        <v>4.63</v>
      </c>
      <c r="U9" s="469">
        <v>3.2265999999999999</v>
      </c>
      <c r="V9" s="470"/>
      <c r="W9" s="296" t="s">
        <v>8165</v>
      </c>
      <c r="X9" s="296" t="s">
        <v>8165</v>
      </c>
      <c r="Y9" s="297">
        <f t="shared" si="4"/>
        <v>0.69688984881209504</v>
      </c>
    </row>
    <row r="10" spans="1:25" s="314" customFormat="1" ht="15" customHeight="1" thickBot="1">
      <c r="A10" s="299" t="s">
        <v>8120</v>
      </c>
      <c r="B10" s="300">
        <v>2014</v>
      </c>
      <c r="C10" s="301">
        <v>211</v>
      </c>
      <c r="D10" s="302"/>
      <c r="E10" s="303">
        <v>4</v>
      </c>
      <c r="F10" s="304" t="s">
        <v>7596</v>
      </c>
      <c r="G10" s="304"/>
      <c r="H10" s="304">
        <v>22</v>
      </c>
      <c r="I10" s="305">
        <v>208</v>
      </c>
      <c r="J10" s="306">
        <f t="shared" si="0"/>
        <v>28.939130434782609</v>
      </c>
      <c r="K10" s="307">
        <v>5</v>
      </c>
      <c r="L10" s="305">
        <f t="shared" si="1"/>
        <v>0.1391304347826087</v>
      </c>
      <c r="M10" s="457">
        <v>115</v>
      </c>
      <c r="N10" s="458">
        <v>115</v>
      </c>
      <c r="O10" s="308">
        <v>115</v>
      </c>
      <c r="P10" s="459">
        <v>16</v>
      </c>
      <c r="Q10" s="460">
        <v>16</v>
      </c>
      <c r="R10" s="309">
        <v>16</v>
      </c>
      <c r="S10" s="310">
        <f t="shared" si="2"/>
        <v>0.44939130434782615</v>
      </c>
      <c r="T10" s="311">
        <f t="shared" si="3"/>
        <v>4.63</v>
      </c>
      <c r="U10" s="473">
        <v>3.2645</v>
      </c>
      <c r="V10" s="474"/>
      <c r="W10" s="312" t="s">
        <v>8165</v>
      </c>
      <c r="X10" s="312" t="s">
        <v>8165</v>
      </c>
      <c r="Y10" s="313">
        <f t="shared" si="4"/>
        <v>0.70507559395248376</v>
      </c>
    </row>
    <row r="11" spans="1:25" ht="15" customHeight="1" thickTop="1">
      <c r="A11" s="239" t="s">
        <v>8121</v>
      </c>
      <c r="B11" s="270">
        <v>2014</v>
      </c>
      <c r="C11" s="259">
        <v>211</v>
      </c>
      <c r="D11" s="255"/>
      <c r="E11" s="260">
        <v>3</v>
      </c>
      <c r="F11" s="232" t="s">
        <v>7596</v>
      </c>
      <c r="G11" s="232"/>
      <c r="H11" s="232">
        <v>20</v>
      </c>
      <c r="I11" s="240">
        <v>594</v>
      </c>
      <c r="J11" s="241">
        <f t="shared" si="0"/>
        <v>90.63187066974595</v>
      </c>
      <c r="K11" s="242">
        <v>4</v>
      </c>
      <c r="L11" s="240">
        <f t="shared" si="1"/>
        <v>0.15257890685142417</v>
      </c>
      <c r="M11" s="240"/>
      <c r="N11" s="243"/>
      <c r="O11" s="243">
        <v>129.9</v>
      </c>
      <c r="P11" s="232"/>
      <c r="Q11" s="232"/>
      <c r="R11" s="241">
        <v>19.82</v>
      </c>
      <c r="S11" s="244">
        <f t="shared" si="2"/>
        <v>1.1045187066974593</v>
      </c>
      <c r="T11" s="263">
        <f t="shared" si="3"/>
        <v>4.3700332872266339</v>
      </c>
      <c r="U11" s="475">
        <v>3.7214</v>
      </c>
      <c r="V11" s="475"/>
      <c r="W11" s="267" t="s">
        <v>8165</v>
      </c>
      <c r="X11" s="267" t="s">
        <v>8165</v>
      </c>
      <c r="Y11" s="245">
        <f>U11/T11</f>
        <v>0.8515724607584676</v>
      </c>
    </row>
    <row r="12" spans="1:25" ht="15" customHeight="1">
      <c r="A12" s="239" t="s">
        <v>8121</v>
      </c>
      <c r="B12" s="270">
        <v>2014</v>
      </c>
      <c r="C12" s="251">
        <v>215</v>
      </c>
      <c r="D12" s="256"/>
      <c r="E12" s="253">
        <v>2</v>
      </c>
      <c r="F12" s="227" t="s">
        <v>8164</v>
      </c>
      <c r="G12" s="227"/>
      <c r="H12" s="227">
        <v>29</v>
      </c>
      <c r="I12" s="228">
        <v>609</v>
      </c>
      <c r="J12" s="241">
        <f t="shared" si="0"/>
        <v>114.79075471698113</v>
      </c>
      <c r="K12" s="230">
        <v>6</v>
      </c>
      <c r="L12" s="240">
        <f t="shared" si="1"/>
        <v>0.18849056603773584</v>
      </c>
      <c r="M12" s="227"/>
      <c r="N12" s="232"/>
      <c r="O12" s="231">
        <v>212</v>
      </c>
      <c r="P12" s="227"/>
      <c r="Q12" s="227"/>
      <c r="R12" s="229">
        <v>39.96</v>
      </c>
      <c r="S12" s="244">
        <f t="shared" si="2"/>
        <v>1.5475075471698114</v>
      </c>
      <c r="T12" s="264">
        <f t="shared" si="3"/>
        <v>4.0167039194753515</v>
      </c>
      <c r="U12" s="471">
        <v>3.4901</v>
      </c>
      <c r="V12" s="471"/>
      <c r="W12" s="267" t="s">
        <v>8165</v>
      </c>
      <c r="X12" s="267" t="s">
        <v>8165</v>
      </c>
      <c r="Y12" s="245">
        <f t="shared" ref="Y12:Y18" si="5">U12/T12</f>
        <v>0.86889650568415933</v>
      </c>
    </row>
    <row r="13" spans="1:25" ht="15" customHeight="1">
      <c r="A13" s="239" t="s">
        <v>8121</v>
      </c>
      <c r="B13" s="270">
        <v>2014</v>
      </c>
      <c r="C13" s="251">
        <v>216</v>
      </c>
      <c r="D13" s="256"/>
      <c r="E13" s="253">
        <v>3</v>
      </c>
      <c r="F13" s="227" t="s">
        <v>8164</v>
      </c>
      <c r="G13" s="227"/>
      <c r="H13" s="227">
        <v>28</v>
      </c>
      <c r="I13" s="228">
        <v>604</v>
      </c>
      <c r="J13" s="241">
        <f t="shared" si="0"/>
        <v>105.82403804582793</v>
      </c>
      <c r="K13" s="230">
        <v>6</v>
      </c>
      <c r="L13" s="240">
        <f t="shared" si="1"/>
        <v>0.17520536100302639</v>
      </c>
      <c r="M13" s="227"/>
      <c r="N13" s="227"/>
      <c r="O13" s="231">
        <v>185.04</v>
      </c>
      <c r="P13" s="227"/>
      <c r="Q13" s="227"/>
      <c r="R13" s="229">
        <v>32.42</v>
      </c>
      <c r="S13" s="244">
        <f t="shared" si="2"/>
        <v>1.3824403804582794</v>
      </c>
      <c r="T13" s="264">
        <f t="shared" si="3"/>
        <v>4.131582329250918</v>
      </c>
      <c r="U13" s="471">
        <v>3.9378000000000002</v>
      </c>
      <c r="V13" s="471"/>
      <c r="W13" s="267" t="s">
        <v>8165</v>
      </c>
      <c r="X13" s="267" t="s">
        <v>8165</v>
      </c>
      <c r="Y13" s="245">
        <f t="shared" si="5"/>
        <v>0.9530973090191206</v>
      </c>
    </row>
    <row r="14" spans="1:25" ht="15" customHeight="1">
      <c r="A14" s="239" t="s">
        <v>8121</v>
      </c>
      <c r="B14" s="270">
        <v>2014</v>
      </c>
      <c r="C14" s="251">
        <v>215</v>
      </c>
      <c r="D14" s="256"/>
      <c r="E14" s="253">
        <v>1</v>
      </c>
      <c r="F14" s="227" t="s">
        <v>8164</v>
      </c>
      <c r="G14" s="227"/>
      <c r="H14" s="227">
        <v>44</v>
      </c>
      <c r="I14" s="228">
        <v>747</v>
      </c>
      <c r="J14" s="241">
        <f t="shared" si="0"/>
        <v>134.30697811509833</v>
      </c>
      <c r="K14" s="230">
        <v>9</v>
      </c>
      <c r="L14" s="240">
        <f t="shared" si="1"/>
        <v>0.17979515142583447</v>
      </c>
      <c r="M14" s="227"/>
      <c r="N14" s="227"/>
      <c r="O14" s="231">
        <v>271.42</v>
      </c>
      <c r="P14" s="227"/>
      <c r="Q14" s="227"/>
      <c r="R14" s="229">
        <v>48.8</v>
      </c>
      <c r="S14" s="244">
        <f t="shared" si="2"/>
        <v>1.8310697811509835</v>
      </c>
      <c r="T14" s="264">
        <f t="shared" si="3"/>
        <v>3.8512506990747326</v>
      </c>
      <c r="U14" s="471">
        <v>3.4925999999999999</v>
      </c>
      <c r="V14" s="471"/>
      <c r="W14" s="267" t="s">
        <v>8165</v>
      </c>
      <c r="X14" s="267" t="s">
        <v>8165</v>
      </c>
      <c r="Y14" s="245">
        <f t="shared" si="5"/>
        <v>0.90687422681652508</v>
      </c>
    </row>
    <row r="15" spans="1:25" ht="15" customHeight="1">
      <c r="A15" s="239" t="s">
        <v>8121</v>
      </c>
      <c r="B15" s="270">
        <v>2014</v>
      </c>
      <c r="C15" s="251">
        <v>216</v>
      </c>
      <c r="D15" s="256"/>
      <c r="E15" s="253">
        <v>4</v>
      </c>
      <c r="F15" s="227" t="s">
        <v>8164</v>
      </c>
      <c r="G15" s="227"/>
      <c r="H15" s="227">
        <v>32</v>
      </c>
      <c r="I15" s="228">
        <v>585</v>
      </c>
      <c r="J15" s="241">
        <f t="shared" si="0"/>
        <v>105.83343465045594</v>
      </c>
      <c r="K15" s="230">
        <v>7</v>
      </c>
      <c r="L15" s="240">
        <f t="shared" si="1"/>
        <v>0.18091185410334348</v>
      </c>
      <c r="M15" s="227"/>
      <c r="N15" s="227"/>
      <c r="O15" s="231">
        <v>164.5</v>
      </c>
      <c r="P15" s="227"/>
      <c r="Q15" s="227"/>
      <c r="R15" s="229">
        <v>29.76</v>
      </c>
      <c r="S15" s="244">
        <f t="shared" si="2"/>
        <v>1.3559343465045595</v>
      </c>
      <c r="T15" s="264">
        <f t="shared" si="3"/>
        <v>4.1516271992524514</v>
      </c>
      <c r="U15" s="471">
        <v>3.6309</v>
      </c>
      <c r="V15" s="471"/>
      <c r="W15" s="267" t="s">
        <v>8165</v>
      </c>
      <c r="X15" s="267" t="s">
        <v>8165</v>
      </c>
      <c r="Y15" s="245">
        <f t="shared" si="5"/>
        <v>0.87457274599554258</v>
      </c>
    </row>
    <row r="16" spans="1:25" ht="15" customHeight="1">
      <c r="A16" s="239" t="s">
        <v>8121</v>
      </c>
      <c r="B16" s="270">
        <v>2014</v>
      </c>
      <c r="C16" s="251">
        <v>211</v>
      </c>
      <c r="D16" s="256"/>
      <c r="E16" s="253">
        <v>1</v>
      </c>
      <c r="F16" s="227" t="s">
        <v>7596</v>
      </c>
      <c r="G16" s="227"/>
      <c r="H16" s="227">
        <v>40</v>
      </c>
      <c r="I16" s="228">
        <v>429</v>
      </c>
      <c r="J16" s="241">
        <f t="shared" si="0"/>
        <v>67.556274256144889</v>
      </c>
      <c r="K16" s="230">
        <v>8</v>
      </c>
      <c r="L16" s="240">
        <f t="shared" si="1"/>
        <v>0.15747383276490651</v>
      </c>
      <c r="M16" s="227"/>
      <c r="N16" s="227"/>
      <c r="O16" s="231">
        <v>85.03</v>
      </c>
      <c r="P16" s="227"/>
      <c r="Q16" s="227"/>
      <c r="R16" s="229">
        <v>13.39</v>
      </c>
      <c r="S16" s="244">
        <f t="shared" si="2"/>
        <v>0.8094627425614489</v>
      </c>
      <c r="T16" s="264">
        <f t="shared" si="3"/>
        <v>4.63</v>
      </c>
      <c r="U16" s="471">
        <v>3.8411</v>
      </c>
      <c r="V16" s="471"/>
      <c r="W16" s="267" t="s">
        <v>8165</v>
      </c>
      <c r="X16" s="267" t="s">
        <v>8165</v>
      </c>
      <c r="Y16" s="245">
        <f t="shared" si="5"/>
        <v>0.82961123110151191</v>
      </c>
    </row>
    <row r="17" spans="1:25" ht="15" customHeight="1">
      <c r="A17" s="239" t="s">
        <v>8121</v>
      </c>
      <c r="B17" s="270">
        <v>2014</v>
      </c>
      <c r="C17" s="251">
        <v>211</v>
      </c>
      <c r="D17" s="256"/>
      <c r="E17" s="253">
        <v>2</v>
      </c>
      <c r="F17" s="227" t="s">
        <v>7596</v>
      </c>
      <c r="G17" s="227"/>
      <c r="H17" s="227">
        <v>31</v>
      </c>
      <c r="I17" s="227">
        <v>503</v>
      </c>
      <c r="J17" s="241">
        <f t="shared" si="0"/>
        <v>76.854991872700822</v>
      </c>
      <c r="K17" s="230">
        <v>6</v>
      </c>
      <c r="L17" s="240">
        <f t="shared" si="1"/>
        <v>0.15279322439900761</v>
      </c>
      <c r="M17" s="227"/>
      <c r="N17" s="227"/>
      <c r="O17" s="231">
        <v>116.89</v>
      </c>
      <c r="P17" s="227"/>
      <c r="Q17" s="227"/>
      <c r="R17" s="229">
        <v>17.86</v>
      </c>
      <c r="S17" s="244">
        <f t="shared" si="2"/>
        <v>0.94714991872700827</v>
      </c>
      <c r="T17" s="264">
        <f t="shared" si="3"/>
        <v>4.541228266435887</v>
      </c>
      <c r="U17" s="471">
        <v>4.0110999999999999</v>
      </c>
      <c r="V17" s="471"/>
      <c r="W17" s="267" t="s">
        <v>8165</v>
      </c>
      <c r="X17" s="267" t="s">
        <v>8165</v>
      </c>
      <c r="Y17" s="245">
        <f t="shared" si="5"/>
        <v>0.88326324171941484</v>
      </c>
    </row>
    <row r="18" spans="1:25" s="250" customFormat="1" ht="15" customHeight="1" thickBot="1">
      <c r="A18" s="258" t="s">
        <v>8121</v>
      </c>
      <c r="B18" s="271">
        <v>2014</v>
      </c>
      <c r="C18" s="252">
        <v>211</v>
      </c>
      <c r="D18" s="257"/>
      <c r="E18" s="254">
        <v>4</v>
      </c>
      <c r="F18" s="246" t="s">
        <v>7596</v>
      </c>
      <c r="G18" s="246"/>
      <c r="H18" s="246">
        <v>25</v>
      </c>
      <c r="I18" s="246">
        <v>564</v>
      </c>
      <c r="J18" s="261">
        <f t="shared" si="0"/>
        <v>86.527479440974261</v>
      </c>
      <c r="K18" s="248">
        <v>5</v>
      </c>
      <c r="L18" s="262">
        <f t="shared" si="1"/>
        <v>0.15341751673931606</v>
      </c>
      <c r="M18" s="246"/>
      <c r="N18" s="246"/>
      <c r="O18" s="249">
        <v>222.53</v>
      </c>
      <c r="P18" s="246"/>
      <c r="Q18" s="246"/>
      <c r="R18" s="247">
        <v>34.14</v>
      </c>
      <c r="S18" s="266">
        <f t="shared" si="2"/>
        <v>1.2066747944097427</v>
      </c>
      <c r="T18" s="265">
        <f t="shared" si="3"/>
        <v>4.2744520905241501</v>
      </c>
      <c r="U18" s="472">
        <v>4.1353</v>
      </c>
      <c r="V18" s="472"/>
      <c r="W18" s="272" t="s">
        <v>8165</v>
      </c>
      <c r="X18" s="272" t="s">
        <v>8165</v>
      </c>
      <c r="Y18" s="273">
        <f t="shared" si="5"/>
        <v>0.96744563102423575</v>
      </c>
    </row>
    <row r="19" spans="1:25" s="298" customFormat="1" ht="15" customHeight="1" thickTop="1">
      <c r="A19" s="315" t="s">
        <v>8122</v>
      </c>
      <c r="B19" s="316">
        <v>2014</v>
      </c>
      <c r="C19" s="317">
        <v>207</v>
      </c>
      <c r="D19" s="318"/>
      <c r="E19" s="319">
        <v>4</v>
      </c>
      <c r="F19" s="320" t="s">
        <v>7596</v>
      </c>
      <c r="G19" s="318"/>
      <c r="H19" s="320">
        <v>33</v>
      </c>
      <c r="I19" s="320">
        <v>1925</v>
      </c>
      <c r="J19" s="318">
        <f t="shared" si="0"/>
        <v>215.76563066707584</v>
      </c>
      <c r="K19" s="321">
        <v>8</v>
      </c>
      <c r="L19" s="318">
        <f t="shared" si="1"/>
        <v>0.11208604190497447</v>
      </c>
      <c r="M19" s="318">
        <v>250</v>
      </c>
      <c r="N19" s="318">
        <v>466.86</v>
      </c>
      <c r="O19" s="318">
        <f>M19+N19</f>
        <v>716.86</v>
      </c>
      <c r="P19" s="322">
        <v>32.979999999999997</v>
      </c>
      <c r="Q19" s="322">
        <v>47.37</v>
      </c>
      <c r="R19" s="322">
        <f>P19+Q19</f>
        <v>80.349999999999994</v>
      </c>
      <c r="S19" s="323">
        <f t="shared" si="2"/>
        <v>2.9611563066707585</v>
      </c>
      <c r="T19" s="318">
        <f t="shared" si="3"/>
        <v>3.4151727840903567</v>
      </c>
      <c r="U19" s="318">
        <v>4.0583999999999998</v>
      </c>
      <c r="V19" s="318">
        <v>2.2749000000000001</v>
      </c>
      <c r="W19" s="318">
        <f>(U19*P19)+(V19*Q19)</f>
        <v>241.60804499999998</v>
      </c>
      <c r="X19" s="318">
        <f>W19/R19</f>
        <v>3.0069451773490976</v>
      </c>
      <c r="Y19" s="318">
        <f>X19/T19</f>
        <v>0.88046648513861592</v>
      </c>
    </row>
    <row r="20" spans="1:25" s="298" customFormat="1" ht="15" customHeight="1">
      <c r="A20" s="315" t="s">
        <v>8122</v>
      </c>
      <c r="B20" s="316">
        <v>2014</v>
      </c>
      <c r="C20" s="285">
        <v>215</v>
      </c>
      <c r="D20" s="286"/>
      <c r="E20" s="287">
        <v>3</v>
      </c>
      <c r="F20" s="288" t="s">
        <v>8164</v>
      </c>
      <c r="G20" s="286"/>
      <c r="H20" s="288">
        <v>21</v>
      </c>
      <c r="I20" s="288">
        <v>3346</v>
      </c>
      <c r="J20" s="318">
        <f t="shared" si="0"/>
        <v>402.07000675523523</v>
      </c>
      <c r="K20" s="291">
        <v>5</v>
      </c>
      <c r="L20" s="318">
        <f t="shared" si="1"/>
        <v>0.12016437739247915</v>
      </c>
      <c r="M20" s="286">
        <v>437</v>
      </c>
      <c r="N20" s="286">
        <v>451.2</v>
      </c>
      <c r="O20" s="286">
        <f t="shared" ref="O20:O26" si="6">M20+N20</f>
        <v>888.2</v>
      </c>
      <c r="P20" s="292">
        <v>57.44</v>
      </c>
      <c r="Q20" s="292">
        <v>49.29</v>
      </c>
      <c r="R20" s="292">
        <f t="shared" ref="R20:R26" si="7">P20+Q20</f>
        <v>106.72999999999999</v>
      </c>
      <c r="S20" s="324">
        <f t="shared" si="2"/>
        <v>5.0880000675523522</v>
      </c>
      <c r="T20" s="286">
        <f t="shared" si="3"/>
        <v>2.9829174647106034</v>
      </c>
      <c r="U20" s="286">
        <v>4.0674999999999999</v>
      </c>
      <c r="V20" s="286">
        <v>2.64</v>
      </c>
      <c r="W20" s="318">
        <f t="shared" ref="W20:W26" si="8">(U20*P20)+(V20*Q20)</f>
        <v>363.76279999999997</v>
      </c>
      <c r="X20" s="318">
        <f t="shared" ref="X20:X26" si="9">W20/R20</f>
        <v>3.4082526000187388</v>
      </c>
      <c r="Y20" s="318">
        <f t="shared" ref="Y20:Y26" si="10">X20/T20</f>
        <v>1.1425903131213189</v>
      </c>
    </row>
    <row r="21" spans="1:25" s="298" customFormat="1" ht="15" customHeight="1">
      <c r="A21" s="315" t="s">
        <v>8122</v>
      </c>
      <c r="B21" s="316">
        <v>2014</v>
      </c>
      <c r="C21" s="285">
        <v>207</v>
      </c>
      <c r="D21" s="286"/>
      <c r="E21" s="287">
        <v>3</v>
      </c>
      <c r="F21" s="288" t="s">
        <v>7596</v>
      </c>
      <c r="G21" s="286"/>
      <c r="H21" s="288">
        <v>15</v>
      </c>
      <c r="I21" s="288">
        <v>1918</v>
      </c>
      <c r="J21" s="318">
        <f t="shared" si="0"/>
        <v>219.82221614227089</v>
      </c>
      <c r="K21" s="291">
        <v>4</v>
      </c>
      <c r="L21" s="318">
        <f t="shared" si="1"/>
        <v>0.11461012311901506</v>
      </c>
      <c r="M21" s="286">
        <v>369</v>
      </c>
      <c r="N21" s="286">
        <v>362</v>
      </c>
      <c r="O21" s="286">
        <f t="shared" si="6"/>
        <v>731</v>
      </c>
      <c r="P21" s="292">
        <v>47.86</v>
      </c>
      <c r="Q21" s="292">
        <v>35.92</v>
      </c>
      <c r="R21" s="292">
        <f t="shared" si="7"/>
        <v>83.78</v>
      </c>
      <c r="S21" s="324">
        <f t="shared" si="2"/>
        <v>3.036022161422709</v>
      </c>
      <c r="T21" s="286">
        <f t="shared" si="3"/>
        <v>3.3939213953665379</v>
      </c>
      <c r="U21" s="286">
        <v>4.2873999999999999</v>
      </c>
      <c r="V21" s="286">
        <v>3.0697000000000001</v>
      </c>
      <c r="W21" s="318">
        <f t="shared" si="8"/>
        <v>315.45858800000002</v>
      </c>
      <c r="X21" s="318">
        <f t="shared" si="9"/>
        <v>3.7653209357841968</v>
      </c>
      <c r="Y21" s="318">
        <f t="shared" si="10"/>
        <v>1.1094308020582628</v>
      </c>
    </row>
    <row r="22" spans="1:25" s="298" customFormat="1" ht="15" customHeight="1">
      <c r="A22" s="315" t="s">
        <v>8122</v>
      </c>
      <c r="B22" s="316">
        <v>2014</v>
      </c>
      <c r="C22" s="285">
        <v>215</v>
      </c>
      <c r="D22" s="286"/>
      <c r="E22" s="287">
        <v>4</v>
      </c>
      <c r="F22" s="288" t="s">
        <v>8164</v>
      </c>
      <c r="G22" s="286"/>
      <c r="H22" s="288">
        <v>21</v>
      </c>
      <c r="I22" s="288">
        <v>1863</v>
      </c>
      <c r="J22" s="318">
        <f t="shared" si="0"/>
        <v>236.3720755273639</v>
      </c>
      <c r="K22" s="291">
        <v>6</v>
      </c>
      <c r="L22" s="318">
        <f t="shared" si="1"/>
        <v>0.12687712051925062</v>
      </c>
      <c r="M22" s="286">
        <v>270.5</v>
      </c>
      <c r="N22" s="286">
        <v>407.4</v>
      </c>
      <c r="O22" s="286">
        <f t="shared" si="6"/>
        <v>677.9</v>
      </c>
      <c r="P22" s="292">
        <v>38.78</v>
      </c>
      <c r="Q22" s="292">
        <v>47.23</v>
      </c>
      <c r="R22" s="292">
        <f t="shared" si="7"/>
        <v>86.009999999999991</v>
      </c>
      <c r="S22" s="324">
        <f t="shared" si="2"/>
        <v>3.2238207552736391</v>
      </c>
      <c r="T22" s="286">
        <f t="shared" si="3"/>
        <v>3.3433765515330593</v>
      </c>
      <c r="U22" s="286">
        <v>3.1171000000000002</v>
      </c>
      <c r="V22" s="286">
        <v>2.0167999999999999</v>
      </c>
      <c r="W22" s="318">
        <f t="shared" si="8"/>
        <v>216.134602</v>
      </c>
      <c r="X22" s="318">
        <f t="shared" si="9"/>
        <v>2.5129008487385192</v>
      </c>
      <c r="Y22" s="318">
        <f t="shared" si="10"/>
        <v>0.7516056926301834</v>
      </c>
    </row>
    <row r="23" spans="1:25" s="298" customFormat="1" ht="15" customHeight="1">
      <c r="A23" s="315" t="s">
        <v>8122</v>
      </c>
      <c r="B23" s="316">
        <v>2014</v>
      </c>
      <c r="C23" s="285">
        <v>207</v>
      </c>
      <c r="D23" s="286"/>
      <c r="E23" s="287">
        <v>1</v>
      </c>
      <c r="F23" s="288" t="s">
        <v>7596</v>
      </c>
      <c r="G23" s="286"/>
      <c r="H23" s="288">
        <v>39</v>
      </c>
      <c r="I23" s="288">
        <v>1787</v>
      </c>
      <c r="J23" s="318">
        <f t="shared" si="0"/>
        <v>230.69496098829649</v>
      </c>
      <c r="K23" s="291">
        <v>10</v>
      </c>
      <c r="L23" s="318">
        <f t="shared" si="1"/>
        <v>0.1290962288686606</v>
      </c>
      <c r="M23" s="286">
        <v>196.9</v>
      </c>
      <c r="N23" s="286">
        <v>418.3</v>
      </c>
      <c r="O23" s="286">
        <f t="shared" si="6"/>
        <v>615.20000000000005</v>
      </c>
      <c r="P23" s="292">
        <v>28.34</v>
      </c>
      <c r="Q23" s="292">
        <v>51.08</v>
      </c>
      <c r="R23" s="292">
        <f t="shared" si="7"/>
        <v>79.42</v>
      </c>
      <c r="S23" s="324">
        <f t="shared" si="2"/>
        <v>3.101149609882965</v>
      </c>
      <c r="T23" s="286">
        <f t="shared" si="3"/>
        <v>3.3759603272777827</v>
      </c>
      <c r="U23" s="286">
        <v>3.5023</v>
      </c>
      <c r="V23" s="286">
        <v>2.5238999999999998</v>
      </c>
      <c r="W23" s="318">
        <f t="shared" si="8"/>
        <v>228.175994</v>
      </c>
      <c r="X23" s="318">
        <f t="shared" si="9"/>
        <v>2.8730293880634599</v>
      </c>
      <c r="Y23" s="318">
        <f t="shared" si="10"/>
        <v>0.85102581474354499</v>
      </c>
    </row>
    <row r="24" spans="1:25" s="298" customFormat="1" ht="15" customHeight="1">
      <c r="A24" s="315" t="s">
        <v>8122</v>
      </c>
      <c r="B24" s="316">
        <v>2014</v>
      </c>
      <c r="C24" s="285">
        <v>216</v>
      </c>
      <c r="D24" s="286"/>
      <c r="E24" s="287">
        <v>2</v>
      </c>
      <c r="F24" s="288" t="s">
        <v>8164</v>
      </c>
      <c r="G24" s="286"/>
      <c r="H24" s="288">
        <v>14</v>
      </c>
      <c r="I24" s="288">
        <v>1437</v>
      </c>
      <c r="J24" s="318">
        <f t="shared" si="0"/>
        <v>179.10643544506817</v>
      </c>
      <c r="K24" s="291">
        <v>4</v>
      </c>
      <c r="L24" s="318">
        <f t="shared" si="1"/>
        <v>0.12463913392141139</v>
      </c>
      <c r="M24" s="286">
        <v>197.2</v>
      </c>
      <c r="N24" s="286">
        <v>301.60000000000002</v>
      </c>
      <c r="O24" s="286">
        <f t="shared" si="6"/>
        <v>498.8</v>
      </c>
      <c r="P24" s="292">
        <v>33.15</v>
      </c>
      <c r="Q24" s="292">
        <v>29.02</v>
      </c>
      <c r="R24" s="292">
        <f t="shared" si="7"/>
        <v>62.17</v>
      </c>
      <c r="S24" s="324">
        <f t="shared" si="2"/>
        <v>2.4127643544506814</v>
      </c>
      <c r="T24" s="286">
        <f t="shared" si="3"/>
        <v>3.5945893808143294</v>
      </c>
      <c r="U24" s="286">
        <v>4.0450999999999997</v>
      </c>
      <c r="V24" s="286">
        <v>3.5041000000000002</v>
      </c>
      <c r="W24" s="318">
        <f t="shared" si="8"/>
        <v>235.78404699999999</v>
      </c>
      <c r="X24" s="318">
        <f t="shared" si="9"/>
        <v>3.7925695190606397</v>
      </c>
      <c r="Y24" s="318">
        <f t="shared" si="10"/>
        <v>1.0550772612034645</v>
      </c>
    </row>
    <row r="25" spans="1:25" s="298" customFormat="1" ht="15" customHeight="1">
      <c r="A25" s="315" t="s">
        <v>8122</v>
      </c>
      <c r="B25" s="316">
        <v>2014</v>
      </c>
      <c r="C25" s="285">
        <v>207</v>
      </c>
      <c r="D25" s="286"/>
      <c r="E25" s="287">
        <v>2</v>
      </c>
      <c r="F25" s="288" t="s">
        <v>7596</v>
      </c>
      <c r="G25" s="286"/>
      <c r="H25" s="288">
        <v>25</v>
      </c>
      <c r="I25" s="288">
        <v>1830</v>
      </c>
      <c r="J25" s="318">
        <f t="shared" si="0"/>
        <v>203.59688917692804</v>
      </c>
      <c r="K25" s="291">
        <v>6</v>
      </c>
      <c r="L25" s="318">
        <f t="shared" si="1"/>
        <v>0.11125513069777489</v>
      </c>
      <c r="M25" s="286">
        <v>214.48</v>
      </c>
      <c r="N25" s="286">
        <v>341</v>
      </c>
      <c r="O25" s="286">
        <f t="shared" si="6"/>
        <v>555.48</v>
      </c>
      <c r="P25" s="292">
        <v>28.37</v>
      </c>
      <c r="Q25" s="292">
        <v>33.43</v>
      </c>
      <c r="R25" s="292">
        <f t="shared" si="7"/>
        <v>61.8</v>
      </c>
      <c r="S25" s="324">
        <f t="shared" si="2"/>
        <v>2.6539688917692801</v>
      </c>
      <c r="T25" s="286">
        <f t="shared" si="3"/>
        <v>3.5099752732056047</v>
      </c>
      <c r="U25" s="286">
        <v>4.6898999999999997</v>
      </c>
      <c r="V25" s="286">
        <v>3.6371000000000002</v>
      </c>
      <c r="W25" s="318">
        <f t="shared" si="8"/>
        <v>254.640716</v>
      </c>
      <c r="X25" s="318">
        <f t="shared" si="9"/>
        <v>4.1203999352750813</v>
      </c>
      <c r="Y25" s="318">
        <f t="shared" si="10"/>
        <v>1.1739113852822061</v>
      </c>
    </row>
    <row r="26" spans="1:25" s="314" customFormat="1" ht="15" customHeight="1" thickBot="1">
      <c r="A26" s="325" t="s">
        <v>8122</v>
      </c>
      <c r="B26" s="326">
        <v>2014</v>
      </c>
      <c r="C26" s="301">
        <v>216</v>
      </c>
      <c r="D26" s="302"/>
      <c r="E26" s="303">
        <v>1</v>
      </c>
      <c r="F26" s="304" t="s">
        <v>8164</v>
      </c>
      <c r="G26" s="302"/>
      <c r="H26" s="304">
        <v>19</v>
      </c>
      <c r="I26" s="304">
        <v>1453</v>
      </c>
      <c r="J26" s="327">
        <f>I26*L26</f>
        <v>164.56188094047022</v>
      </c>
      <c r="K26" s="307">
        <v>5</v>
      </c>
      <c r="L26" s="327">
        <f t="shared" si="1"/>
        <v>0.11325662831415707</v>
      </c>
      <c r="M26" s="314">
        <v>186</v>
      </c>
      <c r="N26" s="314">
        <v>213.8</v>
      </c>
      <c r="O26" s="302">
        <f t="shared" si="6"/>
        <v>399.8</v>
      </c>
      <c r="P26" s="308">
        <v>25.13</v>
      </c>
      <c r="Q26" s="308">
        <v>20.149999999999999</v>
      </c>
      <c r="R26" s="308">
        <f t="shared" si="7"/>
        <v>45.28</v>
      </c>
      <c r="S26" s="328">
        <f t="shared" si="2"/>
        <v>2.098418809404702</v>
      </c>
      <c r="T26" s="302">
        <f t="shared" si="3"/>
        <v>3.722245138627676</v>
      </c>
      <c r="U26" s="314">
        <v>3.3090999999999999</v>
      </c>
      <c r="V26" s="314">
        <v>2.6738</v>
      </c>
      <c r="W26" s="327">
        <f t="shared" si="8"/>
        <v>137.03475299999999</v>
      </c>
      <c r="X26" s="327">
        <f t="shared" si="9"/>
        <v>3.0263858878091869</v>
      </c>
      <c r="Y26" s="327">
        <f t="shared" si="10"/>
        <v>0.81305388954714586</v>
      </c>
    </row>
    <row r="27" spans="1:25" ht="12" customHeight="1" thickTop="1">
      <c r="A27" s="269" t="s">
        <v>8123</v>
      </c>
      <c r="B27" s="270">
        <v>2014</v>
      </c>
      <c r="C27" s="232">
        <v>207</v>
      </c>
      <c r="D27" s="232"/>
      <c r="E27" s="232">
        <v>4</v>
      </c>
      <c r="F27" s="232" t="s">
        <v>8166</v>
      </c>
      <c r="G27" s="232"/>
      <c r="H27" s="232">
        <v>26</v>
      </c>
      <c r="I27" s="232">
        <v>3430</v>
      </c>
      <c r="J27" s="255">
        <f>I27*L27</f>
        <v>1666</v>
      </c>
      <c r="K27" s="275">
        <v>5</v>
      </c>
      <c r="L27" s="255">
        <f>R27/O27</f>
        <v>0.48571428571428571</v>
      </c>
      <c r="M27" s="255"/>
      <c r="N27" s="255"/>
      <c r="O27" s="255">
        <v>700</v>
      </c>
      <c r="P27" s="255"/>
      <c r="Q27" s="255"/>
      <c r="R27" s="278">
        <v>340</v>
      </c>
      <c r="S27" s="281">
        <f t="shared" si="2"/>
        <v>20.059999999999999</v>
      </c>
      <c r="T27" s="281">
        <f t="shared" si="3"/>
        <v>2.1168753306634103</v>
      </c>
      <c r="U27" s="255"/>
      <c r="V27" s="255"/>
      <c r="W27" s="255"/>
      <c r="X27" s="255" t="s">
        <v>8229</v>
      </c>
      <c r="Y27" s="255"/>
    </row>
    <row r="28" spans="1:25" ht="12" customHeight="1">
      <c r="A28" s="268" t="s">
        <v>8123</v>
      </c>
      <c r="B28" s="270">
        <v>2014</v>
      </c>
      <c r="C28" s="227">
        <v>216</v>
      </c>
      <c r="D28" s="227"/>
      <c r="E28" s="227">
        <v>2</v>
      </c>
      <c r="F28" s="227" t="s">
        <v>8167</v>
      </c>
      <c r="G28" s="227"/>
      <c r="H28" s="227">
        <v>24</v>
      </c>
      <c r="I28" s="227">
        <v>4200</v>
      </c>
      <c r="J28" s="255">
        <f t="shared" ref="J28:J34" si="11">I28*L28</f>
        <v>1400</v>
      </c>
      <c r="K28" s="276">
        <v>5</v>
      </c>
      <c r="L28" s="256">
        <f t="shared" ref="L28:L34" si="12">R28/O28</f>
        <v>0.33333333333333331</v>
      </c>
      <c r="M28" s="256"/>
      <c r="N28" s="256"/>
      <c r="O28" s="256">
        <v>1860</v>
      </c>
      <c r="R28" s="279">
        <v>620</v>
      </c>
      <c r="S28" s="280">
        <f t="shared" si="2"/>
        <v>20.2</v>
      </c>
      <c r="T28" s="280">
        <f t="shared" si="3"/>
        <v>2.113197905855932</v>
      </c>
      <c r="W28" s="256"/>
      <c r="X28" s="255" t="s">
        <v>8229</v>
      </c>
      <c r="Y28" s="256"/>
    </row>
    <row r="29" spans="1:25" ht="12" customHeight="1">
      <c r="A29" s="268" t="s">
        <v>8123</v>
      </c>
      <c r="B29" s="270">
        <v>2014</v>
      </c>
      <c r="C29" s="227">
        <v>207</v>
      </c>
      <c r="D29" s="227"/>
      <c r="E29" s="227">
        <v>2</v>
      </c>
      <c r="F29" s="227" t="s">
        <v>8168</v>
      </c>
      <c r="G29" s="227"/>
      <c r="H29" s="227">
        <v>27</v>
      </c>
      <c r="I29" s="227">
        <v>4270</v>
      </c>
      <c r="J29" s="255">
        <f t="shared" si="11"/>
        <v>1601.25</v>
      </c>
      <c r="K29" s="276">
        <v>6</v>
      </c>
      <c r="L29" s="256">
        <f t="shared" si="12"/>
        <v>0.375</v>
      </c>
      <c r="M29" s="256"/>
      <c r="N29" s="256"/>
      <c r="O29" s="256">
        <v>1600</v>
      </c>
      <c r="P29" s="256"/>
      <c r="Q29" s="256"/>
      <c r="R29" s="279">
        <v>600</v>
      </c>
      <c r="S29" s="280">
        <f t="shared" si="2"/>
        <v>22.012499999999999</v>
      </c>
      <c r="T29" s="280">
        <f t="shared" si="3"/>
        <v>2.0682863785275183</v>
      </c>
      <c r="U29" s="256"/>
      <c r="V29" s="256"/>
      <c r="W29" s="256"/>
      <c r="X29" s="255" t="s">
        <v>8229</v>
      </c>
      <c r="Y29" s="256"/>
    </row>
    <row r="30" spans="1:25" ht="12" customHeight="1">
      <c r="A30" s="268" t="s">
        <v>8123</v>
      </c>
      <c r="B30" s="270">
        <v>2014</v>
      </c>
      <c r="C30" s="227">
        <v>207</v>
      </c>
      <c r="D30" s="227"/>
      <c r="E30" s="227">
        <v>3</v>
      </c>
      <c r="F30" s="227" t="s">
        <v>8169</v>
      </c>
      <c r="G30" s="227"/>
      <c r="H30" s="227">
        <v>15</v>
      </c>
      <c r="I30" s="227">
        <v>2980</v>
      </c>
      <c r="J30" s="255">
        <f t="shared" si="11"/>
        <v>1083.6363636363637</v>
      </c>
      <c r="K30" s="276">
        <v>4</v>
      </c>
      <c r="L30" s="256">
        <f t="shared" si="12"/>
        <v>0.36363636363636365</v>
      </c>
      <c r="M30" s="256"/>
      <c r="N30" s="256"/>
      <c r="O30" s="256">
        <v>1650</v>
      </c>
      <c r="P30" s="256"/>
      <c r="Q30" s="256"/>
      <c r="R30">
        <v>600</v>
      </c>
      <c r="S30" s="280">
        <f t="shared" si="2"/>
        <v>16.836363636363636</v>
      </c>
      <c r="T30" s="280">
        <f t="shared" si="3"/>
        <v>2.2116476573791548</v>
      </c>
      <c r="U30" s="256"/>
      <c r="V30" s="256"/>
      <c r="W30" s="256"/>
      <c r="X30" s="255" t="s">
        <v>8229</v>
      </c>
      <c r="Y30" s="256"/>
    </row>
    <row r="31" spans="1:25" ht="12" customHeight="1">
      <c r="A31" s="268" t="s">
        <v>8123</v>
      </c>
      <c r="B31" s="270">
        <v>2014</v>
      </c>
      <c r="C31" s="227">
        <v>215</v>
      </c>
      <c r="D31" s="227"/>
      <c r="E31" s="227">
        <v>4</v>
      </c>
      <c r="F31" s="227" t="s">
        <v>8170</v>
      </c>
      <c r="G31" s="227"/>
      <c r="H31" s="227">
        <v>25</v>
      </c>
      <c r="I31" s="227">
        <v>4800</v>
      </c>
      <c r="J31" s="255">
        <f t="shared" si="11"/>
        <v>2518.032786885246</v>
      </c>
      <c r="K31" s="276">
        <v>5</v>
      </c>
      <c r="L31" s="256">
        <f t="shared" si="12"/>
        <v>0.52459016393442626</v>
      </c>
      <c r="M31" s="256"/>
      <c r="N31" s="256"/>
      <c r="O31" s="256">
        <v>610</v>
      </c>
      <c r="R31">
        <v>320</v>
      </c>
      <c r="S31" s="280">
        <f t="shared" si="2"/>
        <v>28.380327868852461</v>
      </c>
      <c r="T31" s="280">
        <f t="shared" si="3"/>
        <v>1.9409916267775782</v>
      </c>
      <c r="W31" s="256"/>
      <c r="X31" s="255" t="s">
        <v>8229</v>
      </c>
      <c r="Y31" s="256"/>
    </row>
    <row r="32" spans="1:25" ht="12" customHeight="1">
      <c r="A32" s="268" t="s">
        <v>8123</v>
      </c>
      <c r="B32" s="270">
        <v>2014</v>
      </c>
      <c r="C32" s="227">
        <v>207</v>
      </c>
      <c r="D32" s="227"/>
      <c r="E32" s="227">
        <v>1</v>
      </c>
      <c r="F32" s="227" t="s">
        <v>8171</v>
      </c>
      <c r="G32" s="227"/>
      <c r="H32" s="227">
        <v>45</v>
      </c>
      <c r="I32" s="227">
        <v>3510</v>
      </c>
      <c r="J32" s="255">
        <f t="shared" si="11"/>
        <v>1485</v>
      </c>
      <c r="K32" s="276">
        <v>9</v>
      </c>
      <c r="L32" s="256">
        <f t="shared" si="12"/>
        <v>0.42307692307692307</v>
      </c>
      <c r="M32" s="256"/>
      <c r="N32" s="256"/>
      <c r="O32" s="256">
        <v>1040</v>
      </c>
      <c r="P32" s="256"/>
      <c r="Q32" s="256"/>
      <c r="R32">
        <v>440</v>
      </c>
      <c r="S32" s="280">
        <f t="shared" si="2"/>
        <v>19.25</v>
      </c>
      <c r="T32" s="280">
        <f t="shared" si="3"/>
        <v>2.1388007638747082</v>
      </c>
      <c r="U32" s="256"/>
      <c r="V32" s="256"/>
      <c r="W32" s="256"/>
      <c r="X32" s="255" t="s">
        <v>8229</v>
      </c>
      <c r="Y32" s="256"/>
    </row>
    <row r="33" spans="1:25" ht="12" customHeight="1">
      <c r="A33" s="268" t="s">
        <v>8123</v>
      </c>
      <c r="B33" s="270">
        <v>2014</v>
      </c>
      <c r="C33" s="227">
        <v>216</v>
      </c>
      <c r="D33" s="227"/>
      <c r="E33" s="227">
        <v>1</v>
      </c>
      <c r="F33" s="227" t="s">
        <v>8172</v>
      </c>
      <c r="G33" s="227"/>
      <c r="H33" s="227">
        <v>29</v>
      </c>
      <c r="I33" s="227">
        <v>3750</v>
      </c>
      <c r="J33" s="255">
        <f t="shared" si="11"/>
        <v>1510.4166666666667</v>
      </c>
      <c r="K33" s="276">
        <v>5</v>
      </c>
      <c r="L33" s="256">
        <f t="shared" si="12"/>
        <v>0.40277777777777779</v>
      </c>
      <c r="M33" s="256"/>
      <c r="N33" s="256"/>
      <c r="O33" s="256">
        <v>1440</v>
      </c>
      <c r="P33" s="256"/>
      <c r="Q33" s="256"/>
      <c r="R33">
        <v>580</v>
      </c>
      <c r="S33" s="280">
        <f t="shared" si="2"/>
        <v>20.904166666666669</v>
      </c>
      <c r="T33" s="280">
        <f t="shared" si="3"/>
        <v>2.0951725675792465</v>
      </c>
      <c r="U33" s="256"/>
      <c r="V33" s="256"/>
      <c r="W33" s="256"/>
      <c r="X33" s="255" t="s">
        <v>8229</v>
      </c>
      <c r="Y33" s="256"/>
    </row>
    <row r="34" spans="1:25" s="250" customFormat="1" ht="15" customHeight="1" thickBot="1">
      <c r="A34" s="258" t="s">
        <v>8123</v>
      </c>
      <c r="B34" s="271">
        <v>2014</v>
      </c>
      <c r="C34" s="252">
        <v>215</v>
      </c>
      <c r="D34" s="257"/>
      <c r="E34" s="254">
        <v>3</v>
      </c>
      <c r="F34" s="246" t="s">
        <v>8173</v>
      </c>
      <c r="G34" s="257"/>
      <c r="H34" s="246">
        <v>17</v>
      </c>
      <c r="I34" s="246">
        <v>4100</v>
      </c>
      <c r="J34" s="274">
        <f t="shared" si="11"/>
        <v>1782.6086956521738</v>
      </c>
      <c r="K34" s="277">
        <v>3</v>
      </c>
      <c r="L34" s="257">
        <f t="shared" si="12"/>
        <v>0.43478260869565216</v>
      </c>
      <c r="O34" s="257">
        <v>920</v>
      </c>
      <c r="P34" s="249"/>
      <c r="Q34" s="249"/>
      <c r="R34" s="250">
        <v>400</v>
      </c>
      <c r="S34" s="282">
        <f t="shared" si="2"/>
        <v>21.826086956521738</v>
      </c>
      <c r="T34" s="282">
        <f t="shared" si="3"/>
        <v>2.0726885282705125</v>
      </c>
      <c r="U34" s="257"/>
      <c r="V34" s="257"/>
      <c r="W34" s="274"/>
      <c r="X34" s="255" t="s">
        <v>8229</v>
      </c>
      <c r="Y34" s="274"/>
    </row>
    <row r="35" spans="1:25" ht="12" customHeight="1" thickTop="1">
      <c r="C35" s="142"/>
      <c r="D35" s="142"/>
      <c r="E35" s="142"/>
      <c r="F35" s="142"/>
      <c r="G35" s="142"/>
    </row>
    <row r="36" spans="1:25" ht="12" customHeight="1">
      <c r="C36" s="142"/>
      <c r="D36" s="142"/>
      <c r="E36" s="142"/>
      <c r="F36" s="142"/>
      <c r="G36" s="142"/>
    </row>
    <row r="37" spans="1:25" ht="12" customHeight="1"/>
    <row r="38" spans="1:25" ht="12" customHeight="1"/>
    <row r="39" spans="1:25" ht="12" customHeight="1"/>
    <row r="40" spans="1:25" ht="12" customHeight="1"/>
    <row r="41" spans="1:25" ht="12" customHeight="1"/>
    <row r="42" spans="1:25" ht="12" customHeight="1"/>
    <row r="43" spans="1:25" ht="12" customHeight="1"/>
    <row r="44" spans="1:25" ht="12" customHeight="1"/>
    <row r="45" spans="1:25" ht="12" customHeight="1"/>
    <row r="46" spans="1:25" ht="12" customHeight="1"/>
    <row r="47" spans="1:25" ht="12" customHeight="1"/>
    <row r="48" spans="1:25" ht="12" customHeight="1"/>
    <row r="49" ht="12" customHeight="1"/>
    <row r="50" ht="12.75" customHeight="1"/>
  </sheetData>
  <mergeCells count="36">
    <mergeCell ref="U4:V4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H1:J1"/>
    <mergeCell ref="K1:R1"/>
    <mergeCell ref="S1:T1"/>
    <mergeCell ref="U1:W1"/>
    <mergeCell ref="M3:N3"/>
    <mergeCell ref="P3:Q3"/>
    <mergeCell ref="U3:V3"/>
    <mergeCell ref="M4:N4"/>
    <mergeCell ref="P4:Q4"/>
    <mergeCell ref="M5:N5"/>
    <mergeCell ref="P5:Q5"/>
    <mergeCell ref="M6:N6"/>
    <mergeCell ref="P6:Q6"/>
    <mergeCell ref="M7:N7"/>
    <mergeCell ref="P7:Q7"/>
    <mergeCell ref="M10:N10"/>
    <mergeCell ref="P10:Q10"/>
    <mergeCell ref="M8:N8"/>
    <mergeCell ref="P8:Q8"/>
    <mergeCell ref="M9:N9"/>
    <mergeCell ref="P9:Q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7"/>
  <sheetViews>
    <sheetView workbookViewId="0">
      <selection activeCell="U26" sqref="U26"/>
    </sheetView>
  </sheetViews>
  <sheetFormatPr baseColWidth="10" defaultColWidth="4.7109375" defaultRowHeight="12"/>
  <cols>
    <col min="1" max="16384" width="4.7109375" style="191"/>
  </cols>
  <sheetData>
    <row r="1" spans="1:76" ht="18.75">
      <c r="A1" s="334" t="s">
        <v>8174</v>
      </c>
    </row>
    <row r="2" spans="1:76" ht="19.5" thickBot="1">
      <c r="A2" s="334"/>
    </row>
    <row r="3" spans="1:76" s="345" customFormat="1" ht="12.75">
      <c r="A3" s="335">
        <v>12</v>
      </c>
      <c r="B3" s="336"/>
      <c r="C3" s="337">
        <v>129</v>
      </c>
      <c r="D3" s="338">
        <v>47</v>
      </c>
      <c r="E3" s="338">
        <v>203</v>
      </c>
      <c r="F3" s="338">
        <v>93</v>
      </c>
      <c r="G3" s="338">
        <v>104</v>
      </c>
      <c r="H3" s="338">
        <v>103</v>
      </c>
      <c r="I3" s="338">
        <v>51</v>
      </c>
      <c r="J3" s="338">
        <v>125</v>
      </c>
      <c r="K3" s="338">
        <v>58</v>
      </c>
      <c r="L3" s="338">
        <v>36</v>
      </c>
      <c r="M3" s="338">
        <v>48</v>
      </c>
      <c r="N3" s="338">
        <v>180</v>
      </c>
      <c r="O3" s="338">
        <v>198</v>
      </c>
      <c r="P3" s="338">
        <v>162</v>
      </c>
      <c r="Q3" s="338">
        <v>92</v>
      </c>
      <c r="R3" s="338">
        <v>41</v>
      </c>
      <c r="S3" s="338">
        <v>138</v>
      </c>
      <c r="T3" s="338">
        <v>132</v>
      </c>
      <c r="U3" s="338">
        <v>52</v>
      </c>
      <c r="V3" s="338">
        <v>205</v>
      </c>
      <c r="W3" s="338">
        <v>70</v>
      </c>
      <c r="X3" s="338">
        <v>40</v>
      </c>
      <c r="Y3" s="338">
        <v>216</v>
      </c>
      <c r="Z3" s="338">
        <v>187</v>
      </c>
      <c r="AA3" s="338">
        <v>86</v>
      </c>
      <c r="AB3" s="338">
        <v>133</v>
      </c>
      <c r="AC3" s="338">
        <v>122</v>
      </c>
      <c r="AD3" s="338">
        <v>179</v>
      </c>
      <c r="AE3" s="338">
        <v>176</v>
      </c>
      <c r="AF3" s="338">
        <v>174</v>
      </c>
      <c r="AG3" s="338">
        <v>167</v>
      </c>
      <c r="AH3" s="338">
        <v>115</v>
      </c>
      <c r="AI3" s="338">
        <v>99</v>
      </c>
      <c r="AJ3" s="338">
        <v>22</v>
      </c>
      <c r="AK3" s="338">
        <v>26</v>
      </c>
      <c r="AL3" s="339">
        <v>49</v>
      </c>
      <c r="AM3" s="340"/>
      <c r="AN3" s="341">
        <v>208</v>
      </c>
      <c r="AO3" s="342">
        <v>200</v>
      </c>
      <c r="AP3" s="342">
        <v>43</v>
      </c>
      <c r="AQ3" s="342">
        <v>23</v>
      </c>
      <c r="AR3" s="342">
        <v>102</v>
      </c>
      <c r="AS3" s="342">
        <v>60</v>
      </c>
      <c r="AT3" s="342">
        <v>115</v>
      </c>
      <c r="AU3" s="342">
        <v>153</v>
      </c>
      <c r="AV3" s="342">
        <v>56</v>
      </c>
      <c r="AW3" s="342">
        <v>210</v>
      </c>
      <c r="AX3" s="342">
        <v>126</v>
      </c>
      <c r="AY3" s="342">
        <v>8</v>
      </c>
      <c r="AZ3" s="342">
        <v>145</v>
      </c>
      <c r="BA3" s="342">
        <v>3</v>
      </c>
      <c r="BB3" s="342">
        <v>75</v>
      </c>
      <c r="BC3" s="342">
        <v>39</v>
      </c>
      <c r="BD3" s="342">
        <v>4</v>
      </c>
      <c r="BE3" s="342">
        <v>178</v>
      </c>
      <c r="BF3" s="342">
        <v>125</v>
      </c>
      <c r="BG3" s="342">
        <v>196</v>
      </c>
      <c r="BH3" s="342">
        <v>68</v>
      </c>
      <c r="BI3" s="342">
        <v>12</v>
      </c>
      <c r="BJ3" s="342">
        <v>183</v>
      </c>
      <c r="BK3" s="342">
        <v>150</v>
      </c>
      <c r="BL3" s="342">
        <v>91</v>
      </c>
      <c r="BM3" s="342">
        <v>116</v>
      </c>
      <c r="BN3" s="342">
        <v>11</v>
      </c>
      <c r="BO3" s="342">
        <v>117</v>
      </c>
      <c r="BP3" s="342">
        <v>98</v>
      </c>
      <c r="BQ3" s="342">
        <v>174</v>
      </c>
      <c r="BR3" s="342">
        <v>94</v>
      </c>
      <c r="BS3" s="342">
        <v>95</v>
      </c>
      <c r="BT3" s="342">
        <v>188</v>
      </c>
      <c r="BU3" s="342">
        <v>72</v>
      </c>
      <c r="BV3" s="342">
        <v>70</v>
      </c>
      <c r="BW3" s="343">
        <v>130</v>
      </c>
      <c r="BX3" s="344"/>
    </row>
    <row r="4" spans="1:76" s="345" customFormat="1" ht="12.75">
      <c r="A4" s="346">
        <v>11</v>
      </c>
      <c r="B4" s="336"/>
      <c r="C4" s="347">
        <v>16</v>
      </c>
      <c r="D4" s="348">
        <v>44</v>
      </c>
      <c r="E4" s="348">
        <v>33</v>
      </c>
      <c r="F4" s="348">
        <v>123</v>
      </c>
      <c r="G4" s="348">
        <v>149</v>
      </c>
      <c r="H4" s="348">
        <v>66</v>
      </c>
      <c r="I4" s="348">
        <v>121</v>
      </c>
      <c r="J4" s="348">
        <v>134</v>
      </c>
      <c r="K4" s="348">
        <v>213</v>
      </c>
      <c r="L4" s="348">
        <v>153</v>
      </c>
      <c r="M4" s="348">
        <v>150</v>
      </c>
      <c r="N4" s="348">
        <v>164</v>
      </c>
      <c r="O4" s="348">
        <v>124</v>
      </c>
      <c r="P4" s="348">
        <v>200</v>
      </c>
      <c r="Q4" s="348">
        <v>60</v>
      </c>
      <c r="R4" s="348">
        <v>8</v>
      </c>
      <c r="S4" s="348">
        <v>94</v>
      </c>
      <c r="T4" s="348">
        <v>30</v>
      </c>
      <c r="U4" s="348">
        <v>80</v>
      </c>
      <c r="V4" s="348">
        <v>177</v>
      </c>
      <c r="W4" s="348">
        <v>79</v>
      </c>
      <c r="X4" s="348">
        <v>109</v>
      </c>
      <c r="Y4" s="348">
        <v>110</v>
      </c>
      <c r="Z4" s="348">
        <v>146</v>
      </c>
      <c r="AA4" s="348">
        <v>161</v>
      </c>
      <c r="AB4" s="348">
        <v>7</v>
      </c>
      <c r="AC4" s="348">
        <v>85</v>
      </c>
      <c r="AD4" s="348">
        <v>199</v>
      </c>
      <c r="AE4" s="348">
        <v>181</v>
      </c>
      <c r="AF4" s="348">
        <v>46</v>
      </c>
      <c r="AG4" s="348">
        <v>148</v>
      </c>
      <c r="AH4" s="348">
        <v>35</v>
      </c>
      <c r="AI4" s="348">
        <v>168</v>
      </c>
      <c r="AJ4" s="348">
        <v>89</v>
      </c>
      <c r="AK4" s="348">
        <v>67</v>
      </c>
      <c r="AL4" s="349">
        <v>141</v>
      </c>
      <c r="AM4" s="336"/>
      <c r="AN4" s="350">
        <v>139</v>
      </c>
      <c r="AO4" s="351">
        <v>190</v>
      </c>
      <c r="AP4" s="351">
        <v>168</v>
      </c>
      <c r="AQ4" s="351">
        <v>135</v>
      </c>
      <c r="AR4" s="351">
        <v>101</v>
      </c>
      <c r="AS4" s="351">
        <v>54</v>
      </c>
      <c r="AT4" s="351">
        <v>149</v>
      </c>
      <c r="AU4" s="351">
        <v>206</v>
      </c>
      <c r="AV4" s="351">
        <v>213</v>
      </c>
      <c r="AW4" s="351">
        <v>132</v>
      </c>
      <c r="AX4" s="351">
        <v>169</v>
      </c>
      <c r="AY4" s="351">
        <v>16</v>
      </c>
      <c r="AZ4" s="351">
        <v>160</v>
      </c>
      <c r="BA4" s="351">
        <v>26</v>
      </c>
      <c r="BB4" s="351">
        <v>124</v>
      </c>
      <c r="BC4" s="351">
        <v>79</v>
      </c>
      <c r="BD4" s="351">
        <v>197</v>
      </c>
      <c r="BE4" s="351">
        <v>138</v>
      </c>
      <c r="BF4" s="351">
        <v>123</v>
      </c>
      <c r="BG4" s="351">
        <v>67</v>
      </c>
      <c r="BH4" s="351">
        <v>77</v>
      </c>
      <c r="BI4" s="351">
        <v>90</v>
      </c>
      <c r="BJ4" s="351">
        <v>49</v>
      </c>
      <c r="BK4" s="351">
        <v>80</v>
      </c>
      <c r="BL4" s="351">
        <v>119</v>
      </c>
      <c r="BM4" s="351">
        <v>69</v>
      </c>
      <c r="BN4" s="351">
        <v>133</v>
      </c>
      <c r="BO4" s="351">
        <v>173</v>
      </c>
      <c r="BP4" s="351">
        <v>64</v>
      </c>
      <c r="BQ4" s="351">
        <v>193</v>
      </c>
      <c r="BR4" s="351">
        <v>71</v>
      </c>
      <c r="BS4" s="351">
        <v>99</v>
      </c>
      <c r="BT4" s="351">
        <v>165</v>
      </c>
      <c r="BU4" s="351">
        <v>61</v>
      </c>
      <c r="BV4" s="351">
        <v>66</v>
      </c>
      <c r="BW4" s="352">
        <v>144</v>
      </c>
      <c r="BX4" s="353"/>
    </row>
    <row r="5" spans="1:76" s="345" customFormat="1" ht="12.75">
      <c r="A5" s="346">
        <v>10</v>
      </c>
      <c r="B5" s="336"/>
      <c r="C5" s="347">
        <v>74</v>
      </c>
      <c r="D5" s="348">
        <v>88</v>
      </c>
      <c r="E5" s="348">
        <v>137</v>
      </c>
      <c r="F5" s="348">
        <v>78</v>
      </c>
      <c r="G5" s="348">
        <v>97</v>
      </c>
      <c r="H5" s="348">
        <v>96</v>
      </c>
      <c r="I5" s="348">
        <v>112</v>
      </c>
      <c r="J5" s="348">
        <v>185</v>
      </c>
      <c r="K5" s="348">
        <v>37</v>
      </c>
      <c r="L5" s="348">
        <v>50</v>
      </c>
      <c r="M5" s="348">
        <v>31</v>
      </c>
      <c r="N5" s="348">
        <v>189</v>
      </c>
      <c r="O5" s="348">
        <v>119</v>
      </c>
      <c r="P5" s="348">
        <v>98</v>
      </c>
      <c r="Q5" s="348">
        <v>139</v>
      </c>
      <c r="R5" s="348">
        <v>145</v>
      </c>
      <c r="S5" s="348">
        <v>75</v>
      </c>
      <c r="T5" s="348">
        <v>57</v>
      </c>
      <c r="U5" s="348">
        <v>195</v>
      </c>
      <c r="V5" s="348">
        <v>212</v>
      </c>
      <c r="W5" s="348">
        <v>12</v>
      </c>
      <c r="X5" s="348">
        <v>165</v>
      </c>
      <c r="Y5" s="348">
        <v>108</v>
      </c>
      <c r="Z5" s="348">
        <v>11</v>
      </c>
      <c r="AA5" s="348">
        <v>204</v>
      </c>
      <c r="AB5" s="375">
        <v>1</v>
      </c>
      <c r="AC5" s="348">
        <v>140</v>
      </c>
      <c r="AD5" s="348">
        <v>206</v>
      </c>
      <c r="AE5" s="348">
        <v>28</v>
      </c>
      <c r="AF5" s="348">
        <v>196</v>
      </c>
      <c r="AG5" s="348">
        <v>178</v>
      </c>
      <c r="AH5" s="348">
        <v>157</v>
      </c>
      <c r="AI5" s="348">
        <v>73</v>
      </c>
      <c r="AJ5" s="348">
        <v>170</v>
      </c>
      <c r="AK5" s="348">
        <v>135</v>
      </c>
      <c r="AL5" s="349">
        <v>128</v>
      </c>
      <c r="AM5" s="336"/>
      <c r="AN5" s="350">
        <v>186</v>
      </c>
      <c r="AO5" s="351">
        <v>129</v>
      </c>
      <c r="AP5" s="351">
        <v>105</v>
      </c>
      <c r="AQ5" s="351">
        <v>109</v>
      </c>
      <c r="AR5" s="351">
        <v>5</v>
      </c>
      <c r="AS5" s="351">
        <v>88</v>
      </c>
      <c r="AT5" s="351">
        <v>93</v>
      </c>
      <c r="AU5" s="351">
        <v>166</v>
      </c>
      <c r="AV5" s="351">
        <v>211</v>
      </c>
      <c r="AW5" s="351">
        <v>151</v>
      </c>
      <c r="AX5" s="351">
        <v>170</v>
      </c>
      <c r="AY5" s="351">
        <v>22</v>
      </c>
      <c r="AZ5" s="351">
        <v>164</v>
      </c>
      <c r="BA5" s="351">
        <v>171</v>
      </c>
      <c r="BB5" s="351">
        <v>27</v>
      </c>
      <c r="BC5" s="351">
        <v>195</v>
      </c>
      <c r="BD5" s="351">
        <v>146</v>
      </c>
      <c r="BE5" s="351">
        <v>57</v>
      </c>
      <c r="BF5" s="351">
        <v>6</v>
      </c>
      <c r="BG5" s="351">
        <v>142</v>
      </c>
      <c r="BH5" s="351">
        <v>13</v>
      </c>
      <c r="BI5" s="351">
        <v>163</v>
      </c>
      <c r="BJ5" s="351">
        <v>92</v>
      </c>
      <c r="BK5" s="351">
        <v>180</v>
      </c>
      <c r="BL5" s="351">
        <v>2</v>
      </c>
      <c r="BM5" s="351">
        <v>59</v>
      </c>
      <c r="BN5" s="351">
        <v>52</v>
      </c>
      <c r="BO5" s="351">
        <v>55</v>
      </c>
      <c r="BP5" s="351">
        <v>127</v>
      </c>
      <c r="BQ5" s="351">
        <v>198</v>
      </c>
      <c r="BR5" s="351">
        <v>159</v>
      </c>
      <c r="BS5" s="351">
        <v>41</v>
      </c>
      <c r="BT5" s="351">
        <v>38</v>
      </c>
      <c r="BU5" s="351">
        <v>184</v>
      </c>
      <c r="BV5" s="351">
        <v>176</v>
      </c>
      <c r="BW5" s="352">
        <v>201</v>
      </c>
      <c r="BX5" s="353"/>
    </row>
    <row r="6" spans="1:76" s="345" customFormat="1" ht="12.75">
      <c r="A6" s="346">
        <v>9</v>
      </c>
      <c r="B6" s="336"/>
      <c r="C6" s="347">
        <v>25</v>
      </c>
      <c r="D6" s="348">
        <v>107</v>
      </c>
      <c r="E6" s="348">
        <v>64</v>
      </c>
      <c r="F6" s="348">
        <v>34</v>
      </c>
      <c r="G6" s="348">
        <v>111</v>
      </c>
      <c r="H6" s="348">
        <v>211</v>
      </c>
      <c r="I6" s="348">
        <v>106</v>
      </c>
      <c r="J6" s="348">
        <v>160</v>
      </c>
      <c r="K6" s="348">
        <v>3</v>
      </c>
      <c r="L6" s="348">
        <v>24</v>
      </c>
      <c r="M6" s="348">
        <v>90</v>
      </c>
      <c r="N6" s="348">
        <v>68</v>
      </c>
      <c r="O6" s="348">
        <v>114</v>
      </c>
      <c r="P6" s="348">
        <v>42</v>
      </c>
      <c r="Q6" s="348">
        <v>15</v>
      </c>
      <c r="R6" s="348">
        <v>118</v>
      </c>
      <c r="S6" s="348">
        <v>215</v>
      </c>
      <c r="T6" s="348">
        <v>55</v>
      </c>
      <c r="U6" s="348">
        <v>117</v>
      </c>
      <c r="V6" s="348">
        <v>72</v>
      </c>
      <c r="W6" s="348">
        <v>38</v>
      </c>
      <c r="X6" s="348">
        <v>217</v>
      </c>
      <c r="Y6" s="348">
        <v>17</v>
      </c>
      <c r="Z6" s="348">
        <v>131</v>
      </c>
      <c r="AA6" s="348">
        <v>6</v>
      </c>
      <c r="AB6" s="348">
        <v>173</v>
      </c>
      <c r="AC6" s="348">
        <v>127</v>
      </c>
      <c r="AD6" s="348">
        <v>126</v>
      </c>
      <c r="AE6" s="348">
        <v>151</v>
      </c>
      <c r="AF6" s="348">
        <v>155</v>
      </c>
      <c r="AG6" s="348">
        <v>186</v>
      </c>
      <c r="AH6" s="348">
        <v>13</v>
      </c>
      <c r="AI6" s="348">
        <v>43</v>
      </c>
      <c r="AJ6" s="348">
        <v>192</v>
      </c>
      <c r="AK6" s="348">
        <v>175</v>
      </c>
      <c r="AL6" s="349">
        <v>172</v>
      </c>
      <c r="AM6" s="336"/>
      <c r="AN6" s="350">
        <v>51</v>
      </c>
      <c r="AO6" s="351">
        <v>207</v>
      </c>
      <c r="AP6" s="351">
        <v>17</v>
      </c>
      <c r="AQ6" s="351">
        <v>106</v>
      </c>
      <c r="AR6" s="351">
        <v>73</v>
      </c>
      <c r="AS6" s="351">
        <v>34</v>
      </c>
      <c r="AT6" s="351">
        <v>78</v>
      </c>
      <c r="AU6" s="351">
        <v>58</v>
      </c>
      <c r="AV6" s="351">
        <v>36</v>
      </c>
      <c r="AW6" s="351">
        <v>161</v>
      </c>
      <c r="AX6" s="351">
        <v>28</v>
      </c>
      <c r="AY6" s="351">
        <v>31</v>
      </c>
      <c r="AZ6" s="351">
        <v>103</v>
      </c>
      <c r="BA6" s="351">
        <v>134</v>
      </c>
      <c r="BB6" s="351">
        <v>62</v>
      </c>
      <c r="BC6" s="351">
        <v>33</v>
      </c>
      <c r="BD6" s="351">
        <v>155</v>
      </c>
      <c r="BE6" s="351">
        <v>76</v>
      </c>
      <c r="BF6" s="351">
        <v>15</v>
      </c>
      <c r="BG6" s="351">
        <v>18</v>
      </c>
      <c r="BH6" s="351">
        <v>140</v>
      </c>
      <c r="BI6" s="351">
        <v>179</v>
      </c>
      <c r="BJ6" s="351">
        <v>192</v>
      </c>
      <c r="BK6" s="351">
        <v>203</v>
      </c>
      <c r="BL6" s="351">
        <v>32</v>
      </c>
      <c r="BM6" s="351">
        <v>53</v>
      </c>
      <c r="BN6" s="351">
        <v>37</v>
      </c>
      <c r="BO6" s="351">
        <v>30</v>
      </c>
      <c r="BP6" s="351">
        <v>204</v>
      </c>
      <c r="BQ6" s="351">
        <v>156</v>
      </c>
      <c r="BR6" s="351">
        <v>9</v>
      </c>
      <c r="BS6" s="351">
        <v>158</v>
      </c>
      <c r="BT6" s="351">
        <v>114</v>
      </c>
      <c r="BU6" s="351">
        <v>46</v>
      </c>
      <c r="BV6" s="351">
        <v>74</v>
      </c>
      <c r="BW6" s="352">
        <v>212</v>
      </c>
      <c r="BX6" s="353"/>
    </row>
    <row r="7" spans="1:76" s="345" customFormat="1" ht="12.75">
      <c r="A7" s="346">
        <v>8</v>
      </c>
      <c r="B7" s="336"/>
      <c r="C7" s="347">
        <v>61</v>
      </c>
      <c r="D7" s="348">
        <v>19</v>
      </c>
      <c r="E7" s="348">
        <v>169</v>
      </c>
      <c r="F7" s="348">
        <v>87</v>
      </c>
      <c r="G7" s="348">
        <v>83</v>
      </c>
      <c r="H7" s="348">
        <v>71</v>
      </c>
      <c r="I7" s="348">
        <v>105</v>
      </c>
      <c r="J7" s="348">
        <v>152</v>
      </c>
      <c r="K7" s="348">
        <v>101</v>
      </c>
      <c r="L7" s="348">
        <v>95</v>
      </c>
      <c r="M7" s="348">
        <v>21</v>
      </c>
      <c r="N7" s="348">
        <v>76</v>
      </c>
      <c r="O7" s="348">
        <v>84</v>
      </c>
      <c r="P7" s="348">
        <v>207</v>
      </c>
      <c r="Q7" s="348">
        <v>54</v>
      </c>
      <c r="R7" s="348">
        <v>82</v>
      </c>
      <c r="S7" s="348">
        <v>171</v>
      </c>
      <c r="T7" s="348">
        <v>210</v>
      </c>
      <c r="U7" s="348">
        <v>166</v>
      </c>
      <c r="V7" s="348">
        <v>20</v>
      </c>
      <c r="W7" s="348">
        <v>184</v>
      </c>
      <c r="X7" s="348">
        <v>159</v>
      </c>
      <c r="Y7" s="348">
        <v>116</v>
      </c>
      <c r="Z7" s="348">
        <v>147</v>
      </c>
      <c r="AA7" s="348">
        <v>10</v>
      </c>
      <c r="AB7" s="348">
        <v>183</v>
      </c>
      <c r="AC7" s="348">
        <v>2</v>
      </c>
      <c r="AD7" s="348">
        <v>14</v>
      </c>
      <c r="AE7" s="348">
        <v>194</v>
      </c>
      <c r="AF7" s="348">
        <v>136</v>
      </c>
      <c r="AG7" s="348">
        <v>9</v>
      </c>
      <c r="AH7" s="348">
        <v>81</v>
      </c>
      <c r="AI7" s="348">
        <v>29</v>
      </c>
      <c r="AJ7" s="348">
        <v>193</v>
      </c>
      <c r="AK7" s="348">
        <v>143</v>
      </c>
      <c r="AL7" s="349">
        <v>5</v>
      </c>
      <c r="AM7" s="336"/>
      <c r="AN7" s="350">
        <v>87</v>
      </c>
      <c r="AO7" s="351">
        <v>40</v>
      </c>
      <c r="AP7" s="351">
        <v>121</v>
      </c>
      <c r="AQ7" s="351">
        <v>120</v>
      </c>
      <c r="AR7" s="351">
        <v>167</v>
      </c>
      <c r="AS7" s="351">
        <v>85</v>
      </c>
      <c r="AT7" s="351">
        <v>172</v>
      </c>
      <c r="AU7" s="351">
        <v>187</v>
      </c>
      <c r="AV7" s="351">
        <v>83</v>
      </c>
      <c r="AW7" s="351">
        <v>81</v>
      </c>
      <c r="AX7" s="351">
        <v>50</v>
      </c>
      <c r="AY7" s="351">
        <v>209</v>
      </c>
      <c r="AZ7" s="351">
        <v>202</v>
      </c>
      <c r="BA7" s="351">
        <v>110</v>
      </c>
      <c r="BB7" s="351">
        <v>82</v>
      </c>
      <c r="BC7" s="351">
        <v>113</v>
      </c>
      <c r="BD7" s="351">
        <v>131</v>
      </c>
      <c r="BE7" s="351">
        <v>29</v>
      </c>
      <c r="BF7" s="374">
        <v>1</v>
      </c>
      <c r="BG7" s="351">
        <v>199</v>
      </c>
      <c r="BH7" s="351">
        <v>97</v>
      </c>
      <c r="BI7" s="351">
        <v>215</v>
      </c>
      <c r="BJ7" s="351">
        <v>177</v>
      </c>
      <c r="BK7" s="351">
        <v>7</v>
      </c>
      <c r="BL7" s="351">
        <v>47</v>
      </c>
      <c r="BM7" s="351">
        <v>143</v>
      </c>
      <c r="BN7" s="351">
        <v>141</v>
      </c>
      <c r="BO7" s="351">
        <v>45</v>
      </c>
      <c r="BP7" s="351">
        <v>20</v>
      </c>
      <c r="BQ7" s="351">
        <v>152</v>
      </c>
      <c r="BR7" s="351">
        <v>157</v>
      </c>
      <c r="BS7" s="351">
        <v>118</v>
      </c>
      <c r="BT7" s="351">
        <v>182</v>
      </c>
      <c r="BU7" s="351">
        <v>44</v>
      </c>
      <c r="BV7" s="351">
        <v>154</v>
      </c>
      <c r="BW7" s="352">
        <v>21</v>
      </c>
      <c r="BX7" s="353"/>
    </row>
    <row r="8" spans="1:76" s="345" customFormat="1" ht="13.5" thickBot="1">
      <c r="A8" s="346">
        <v>7</v>
      </c>
      <c r="B8" s="336"/>
      <c r="C8" s="354">
        <v>56</v>
      </c>
      <c r="D8" s="355">
        <v>113</v>
      </c>
      <c r="E8" s="355">
        <v>154</v>
      </c>
      <c r="F8" s="355">
        <v>59</v>
      </c>
      <c r="G8" s="355">
        <v>65</v>
      </c>
      <c r="H8" s="355">
        <v>45</v>
      </c>
      <c r="I8" s="355">
        <v>32</v>
      </c>
      <c r="J8" s="355">
        <v>4</v>
      </c>
      <c r="K8" s="355">
        <v>130</v>
      </c>
      <c r="L8" s="355">
        <v>69</v>
      </c>
      <c r="M8" s="355">
        <v>190</v>
      </c>
      <c r="N8" s="355">
        <v>53</v>
      </c>
      <c r="O8" s="355">
        <v>144</v>
      </c>
      <c r="P8" s="355">
        <v>77</v>
      </c>
      <c r="Q8" s="355">
        <v>197</v>
      </c>
      <c r="R8" s="355">
        <v>163</v>
      </c>
      <c r="S8" s="355">
        <v>100</v>
      </c>
      <c r="T8" s="355">
        <v>120</v>
      </c>
      <c r="U8" s="355">
        <v>23</v>
      </c>
      <c r="V8" s="355">
        <v>182</v>
      </c>
      <c r="W8" s="355">
        <v>158</v>
      </c>
      <c r="X8" s="355">
        <v>201</v>
      </c>
      <c r="Y8" s="355">
        <v>202</v>
      </c>
      <c r="Z8" s="355">
        <v>18</v>
      </c>
      <c r="AA8" s="355">
        <v>39</v>
      </c>
      <c r="AB8" s="355">
        <v>27</v>
      </c>
      <c r="AC8" s="355">
        <v>62</v>
      </c>
      <c r="AD8" s="355">
        <v>209</v>
      </c>
      <c r="AE8" s="355">
        <v>142</v>
      </c>
      <c r="AF8" s="355">
        <v>63</v>
      </c>
      <c r="AG8" s="355">
        <v>156</v>
      </c>
      <c r="AH8" s="355">
        <v>208</v>
      </c>
      <c r="AI8" s="355">
        <v>191</v>
      </c>
      <c r="AJ8" s="355">
        <v>188</v>
      </c>
      <c r="AK8" s="355">
        <v>102</v>
      </c>
      <c r="AL8" s="356">
        <v>91</v>
      </c>
      <c r="AM8" s="336"/>
      <c r="AN8" s="357">
        <v>35</v>
      </c>
      <c r="AO8" s="358">
        <v>122</v>
      </c>
      <c r="AP8" s="358">
        <v>185</v>
      </c>
      <c r="AQ8" s="358">
        <v>191</v>
      </c>
      <c r="AR8" s="358">
        <v>216</v>
      </c>
      <c r="AS8" s="358">
        <v>111</v>
      </c>
      <c r="AT8" s="358">
        <v>108</v>
      </c>
      <c r="AU8" s="358">
        <v>217</v>
      </c>
      <c r="AV8" s="358">
        <v>14</v>
      </c>
      <c r="AW8" s="358">
        <v>96</v>
      </c>
      <c r="AX8" s="358">
        <v>136</v>
      </c>
      <c r="AY8" s="358">
        <v>19</v>
      </c>
      <c r="AZ8" s="358">
        <v>42</v>
      </c>
      <c r="BA8" s="358">
        <v>104</v>
      </c>
      <c r="BB8" s="358">
        <v>100</v>
      </c>
      <c r="BC8" s="358">
        <v>112</v>
      </c>
      <c r="BD8" s="358">
        <v>63</v>
      </c>
      <c r="BE8" s="358">
        <v>10</v>
      </c>
      <c r="BF8" s="358">
        <v>25</v>
      </c>
      <c r="BG8" s="358">
        <v>205</v>
      </c>
      <c r="BH8" s="358">
        <v>86</v>
      </c>
      <c r="BI8" s="358">
        <v>137</v>
      </c>
      <c r="BJ8" s="358">
        <v>89</v>
      </c>
      <c r="BK8" s="358">
        <v>148</v>
      </c>
      <c r="BL8" s="358">
        <v>24</v>
      </c>
      <c r="BM8" s="358">
        <v>84</v>
      </c>
      <c r="BN8" s="358">
        <v>147</v>
      </c>
      <c r="BO8" s="358">
        <v>181</v>
      </c>
      <c r="BP8" s="358">
        <v>175</v>
      </c>
      <c r="BQ8" s="358">
        <v>189</v>
      </c>
      <c r="BR8" s="358">
        <v>128</v>
      </c>
      <c r="BS8" s="358">
        <v>65</v>
      </c>
      <c r="BT8" s="358">
        <v>48</v>
      </c>
      <c r="BU8" s="358">
        <v>162</v>
      </c>
      <c r="BV8" s="358">
        <v>107</v>
      </c>
      <c r="BW8" s="359">
        <v>194</v>
      </c>
      <c r="BX8" s="353"/>
    </row>
    <row r="9" spans="1:76" s="345" customFormat="1" ht="12.75">
      <c r="A9" s="346">
        <v>6</v>
      </c>
      <c r="B9" s="336"/>
      <c r="C9" s="341">
        <v>13</v>
      </c>
      <c r="D9" s="342">
        <v>80</v>
      </c>
      <c r="E9" s="342">
        <v>141</v>
      </c>
      <c r="F9" s="342">
        <v>151</v>
      </c>
      <c r="G9" s="342">
        <v>68</v>
      </c>
      <c r="H9" s="342">
        <v>5</v>
      </c>
      <c r="I9" s="342">
        <v>143</v>
      </c>
      <c r="J9" s="342">
        <v>177</v>
      </c>
      <c r="K9" s="342">
        <v>133</v>
      </c>
      <c r="L9" s="342">
        <v>27</v>
      </c>
      <c r="M9" s="342">
        <v>117</v>
      </c>
      <c r="N9" s="342">
        <v>136</v>
      </c>
      <c r="O9" s="342">
        <v>155</v>
      </c>
      <c r="P9" s="342">
        <v>184</v>
      </c>
      <c r="Q9" s="342">
        <v>45</v>
      </c>
      <c r="R9" s="342">
        <v>170</v>
      </c>
      <c r="S9" s="342">
        <v>61</v>
      </c>
      <c r="T9" s="342">
        <v>206</v>
      </c>
      <c r="U9" s="342">
        <v>37</v>
      </c>
      <c r="V9" s="342">
        <v>56</v>
      </c>
      <c r="W9" s="342">
        <v>25</v>
      </c>
      <c r="X9" s="342">
        <v>88</v>
      </c>
      <c r="Y9" s="342">
        <v>59</v>
      </c>
      <c r="Z9" s="342">
        <v>118</v>
      </c>
      <c r="AA9" s="342">
        <v>42</v>
      </c>
      <c r="AB9" s="342">
        <v>97</v>
      </c>
      <c r="AC9" s="342">
        <v>137</v>
      </c>
      <c r="AD9" s="342">
        <v>147</v>
      </c>
      <c r="AE9" s="342">
        <v>161</v>
      </c>
      <c r="AF9" s="342">
        <v>7</v>
      </c>
      <c r="AG9" s="342">
        <v>70</v>
      </c>
      <c r="AH9" s="342">
        <v>76</v>
      </c>
      <c r="AI9" s="342">
        <v>30</v>
      </c>
      <c r="AJ9" s="342">
        <v>100</v>
      </c>
      <c r="AK9" s="342">
        <v>165</v>
      </c>
      <c r="AL9" s="343">
        <v>79</v>
      </c>
      <c r="AM9" s="336"/>
      <c r="AN9" s="337">
        <v>133</v>
      </c>
      <c r="AO9" s="338">
        <v>21</v>
      </c>
      <c r="AP9" s="338">
        <v>70</v>
      </c>
      <c r="AQ9" s="338">
        <v>131</v>
      </c>
      <c r="AR9" s="338">
        <v>171</v>
      </c>
      <c r="AS9" s="338">
        <v>90</v>
      </c>
      <c r="AT9" s="338">
        <v>156</v>
      </c>
      <c r="AU9" s="338">
        <v>184</v>
      </c>
      <c r="AV9" s="338">
        <v>204</v>
      </c>
      <c r="AW9" s="338">
        <v>20</v>
      </c>
      <c r="AX9" s="338">
        <v>77</v>
      </c>
      <c r="AY9" s="338">
        <v>92</v>
      </c>
      <c r="AZ9" s="338">
        <v>158</v>
      </c>
      <c r="BA9" s="338">
        <v>66</v>
      </c>
      <c r="BB9" s="338">
        <v>147</v>
      </c>
      <c r="BC9" s="338">
        <v>181</v>
      </c>
      <c r="BD9" s="338">
        <v>15</v>
      </c>
      <c r="BE9" s="338">
        <v>46</v>
      </c>
      <c r="BF9" s="338">
        <v>146</v>
      </c>
      <c r="BG9" s="338">
        <v>138</v>
      </c>
      <c r="BH9" s="338">
        <v>111</v>
      </c>
      <c r="BI9" s="338">
        <v>51</v>
      </c>
      <c r="BJ9" s="338">
        <v>166</v>
      </c>
      <c r="BK9" s="338">
        <v>128</v>
      </c>
      <c r="BL9" s="338">
        <v>213</v>
      </c>
      <c r="BM9" s="338">
        <v>200</v>
      </c>
      <c r="BN9" s="338">
        <v>44</v>
      </c>
      <c r="BO9" s="338">
        <v>14</v>
      </c>
      <c r="BP9" s="338">
        <v>49</v>
      </c>
      <c r="BQ9" s="338">
        <v>141</v>
      </c>
      <c r="BR9" s="338">
        <v>52</v>
      </c>
      <c r="BS9" s="376">
        <v>1</v>
      </c>
      <c r="BT9" s="338">
        <v>191</v>
      </c>
      <c r="BU9" s="338">
        <v>185</v>
      </c>
      <c r="BV9" s="338">
        <v>47</v>
      </c>
      <c r="BW9" s="339">
        <v>83</v>
      </c>
      <c r="BX9" s="353"/>
    </row>
    <row r="10" spans="1:76" s="345" customFormat="1" ht="12.75">
      <c r="A10" s="346">
        <v>5</v>
      </c>
      <c r="B10" s="336"/>
      <c r="C10" s="350">
        <v>174</v>
      </c>
      <c r="D10" s="351">
        <v>150</v>
      </c>
      <c r="E10" s="351">
        <v>29</v>
      </c>
      <c r="F10" s="351">
        <v>190</v>
      </c>
      <c r="G10" s="351">
        <v>209</v>
      </c>
      <c r="H10" s="351">
        <v>162</v>
      </c>
      <c r="I10" s="351">
        <v>178</v>
      </c>
      <c r="J10" s="351">
        <v>171</v>
      </c>
      <c r="K10" s="351">
        <v>53</v>
      </c>
      <c r="L10" s="351">
        <v>89</v>
      </c>
      <c r="M10" s="351">
        <v>122</v>
      </c>
      <c r="N10" s="351">
        <v>20</v>
      </c>
      <c r="O10" s="351">
        <v>38</v>
      </c>
      <c r="P10" s="351">
        <v>83</v>
      </c>
      <c r="Q10" s="351">
        <v>168</v>
      </c>
      <c r="R10" s="351">
        <v>63</v>
      </c>
      <c r="S10" s="351">
        <v>179</v>
      </c>
      <c r="T10" s="351">
        <v>34</v>
      </c>
      <c r="U10" s="351">
        <v>75</v>
      </c>
      <c r="V10" s="351">
        <v>96</v>
      </c>
      <c r="W10" s="351">
        <v>149</v>
      </c>
      <c r="X10" s="351">
        <v>153</v>
      </c>
      <c r="Y10" s="351">
        <v>92</v>
      </c>
      <c r="Z10" s="351">
        <v>200</v>
      </c>
      <c r="AA10" s="351">
        <v>114</v>
      </c>
      <c r="AB10" s="351">
        <v>26</v>
      </c>
      <c r="AC10" s="351">
        <v>94</v>
      </c>
      <c r="AD10" s="351">
        <v>212</v>
      </c>
      <c r="AE10" s="351">
        <v>173</v>
      </c>
      <c r="AF10" s="351">
        <v>158</v>
      </c>
      <c r="AG10" s="351">
        <v>205</v>
      </c>
      <c r="AH10" s="351">
        <v>166</v>
      </c>
      <c r="AI10" s="351">
        <v>72</v>
      </c>
      <c r="AJ10" s="351">
        <v>140</v>
      </c>
      <c r="AK10" s="351">
        <v>93</v>
      </c>
      <c r="AL10" s="352">
        <v>169</v>
      </c>
      <c r="AM10" s="336"/>
      <c r="AN10" s="347">
        <v>155</v>
      </c>
      <c r="AO10" s="348">
        <v>210</v>
      </c>
      <c r="AP10" s="348">
        <v>202</v>
      </c>
      <c r="AQ10" s="348">
        <v>195</v>
      </c>
      <c r="AR10" s="348">
        <v>31</v>
      </c>
      <c r="AS10" s="348">
        <v>61</v>
      </c>
      <c r="AT10" s="348">
        <v>188</v>
      </c>
      <c r="AU10" s="348">
        <v>127</v>
      </c>
      <c r="AV10" s="348">
        <v>103</v>
      </c>
      <c r="AW10" s="348">
        <v>5</v>
      </c>
      <c r="AX10" s="348">
        <v>117</v>
      </c>
      <c r="AY10" s="348">
        <v>130</v>
      </c>
      <c r="AZ10" s="348">
        <v>129</v>
      </c>
      <c r="BA10" s="348">
        <v>119</v>
      </c>
      <c r="BB10" s="348">
        <v>30</v>
      </c>
      <c r="BC10" s="348">
        <v>41</v>
      </c>
      <c r="BD10" s="348">
        <v>58</v>
      </c>
      <c r="BE10" s="348">
        <v>87</v>
      </c>
      <c r="BF10" s="348">
        <v>105</v>
      </c>
      <c r="BG10" s="348">
        <v>101</v>
      </c>
      <c r="BH10" s="348">
        <v>40</v>
      </c>
      <c r="BI10" s="348">
        <v>45</v>
      </c>
      <c r="BJ10" s="348">
        <v>17</v>
      </c>
      <c r="BK10" s="348">
        <v>132</v>
      </c>
      <c r="BL10" s="348">
        <v>167</v>
      </c>
      <c r="BM10" s="348">
        <v>139</v>
      </c>
      <c r="BN10" s="348">
        <v>216</v>
      </c>
      <c r="BO10" s="348">
        <v>57</v>
      </c>
      <c r="BP10" s="348">
        <v>134</v>
      </c>
      <c r="BQ10" s="348">
        <v>135</v>
      </c>
      <c r="BR10" s="348">
        <v>137</v>
      </c>
      <c r="BS10" s="348">
        <v>186</v>
      </c>
      <c r="BT10" s="348">
        <v>122</v>
      </c>
      <c r="BU10" s="348">
        <v>42</v>
      </c>
      <c r="BV10" s="348">
        <v>180</v>
      </c>
      <c r="BW10" s="349">
        <v>142</v>
      </c>
      <c r="BX10" s="353"/>
    </row>
    <row r="11" spans="1:76" s="345" customFormat="1" ht="12.75">
      <c r="A11" s="346">
        <v>4</v>
      </c>
      <c r="B11" s="336"/>
      <c r="C11" s="350">
        <v>124</v>
      </c>
      <c r="D11" s="351">
        <v>188</v>
      </c>
      <c r="E11" s="351">
        <v>8</v>
      </c>
      <c r="F11" s="351">
        <v>102</v>
      </c>
      <c r="G11" s="351">
        <v>57</v>
      </c>
      <c r="H11" s="351">
        <v>12</v>
      </c>
      <c r="I11" s="351">
        <v>189</v>
      </c>
      <c r="J11" s="351">
        <v>95</v>
      </c>
      <c r="K11" s="351">
        <v>50</v>
      </c>
      <c r="L11" s="351">
        <v>109</v>
      </c>
      <c r="M11" s="351">
        <v>101</v>
      </c>
      <c r="N11" s="351">
        <v>127</v>
      </c>
      <c r="O11" s="351">
        <v>217</v>
      </c>
      <c r="P11" s="351">
        <v>191</v>
      </c>
      <c r="Q11" s="351">
        <v>182</v>
      </c>
      <c r="R11" s="351">
        <v>134</v>
      </c>
      <c r="S11" s="351">
        <v>187</v>
      </c>
      <c r="T11" s="351">
        <v>148</v>
      </c>
      <c r="U11" s="351">
        <v>71</v>
      </c>
      <c r="V11" s="351">
        <v>164</v>
      </c>
      <c r="W11" s="351">
        <v>193</v>
      </c>
      <c r="X11" s="351">
        <v>125</v>
      </c>
      <c r="Y11" s="351">
        <v>180</v>
      </c>
      <c r="Z11" s="351">
        <v>203</v>
      </c>
      <c r="AA11" s="351">
        <v>185</v>
      </c>
      <c r="AB11" s="351">
        <v>132</v>
      </c>
      <c r="AC11" s="351">
        <v>78</v>
      </c>
      <c r="AD11" s="351">
        <v>111</v>
      </c>
      <c r="AE11" s="351">
        <v>154</v>
      </c>
      <c r="AF11" s="351">
        <v>85</v>
      </c>
      <c r="AG11" s="351">
        <v>82</v>
      </c>
      <c r="AH11" s="351">
        <v>17</v>
      </c>
      <c r="AI11" s="351">
        <v>201</v>
      </c>
      <c r="AJ11" s="351">
        <v>86</v>
      </c>
      <c r="AK11" s="351">
        <v>146</v>
      </c>
      <c r="AL11" s="352">
        <v>213</v>
      </c>
      <c r="AM11" s="336"/>
      <c r="AN11" s="347">
        <v>96</v>
      </c>
      <c r="AO11" s="348">
        <v>173</v>
      </c>
      <c r="AP11" s="348">
        <v>112</v>
      </c>
      <c r="AQ11" s="348">
        <v>55</v>
      </c>
      <c r="AR11" s="348">
        <v>50</v>
      </c>
      <c r="AS11" s="348">
        <v>159</v>
      </c>
      <c r="AT11" s="348">
        <v>169</v>
      </c>
      <c r="AU11" s="348">
        <v>39</v>
      </c>
      <c r="AV11" s="348">
        <v>29</v>
      </c>
      <c r="AW11" s="348">
        <v>94</v>
      </c>
      <c r="AX11" s="348">
        <v>211</v>
      </c>
      <c r="AY11" s="348">
        <v>43</v>
      </c>
      <c r="AZ11" s="348">
        <v>48</v>
      </c>
      <c r="BA11" s="348">
        <v>23</v>
      </c>
      <c r="BB11" s="348">
        <v>203</v>
      </c>
      <c r="BC11" s="348">
        <v>32</v>
      </c>
      <c r="BD11" s="348">
        <v>37</v>
      </c>
      <c r="BE11" s="348">
        <v>182</v>
      </c>
      <c r="BF11" s="348">
        <v>109</v>
      </c>
      <c r="BG11" s="348">
        <v>95</v>
      </c>
      <c r="BH11" s="348">
        <v>4</v>
      </c>
      <c r="BI11" s="348">
        <v>136</v>
      </c>
      <c r="BJ11" s="348">
        <v>176</v>
      </c>
      <c r="BK11" s="348">
        <v>8</v>
      </c>
      <c r="BL11" s="348">
        <v>114</v>
      </c>
      <c r="BM11" s="348">
        <v>33</v>
      </c>
      <c r="BN11" s="348">
        <v>190</v>
      </c>
      <c r="BO11" s="348">
        <v>11</v>
      </c>
      <c r="BP11" s="348">
        <v>86</v>
      </c>
      <c r="BQ11" s="348">
        <v>149</v>
      </c>
      <c r="BR11" s="348">
        <v>102</v>
      </c>
      <c r="BS11" s="348">
        <v>75</v>
      </c>
      <c r="BT11" s="348">
        <v>123</v>
      </c>
      <c r="BU11" s="348">
        <v>88</v>
      </c>
      <c r="BV11" s="348">
        <v>35</v>
      </c>
      <c r="BW11" s="349">
        <v>150</v>
      </c>
      <c r="BX11" s="353"/>
    </row>
    <row r="12" spans="1:76" s="345" customFormat="1" ht="12.75">
      <c r="A12" s="346">
        <v>3</v>
      </c>
      <c r="B12" s="336"/>
      <c r="C12" s="350">
        <v>210</v>
      </c>
      <c r="D12" s="351">
        <v>186</v>
      </c>
      <c r="E12" s="351">
        <v>54</v>
      </c>
      <c r="F12" s="351">
        <v>36</v>
      </c>
      <c r="G12" s="351">
        <v>22</v>
      </c>
      <c r="H12" s="351">
        <v>176</v>
      </c>
      <c r="I12" s="351">
        <v>11</v>
      </c>
      <c r="J12" s="351">
        <v>197</v>
      </c>
      <c r="K12" s="351">
        <v>43</v>
      </c>
      <c r="L12" s="351">
        <v>32</v>
      </c>
      <c r="M12" s="351">
        <v>91</v>
      </c>
      <c r="N12" s="351">
        <v>33</v>
      </c>
      <c r="O12" s="351">
        <v>126</v>
      </c>
      <c r="P12" s="351">
        <v>39</v>
      </c>
      <c r="Q12" s="351">
        <v>67</v>
      </c>
      <c r="R12" s="351">
        <v>18</v>
      </c>
      <c r="S12" s="351">
        <v>73</v>
      </c>
      <c r="T12" s="351">
        <v>172</v>
      </c>
      <c r="U12" s="351">
        <v>196</v>
      </c>
      <c r="V12" s="351">
        <v>21</v>
      </c>
      <c r="W12" s="351">
        <v>87</v>
      </c>
      <c r="X12" s="351">
        <v>156</v>
      </c>
      <c r="Y12" s="351">
        <v>113</v>
      </c>
      <c r="Z12" s="351">
        <v>81</v>
      </c>
      <c r="AA12" s="351">
        <v>130</v>
      </c>
      <c r="AB12" s="351">
        <v>64</v>
      </c>
      <c r="AC12" s="351">
        <v>160</v>
      </c>
      <c r="AD12" s="351">
        <v>183</v>
      </c>
      <c r="AE12" s="351">
        <v>195</v>
      </c>
      <c r="AF12" s="351">
        <v>152</v>
      </c>
      <c r="AG12" s="351">
        <v>123</v>
      </c>
      <c r="AH12" s="351">
        <v>4</v>
      </c>
      <c r="AI12" s="351">
        <v>16</v>
      </c>
      <c r="AJ12" s="351">
        <v>44</v>
      </c>
      <c r="AK12" s="351">
        <v>2</v>
      </c>
      <c r="AL12" s="352">
        <v>69</v>
      </c>
      <c r="AM12" s="336"/>
      <c r="AN12" s="347">
        <v>118</v>
      </c>
      <c r="AO12" s="348">
        <v>124</v>
      </c>
      <c r="AP12" s="348">
        <v>97</v>
      </c>
      <c r="AQ12" s="348">
        <v>192</v>
      </c>
      <c r="AR12" s="348">
        <v>107</v>
      </c>
      <c r="AS12" s="348">
        <v>178</v>
      </c>
      <c r="AT12" s="348">
        <v>80</v>
      </c>
      <c r="AU12" s="348">
        <v>24</v>
      </c>
      <c r="AV12" s="348">
        <v>16</v>
      </c>
      <c r="AW12" s="348">
        <v>196</v>
      </c>
      <c r="AX12" s="348">
        <v>125</v>
      </c>
      <c r="AY12" s="348">
        <v>162</v>
      </c>
      <c r="AZ12" s="348">
        <v>98</v>
      </c>
      <c r="BA12" s="348">
        <v>12</v>
      </c>
      <c r="BB12" s="348">
        <v>85</v>
      </c>
      <c r="BC12" s="348">
        <v>157</v>
      </c>
      <c r="BD12" s="348">
        <v>71</v>
      </c>
      <c r="BE12" s="348">
        <v>18</v>
      </c>
      <c r="BF12" s="348">
        <v>175</v>
      </c>
      <c r="BG12" s="348">
        <v>113</v>
      </c>
      <c r="BH12" s="348">
        <v>126</v>
      </c>
      <c r="BI12" s="348">
        <v>206</v>
      </c>
      <c r="BJ12" s="348">
        <v>10</v>
      </c>
      <c r="BK12" s="348">
        <v>208</v>
      </c>
      <c r="BL12" s="348">
        <v>93</v>
      </c>
      <c r="BM12" s="348">
        <v>3</v>
      </c>
      <c r="BN12" s="348">
        <v>62</v>
      </c>
      <c r="BO12" s="348">
        <v>207</v>
      </c>
      <c r="BP12" s="348">
        <v>116</v>
      </c>
      <c r="BQ12" s="348">
        <v>140</v>
      </c>
      <c r="BR12" s="348">
        <v>84</v>
      </c>
      <c r="BS12" s="348">
        <v>115</v>
      </c>
      <c r="BT12" s="348">
        <v>7</v>
      </c>
      <c r="BU12" s="348">
        <v>199</v>
      </c>
      <c r="BV12" s="348">
        <v>63</v>
      </c>
      <c r="BW12" s="349">
        <v>153</v>
      </c>
      <c r="BX12" s="353"/>
    </row>
    <row r="13" spans="1:76" s="345" customFormat="1" ht="12.75">
      <c r="A13" s="346">
        <v>2</v>
      </c>
      <c r="B13" s="336"/>
      <c r="C13" s="350">
        <v>110</v>
      </c>
      <c r="D13" s="351">
        <v>60</v>
      </c>
      <c r="E13" s="351">
        <v>159</v>
      </c>
      <c r="F13" s="351">
        <v>163</v>
      </c>
      <c r="G13" s="351">
        <v>62</v>
      </c>
      <c r="H13" s="351">
        <v>55</v>
      </c>
      <c r="I13" s="351">
        <v>84</v>
      </c>
      <c r="J13" s="351">
        <v>199</v>
      </c>
      <c r="K13" s="351">
        <v>46</v>
      </c>
      <c r="L13" s="351">
        <v>208</v>
      </c>
      <c r="M13" s="351">
        <v>115</v>
      </c>
      <c r="N13" s="351">
        <v>9</v>
      </c>
      <c r="O13" s="351">
        <v>47</v>
      </c>
      <c r="P13" s="351">
        <v>167</v>
      </c>
      <c r="Q13" s="351">
        <v>116</v>
      </c>
      <c r="R13" s="351">
        <v>204</v>
      </c>
      <c r="S13" s="351">
        <v>52</v>
      </c>
      <c r="T13" s="374">
        <v>1</v>
      </c>
      <c r="U13" s="351">
        <v>65</v>
      </c>
      <c r="V13" s="351">
        <v>51</v>
      </c>
      <c r="W13" s="351">
        <v>198</v>
      </c>
      <c r="X13" s="351">
        <v>120</v>
      </c>
      <c r="Y13" s="351">
        <v>194</v>
      </c>
      <c r="Z13" s="351">
        <v>107</v>
      </c>
      <c r="AA13" s="351">
        <v>14</v>
      </c>
      <c r="AB13" s="351">
        <v>105</v>
      </c>
      <c r="AC13" s="351">
        <v>99</v>
      </c>
      <c r="AD13" s="351">
        <v>19</v>
      </c>
      <c r="AE13" s="351">
        <v>103</v>
      </c>
      <c r="AF13" s="351">
        <v>139</v>
      </c>
      <c r="AG13" s="351">
        <v>23</v>
      </c>
      <c r="AH13" s="351">
        <v>40</v>
      </c>
      <c r="AI13" s="351">
        <v>3</v>
      </c>
      <c r="AJ13" s="351">
        <v>106</v>
      </c>
      <c r="AK13" s="351">
        <v>211</v>
      </c>
      <c r="AL13" s="352">
        <v>131</v>
      </c>
      <c r="AM13" s="336"/>
      <c r="AN13" s="347">
        <v>189</v>
      </c>
      <c r="AO13" s="348">
        <v>205</v>
      </c>
      <c r="AP13" s="348">
        <v>27</v>
      </c>
      <c r="AQ13" s="348">
        <v>165</v>
      </c>
      <c r="AR13" s="348">
        <v>65</v>
      </c>
      <c r="AS13" s="348">
        <v>197</v>
      </c>
      <c r="AT13" s="348">
        <v>76</v>
      </c>
      <c r="AU13" s="348">
        <v>161</v>
      </c>
      <c r="AV13" s="348">
        <v>59</v>
      </c>
      <c r="AW13" s="348">
        <v>193</v>
      </c>
      <c r="AX13" s="348">
        <v>198</v>
      </c>
      <c r="AY13" s="348">
        <v>99</v>
      </c>
      <c r="AZ13" s="348">
        <v>215</v>
      </c>
      <c r="BA13" s="348">
        <v>194</v>
      </c>
      <c r="BB13" s="348">
        <v>74</v>
      </c>
      <c r="BC13" s="348">
        <v>69</v>
      </c>
      <c r="BD13" s="348">
        <v>144</v>
      </c>
      <c r="BE13" s="348">
        <v>143</v>
      </c>
      <c r="BF13" s="348">
        <v>36</v>
      </c>
      <c r="BG13" s="348">
        <v>106</v>
      </c>
      <c r="BH13" s="348">
        <v>78</v>
      </c>
      <c r="BI13" s="348">
        <v>160</v>
      </c>
      <c r="BJ13" s="348">
        <v>151</v>
      </c>
      <c r="BK13" s="348">
        <v>60</v>
      </c>
      <c r="BL13" s="348">
        <v>145</v>
      </c>
      <c r="BM13" s="348">
        <v>168</v>
      </c>
      <c r="BN13" s="348">
        <v>187</v>
      </c>
      <c r="BO13" s="348">
        <v>183</v>
      </c>
      <c r="BP13" s="348">
        <v>217</v>
      </c>
      <c r="BQ13" s="348">
        <v>22</v>
      </c>
      <c r="BR13" s="348">
        <v>121</v>
      </c>
      <c r="BS13" s="348">
        <v>163</v>
      </c>
      <c r="BT13" s="348">
        <v>81</v>
      </c>
      <c r="BU13" s="348">
        <v>6</v>
      </c>
      <c r="BV13" s="348">
        <v>73</v>
      </c>
      <c r="BW13" s="349">
        <v>79</v>
      </c>
      <c r="BX13" s="353"/>
    </row>
    <row r="14" spans="1:76" s="345" customFormat="1" ht="13.5" thickBot="1">
      <c r="A14" s="346">
        <v>1</v>
      </c>
      <c r="B14" s="360"/>
      <c r="C14" s="361">
        <v>48</v>
      </c>
      <c r="D14" s="362">
        <v>77</v>
      </c>
      <c r="E14" s="362">
        <v>119</v>
      </c>
      <c r="F14" s="362">
        <v>10</v>
      </c>
      <c r="G14" s="362">
        <v>145</v>
      </c>
      <c r="H14" s="362">
        <v>215</v>
      </c>
      <c r="I14" s="362">
        <v>138</v>
      </c>
      <c r="J14" s="362">
        <v>157</v>
      </c>
      <c r="K14" s="362">
        <v>98</v>
      </c>
      <c r="L14" s="362">
        <v>181</v>
      </c>
      <c r="M14" s="362">
        <v>175</v>
      </c>
      <c r="N14" s="362">
        <v>28</v>
      </c>
      <c r="O14" s="362">
        <v>135</v>
      </c>
      <c r="P14" s="362">
        <v>35</v>
      </c>
      <c r="Q14" s="362">
        <v>192</v>
      </c>
      <c r="R14" s="362">
        <v>128</v>
      </c>
      <c r="S14" s="362">
        <v>142</v>
      </c>
      <c r="T14" s="362">
        <v>202</v>
      </c>
      <c r="U14" s="362">
        <v>41</v>
      </c>
      <c r="V14" s="362">
        <v>49</v>
      </c>
      <c r="W14" s="362">
        <v>24</v>
      </c>
      <c r="X14" s="362">
        <v>66</v>
      </c>
      <c r="Y14" s="362">
        <v>58</v>
      </c>
      <c r="Z14" s="362">
        <v>74</v>
      </c>
      <c r="AA14" s="362">
        <v>112</v>
      </c>
      <c r="AB14" s="362">
        <v>15</v>
      </c>
      <c r="AC14" s="362">
        <v>90</v>
      </c>
      <c r="AD14" s="362">
        <v>31</v>
      </c>
      <c r="AE14" s="362">
        <v>144</v>
      </c>
      <c r="AF14" s="362">
        <v>129</v>
      </c>
      <c r="AG14" s="362">
        <v>121</v>
      </c>
      <c r="AH14" s="362">
        <v>104</v>
      </c>
      <c r="AI14" s="362">
        <v>6</v>
      </c>
      <c r="AJ14" s="362">
        <v>216</v>
      </c>
      <c r="AK14" s="362">
        <v>207</v>
      </c>
      <c r="AL14" s="363">
        <v>108</v>
      </c>
      <c r="AM14" s="360"/>
      <c r="AN14" s="364">
        <v>164</v>
      </c>
      <c r="AO14" s="365">
        <v>104</v>
      </c>
      <c r="AP14" s="365">
        <v>9</v>
      </c>
      <c r="AQ14" s="365">
        <v>209</v>
      </c>
      <c r="AR14" s="365">
        <v>25</v>
      </c>
      <c r="AS14" s="365">
        <v>26</v>
      </c>
      <c r="AT14" s="365">
        <v>82</v>
      </c>
      <c r="AU14" s="365">
        <v>28</v>
      </c>
      <c r="AV14" s="365">
        <v>201</v>
      </c>
      <c r="AW14" s="365">
        <v>89</v>
      </c>
      <c r="AX14" s="365">
        <v>72</v>
      </c>
      <c r="AY14" s="365">
        <v>148</v>
      </c>
      <c r="AZ14" s="365">
        <v>13</v>
      </c>
      <c r="BA14" s="365">
        <v>152</v>
      </c>
      <c r="BB14" s="365">
        <v>64</v>
      </c>
      <c r="BC14" s="365">
        <v>172</v>
      </c>
      <c r="BD14" s="365">
        <v>38</v>
      </c>
      <c r="BE14" s="365">
        <v>154</v>
      </c>
      <c r="BF14" s="365">
        <v>100</v>
      </c>
      <c r="BG14" s="365">
        <v>54</v>
      </c>
      <c r="BH14" s="365">
        <v>212</v>
      </c>
      <c r="BI14" s="365">
        <v>120</v>
      </c>
      <c r="BJ14" s="365">
        <v>108</v>
      </c>
      <c r="BK14" s="365">
        <v>56</v>
      </c>
      <c r="BL14" s="365">
        <v>110</v>
      </c>
      <c r="BM14" s="365">
        <v>174</v>
      </c>
      <c r="BN14" s="365">
        <v>19</v>
      </c>
      <c r="BO14" s="365">
        <v>91</v>
      </c>
      <c r="BP14" s="365">
        <v>34</v>
      </c>
      <c r="BQ14" s="365">
        <v>67</v>
      </c>
      <c r="BR14" s="365">
        <v>170</v>
      </c>
      <c r="BS14" s="365">
        <v>177</v>
      </c>
      <c r="BT14" s="365">
        <v>53</v>
      </c>
      <c r="BU14" s="365">
        <v>2</v>
      </c>
      <c r="BV14" s="365">
        <v>68</v>
      </c>
      <c r="BW14" s="366">
        <v>179</v>
      </c>
      <c r="BX14" s="367"/>
    </row>
    <row r="15" spans="1:76" ht="12.75">
      <c r="A15" s="368">
        <v>118</v>
      </c>
      <c r="B15" s="368">
        <v>119</v>
      </c>
      <c r="C15" s="368">
        <v>120</v>
      </c>
      <c r="D15" s="368">
        <v>121</v>
      </c>
      <c r="E15" s="368">
        <v>122</v>
      </c>
      <c r="F15" s="368">
        <v>123</v>
      </c>
      <c r="G15" s="368">
        <v>124</v>
      </c>
      <c r="H15" s="369">
        <v>125</v>
      </c>
      <c r="I15" s="368">
        <v>126</v>
      </c>
      <c r="J15" s="368">
        <v>127</v>
      </c>
      <c r="K15" s="368">
        <v>128</v>
      </c>
      <c r="L15" s="368">
        <v>129</v>
      </c>
      <c r="M15" s="368">
        <v>130</v>
      </c>
      <c r="N15" s="368">
        <v>131</v>
      </c>
      <c r="O15" s="368">
        <v>132</v>
      </c>
      <c r="P15" s="368">
        <v>133</v>
      </c>
      <c r="Q15" s="368">
        <v>134</v>
      </c>
      <c r="R15" s="368">
        <v>135</v>
      </c>
      <c r="S15" s="368">
        <v>136</v>
      </c>
      <c r="T15" s="368">
        <v>137</v>
      </c>
      <c r="U15" s="368">
        <v>138</v>
      </c>
      <c r="V15" s="368">
        <v>139</v>
      </c>
      <c r="W15" s="368">
        <v>140</v>
      </c>
      <c r="X15" s="368">
        <v>141</v>
      </c>
      <c r="Y15" s="368">
        <v>142</v>
      </c>
      <c r="Z15" s="368">
        <v>143</v>
      </c>
      <c r="AA15" s="368">
        <v>144</v>
      </c>
      <c r="AB15" s="368">
        <v>145</v>
      </c>
      <c r="AC15" s="368">
        <v>146</v>
      </c>
      <c r="AD15" s="368">
        <v>147</v>
      </c>
      <c r="AE15" s="368">
        <v>148</v>
      </c>
      <c r="AF15" s="368">
        <v>149</v>
      </c>
      <c r="AG15" s="368">
        <v>150</v>
      </c>
      <c r="AH15" s="368">
        <v>151</v>
      </c>
      <c r="AI15" s="368">
        <v>152</v>
      </c>
      <c r="AJ15" s="368">
        <v>153</v>
      </c>
      <c r="AK15" s="368">
        <v>154</v>
      </c>
      <c r="AL15" s="368">
        <v>155</v>
      </c>
      <c r="AM15" s="368">
        <v>156</v>
      </c>
      <c r="AN15" s="368">
        <v>157</v>
      </c>
      <c r="AO15" s="368">
        <v>158</v>
      </c>
      <c r="AP15" s="368">
        <v>159</v>
      </c>
      <c r="AQ15" s="368">
        <v>160</v>
      </c>
      <c r="AR15" s="368">
        <v>161</v>
      </c>
      <c r="AS15" s="368">
        <v>162</v>
      </c>
      <c r="AT15" s="368">
        <v>163</v>
      </c>
      <c r="AU15" s="368">
        <v>164</v>
      </c>
      <c r="AV15" s="368">
        <v>165</v>
      </c>
      <c r="AW15" s="368">
        <v>166</v>
      </c>
      <c r="AX15" s="368">
        <v>167</v>
      </c>
      <c r="AY15" s="368">
        <v>168</v>
      </c>
      <c r="AZ15" s="368">
        <v>169</v>
      </c>
      <c r="BA15" s="368">
        <v>170</v>
      </c>
      <c r="BB15" s="368">
        <v>171</v>
      </c>
      <c r="BC15" s="368">
        <v>172</v>
      </c>
      <c r="BD15" s="368">
        <v>173</v>
      </c>
      <c r="BE15" s="368">
        <v>174</v>
      </c>
      <c r="BF15" s="368">
        <v>175</v>
      </c>
      <c r="BG15" s="368">
        <v>176</v>
      </c>
      <c r="BH15" s="368">
        <v>177</v>
      </c>
      <c r="BI15" s="368">
        <v>178</v>
      </c>
      <c r="BJ15" s="368">
        <v>179</v>
      </c>
      <c r="BK15" s="368">
        <v>180</v>
      </c>
      <c r="BL15" s="368">
        <v>181</v>
      </c>
      <c r="BM15" s="368">
        <v>182</v>
      </c>
      <c r="BN15" s="368">
        <v>183</v>
      </c>
      <c r="BO15" s="368">
        <v>184</v>
      </c>
      <c r="BP15" s="368">
        <v>185</v>
      </c>
      <c r="BQ15" s="368">
        <v>186</v>
      </c>
      <c r="BR15" s="368">
        <v>187</v>
      </c>
      <c r="BS15" s="368">
        <v>188</v>
      </c>
      <c r="BT15" s="368">
        <v>189</v>
      </c>
      <c r="BU15" s="368">
        <v>190</v>
      </c>
      <c r="BV15" s="368">
        <v>191</v>
      </c>
      <c r="BW15" s="368">
        <v>192</v>
      </c>
      <c r="BX15" s="368">
        <v>193</v>
      </c>
    </row>
    <row r="17" spans="1:21">
      <c r="B17" s="370"/>
      <c r="C17" s="191" t="s">
        <v>8175</v>
      </c>
    </row>
    <row r="18" spans="1:21">
      <c r="B18" s="371"/>
      <c r="C18" s="191" t="s">
        <v>8176</v>
      </c>
    </row>
    <row r="19" spans="1:21" ht="12.75" thickBot="1"/>
    <row r="20" spans="1:21" ht="14.25" thickTop="1" thickBot="1">
      <c r="A20" s="407" t="s">
        <v>8177</v>
      </c>
      <c r="B20" s="403"/>
      <c r="C20" s="404"/>
      <c r="D20" s="405"/>
      <c r="E20" s="406"/>
      <c r="L20" s="482" t="s">
        <v>8178</v>
      </c>
      <c r="M20" s="483"/>
      <c r="N20" s="483"/>
      <c r="O20" s="483"/>
      <c r="P20" s="483"/>
    </row>
    <row r="21" spans="1:21" ht="14.25" thickTop="1" thickBot="1">
      <c r="A21" s="491" t="s">
        <v>8179</v>
      </c>
      <c r="B21" s="492"/>
      <c r="C21" s="492"/>
      <c r="D21" s="397"/>
      <c r="E21" s="378"/>
      <c r="L21" s="484"/>
      <c r="M21" s="484"/>
      <c r="N21" s="484"/>
      <c r="O21" s="484"/>
      <c r="P21" s="484"/>
    </row>
    <row r="22" spans="1:21" ht="13.5" thickTop="1">
      <c r="A22" s="493" t="s">
        <v>8180</v>
      </c>
      <c r="B22" s="494"/>
      <c r="C22" s="494"/>
      <c r="D22" s="494"/>
      <c r="E22" s="494"/>
      <c r="F22" s="495"/>
      <c r="G22" s="396"/>
      <c r="H22" s="496" t="s">
        <v>8181</v>
      </c>
      <c r="I22" s="496"/>
      <c r="J22" s="396"/>
      <c r="K22" s="396"/>
      <c r="L22" s="399" t="s">
        <v>8182</v>
      </c>
      <c r="M22" s="400"/>
      <c r="N22" s="401"/>
      <c r="O22" s="401"/>
      <c r="P22" s="401"/>
      <c r="Q22" s="401"/>
      <c r="R22" s="402"/>
      <c r="T22" s="480">
        <v>9</v>
      </c>
      <c r="U22" s="481"/>
    </row>
    <row r="23" spans="1:21" ht="12.75">
      <c r="A23" s="485" t="s">
        <v>8183</v>
      </c>
      <c r="B23" s="486"/>
      <c r="C23" s="486"/>
      <c r="D23" s="486"/>
      <c r="E23" s="486"/>
      <c r="F23" s="487"/>
      <c r="G23" s="396"/>
      <c r="H23" s="496">
        <v>4</v>
      </c>
      <c r="I23" s="496"/>
      <c r="J23" s="396"/>
      <c r="K23" s="396"/>
      <c r="L23" s="485" t="s">
        <v>8184</v>
      </c>
      <c r="M23" s="486"/>
      <c r="N23" s="486"/>
      <c r="O23" s="486"/>
      <c r="P23" s="486"/>
      <c r="Q23" s="486"/>
      <c r="R23" s="487"/>
      <c r="T23" s="476">
        <v>4</v>
      </c>
      <c r="U23" s="477"/>
    </row>
    <row r="24" spans="1:21" ht="13.5" thickBot="1">
      <c r="A24" s="485" t="s">
        <v>8185</v>
      </c>
      <c r="B24" s="486"/>
      <c r="C24" s="486"/>
      <c r="D24" s="486"/>
      <c r="E24" s="486"/>
      <c r="F24" s="487"/>
      <c r="G24" s="396"/>
      <c r="H24" s="496">
        <f>10.5*4*0.375</f>
        <v>15.75</v>
      </c>
      <c r="I24" s="496"/>
      <c r="J24" s="396"/>
      <c r="K24" s="396"/>
      <c r="L24" s="488" t="s">
        <v>8186</v>
      </c>
      <c r="M24" s="489"/>
      <c r="N24" s="489"/>
      <c r="O24" s="489"/>
      <c r="P24" s="489"/>
      <c r="Q24" s="489"/>
      <c r="R24" s="490"/>
      <c r="T24" s="478">
        <f>9*4*0.375</f>
        <v>13.5</v>
      </c>
      <c r="U24" s="479"/>
    </row>
    <row r="25" spans="1:21" ht="13.5" thickBot="1">
      <c r="A25" s="488" t="s">
        <v>8187</v>
      </c>
      <c r="B25" s="489"/>
      <c r="C25" s="489"/>
      <c r="D25" s="489"/>
      <c r="E25" s="489"/>
      <c r="F25" s="490"/>
      <c r="G25" s="396"/>
      <c r="H25" s="496" t="s">
        <v>8188</v>
      </c>
      <c r="I25" s="496"/>
      <c r="J25" s="396"/>
      <c r="K25" s="396"/>
      <c r="L25" s="398"/>
      <c r="M25" s="398"/>
      <c r="N25" s="398"/>
      <c r="O25" s="398"/>
      <c r="P25" s="398"/>
      <c r="Q25" s="398"/>
      <c r="R25" s="398"/>
    </row>
    <row r="26" spans="1:21">
      <c r="A26" s="398"/>
      <c r="B26" s="398"/>
      <c r="C26" s="398"/>
      <c r="D26" s="398"/>
      <c r="E26" s="398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98"/>
      <c r="R26" s="398"/>
    </row>
    <row r="27" spans="1:21">
      <c r="L27" s="398"/>
      <c r="M27" s="398"/>
      <c r="N27" s="398"/>
      <c r="O27" s="398"/>
      <c r="P27" s="398"/>
      <c r="Q27" s="398"/>
      <c r="R27" s="398"/>
    </row>
  </sheetData>
  <protectedRanges>
    <protectedRange password="DF17" sqref="O20 D23:D24 U24 H24 L20:M21 D20 E20:E21 H25" name="Range1"/>
  </protectedRanges>
  <mergeCells count="16">
    <mergeCell ref="H22:I22"/>
    <mergeCell ref="H23:I23"/>
    <mergeCell ref="H24:I24"/>
    <mergeCell ref="H25:I25"/>
    <mergeCell ref="A21:C21"/>
    <mergeCell ref="A25:F25"/>
    <mergeCell ref="A22:F22"/>
    <mergeCell ref="A23:F23"/>
    <mergeCell ref="A24:F24"/>
    <mergeCell ref="T23:U23"/>
    <mergeCell ref="T24:U24"/>
    <mergeCell ref="T22:U22"/>
    <mergeCell ref="L20:P20"/>
    <mergeCell ref="L21:P21"/>
    <mergeCell ref="L23:R23"/>
    <mergeCell ref="L24:R2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sqref="A1:E18"/>
    </sheetView>
  </sheetViews>
  <sheetFormatPr baseColWidth="10" defaultRowHeight="12"/>
  <cols>
    <col min="1" max="1" width="36.42578125" bestFit="1" customWidth="1"/>
    <col min="2" max="2" width="18.7109375" bestFit="1" customWidth="1"/>
    <col min="3" max="3" width="18.85546875" bestFit="1" customWidth="1"/>
    <col min="5" max="5" width="44.140625" bestFit="1" customWidth="1"/>
  </cols>
  <sheetData>
    <row r="1" spans="1:7" ht="15.75">
      <c r="A1" s="211" t="s">
        <v>8091</v>
      </c>
      <c r="B1" s="211" t="s">
        <v>177</v>
      </c>
      <c r="C1" s="211" t="s">
        <v>8092</v>
      </c>
      <c r="D1" s="211" t="s">
        <v>8093</v>
      </c>
      <c r="E1" s="211" t="s">
        <v>8094</v>
      </c>
    </row>
    <row r="2" spans="1:7" s="191" customFormat="1" ht="15.75">
      <c r="A2" s="212" t="s">
        <v>8206</v>
      </c>
      <c r="B2" s="409">
        <v>41498</v>
      </c>
      <c r="C2" s="410"/>
      <c r="D2" s="410"/>
      <c r="E2" s="394" t="s">
        <v>8209</v>
      </c>
      <c r="F2" s="142"/>
      <c r="G2" s="142"/>
    </row>
    <row r="3" spans="1:7" s="191" customFormat="1" ht="15.75">
      <c r="A3" s="212" t="s">
        <v>8207</v>
      </c>
      <c r="B3" s="409">
        <v>41515</v>
      </c>
      <c r="C3" s="410"/>
      <c r="D3" s="410"/>
      <c r="E3" s="394">
        <v>25</v>
      </c>
      <c r="F3" s="142"/>
      <c r="G3" s="142"/>
    </row>
    <row r="4" spans="1:7" s="191" customFormat="1" ht="15.75">
      <c r="A4" s="212" t="s">
        <v>8208</v>
      </c>
      <c r="B4" s="409">
        <v>41516</v>
      </c>
      <c r="C4" s="410"/>
      <c r="D4" s="410"/>
      <c r="E4" s="394">
        <v>5</v>
      </c>
      <c r="F4" s="142"/>
      <c r="G4" s="142"/>
    </row>
    <row r="5" spans="1:7" s="191" customFormat="1" ht="15.75">
      <c r="A5" s="212" t="s">
        <v>8208</v>
      </c>
      <c r="B5" s="409">
        <v>41519</v>
      </c>
      <c r="C5" s="410"/>
      <c r="D5" s="410"/>
      <c r="E5" s="394">
        <v>5</v>
      </c>
      <c r="F5" s="142"/>
      <c r="G5" s="142"/>
    </row>
    <row r="6" spans="1:7" ht="31.5">
      <c r="A6" s="212" t="s">
        <v>8190</v>
      </c>
      <c r="B6" s="409" t="s">
        <v>8224</v>
      </c>
      <c r="C6" s="213"/>
      <c r="D6" s="213"/>
      <c r="E6" s="380" t="s">
        <v>8195</v>
      </c>
      <c r="F6" s="142"/>
      <c r="G6" s="142"/>
    </row>
    <row r="7" spans="1:7" s="191" customFormat="1" ht="15.75">
      <c r="A7" s="212" t="s">
        <v>8225</v>
      </c>
      <c r="B7" s="409">
        <v>41526</v>
      </c>
      <c r="C7" s="410" t="s">
        <v>8222</v>
      </c>
      <c r="D7" s="213"/>
      <c r="E7" s="380"/>
      <c r="F7" s="142"/>
      <c r="G7" s="142"/>
    </row>
    <row r="8" spans="1:7" ht="15.75">
      <c r="A8" s="212" t="s">
        <v>8189</v>
      </c>
      <c r="B8" s="409">
        <v>41537</v>
      </c>
      <c r="C8" s="410" t="s">
        <v>8219</v>
      </c>
      <c r="D8" s="213"/>
      <c r="E8" s="213"/>
    </row>
    <row r="9" spans="1:7" ht="31.5">
      <c r="A9" s="408" t="s">
        <v>8227</v>
      </c>
      <c r="B9" s="409" t="s">
        <v>8216</v>
      </c>
      <c r="C9" s="411" t="s">
        <v>8226</v>
      </c>
      <c r="D9" s="213"/>
      <c r="E9" s="213"/>
    </row>
    <row r="10" spans="1:7" ht="15.75">
      <c r="A10" s="212" t="s">
        <v>8189</v>
      </c>
      <c r="B10" s="409">
        <v>41548</v>
      </c>
      <c r="C10" s="410" t="s">
        <v>8220</v>
      </c>
      <c r="D10" s="213"/>
      <c r="E10" s="213"/>
    </row>
    <row r="11" spans="1:7" ht="15.75">
      <c r="A11" s="212" t="s">
        <v>8191</v>
      </c>
      <c r="B11" s="409">
        <v>41696</v>
      </c>
      <c r="C11" s="395" t="s">
        <v>8210</v>
      </c>
      <c r="D11" s="395"/>
      <c r="E11" s="213" t="s">
        <v>8213</v>
      </c>
    </row>
    <row r="12" spans="1:7" ht="15.75">
      <c r="A12" s="212" t="s">
        <v>8192</v>
      </c>
      <c r="B12" s="409">
        <v>41697</v>
      </c>
      <c r="C12" s="395" t="s">
        <v>8211</v>
      </c>
      <c r="D12" s="256"/>
      <c r="E12" s="395" t="s">
        <v>8214</v>
      </c>
    </row>
    <row r="13" spans="1:7" s="191" customFormat="1" ht="15.75">
      <c r="A13" s="212" t="s">
        <v>8189</v>
      </c>
      <c r="B13" s="409">
        <v>41706</v>
      </c>
      <c r="C13" s="410" t="s">
        <v>8217</v>
      </c>
      <c r="D13" s="256"/>
      <c r="E13" s="395"/>
    </row>
    <row r="14" spans="1:7" ht="15.75">
      <c r="A14" s="212" t="s">
        <v>8193</v>
      </c>
      <c r="B14" s="409">
        <v>41711</v>
      </c>
      <c r="C14" s="395" t="s">
        <v>8212</v>
      </c>
      <c r="D14" s="256"/>
      <c r="E14" s="395" t="s">
        <v>8215</v>
      </c>
    </row>
    <row r="15" spans="1:7" ht="15.75">
      <c r="A15" s="212" t="s">
        <v>8189</v>
      </c>
      <c r="B15" s="409">
        <v>41712</v>
      </c>
      <c r="C15" s="410" t="s">
        <v>8218</v>
      </c>
      <c r="D15" s="213"/>
      <c r="E15" s="213"/>
    </row>
    <row r="16" spans="1:7" ht="15.75">
      <c r="A16" s="212" t="s">
        <v>8194</v>
      </c>
      <c r="B16" s="409">
        <v>41759</v>
      </c>
      <c r="C16" s="410" t="s">
        <v>8221</v>
      </c>
      <c r="D16" s="213"/>
      <c r="E16" s="213"/>
    </row>
    <row r="17" spans="1:5" ht="15.75">
      <c r="A17" s="212" t="s">
        <v>8194</v>
      </c>
      <c r="B17" s="409">
        <v>41766</v>
      </c>
      <c r="C17" s="410" t="s">
        <v>8221</v>
      </c>
      <c r="D17" s="213"/>
      <c r="E17" s="213"/>
    </row>
    <row r="18" spans="1:5" ht="15.75">
      <c r="A18" s="212" t="s">
        <v>8228</v>
      </c>
      <c r="B18" s="409">
        <v>41838</v>
      </c>
      <c r="C18" s="213"/>
      <c r="D18" s="213"/>
      <c r="E18" s="213" t="s">
        <v>8223</v>
      </c>
    </row>
    <row r="19" spans="1:5">
      <c r="D19" s="191"/>
    </row>
    <row r="20" spans="1:5" s="142" customFormat="1" ht="12.75"/>
  </sheetData>
  <protectedRanges>
    <protectedRange password="DF17" sqref="D19" name="Range1"/>
    <protectedRange password="DF17" sqref="A2:G5" name="Range1_1"/>
    <protectedRange password="DF17" sqref="E12:E14 D11" name="Range1_2"/>
    <protectedRange password="DF17" sqref="C15 B8:C8 C13 C9" name="Range1_3"/>
    <protectedRange password="DF17" sqref="B10:C10" name="Range1_2_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Tyfanie Bourlet</cp:lastModifiedBy>
  <cp:revision>11</cp:revision>
  <cp:lastPrinted>1601-01-01T00:00:00Z</cp:lastPrinted>
  <dcterms:created xsi:type="dcterms:W3CDTF">2013-10-04T13:51:10Z</dcterms:created>
  <dcterms:modified xsi:type="dcterms:W3CDTF">2015-01-14T11:02:48Z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